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alary Sheet\"/>
    </mc:Choice>
  </mc:AlternateContent>
  <xr:revisionPtr revIDLastSave="0" documentId="13_ncr:1_{CEEC23CF-D500-4547-AD64-E5E3FF454055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Attandance" sheetId="3" r:id="rId1"/>
    <sheet name="Salary Sheet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4" i="4" l="1"/>
  <c r="N26" i="4"/>
  <c r="N28" i="4"/>
  <c r="N23" i="4"/>
  <c r="N15" i="4"/>
  <c r="N10" i="4"/>
  <c r="N11" i="4"/>
  <c r="N13" i="4"/>
  <c r="N12" i="4"/>
  <c r="N9" i="4"/>
  <c r="N14" i="4"/>
  <c r="N16" i="4"/>
  <c r="N8" i="4"/>
  <c r="AI24" i="3"/>
  <c r="AJ24" i="3"/>
  <c r="AK24" i="3"/>
  <c r="AM24" i="3" s="1"/>
  <c r="AL24" i="3"/>
  <c r="AL12" i="3"/>
  <c r="AK12" i="3"/>
  <c r="AJ12" i="3"/>
  <c r="AI12" i="3"/>
  <c r="AK13" i="3"/>
  <c r="AK6" i="3"/>
  <c r="AK7" i="3"/>
  <c r="AK8" i="3"/>
  <c r="AK9" i="3"/>
  <c r="AK10" i="3"/>
  <c r="AK11" i="3"/>
  <c r="AK5" i="3"/>
  <c r="AL25" i="3"/>
  <c r="AK25" i="3"/>
  <c r="AJ25" i="3"/>
  <c r="AI25" i="3"/>
  <c r="AL23" i="3"/>
  <c r="AK23" i="3"/>
  <c r="AJ23" i="3"/>
  <c r="AI23" i="3"/>
  <c r="AL22" i="3"/>
  <c r="AK22" i="3"/>
  <c r="AJ22" i="3"/>
  <c r="AI22" i="3"/>
  <c r="AL21" i="3"/>
  <c r="AK21" i="3"/>
  <c r="AJ21" i="3"/>
  <c r="AI21" i="3"/>
  <c r="AL20" i="3"/>
  <c r="AK20" i="3"/>
  <c r="AJ20" i="3"/>
  <c r="AI20" i="3"/>
  <c r="AL19" i="3"/>
  <c r="AK19" i="3"/>
  <c r="AJ19" i="3"/>
  <c r="AI19" i="3"/>
  <c r="A19" i="3"/>
  <c r="A20" i="3" s="1"/>
  <c r="A21" i="3" s="1"/>
  <c r="A22" i="3" s="1"/>
  <c r="A23" i="3" s="1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AM12" i="3" l="1"/>
  <c r="AM21" i="3"/>
  <c r="AM25" i="3"/>
  <c r="AM23" i="3"/>
  <c r="AM22" i="3"/>
  <c r="AM20" i="3"/>
  <c r="AM19" i="3"/>
  <c r="AL6" i="3"/>
  <c r="AL7" i="3"/>
  <c r="AL8" i="3"/>
  <c r="AL9" i="3"/>
  <c r="AL10" i="3"/>
  <c r="AL11" i="3"/>
  <c r="AL13" i="3"/>
  <c r="AL5" i="3"/>
  <c r="AJ6" i="3"/>
  <c r="AJ7" i="3"/>
  <c r="AJ8" i="3"/>
  <c r="AJ9" i="3"/>
  <c r="AJ10" i="3"/>
  <c r="AJ11" i="3"/>
  <c r="AJ13" i="3"/>
  <c r="AJ5" i="3"/>
  <c r="AI6" i="3"/>
  <c r="AI7" i="3"/>
  <c r="AI8" i="3"/>
  <c r="AI9" i="3"/>
  <c r="AI10" i="3"/>
  <c r="AI11" i="3"/>
  <c r="AI13" i="3"/>
  <c r="AI5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5" i="3"/>
  <c r="A6" i="3" s="1"/>
  <c r="A7" i="3" s="1"/>
  <c r="A8" i="3" s="1"/>
  <c r="A9" i="3" s="1"/>
  <c r="A10" i="3" s="1"/>
  <c r="A11" i="3" s="1"/>
  <c r="AM13" i="3" l="1"/>
  <c r="AM6" i="3"/>
  <c r="AM10" i="3"/>
  <c r="AM11" i="3"/>
  <c r="AM7" i="3"/>
  <c r="AM5" i="3"/>
  <c r="AM8" i="3"/>
  <c r="AM9" i="3"/>
</calcChain>
</file>

<file path=xl/sharedStrings.xml><?xml version="1.0" encoding="utf-8"?>
<sst xmlns="http://schemas.openxmlformats.org/spreadsheetml/2006/main" count="614" uniqueCount="101">
  <si>
    <t>Employee Attendance Sheet</t>
  </si>
  <si>
    <t>Result</t>
  </si>
  <si>
    <t>S No</t>
  </si>
  <si>
    <t>Name of Employee</t>
  </si>
  <si>
    <t>Designation</t>
  </si>
  <si>
    <t>P.DAYS</t>
  </si>
  <si>
    <t>P</t>
  </si>
  <si>
    <t>Developer</t>
  </si>
  <si>
    <t>A</t>
  </si>
  <si>
    <t>NET SALARY</t>
  </si>
  <si>
    <t>Miss Saika</t>
  </si>
  <si>
    <t>Teacher</t>
  </si>
  <si>
    <t>Miss Shahzana</t>
  </si>
  <si>
    <t>Miss Tooba</t>
  </si>
  <si>
    <t>Miss Parwish Fatima</t>
  </si>
  <si>
    <t>Miss Shahdab Kanwal</t>
  </si>
  <si>
    <t>Miss Saba</t>
  </si>
  <si>
    <t>Miss Shaila Bhatti</t>
  </si>
  <si>
    <t>Sir Fayyaz Muhammad</t>
  </si>
  <si>
    <t>L</t>
  </si>
  <si>
    <t>Syeda Samiya</t>
  </si>
  <si>
    <t>Co-Ordinator</t>
  </si>
  <si>
    <t>Naeem Ahmed</t>
  </si>
  <si>
    <t>Guard</t>
  </si>
  <si>
    <t>Ijaz Ahmed</t>
  </si>
  <si>
    <t>Gardner</t>
  </si>
  <si>
    <t>Kazu</t>
  </si>
  <si>
    <t>Maid</t>
  </si>
  <si>
    <t>Tahira Bibi</t>
  </si>
  <si>
    <t>Rimsha Bibi</t>
  </si>
  <si>
    <t>Cleaner</t>
  </si>
  <si>
    <t>Name</t>
  </si>
  <si>
    <t>Father Name</t>
  </si>
  <si>
    <t>Program</t>
  </si>
  <si>
    <t>Date of Joining</t>
  </si>
  <si>
    <t>Current Salary</t>
  </si>
  <si>
    <t>CNIC NO</t>
  </si>
  <si>
    <t>Account No</t>
  </si>
  <si>
    <t>Attandance</t>
  </si>
  <si>
    <t>Total Days</t>
  </si>
  <si>
    <t>P. Days</t>
  </si>
  <si>
    <t>A. Days</t>
  </si>
  <si>
    <t>Leave</t>
  </si>
  <si>
    <t>Saika</t>
  </si>
  <si>
    <t>Shehzana</t>
  </si>
  <si>
    <t>Tooba</t>
  </si>
  <si>
    <t>Shahdab Kanwal</t>
  </si>
  <si>
    <t>Saba</t>
  </si>
  <si>
    <t>Shaila Bhatti</t>
  </si>
  <si>
    <t>Fayyaz Muhammad</t>
  </si>
  <si>
    <t>Sikandar Jamali</t>
  </si>
  <si>
    <t>Jamil Ur Rehman</t>
  </si>
  <si>
    <t>Mir Muhammad</t>
  </si>
  <si>
    <t>Ali Asghar</t>
  </si>
  <si>
    <t>Amir Abbas Dasti</t>
  </si>
  <si>
    <t>Deen Muhammad</t>
  </si>
  <si>
    <t>Shahmeer Khan</t>
  </si>
  <si>
    <t>Fida Muhammad</t>
  </si>
  <si>
    <t>IT Teacher</t>
  </si>
  <si>
    <t>EMO</t>
  </si>
  <si>
    <t>42501-7160658-6</t>
  </si>
  <si>
    <t>42301-0658911-0</t>
  </si>
  <si>
    <t>42501-8210999-2</t>
  </si>
  <si>
    <t>Parwish Fatima</t>
  </si>
  <si>
    <t>42201-7487104-2</t>
  </si>
  <si>
    <t>43203-9105637-2</t>
  </si>
  <si>
    <t>42201-9679408-6</t>
  </si>
  <si>
    <t>42501-951762207</t>
  </si>
  <si>
    <t>42501-1527894-9</t>
  </si>
  <si>
    <t>0003936568281601</t>
  </si>
  <si>
    <t>0003936570321601</t>
  </si>
  <si>
    <t>0003636572792701</t>
  </si>
  <si>
    <t>0003938883651001</t>
  </si>
  <si>
    <t>0003939502581601</t>
  </si>
  <si>
    <t>0003935968441600</t>
  </si>
  <si>
    <t>N/A</t>
  </si>
  <si>
    <t>01230104183142</t>
  </si>
  <si>
    <t>Conveyance Allowance</t>
  </si>
  <si>
    <t>Syed Nayab Naqvi</t>
  </si>
  <si>
    <t>Sahab Dino</t>
  </si>
  <si>
    <t>Muhammad Ali</t>
  </si>
  <si>
    <t>Yousuf Panwar</t>
  </si>
  <si>
    <t>Abdul Majeed</t>
  </si>
  <si>
    <t>41304 8178382 2</t>
  </si>
  <si>
    <t>45203-9721947-3</t>
  </si>
  <si>
    <t>42501-5817372-7</t>
  </si>
  <si>
    <t>41408 8263862 8</t>
  </si>
  <si>
    <t>31201 6578084 1</t>
  </si>
  <si>
    <t>31201 2460819 2</t>
  </si>
  <si>
    <t>Teaching Staff</t>
  </si>
  <si>
    <t>Non-Teaching Staff</t>
  </si>
  <si>
    <t>Hussan Bano</t>
  </si>
  <si>
    <t>Muhammad Mashooq</t>
  </si>
  <si>
    <t>42301-5768818-8</t>
  </si>
  <si>
    <t>-</t>
  </si>
  <si>
    <t>SUN</t>
  </si>
  <si>
    <t>Haleema</t>
  </si>
  <si>
    <t>Abdul Sattar</t>
  </si>
  <si>
    <t>41105-4725771-0</t>
  </si>
  <si>
    <t xml:space="preserve">Government High School Sindhi Jamaat Cooperative Housing Society, Bin Qasim Town Karachi </t>
  </si>
  <si>
    <t>Salary Sheet for the Month October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</si>
</sst>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dd"/>
    <numFmt numFmtId="165" formatCode="[$-409]d\-mmm\-yyyy;@"/>
    <numFmt numFmtId="166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b/>
      <sz val="18"/>
      <color theme="1"/>
      <name val="Arial"/>
      <family val="2"/>
    </font>
    <font>
      <b/>
      <sz val="16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9CCE4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81">
    <xf numFmtId="0" fontId="0" fillId="0" borderId="0" xfId="0"/>
    <xf numFmtId="0" fontId="2" fillId="3" borderId="5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8" xfId="0" applyFill="1" applyBorder="1" applyAlignment="1">
      <alignment horizontal="center"/>
    </xf>
    <xf numFmtId="0" fontId="0" fillId="3" borderId="3" xfId="0" applyFill="1" applyBorder="1" applyAlignment="1">
      <alignment textRotation="90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/>
    <xf numFmtId="0" fontId="0" fillId="3" borderId="8" xfId="0" applyFill="1" applyBorder="1"/>
    <xf numFmtId="0" fontId="0" fillId="3" borderId="6" xfId="0" applyFill="1" applyBorder="1"/>
    <xf numFmtId="0" fontId="0" fillId="3" borderId="9" xfId="0" applyFill="1" applyBorder="1"/>
    <xf numFmtId="0" fontId="6" fillId="0" borderId="1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49" fontId="8" fillId="8" borderId="1" xfId="0" applyNumberFormat="1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7" fillId="8" borderId="8" xfId="0" applyFont="1" applyFill="1" applyBorder="1" applyAlignment="1">
      <alignment horizontal="center" vertical="center"/>
    </xf>
    <xf numFmtId="49" fontId="8" fillId="8" borderId="8" xfId="0" applyNumberFormat="1" applyFont="1" applyFill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166" fontId="6" fillId="0" borderId="1" xfId="1" applyNumberFormat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65" fontId="6" fillId="0" borderId="8" xfId="0" applyNumberFormat="1" applyFont="1" applyBorder="1" applyAlignment="1">
      <alignment horizontal="center" vertical="center"/>
    </xf>
    <xf numFmtId="166" fontId="6" fillId="0" borderId="8" xfId="1" applyNumberFormat="1" applyFont="1" applyBorder="1" applyAlignment="1">
      <alignment horizontal="center" vertical="center"/>
    </xf>
    <xf numFmtId="0" fontId="6" fillId="0" borderId="8" xfId="0" applyFont="1" applyBorder="1"/>
    <xf numFmtId="43" fontId="6" fillId="0" borderId="12" xfId="0" applyNumberFormat="1" applyFont="1" applyBorder="1"/>
    <xf numFmtId="0" fontId="0" fillId="3" borderId="18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0" xfId="0" applyFill="1" applyBorder="1"/>
    <xf numFmtId="0" fontId="0" fillId="3" borderId="17" xfId="0" applyFill="1" applyBorder="1"/>
    <xf numFmtId="0" fontId="2" fillId="3" borderId="1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49" fontId="8" fillId="8" borderId="3" xfId="0" applyNumberFormat="1" applyFont="1" applyFill="1" applyBorder="1" applyAlignment="1">
      <alignment horizontal="center" vertical="center"/>
    </xf>
    <xf numFmtId="166" fontId="6" fillId="0" borderId="3" xfId="1" applyNumberFormat="1" applyFont="1" applyBorder="1" applyAlignment="1">
      <alignment horizontal="center" vertical="center"/>
    </xf>
    <xf numFmtId="43" fontId="6" fillId="0" borderId="4" xfId="0" applyNumberFormat="1" applyFont="1" applyBorder="1"/>
    <xf numFmtId="43" fontId="6" fillId="0" borderId="19" xfId="0" applyNumberFormat="1" applyFont="1" applyBorder="1"/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9" fillId="3" borderId="14" xfId="0" applyFont="1" applyFill="1" applyBorder="1" applyAlignment="1">
      <alignment horizontal="center"/>
    </xf>
    <xf numFmtId="0" fontId="9" fillId="3" borderId="15" xfId="0" applyFont="1" applyFill="1" applyBorder="1" applyAlignment="1">
      <alignment horizontal="center"/>
    </xf>
    <xf numFmtId="0" fontId="9" fillId="3" borderId="16" xfId="0" applyFont="1" applyFill="1" applyBorder="1" applyAlignment="1">
      <alignment horizontal="center"/>
    </xf>
    <xf numFmtId="0" fontId="5" fillId="7" borderId="4" xfId="0" applyFont="1" applyFill="1" applyBorder="1" applyAlignment="1">
      <alignment horizontal="center" vertical="center" wrapText="1"/>
    </xf>
    <xf numFmtId="0" fontId="5" fillId="7" borderId="6" xfId="0" applyFont="1" applyFill="1" applyBorder="1" applyAlignment="1">
      <alignment horizontal="center" vertical="center" wrapText="1"/>
    </xf>
    <xf numFmtId="0" fontId="5" fillId="7" borderId="9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5" borderId="8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wrapText="1"/>
    </xf>
    <xf numFmtId="0" fontId="5" fillId="6" borderId="8" xfId="0" applyFont="1" applyFill="1" applyBorder="1" applyAlignment="1">
      <alignment horizontal="center" wrapText="1"/>
    </xf>
    <xf numFmtId="43" fontId="6" fillId="0" borderId="6" xfId="0" applyNumberFormat="1" applyFont="1" applyBorder="1"/>
    <xf numFmtId="43" fontId="6" fillId="0" borderId="9" xfId="0" applyNumberFormat="1" applyFont="1" applyBorder="1"/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9" borderId="7" xfId="0" applyFont="1" applyFill="1" applyBorder="1" applyAlignment="1">
      <alignment horizontal="center" vertical="center"/>
    </xf>
    <xf numFmtId="0" fontId="10" fillId="9" borderId="8" xfId="0" applyFont="1" applyFill="1" applyBorder="1" applyAlignment="1">
      <alignment horizontal="center" vertical="center"/>
    </xf>
    <xf numFmtId="0" fontId="10" fillId="9" borderId="9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9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M25"/>
  <sheetViews>
    <sheetView topLeftCell="A10" workbookViewId="0">
      <selection activeCell="AM24" sqref="AM24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12.7109375" bestFit="1" customWidth="1"/>
    <col min="4" max="4" width="3" bestFit="1" customWidth="1"/>
    <col min="5" max="34" width="3.7109375" bestFit="1" customWidth="1"/>
    <col min="35" max="38" width="5.7109375" customWidth="1"/>
    <col min="39" max="39" width="7.42578125" bestFit="1" customWidth="1"/>
  </cols>
  <sheetData>
    <row r="2" spans="1:39" ht="15.75" thickBot="1" x14ac:dyDescent="0.3"/>
    <row r="3" spans="1:39" ht="27" x14ac:dyDescent="0.25">
      <c r="A3" s="44" t="s">
        <v>0</v>
      </c>
      <c r="B3" s="45"/>
      <c r="C3" s="45"/>
      <c r="D3" s="8" t="str">
        <f>TEXT(D4,"ddd")</f>
        <v>Tue</v>
      </c>
      <c r="E3" s="8" t="str">
        <f t="shared" ref="E3:AH3" si="0">TEXT(E4,"ddd")</f>
        <v>Wed</v>
      </c>
      <c r="F3" s="8" t="str">
        <f t="shared" si="0"/>
        <v>Thu</v>
      </c>
      <c r="G3" s="8" t="str">
        <f t="shared" si="0"/>
        <v>Fri</v>
      </c>
      <c r="H3" s="8" t="str">
        <f t="shared" si="0"/>
        <v>Sat</v>
      </c>
      <c r="I3" s="8" t="str">
        <f t="shared" si="0"/>
        <v>Sun</v>
      </c>
      <c r="J3" s="8" t="str">
        <f t="shared" si="0"/>
        <v>Mon</v>
      </c>
      <c r="K3" s="8" t="str">
        <f t="shared" si="0"/>
        <v>Tue</v>
      </c>
      <c r="L3" s="8" t="str">
        <f t="shared" si="0"/>
        <v>Wed</v>
      </c>
      <c r="M3" s="8" t="str">
        <f t="shared" si="0"/>
        <v>Thu</v>
      </c>
      <c r="N3" s="8" t="str">
        <f t="shared" si="0"/>
        <v>Fri</v>
      </c>
      <c r="O3" s="8" t="str">
        <f t="shared" si="0"/>
        <v>Sat</v>
      </c>
      <c r="P3" s="8" t="str">
        <f t="shared" si="0"/>
        <v>Sun</v>
      </c>
      <c r="Q3" s="8" t="str">
        <f t="shared" si="0"/>
        <v>Mon</v>
      </c>
      <c r="R3" s="8" t="str">
        <f t="shared" si="0"/>
        <v>Tue</v>
      </c>
      <c r="S3" s="8" t="str">
        <f t="shared" si="0"/>
        <v>Wed</v>
      </c>
      <c r="T3" s="8" t="str">
        <f t="shared" si="0"/>
        <v>Thu</v>
      </c>
      <c r="U3" s="8" t="str">
        <f t="shared" si="0"/>
        <v>Fri</v>
      </c>
      <c r="V3" s="8" t="str">
        <f t="shared" si="0"/>
        <v>Sat</v>
      </c>
      <c r="W3" s="8" t="str">
        <f t="shared" si="0"/>
        <v>Sun</v>
      </c>
      <c r="X3" s="8" t="str">
        <f t="shared" si="0"/>
        <v>Mon</v>
      </c>
      <c r="Y3" s="8" t="str">
        <f t="shared" si="0"/>
        <v>Tue</v>
      </c>
      <c r="Z3" s="8" t="str">
        <f t="shared" si="0"/>
        <v>Wed</v>
      </c>
      <c r="AA3" s="8" t="str">
        <f t="shared" si="0"/>
        <v>Thu</v>
      </c>
      <c r="AB3" s="8" t="str">
        <f t="shared" si="0"/>
        <v>Fri</v>
      </c>
      <c r="AC3" s="8" t="str">
        <f t="shared" si="0"/>
        <v>Sat</v>
      </c>
      <c r="AD3" s="8" t="str">
        <f t="shared" si="0"/>
        <v>Sun</v>
      </c>
      <c r="AE3" s="8" t="str">
        <f t="shared" si="0"/>
        <v>Mon</v>
      </c>
      <c r="AF3" s="8" t="str">
        <f t="shared" si="0"/>
        <v>Tue</v>
      </c>
      <c r="AG3" s="8" t="str">
        <f t="shared" si="0"/>
        <v>Wed</v>
      </c>
      <c r="AH3" s="8" t="str">
        <f t="shared" si="0"/>
        <v>Thu</v>
      </c>
      <c r="AI3" s="46" t="s">
        <v>1</v>
      </c>
      <c r="AJ3" s="46"/>
      <c r="AK3" s="46"/>
      <c r="AL3" s="46"/>
      <c r="AM3" s="47"/>
    </row>
    <row r="4" spans="1:39" x14ac:dyDescent="0.25">
      <c r="A4" s="1" t="s">
        <v>2</v>
      </c>
      <c r="B4" s="2" t="s">
        <v>3</v>
      </c>
      <c r="C4" s="2" t="s">
        <v>4</v>
      </c>
      <c r="D4" s="9">
        <v>45566</v>
      </c>
      <c r="E4" s="9">
        <v>45567</v>
      </c>
      <c r="F4" s="9">
        <v>45568</v>
      </c>
      <c r="G4" s="9">
        <v>45569</v>
      </c>
      <c r="H4" s="9">
        <v>45570</v>
      </c>
      <c r="I4" s="9">
        <v>45571</v>
      </c>
      <c r="J4" s="9">
        <v>45572</v>
      </c>
      <c r="K4" s="9">
        <v>45573</v>
      </c>
      <c r="L4" s="9">
        <v>45574</v>
      </c>
      <c r="M4" s="9">
        <v>45575</v>
      </c>
      <c r="N4" s="9">
        <v>45576</v>
      </c>
      <c r="O4" s="9">
        <v>45577</v>
      </c>
      <c r="P4" s="9">
        <v>45578</v>
      </c>
      <c r="Q4" s="9">
        <v>45579</v>
      </c>
      <c r="R4" s="9">
        <v>45580</v>
      </c>
      <c r="S4" s="9">
        <v>45581</v>
      </c>
      <c r="T4" s="9">
        <v>45582</v>
      </c>
      <c r="U4" s="9">
        <v>45583</v>
      </c>
      <c r="V4" s="9">
        <v>45584</v>
      </c>
      <c r="W4" s="9">
        <v>45585</v>
      </c>
      <c r="X4" s="9">
        <v>45586</v>
      </c>
      <c r="Y4" s="9">
        <v>45587</v>
      </c>
      <c r="Z4" s="9">
        <v>45588</v>
      </c>
      <c r="AA4" s="9">
        <v>45589</v>
      </c>
      <c r="AB4" s="9">
        <v>45590</v>
      </c>
      <c r="AC4" s="9">
        <v>45591</v>
      </c>
      <c r="AD4" s="9">
        <v>45592</v>
      </c>
      <c r="AE4" s="9">
        <v>45593</v>
      </c>
      <c r="AF4" s="9">
        <v>45594</v>
      </c>
      <c r="AG4" s="9">
        <v>45595</v>
      </c>
      <c r="AH4" s="9">
        <v>45596</v>
      </c>
      <c r="AI4" s="34" t="s">
        <v>6</v>
      </c>
      <c r="AJ4" s="34" t="s">
        <v>8</v>
      </c>
      <c r="AK4" s="34" t="s">
        <v>19</v>
      </c>
      <c r="AL4" s="34" t="s">
        <v>95</v>
      </c>
      <c r="AM4" s="35" t="s">
        <v>5</v>
      </c>
    </row>
    <row r="5" spans="1:39" x14ac:dyDescent="0.25">
      <c r="A5" s="3">
        <f>IF(B5="","",1)</f>
        <v>1</v>
      </c>
      <c r="B5" s="4" t="s">
        <v>10</v>
      </c>
      <c r="C5" s="4" t="s">
        <v>11</v>
      </c>
      <c r="D5" s="10" t="s">
        <v>6</v>
      </c>
      <c r="E5" s="10" t="s">
        <v>6</v>
      </c>
      <c r="F5" s="10" t="s">
        <v>6</v>
      </c>
      <c r="G5" s="10" t="s">
        <v>6</v>
      </c>
      <c r="H5" s="10" t="s">
        <v>6</v>
      </c>
      <c r="I5" s="10"/>
      <c r="J5" s="10" t="s">
        <v>6</v>
      </c>
      <c r="K5" s="10" t="s">
        <v>6</v>
      </c>
      <c r="L5" s="10" t="s">
        <v>6</v>
      </c>
      <c r="M5" s="10" t="s">
        <v>6</v>
      </c>
      <c r="N5" s="10" t="s">
        <v>6</v>
      </c>
      <c r="O5" s="10" t="s">
        <v>6</v>
      </c>
      <c r="P5" s="10"/>
      <c r="Q5" s="10" t="s">
        <v>6</v>
      </c>
      <c r="R5" s="10" t="s">
        <v>6</v>
      </c>
      <c r="S5" s="10" t="s">
        <v>6</v>
      </c>
      <c r="T5" s="10" t="s">
        <v>6</v>
      </c>
      <c r="U5" s="10" t="s">
        <v>6</v>
      </c>
      <c r="V5" s="10" t="s">
        <v>6</v>
      </c>
      <c r="W5" s="10"/>
      <c r="X5" s="10" t="s">
        <v>6</v>
      </c>
      <c r="Y5" s="10" t="s">
        <v>6</v>
      </c>
      <c r="Z5" s="10" t="s">
        <v>6</v>
      </c>
      <c r="AA5" s="10" t="s">
        <v>6</v>
      </c>
      <c r="AB5" s="10" t="s">
        <v>6</v>
      </c>
      <c r="AC5" s="10" t="s">
        <v>6</v>
      </c>
      <c r="AD5" s="10"/>
      <c r="AE5" s="10" t="s">
        <v>6</v>
      </c>
      <c r="AF5" s="10" t="s">
        <v>6</v>
      </c>
      <c r="AG5" s="10" t="s">
        <v>6</v>
      </c>
      <c r="AH5" s="10" t="s">
        <v>6</v>
      </c>
      <c r="AI5" s="10">
        <f>COUNTIF(D5:AH5,"P")</f>
        <v>27</v>
      </c>
      <c r="AJ5" s="10">
        <f>COUNTIF(D5:AH5,"A")</f>
        <v>0</v>
      </c>
      <c r="AK5" s="10">
        <f>COUNTIF(D5:AH5,"L")</f>
        <v>0</v>
      </c>
      <c r="AL5" s="10">
        <f>COUNTBLANK(D5:AH5)</f>
        <v>4</v>
      </c>
      <c r="AM5" s="12">
        <f>AI5+AK5+AL5</f>
        <v>31</v>
      </c>
    </row>
    <row r="6" spans="1:39" x14ac:dyDescent="0.25">
      <c r="A6" s="3">
        <f>IF(B6="","",A5+1)</f>
        <v>2</v>
      </c>
      <c r="B6" s="4" t="s">
        <v>12</v>
      </c>
      <c r="C6" s="4" t="s">
        <v>11</v>
      </c>
      <c r="D6" s="10" t="s">
        <v>6</v>
      </c>
      <c r="E6" s="10" t="s">
        <v>6</v>
      </c>
      <c r="F6" s="10" t="s">
        <v>6</v>
      </c>
      <c r="G6" s="10" t="s">
        <v>6</v>
      </c>
      <c r="H6" s="10" t="s">
        <v>6</v>
      </c>
      <c r="I6" s="10"/>
      <c r="J6" s="10" t="s">
        <v>6</v>
      </c>
      <c r="K6" s="10" t="s">
        <v>6</v>
      </c>
      <c r="L6" s="10" t="s">
        <v>6</v>
      </c>
      <c r="M6" s="10" t="s">
        <v>6</v>
      </c>
      <c r="N6" s="10" t="s">
        <v>6</v>
      </c>
      <c r="O6" s="10" t="s">
        <v>6</v>
      </c>
      <c r="P6" s="10"/>
      <c r="Q6" s="10" t="s">
        <v>6</v>
      </c>
      <c r="R6" s="10" t="s">
        <v>6</v>
      </c>
      <c r="S6" s="10" t="s">
        <v>6</v>
      </c>
      <c r="T6" s="10" t="s">
        <v>6</v>
      </c>
      <c r="U6" s="10" t="s">
        <v>6</v>
      </c>
      <c r="V6" s="10" t="s">
        <v>6</v>
      </c>
      <c r="W6" s="10"/>
      <c r="X6" s="10" t="s">
        <v>6</v>
      </c>
      <c r="Y6" s="10" t="s">
        <v>6</v>
      </c>
      <c r="Z6" s="10" t="s">
        <v>6</v>
      </c>
      <c r="AA6" s="10" t="s">
        <v>6</v>
      </c>
      <c r="AB6" s="10" t="s">
        <v>6</v>
      </c>
      <c r="AC6" s="10" t="s">
        <v>6</v>
      </c>
      <c r="AD6" s="10"/>
      <c r="AE6" s="10" t="s">
        <v>6</v>
      </c>
      <c r="AF6" s="10" t="s">
        <v>6</v>
      </c>
      <c r="AG6" s="10" t="s">
        <v>6</v>
      </c>
      <c r="AH6" s="10" t="s">
        <v>6</v>
      </c>
      <c r="AI6" s="10">
        <f t="shared" ref="AI6:AI13" si="1">COUNTIF(D6:AH6,"P")</f>
        <v>27</v>
      </c>
      <c r="AJ6" s="10">
        <f t="shared" ref="AJ6:AJ13" si="2">COUNTIF(D6:AH6,"A")</f>
        <v>0</v>
      </c>
      <c r="AK6" s="10">
        <f t="shared" ref="AK6:AK12" si="3">COUNTIF(D6:AH6,"L")</f>
        <v>0</v>
      </c>
      <c r="AL6" s="10">
        <f t="shared" ref="AL6:AL13" si="4">COUNTBLANK(D6:AH6)</f>
        <v>4</v>
      </c>
      <c r="AM6" s="12">
        <f t="shared" ref="AM6:AM13" si="5">AI6+AK6+AL6</f>
        <v>31</v>
      </c>
    </row>
    <row r="7" spans="1:39" x14ac:dyDescent="0.25">
      <c r="A7" s="3">
        <f t="shared" ref="A7:A11" si="6">IF(B7="","",A6+1)</f>
        <v>3</v>
      </c>
      <c r="B7" s="4" t="s">
        <v>13</v>
      </c>
      <c r="C7" s="4" t="s">
        <v>11</v>
      </c>
      <c r="D7" s="10" t="s">
        <v>6</v>
      </c>
      <c r="E7" s="10" t="s">
        <v>6</v>
      </c>
      <c r="F7" s="10" t="s">
        <v>6</v>
      </c>
      <c r="G7" s="10" t="s">
        <v>6</v>
      </c>
      <c r="H7" s="10" t="s">
        <v>6</v>
      </c>
      <c r="I7" s="10"/>
      <c r="J7" s="10" t="s">
        <v>6</v>
      </c>
      <c r="K7" s="10" t="s">
        <v>6</v>
      </c>
      <c r="L7" s="10" t="s">
        <v>6</v>
      </c>
      <c r="M7" s="10" t="s">
        <v>6</v>
      </c>
      <c r="N7" s="10" t="s">
        <v>6</v>
      </c>
      <c r="O7" s="10" t="s">
        <v>6</v>
      </c>
      <c r="P7" s="10"/>
      <c r="Q7" s="10" t="s">
        <v>6</v>
      </c>
      <c r="R7" s="10" t="s">
        <v>6</v>
      </c>
      <c r="S7" s="10" t="s">
        <v>6</v>
      </c>
      <c r="T7" s="10" t="s">
        <v>6</v>
      </c>
      <c r="U7" s="10" t="s">
        <v>6</v>
      </c>
      <c r="V7" s="10" t="s">
        <v>6</v>
      </c>
      <c r="W7" s="10"/>
      <c r="X7" s="10" t="s">
        <v>6</v>
      </c>
      <c r="Y7" s="10" t="s">
        <v>6</v>
      </c>
      <c r="Z7" s="10" t="s">
        <v>6</v>
      </c>
      <c r="AA7" s="10" t="s">
        <v>19</v>
      </c>
      <c r="AB7" s="10" t="s">
        <v>8</v>
      </c>
      <c r="AC7" s="10" t="s">
        <v>8</v>
      </c>
      <c r="AD7" s="10"/>
      <c r="AE7" s="10" t="s">
        <v>8</v>
      </c>
      <c r="AF7" s="10" t="s">
        <v>8</v>
      </c>
      <c r="AG7" s="10" t="s">
        <v>8</v>
      </c>
      <c r="AH7" s="10" t="s">
        <v>8</v>
      </c>
      <c r="AI7" s="10">
        <f t="shared" si="1"/>
        <v>20</v>
      </c>
      <c r="AJ7" s="10">
        <f t="shared" si="2"/>
        <v>6</v>
      </c>
      <c r="AK7" s="10">
        <f t="shared" si="3"/>
        <v>1</v>
      </c>
      <c r="AL7" s="10">
        <f t="shared" si="4"/>
        <v>4</v>
      </c>
      <c r="AM7" s="12">
        <f t="shared" si="5"/>
        <v>25</v>
      </c>
    </row>
    <row r="8" spans="1:39" x14ac:dyDescent="0.25">
      <c r="A8" s="3">
        <f t="shared" si="6"/>
        <v>4</v>
      </c>
      <c r="B8" s="4" t="s">
        <v>14</v>
      </c>
      <c r="C8" s="4" t="s">
        <v>11</v>
      </c>
      <c r="D8" s="10" t="s">
        <v>6</v>
      </c>
      <c r="E8" s="10" t="s">
        <v>6</v>
      </c>
      <c r="F8" s="10" t="s">
        <v>6</v>
      </c>
      <c r="G8" s="10" t="s">
        <v>6</v>
      </c>
      <c r="H8" s="10" t="s">
        <v>6</v>
      </c>
      <c r="I8" s="10"/>
      <c r="J8" s="10" t="s">
        <v>6</v>
      </c>
      <c r="K8" s="10" t="s">
        <v>6</v>
      </c>
      <c r="L8" s="10" t="s">
        <v>6</v>
      </c>
      <c r="M8" s="10" t="s">
        <v>6</v>
      </c>
      <c r="N8" s="10" t="s">
        <v>6</v>
      </c>
      <c r="O8" s="10" t="s">
        <v>6</v>
      </c>
      <c r="P8" s="10"/>
      <c r="Q8" s="10" t="s">
        <v>19</v>
      </c>
      <c r="R8" s="10" t="s">
        <v>8</v>
      </c>
      <c r="S8" s="10" t="s">
        <v>6</v>
      </c>
      <c r="T8" s="10" t="s">
        <v>6</v>
      </c>
      <c r="U8" s="10" t="s">
        <v>6</v>
      </c>
      <c r="V8" s="10" t="s">
        <v>6</v>
      </c>
      <c r="W8" s="10"/>
      <c r="X8" s="10" t="s">
        <v>6</v>
      </c>
      <c r="Y8" s="10" t="s">
        <v>6</v>
      </c>
      <c r="Z8" s="10" t="s">
        <v>6</v>
      </c>
      <c r="AA8" s="10" t="s">
        <v>6</v>
      </c>
      <c r="AB8" s="10" t="s">
        <v>6</v>
      </c>
      <c r="AC8" s="10" t="s">
        <v>6</v>
      </c>
      <c r="AD8" s="10"/>
      <c r="AE8" s="10" t="s">
        <v>6</v>
      </c>
      <c r="AF8" s="10" t="s">
        <v>6</v>
      </c>
      <c r="AG8" s="10" t="s">
        <v>6</v>
      </c>
      <c r="AH8" s="10" t="s">
        <v>6</v>
      </c>
      <c r="AI8" s="10">
        <f t="shared" si="1"/>
        <v>25</v>
      </c>
      <c r="AJ8" s="10">
        <f t="shared" si="2"/>
        <v>1</v>
      </c>
      <c r="AK8" s="10">
        <f t="shared" si="3"/>
        <v>1</v>
      </c>
      <c r="AL8" s="10">
        <f t="shared" si="4"/>
        <v>4</v>
      </c>
      <c r="AM8" s="12">
        <f t="shared" si="5"/>
        <v>30</v>
      </c>
    </row>
    <row r="9" spans="1:39" x14ac:dyDescent="0.25">
      <c r="A9" s="3">
        <f t="shared" si="6"/>
        <v>5</v>
      </c>
      <c r="B9" s="4" t="s">
        <v>15</v>
      </c>
      <c r="C9" s="4" t="s">
        <v>11</v>
      </c>
      <c r="D9" s="10" t="s">
        <v>6</v>
      </c>
      <c r="E9" s="10" t="s">
        <v>6</v>
      </c>
      <c r="F9" s="10" t="s">
        <v>6</v>
      </c>
      <c r="G9" s="10" t="s">
        <v>6</v>
      </c>
      <c r="H9" s="10" t="s">
        <v>6</v>
      </c>
      <c r="I9" s="10"/>
      <c r="J9" s="10" t="s">
        <v>6</v>
      </c>
      <c r="K9" s="10" t="s">
        <v>6</v>
      </c>
      <c r="L9" s="10" t="s">
        <v>19</v>
      </c>
      <c r="M9" s="10" t="s">
        <v>6</v>
      </c>
      <c r="N9" s="10" t="s">
        <v>6</v>
      </c>
      <c r="O9" s="10" t="s">
        <v>6</v>
      </c>
      <c r="P9" s="10"/>
      <c r="Q9" s="10" t="s">
        <v>6</v>
      </c>
      <c r="R9" s="10" t="s">
        <v>6</v>
      </c>
      <c r="S9" s="10" t="s">
        <v>6</v>
      </c>
      <c r="T9" s="10" t="s">
        <v>8</v>
      </c>
      <c r="U9" s="10" t="s">
        <v>6</v>
      </c>
      <c r="V9" s="10" t="s">
        <v>6</v>
      </c>
      <c r="W9" s="10"/>
      <c r="X9" s="10" t="s">
        <v>6</v>
      </c>
      <c r="Y9" s="10" t="s">
        <v>6</v>
      </c>
      <c r="Z9" s="10" t="s">
        <v>6</v>
      </c>
      <c r="AA9" s="10" t="s">
        <v>6</v>
      </c>
      <c r="AB9" s="10" t="s">
        <v>6</v>
      </c>
      <c r="AC9" s="10" t="s">
        <v>6</v>
      </c>
      <c r="AD9" s="10"/>
      <c r="AE9" s="10" t="s">
        <v>6</v>
      </c>
      <c r="AF9" s="10" t="s">
        <v>6</v>
      </c>
      <c r="AG9" s="10" t="s">
        <v>6</v>
      </c>
      <c r="AH9" s="10" t="s">
        <v>6</v>
      </c>
      <c r="AI9" s="10">
        <f t="shared" si="1"/>
        <v>25</v>
      </c>
      <c r="AJ9" s="10">
        <f t="shared" si="2"/>
        <v>1</v>
      </c>
      <c r="AK9" s="10">
        <f t="shared" si="3"/>
        <v>1</v>
      </c>
      <c r="AL9" s="10">
        <f t="shared" si="4"/>
        <v>4</v>
      </c>
      <c r="AM9" s="12">
        <f t="shared" si="5"/>
        <v>30</v>
      </c>
    </row>
    <row r="10" spans="1:39" x14ac:dyDescent="0.25">
      <c r="A10" s="3">
        <f t="shared" si="6"/>
        <v>6</v>
      </c>
      <c r="B10" s="4" t="s">
        <v>16</v>
      </c>
      <c r="C10" s="4" t="s">
        <v>11</v>
      </c>
      <c r="D10" s="10" t="s">
        <v>6</v>
      </c>
      <c r="E10" s="10" t="s">
        <v>6</v>
      </c>
      <c r="F10" s="10" t="s">
        <v>6</v>
      </c>
      <c r="G10" s="10" t="s">
        <v>6</v>
      </c>
      <c r="H10" s="10" t="s">
        <v>6</v>
      </c>
      <c r="I10" s="10"/>
      <c r="J10" s="10" t="s">
        <v>6</v>
      </c>
      <c r="K10" s="10" t="s">
        <v>6</v>
      </c>
      <c r="L10" s="10" t="s">
        <v>6</v>
      </c>
      <c r="M10" s="10" t="s">
        <v>6</v>
      </c>
      <c r="N10" s="10" t="s">
        <v>6</v>
      </c>
      <c r="O10" s="10" t="s">
        <v>6</v>
      </c>
      <c r="P10" s="10"/>
      <c r="Q10" s="10" t="s">
        <v>6</v>
      </c>
      <c r="R10" s="10" t="s">
        <v>6</v>
      </c>
      <c r="S10" s="10" t="s">
        <v>6</v>
      </c>
      <c r="T10" s="10" t="s">
        <v>6</v>
      </c>
      <c r="U10" s="10" t="s">
        <v>6</v>
      </c>
      <c r="V10" s="10" t="s">
        <v>6</v>
      </c>
      <c r="W10" s="10"/>
      <c r="X10" s="10" t="s">
        <v>6</v>
      </c>
      <c r="Y10" s="10" t="s">
        <v>6</v>
      </c>
      <c r="Z10" s="10" t="s">
        <v>6</v>
      </c>
      <c r="AA10" s="10" t="s">
        <v>6</v>
      </c>
      <c r="AB10" s="10" t="s">
        <v>6</v>
      </c>
      <c r="AC10" s="10" t="s">
        <v>6</v>
      </c>
      <c r="AD10" s="10"/>
      <c r="AE10" s="10" t="s">
        <v>6</v>
      </c>
      <c r="AF10" s="10" t="s">
        <v>6</v>
      </c>
      <c r="AG10" s="10" t="s">
        <v>6</v>
      </c>
      <c r="AH10" s="10" t="s">
        <v>6</v>
      </c>
      <c r="AI10" s="10">
        <f t="shared" si="1"/>
        <v>27</v>
      </c>
      <c r="AJ10" s="10">
        <f t="shared" si="2"/>
        <v>0</v>
      </c>
      <c r="AK10" s="10">
        <f t="shared" si="3"/>
        <v>0</v>
      </c>
      <c r="AL10" s="10">
        <f t="shared" si="4"/>
        <v>4</v>
      </c>
      <c r="AM10" s="12">
        <f t="shared" si="5"/>
        <v>31</v>
      </c>
    </row>
    <row r="11" spans="1:39" x14ac:dyDescent="0.25">
      <c r="A11" s="3">
        <f t="shared" si="6"/>
        <v>7</v>
      </c>
      <c r="B11" s="4" t="s">
        <v>17</v>
      </c>
      <c r="C11" s="4" t="s">
        <v>11</v>
      </c>
      <c r="D11" s="10" t="s">
        <v>6</v>
      </c>
      <c r="E11" s="10" t="s">
        <v>6</v>
      </c>
      <c r="F11" s="10" t="s">
        <v>6</v>
      </c>
      <c r="G11" s="10" t="s">
        <v>6</v>
      </c>
      <c r="H11" s="10" t="s">
        <v>6</v>
      </c>
      <c r="I11" s="10"/>
      <c r="J11" s="10" t="s">
        <v>6</v>
      </c>
      <c r="K11" s="10" t="s">
        <v>6</v>
      </c>
      <c r="L11" s="10" t="s">
        <v>6</v>
      </c>
      <c r="M11" s="10" t="s">
        <v>6</v>
      </c>
      <c r="N11" s="10" t="s">
        <v>6</v>
      </c>
      <c r="O11" s="10" t="s">
        <v>6</v>
      </c>
      <c r="P11" s="10"/>
      <c r="Q11" s="10" t="s">
        <v>6</v>
      </c>
      <c r="R11" s="10" t="s">
        <v>6</v>
      </c>
      <c r="S11" s="10" t="s">
        <v>6</v>
      </c>
      <c r="T11" s="10" t="s">
        <v>6</v>
      </c>
      <c r="U11" s="10" t="s">
        <v>6</v>
      </c>
      <c r="V11" s="10" t="s">
        <v>6</v>
      </c>
      <c r="W11" s="10"/>
      <c r="X11" s="10" t="s">
        <v>6</v>
      </c>
      <c r="Y11" s="10" t="s">
        <v>6</v>
      </c>
      <c r="Z11" s="10" t="s">
        <v>6</v>
      </c>
      <c r="AA11" s="10" t="s">
        <v>6</v>
      </c>
      <c r="AB11" s="10" t="s">
        <v>6</v>
      </c>
      <c r="AC11" s="10" t="s">
        <v>6</v>
      </c>
      <c r="AD11" s="10"/>
      <c r="AE11" s="10" t="s">
        <v>6</v>
      </c>
      <c r="AF11" s="10" t="s">
        <v>6</v>
      </c>
      <c r="AG11" s="10" t="s">
        <v>6</v>
      </c>
      <c r="AH11" s="10" t="s">
        <v>6</v>
      </c>
      <c r="AI11" s="10">
        <f t="shared" si="1"/>
        <v>27</v>
      </c>
      <c r="AJ11" s="10">
        <f t="shared" si="2"/>
        <v>0</v>
      </c>
      <c r="AK11" s="10">
        <f t="shared" si="3"/>
        <v>0</v>
      </c>
      <c r="AL11" s="10">
        <f t="shared" si="4"/>
        <v>4</v>
      </c>
      <c r="AM11" s="12">
        <f t="shared" si="5"/>
        <v>31</v>
      </c>
    </row>
    <row r="12" spans="1:39" x14ac:dyDescent="0.25">
      <c r="A12" s="30">
        <v>8</v>
      </c>
      <c r="B12" s="31" t="s">
        <v>91</v>
      </c>
      <c r="C12" s="4" t="s">
        <v>11</v>
      </c>
      <c r="D12" s="32" t="s">
        <v>8</v>
      </c>
      <c r="E12" s="32" t="s">
        <v>8</v>
      </c>
      <c r="F12" s="32" t="s">
        <v>8</v>
      </c>
      <c r="G12" s="32" t="s">
        <v>8</v>
      </c>
      <c r="H12" s="32" t="s">
        <v>8</v>
      </c>
      <c r="I12" s="32"/>
      <c r="J12" s="32" t="s">
        <v>8</v>
      </c>
      <c r="K12" s="32" t="s">
        <v>8</v>
      </c>
      <c r="L12" s="32" t="s">
        <v>8</v>
      </c>
      <c r="M12" s="32" t="s">
        <v>8</v>
      </c>
      <c r="N12" s="32" t="s">
        <v>8</v>
      </c>
      <c r="O12" s="32" t="s">
        <v>8</v>
      </c>
      <c r="P12" s="32"/>
      <c r="Q12" s="32" t="s">
        <v>8</v>
      </c>
      <c r="R12" s="32" t="s">
        <v>8</v>
      </c>
      <c r="S12" s="32" t="s">
        <v>8</v>
      </c>
      <c r="T12" s="32" t="s">
        <v>8</v>
      </c>
      <c r="U12" s="32" t="s">
        <v>8</v>
      </c>
      <c r="V12" s="32" t="s">
        <v>8</v>
      </c>
      <c r="W12" s="32"/>
      <c r="X12" s="32" t="s">
        <v>8</v>
      </c>
      <c r="Y12" s="32" t="s">
        <v>8</v>
      </c>
      <c r="Z12" s="32" t="s">
        <v>8</v>
      </c>
      <c r="AA12" s="32" t="s">
        <v>8</v>
      </c>
      <c r="AB12" s="32" t="s">
        <v>8</v>
      </c>
      <c r="AC12" s="32" t="s">
        <v>6</v>
      </c>
      <c r="AD12" s="32"/>
      <c r="AE12" s="32" t="s">
        <v>6</v>
      </c>
      <c r="AF12" s="32" t="s">
        <v>6</v>
      </c>
      <c r="AG12" s="32" t="s">
        <v>6</v>
      </c>
      <c r="AH12" s="32" t="s">
        <v>6</v>
      </c>
      <c r="AI12" s="10">
        <f t="shared" si="1"/>
        <v>5</v>
      </c>
      <c r="AJ12" s="10">
        <f t="shared" si="2"/>
        <v>22</v>
      </c>
      <c r="AK12" s="10">
        <f t="shared" si="3"/>
        <v>0</v>
      </c>
      <c r="AL12" s="10">
        <f t="shared" si="4"/>
        <v>4</v>
      </c>
      <c r="AM12" s="12">
        <f t="shared" si="5"/>
        <v>9</v>
      </c>
    </row>
    <row r="13" spans="1:39" ht="15.75" thickBot="1" x14ac:dyDescent="0.3">
      <c r="A13" s="5">
        <v>9</v>
      </c>
      <c r="B13" s="6" t="s">
        <v>18</v>
      </c>
      <c r="C13" s="7" t="s">
        <v>7</v>
      </c>
      <c r="D13" s="11" t="s">
        <v>6</v>
      </c>
      <c r="E13" s="11" t="s">
        <v>6</v>
      </c>
      <c r="F13" s="11" t="s">
        <v>6</v>
      </c>
      <c r="G13" s="11" t="s">
        <v>6</v>
      </c>
      <c r="H13" s="11" t="s">
        <v>6</v>
      </c>
      <c r="I13" s="11"/>
      <c r="J13" s="11" t="s">
        <v>6</v>
      </c>
      <c r="K13" s="11" t="s">
        <v>6</v>
      </c>
      <c r="L13" s="11" t="s">
        <v>6</v>
      </c>
      <c r="M13" s="11" t="s">
        <v>6</v>
      </c>
      <c r="N13" s="11" t="s">
        <v>6</v>
      </c>
      <c r="O13" s="11" t="s">
        <v>6</v>
      </c>
      <c r="P13" s="11"/>
      <c r="Q13" s="11" t="s">
        <v>6</v>
      </c>
      <c r="R13" s="11" t="s">
        <v>6</v>
      </c>
      <c r="S13" s="11" t="s">
        <v>6</v>
      </c>
      <c r="T13" s="11" t="s">
        <v>6</v>
      </c>
      <c r="U13" s="11" t="s">
        <v>6</v>
      </c>
      <c r="V13" s="11" t="s">
        <v>6</v>
      </c>
      <c r="W13" s="11"/>
      <c r="X13" s="11" t="s">
        <v>6</v>
      </c>
      <c r="Y13" s="11" t="s">
        <v>6</v>
      </c>
      <c r="Z13" s="11" t="s">
        <v>19</v>
      </c>
      <c r="AA13" s="11" t="s">
        <v>6</v>
      </c>
      <c r="AB13" s="11" t="s">
        <v>6</v>
      </c>
      <c r="AC13" s="11" t="s">
        <v>6</v>
      </c>
      <c r="AD13" s="11"/>
      <c r="AE13" s="11" t="s">
        <v>6</v>
      </c>
      <c r="AF13" s="11" t="s">
        <v>6</v>
      </c>
      <c r="AG13" s="11" t="s">
        <v>6</v>
      </c>
      <c r="AH13" s="11" t="s">
        <v>6</v>
      </c>
      <c r="AI13" s="11">
        <f t="shared" si="1"/>
        <v>26</v>
      </c>
      <c r="AJ13" s="11">
        <f t="shared" si="2"/>
        <v>0</v>
      </c>
      <c r="AK13" s="11">
        <f>COUNTIF(D13:AH13,"L")</f>
        <v>1</v>
      </c>
      <c r="AL13" s="11">
        <f t="shared" si="4"/>
        <v>4</v>
      </c>
      <c r="AM13" s="13">
        <f t="shared" si="5"/>
        <v>31</v>
      </c>
    </row>
    <row r="16" spans="1:39" ht="15.75" thickBot="1" x14ac:dyDescent="0.3"/>
    <row r="17" spans="1:39" ht="27" x14ac:dyDescent="0.25">
      <c r="A17" s="44" t="s">
        <v>0</v>
      </c>
      <c r="B17" s="45"/>
      <c r="C17" s="45"/>
      <c r="D17" s="8" t="str">
        <f>TEXT(D18,"ddd")</f>
        <v>Tue</v>
      </c>
      <c r="E17" s="8" t="str">
        <f t="shared" ref="E17:AH17" si="7">TEXT(E18,"ddd")</f>
        <v>Wed</v>
      </c>
      <c r="F17" s="8" t="str">
        <f t="shared" si="7"/>
        <v>Thu</v>
      </c>
      <c r="G17" s="8" t="str">
        <f t="shared" si="7"/>
        <v>Fri</v>
      </c>
      <c r="H17" s="8" t="str">
        <f t="shared" si="7"/>
        <v>Sat</v>
      </c>
      <c r="I17" s="8" t="str">
        <f t="shared" si="7"/>
        <v>Sun</v>
      </c>
      <c r="J17" s="8" t="str">
        <f t="shared" si="7"/>
        <v>Mon</v>
      </c>
      <c r="K17" s="8" t="str">
        <f t="shared" si="7"/>
        <v>Tue</v>
      </c>
      <c r="L17" s="8" t="str">
        <f t="shared" si="7"/>
        <v>Wed</v>
      </c>
      <c r="M17" s="8" t="str">
        <f t="shared" si="7"/>
        <v>Thu</v>
      </c>
      <c r="N17" s="8" t="str">
        <f t="shared" si="7"/>
        <v>Fri</v>
      </c>
      <c r="O17" s="8" t="str">
        <f t="shared" si="7"/>
        <v>Sat</v>
      </c>
      <c r="P17" s="8" t="str">
        <f t="shared" si="7"/>
        <v>Sun</v>
      </c>
      <c r="Q17" s="8" t="str">
        <f t="shared" si="7"/>
        <v>Mon</v>
      </c>
      <c r="R17" s="8" t="str">
        <f t="shared" si="7"/>
        <v>Tue</v>
      </c>
      <c r="S17" s="8" t="str">
        <f t="shared" si="7"/>
        <v>Wed</v>
      </c>
      <c r="T17" s="8" t="str">
        <f t="shared" si="7"/>
        <v>Thu</v>
      </c>
      <c r="U17" s="8" t="str">
        <f t="shared" si="7"/>
        <v>Fri</v>
      </c>
      <c r="V17" s="8" t="str">
        <f t="shared" si="7"/>
        <v>Sat</v>
      </c>
      <c r="W17" s="8" t="str">
        <f t="shared" si="7"/>
        <v>Sun</v>
      </c>
      <c r="X17" s="8" t="str">
        <f t="shared" si="7"/>
        <v>Mon</v>
      </c>
      <c r="Y17" s="8" t="str">
        <f t="shared" si="7"/>
        <v>Tue</v>
      </c>
      <c r="Z17" s="8" t="str">
        <f t="shared" si="7"/>
        <v>Wed</v>
      </c>
      <c r="AA17" s="8" t="str">
        <f t="shared" si="7"/>
        <v>Thu</v>
      </c>
      <c r="AB17" s="8" t="str">
        <f t="shared" si="7"/>
        <v>Fri</v>
      </c>
      <c r="AC17" s="8" t="str">
        <f t="shared" si="7"/>
        <v>Sat</v>
      </c>
      <c r="AD17" s="8" t="str">
        <f t="shared" si="7"/>
        <v>Sun</v>
      </c>
      <c r="AE17" s="8" t="str">
        <f t="shared" si="7"/>
        <v>Mon</v>
      </c>
      <c r="AF17" s="8" t="str">
        <f t="shared" si="7"/>
        <v>Tue</v>
      </c>
      <c r="AG17" s="8" t="str">
        <f t="shared" si="7"/>
        <v>Wed</v>
      </c>
      <c r="AH17" s="8" t="str">
        <f t="shared" si="7"/>
        <v>Thu</v>
      </c>
      <c r="AI17" s="46" t="s">
        <v>1</v>
      </c>
      <c r="AJ17" s="46"/>
      <c r="AK17" s="46"/>
      <c r="AL17" s="46"/>
      <c r="AM17" s="47"/>
    </row>
    <row r="18" spans="1:39" x14ac:dyDescent="0.25">
      <c r="A18" s="1" t="s">
        <v>2</v>
      </c>
      <c r="B18" s="2" t="s">
        <v>3</v>
      </c>
      <c r="C18" s="2" t="s">
        <v>4</v>
      </c>
      <c r="D18" s="9">
        <v>45566</v>
      </c>
      <c r="E18" s="9">
        <v>45567</v>
      </c>
      <c r="F18" s="9">
        <v>45568</v>
      </c>
      <c r="G18" s="9">
        <v>45569</v>
      </c>
      <c r="H18" s="9">
        <v>45570</v>
      </c>
      <c r="I18" s="9">
        <v>45571</v>
      </c>
      <c r="J18" s="9">
        <v>45572</v>
      </c>
      <c r="K18" s="9">
        <v>45573</v>
      </c>
      <c r="L18" s="9">
        <v>45574</v>
      </c>
      <c r="M18" s="9">
        <v>45575</v>
      </c>
      <c r="N18" s="9">
        <v>45576</v>
      </c>
      <c r="O18" s="9">
        <v>45577</v>
      </c>
      <c r="P18" s="9">
        <v>45578</v>
      </c>
      <c r="Q18" s="9">
        <v>45579</v>
      </c>
      <c r="R18" s="9">
        <v>45580</v>
      </c>
      <c r="S18" s="9">
        <v>45581</v>
      </c>
      <c r="T18" s="9">
        <v>45582</v>
      </c>
      <c r="U18" s="9">
        <v>45583</v>
      </c>
      <c r="V18" s="9">
        <v>45584</v>
      </c>
      <c r="W18" s="9">
        <v>45585</v>
      </c>
      <c r="X18" s="9">
        <v>45586</v>
      </c>
      <c r="Y18" s="9">
        <v>45587</v>
      </c>
      <c r="Z18" s="9">
        <v>45588</v>
      </c>
      <c r="AA18" s="9">
        <v>45589</v>
      </c>
      <c r="AB18" s="9">
        <v>45590</v>
      </c>
      <c r="AC18" s="9">
        <v>45591</v>
      </c>
      <c r="AD18" s="9">
        <v>45592</v>
      </c>
      <c r="AE18" s="9">
        <v>45593</v>
      </c>
      <c r="AF18" s="9">
        <v>45594</v>
      </c>
      <c r="AG18" s="9">
        <v>45595</v>
      </c>
      <c r="AH18" s="9">
        <v>45596</v>
      </c>
      <c r="AI18" s="34" t="s">
        <v>6</v>
      </c>
      <c r="AJ18" s="34" t="s">
        <v>8</v>
      </c>
      <c r="AK18" s="34" t="s">
        <v>19</v>
      </c>
      <c r="AL18" s="34" t="s">
        <v>95</v>
      </c>
      <c r="AM18" s="35" t="s">
        <v>5</v>
      </c>
    </row>
    <row r="19" spans="1:39" x14ac:dyDescent="0.25">
      <c r="A19" s="3">
        <f>IF(B19="","",1)</f>
        <v>1</v>
      </c>
      <c r="B19" s="4" t="s">
        <v>20</v>
      </c>
      <c r="C19" s="4" t="s">
        <v>21</v>
      </c>
      <c r="D19" s="10" t="s">
        <v>6</v>
      </c>
      <c r="E19" s="10" t="s">
        <v>6</v>
      </c>
      <c r="F19" s="10" t="s">
        <v>6</v>
      </c>
      <c r="G19" s="10" t="s">
        <v>6</v>
      </c>
      <c r="H19" s="10" t="s">
        <v>6</v>
      </c>
      <c r="I19" s="10"/>
      <c r="J19" s="10" t="s">
        <v>6</v>
      </c>
      <c r="K19" s="10" t="s">
        <v>6</v>
      </c>
      <c r="L19" s="10" t="s">
        <v>6</v>
      </c>
      <c r="M19" s="10" t="s">
        <v>6</v>
      </c>
      <c r="N19" s="10" t="s">
        <v>6</v>
      </c>
      <c r="O19" s="10" t="s">
        <v>6</v>
      </c>
      <c r="P19" s="10"/>
      <c r="Q19" s="10" t="s">
        <v>6</v>
      </c>
      <c r="R19" s="10" t="s">
        <v>6</v>
      </c>
      <c r="S19" s="10" t="s">
        <v>6</v>
      </c>
      <c r="T19" s="10" t="s">
        <v>6</v>
      </c>
      <c r="U19" s="10" t="s">
        <v>6</v>
      </c>
      <c r="V19" s="10" t="s">
        <v>6</v>
      </c>
      <c r="W19" s="10"/>
      <c r="X19" s="10" t="s">
        <v>6</v>
      </c>
      <c r="Y19" s="10" t="s">
        <v>19</v>
      </c>
      <c r="Z19" s="10" t="s">
        <v>8</v>
      </c>
      <c r="AA19" s="10" t="s">
        <v>6</v>
      </c>
      <c r="AB19" s="10" t="s">
        <v>6</v>
      </c>
      <c r="AC19" s="10" t="s">
        <v>6</v>
      </c>
      <c r="AD19" s="10"/>
      <c r="AE19" s="10" t="s">
        <v>6</v>
      </c>
      <c r="AF19" s="10" t="s">
        <v>6</v>
      </c>
      <c r="AG19" s="10" t="s">
        <v>6</v>
      </c>
      <c r="AH19" s="10" t="s">
        <v>6</v>
      </c>
      <c r="AI19" s="10">
        <f>COUNTIF(D19:AH19,"P")</f>
        <v>25</v>
      </c>
      <c r="AJ19" s="10">
        <f>COUNTIF(D19:AH19,"A")</f>
        <v>1</v>
      </c>
      <c r="AK19" s="10">
        <f>COUNTIF(D19:AH19,"SL")</f>
        <v>0</v>
      </c>
      <c r="AL19" s="10">
        <f>COUNTBLANK(D19:AH19)</f>
        <v>4</v>
      </c>
      <c r="AM19" s="12">
        <f>AI19+AK19+AL19</f>
        <v>29</v>
      </c>
    </row>
    <row r="20" spans="1:39" x14ac:dyDescent="0.25">
      <c r="A20" s="3">
        <f>IF(B20="","",A19+1)</f>
        <v>2</v>
      </c>
      <c r="B20" s="4" t="s">
        <v>22</v>
      </c>
      <c r="C20" s="4" t="s">
        <v>23</v>
      </c>
      <c r="D20" s="10" t="s">
        <v>6</v>
      </c>
      <c r="E20" s="10" t="s">
        <v>6</v>
      </c>
      <c r="F20" s="10" t="s">
        <v>6</v>
      </c>
      <c r="G20" s="10" t="s">
        <v>6</v>
      </c>
      <c r="H20" s="10" t="s">
        <v>6</v>
      </c>
      <c r="I20" s="10"/>
      <c r="J20" s="10" t="s">
        <v>6</v>
      </c>
      <c r="K20" s="10" t="s">
        <v>6</v>
      </c>
      <c r="L20" s="10" t="s">
        <v>6</v>
      </c>
      <c r="M20" s="10" t="s">
        <v>6</v>
      </c>
      <c r="N20" s="10" t="s">
        <v>6</v>
      </c>
      <c r="O20" s="10" t="s">
        <v>6</v>
      </c>
      <c r="P20" s="10"/>
      <c r="Q20" s="10" t="s">
        <v>6</v>
      </c>
      <c r="R20" s="10" t="s">
        <v>6</v>
      </c>
      <c r="S20" s="10" t="s">
        <v>6</v>
      </c>
      <c r="T20" s="10" t="s">
        <v>6</v>
      </c>
      <c r="U20" s="10" t="s">
        <v>6</v>
      </c>
      <c r="V20" s="10" t="s">
        <v>6</v>
      </c>
      <c r="W20" s="10"/>
      <c r="X20" s="10" t="s">
        <v>6</v>
      </c>
      <c r="Y20" s="10" t="s">
        <v>6</v>
      </c>
      <c r="Z20" s="10" t="s">
        <v>6</v>
      </c>
      <c r="AA20" s="10" t="s">
        <v>6</v>
      </c>
      <c r="AB20" s="10" t="s">
        <v>6</v>
      </c>
      <c r="AC20" s="10" t="s">
        <v>6</v>
      </c>
      <c r="AD20" s="10"/>
      <c r="AE20" s="10" t="s">
        <v>6</v>
      </c>
      <c r="AF20" s="10" t="s">
        <v>6</v>
      </c>
      <c r="AG20" s="10" t="s">
        <v>6</v>
      </c>
      <c r="AH20" s="10" t="s">
        <v>6</v>
      </c>
      <c r="AI20" s="10">
        <f t="shared" ref="AI20:AI25" si="8">COUNTIF(D20:AH20,"P")</f>
        <v>27</v>
      </c>
      <c r="AJ20" s="10">
        <f t="shared" ref="AJ20:AJ25" si="9">COUNTIF(D20:AH20,"A")</f>
        <v>0</v>
      </c>
      <c r="AK20" s="10">
        <f t="shared" ref="AK20:AK25" si="10">COUNTIF(D20:AH20,"SL")</f>
        <v>0</v>
      </c>
      <c r="AL20" s="10">
        <f t="shared" ref="AL20:AL25" si="11">COUNTBLANK(D20:AH20)</f>
        <v>4</v>
      </c>
      <c r="AM20" s="12">
        <f t="shared" ref="AM20:AM25" si="12">AI20+AK20+AL20</f>
        <v>31</v>
      </c>
    </row>
    <row r="21" spans="1:39" x14ac:dyDescent="0.25">
      <c r="A21" s="3">
        <f t="shared" ref="A21:A23" si="13">IF(B21="","",A20+1)</f>
        <v>3</v>
      </c>
      <c r="B21" s="4" t="s">
        <v>24</v>
      </c>
      <c r="C21" s="4" t="s">
        <v>25</v>
      </c>
      <c r="D21" s="10" t="s">
        <v>6</v>
      </c>
      <c r="E21" s="10" t="s">
        <v>6</v>
      </c>
      <c r="F21" s="10" t="s">
        <v>6</v>
      </c>
      <c r="G21" s="10" t="s">
        <v>6</v>
      </c>
      <c r="H21" s="10" t="s">
        <v>6</v>
      </c>
      <c r="I21" s="10"/>
      <c r="J21" s="10" t="s">
        <v>6</v>
      </c>
      <c r="K21" s="10" t="s">
        <v>6</v>
      </c>
      <c r="L21" s="10" t="s">
        <v>6</v>
      </c>
      <c r="M21" s="10" t="s">
        <v>6</v>
      </c>
      <c r="N21" s="10" t="s">
        <v>6</v>
      </c>
      <c r="O21" s="10" t="s">
        <v>6</v>
      </c>
      <c r="P21" s="10"/>
      <c r="Q21" s="10" t="s">
        <v>6</v>
      </c>
      <c r="R21" s="10" t="s">
        <v>6</v>
      </c>
      <c r="S21" s="10" t="s">
        <v>6</v>
      </c>
      <c r="T21" s="10" t="s">
        <v>6</v>
      </c>
      <c r="U21" s="10" t="s">
        <v>6</v>
      </c>
      <c r="V21" s="10" t="s">
        <v>6</v>
      </c>
      <c r="W21" s="10"/>
      <c r="X21" s="10" t="s">
        <v>6</v>
      </c>
      <c r="Y21" s="10" t="s">
        <v>6</v>
      </c>
      <c r="Z21" s="10" t="s">
        <v>6</v>
      </c>
      <c r="AA21" s="10" t="s">
        <v>6</v>
      </c>
      <c r="AB21" s="10" t="s">
        <v>6</v>
      </c>
      <c r="AC21" s="10" t="s">
        <v>6</v>
      </c>
      <c r="AD21" s="10"/>
      <c r="AE21" s="10" t="s">
        <v>6</v>
      </c>
      <c r="AF21" s="10" t="s">
        <v>6</v>
      </c>
      <c r="AG21" s="10" t="s">
        <v>6</v>
      </c>
      <c r="AH21" s="10" t="s">
        <v>6</v>
      </c>
      <c r="AI21" s="10">
        <f t="shared" si="8"/>
        <v>27</v>
      </c>
      <c r="AJ21" s="10">
        <f t="shared" si="9"/>
        <v>0</v>
      </c>
      <c r="AK21" s="10">
        <f t="shared" si="10"/>
        <v>0</v>
      </c>
      <c r="AL21" s="10">
        <f t="shared" si="11"/>
        <v>4</v>
      </c>
      <c r="AM21" s="12">
        <f t="shared" si="12"/>
        <v>31</v>
      </c>
    </row>
    <row r="22" spans="1:39" x14ac:dyDescent="0.25">
      <c r="A22" s="3">
        <f t="shared" si="13"/>
        <v>4</v>
      </c>
      <c r="B22" s="4" t="s">
        <v>26</v>
      </c>
      <c r="C22" s="4" t="s">
        <v>27</v>
      </c>
      <c r="D22" s="10" t="s">
        <v>6</v>
      </c>
      <c r="E22" s="10" t="s">
        <v>6</v>
      </c>
      <c r="F22" s="10" t="s">
        <v>6</v>
      </c>
      <c r="G22" s="10" t="s">
        <v>6</v>
      </c>
      <c r="H22" s="10" t="s">
        <v>6</v>
      </c>
      <c r="I22" s="10"/>
      <c r="J22" s="10" t="s">
        <v>6</v>
      </c>
      <c r="K22" s="10" t="s">
        <v>8</v>
      </c>
      <c r="L22" s="10" t="s">
        <v>8</v>
      </c>
      <c r="M22" s="10" t="s">
        <v>8</v>
      </c>
      <c r="N22" s="10" t="s">
        <v>8</v>
      </c>
      <c r="O22" s="10" t="s">
        <v>8</v>
      </c>
      <c r="P22" s="10"/>
      <c r="Q22" s="10" t="s">
        <v>8</v>
      </c>
      <c r="R22" s="10" t="s">
        <v>8</v>
      </c>
      <c r="S22" s="10" t="s">
        <v>8</v>
      </c>
      <c r="T22" s="10" t="s">
        <v>8</v>
      </c>
      <c r="U22" s="10" t="s">
        <v>8</v>
      </c>
      <c r="V22" s="10" t="s">
        <v>8</v>
      </c>
      <c r="W22" s="10"/>
      <c r="X22" s="10" t="s">
        <v>8</v>
      </c>
      <c r="Y22" s="10" t="s">
        <v>8</v>
      </c>
      <c r="Z22" s="10" t="s">
        <v>8</v>
      </c>
      <c r="AA22" s="10" t="s">
        <v>8</v>
      </c>
      <c r="AB22" s="10" t="s">
        <v>8</v>
      </c>
      <c r="AC22" s="10" t="s">
        <v>8</v>
      </c>
      <c r="AD22" s="10"/>
      <c r="AE22" s="10" t="s">
        <v>8</v>
      </c>
      <c r="AF22" s="10" t="s">
        <v>8</v>
      </c>
      <c r="AG22" s="10" t="s">
        <v>8</v>
      </c>
      <c r="AH22" s="10" t="s">
        <v>8</v>
      </c>
      <c r="AI22" s="10">
        <f t="shared" si="8"/>
        <v>6</v>
      </c>
      <c r="AJ22" s="10">
        <f t="shared" si="9"/>
        <v>21</v>
      </c>
      <c r="AK22" s="10">
        <f t="shared" si="10"/>
        <v>0</v>
      </c>
      <c r="AL22" s="10">
        <f t="shared" si="11"/>
        <v>4</v>
      </c>
      <c r="AM22" s="12">
        <f t="shared" si="12"/>
        <v>10</v>
      </c>
    </row>
    <row r="23" spans="1:39" x14ac:dyDescent="0.25">
      <c r="A23" s="3">
        <f t="shared" si="13"/>
        <v>5</v>
      </c>
      <c r="B23" s="4" t="s">
        <v>28</v>
      </c>
      <c r="C23" s="4" t="s">
        <v>27</v>
      </c>
      <c r="D23" s="10" t="s">
        <v>6</v>
      </c>
      <c r="E23" s="10" t="s">
        <v>6</v>
      </c>
      <c r="F23" s="10" t="s">
        <v>6</v>
      </c>
      <c r="G23" s="10" t="s">
        <v>6</v>
      </c>
      <c r="H23" s="10" t="s">
        <v>6</v>
      </c>
      <c r="I23" s="10"/>
      <c r="J23" s="10" t="s">
        <v>6</v>
      </c>
      <c r="K23" s="10" t="s">
        <v>6</v>
      </c>
      <c r="L23" s="10" t="s">
        <v>6</v>
      </c>
      <c r="M23" s="10" t="s">
        <v>6</v>
      </c>
      <c r="N23" s="10" t="s">
        <v>6</v>
      </c>
      <c r="O23" s="10" t="s">
        <v>6</v>
      </c>
      <c r="P23" s="10"/>
      <c r="Q23" s="10" t="s">
        <v>6</v>
      </c>
      <c r="R23" s="10" t="s">
        <v>6</v>
      </c>
      <c r="S23" s="10" t="s">
        <v>6</v>
      </c>
      <c r="T23" s="10" t="s">
        <v>6</v>
      </c>
      <c r="U23" s="10" t="s">
        <v>6</v>
      </c>
      <c r="V23" s="10" t="s">
        <v>6</v>
      </c>
      <c r="W23" s="10"/>
      <c r="X23" s="10" t="s">
        <v>6</v>
      </c>
      <c r="Y23" s="10" t="s">
        <v>6</v>
      </c>
      <c r="Z23" s="10" t="s">
        <v>6</v>
      </c>
      <c r="AA23" s="10" t="s">
        <v>6</v>
      </c>
      <c r="AB23" s="10" t="s">
        <v>6</v>
      </c>
      <c r="AC23" s="10" t="s">
        <v>6</v>
      </c>
      <c r="AD23" s="10"/>
      <c r="AE23" s="10" t="s">
        <v>6</v>
      </c>
      <c r="AF23" s="10" t="s">
        <v>6</v>
      </c>
      <c r="AG23" s="10" t="s">
        <v>6</v>
      </c>
      <c r="AH23" s="10" t="s">
        <v>6</v>
      </c>
      <c r="AI23" s="10">
        <f t="shared" si="8"/>
        <v>27</v>
      </c>
      <c r="AJ23" s="10">
        <f t="shared" si="9"/>
        <v>0</v>
      </c>
      <c r="AK23" s="10">
        <f t="shared" si="10"/>
        <v>0</v>
      </c>
      <c r="AL23" s="10">
        <f t="shared" si="11"/>
        <v>4</v>
      </c>
      <c r="AM23" s="12">
        <f t="shared" si="12"/>
        <v>31</v>
      </c>
    </row>
    <row r="24" spans="1:39" x14ac:dyDescent="0.25">
      <c r="A24" s="30">
        <v>6</v>
      </c>
      <c r="B24" s="31" t="s">
        <v>96</v>
      </c>
      <c r="C24" s="4" t="s">
        <v>27</v>
      </c>
      <c r="D24" s="32" t="s">
        <v>94</v>
      </c>
      <c r="E24" s="32" t="s">
        <v>94</v>
      </c>
      <c r="F24" s="32" t="s">
        <v>94</v>
      </c>
      <c r="G24" s="32" t="s">
        <v>94</v>
      </c>
      <c r="H24" s="32" t="s">
        <v>94</v>
      </c>
      <c r="I24" s="32"/>
      <c r="J24" s="32" t="s">
        <v>94</v>
      </c>
      <c r="K24" s="32" t="s">
        <v>94</v>
      </c>
      <c r="L24" s="32" t="s">
        <v>94</v>
      </c>
      <c r="M24" s="32" t="s">
        <v>94</v>
      </c>
      <c r="N24" s="32" t="s">
        <v>94</v>
      </c>
      <c r="O24" s="32" t="s">
        <v>94</v>
      </c>
      <c r="P24" s="32"/>
      <c r="Q24" s="32" t="s">
        <v>94</v>
      </c>
      <c r="R24" s="32" t="s">
        <v>94</v>
      </c>
      <c r="S24" s="32" t="s">
        <v>94</v>
      </c>
      <c r="T24" s="32" t="s">
        <v>94</v>
      </c>
      <c r="U24" s="32" t="s">
        <v>94</v>
      </c>
      <c r="V24" s="32" t="s">
        <v>94</v>
      </c>
      <c r="W24" s="32"/>
      <c r="X24" s="32" t="s">
        <v>94</v>
      </c>
      <c r="Y24" s="32" t="s">
        <v>6</v>
      </c>
      <c r="Z24" s="32" t="s">
        <v>6</v>
      </c>
      <c r="AA24" s="32" t="s">
        <v>6</v>
      </c>
      <c r="AB24" s="32" t="s">
        <v>6</v>
      </c>
      <c r="AC24" s="32" t="s">
        <v>6</v>
      </c>
      <c r="AD24" s="32"/>
      <c r="AE24" s="32" t="s">
        <v>6</v>
      </c>
      <c r="AF24" s="32" t="s">
        <v>6</v>
      </c>
      <c r="AG24" s="32" t="s">
        <v>6</v>
      </c>
      <c r="AH24" s="32" t="s">
        <v>6</v>
      </c>
      <c r="AI24" s="32">
        <f t="shared" si="8"/>
        <v>9</v>
      </c>
      <c r="AJ24" s="32">
        <f t="shared" si="9"/>
        <v>0</v>
      </c>
      <c r="AK24" s="32">
        <f t="shared" si="10"/>
        <v>0</v>
      </c>
      <c r="AL24" s="32">
        <f t="shared" si="11"/>
        <v>4</v>
      </c>
      <c r="AM24" s="33">
        <f t="shared" si="12"/>
        <v>13</v>
      </c>
    </row>
    <row r="25" spans="1:39" ht="15.75" thickBot="1" x14ac:dyDescent="0.3">
      <c r="A25" s="5">
        <v>7</v>
      </c>
      <c r="B25" s="6" t="s">
        <v>29</v>
      </c>
      <c r="C25" s="6" t="s">
        <v>30</v>
      </c>
      <c r="D25" s="11" t="s">
        <v>6</v>
      </c>
      <c r="E25" s="11" t="s">
        <v>6</v>
      </c>
      <c r="F25" s="11" t="s">
        <v>6</v>
      </c>
      <c r="G25" s="11" t="s">
        <v>6</v>
      </c>
      <c r="H25" s="11" t="s">
        <v>6</v>
      </c>
      <c r="I25" s="11"/>
      <c r="J25" s="11" t="s">
        <v>6</v>
      </c>
      <c r="K25" s="11" t="s">
        <v>6</v>
      </c>
      <c r="L25" s="11" t="s">
        <v>6</v>
      </c>
      <c r="M25" s="11" t="s">
        <v>6</v>
      </c>
      <c r="N25" s="11" t="s">
        <v>6</v>
      </c>
      <c r="O25" s="11" t="s">
        <v>6</v>
      </c>
      <c r="P25" s="11"/>
      <c r="Q25" s="11" t="s">
        <v>6</v>
      </c>
      <c r="R25" s="11" t="s">
        <v>6</v>
      </c>
      <c r="S25" s="11" t="s">
        <v>6</v>
      </c>
      <c r="T25" s="11" t="s">
        <v>6</v>
      </c>
      <c r="U25" s="11" t="s">
        <v>6</v>
      </c>
      <c r="V25" s="11" t="s">
        <v>6</v>
      </c>
      <c r="W25" s="11"/>
      <c r="X25" s="11" t="s">
        <v>6</v>
      </c>
      <c r="Y25" s="11" t="s">
        <v>6</v>
      </c>
      <c r="Z25" s="11" t="s">
        <v>6</v>
      </c>
      <c r="AA25" s="11" t="s">
        <v>6</v>
      </c>
      <c r="AB25" s="11" t="s">
        <v>6</v>
      </c>
      <c r="AC25" s="11" t="s">
        <v>6</v>
      </c>
      <c r="AD25" s="11"/>
      <c r="AE25" s="11" t="s">
        <v>6</v>
      </c>
      <c r="AF25" s="11" t="s">
        <v>6</v>
      </c>
      <c r="AG25" s="11" t="s">
        <v>6</v>
      </c>
      <c r="AH25" s="11" t="s">
        <v>6</v>
      </c>
      <c r="AI25" s="11">
        <f t="shared" si="8"/>
        <v>27</v>
      </c>
      <c r="AJ25" s="11">
        <f t="shared" si="9"/>
        <v>0</v>
      </c>
      <c r="AK25" s="11">
        <f t="shared" si="10"/>
        <v>0</v>
      </c>
      <c r="AL25" s="11">
        <f t="shared" si="11"/>
        <v>4</v>
      </c>
      <c r="AM25" s="13">
        <f t="shared" si="12"/>
        <v>31</v>
      </c>
    </row>
  </sheetData>
  <mergeCells count="4">
    <mergeCell ref="A3:C3"/>
    <mergeCell ref="AI3:AM3"/>
    <mergeCell ref="A17:C17"/>
    <mergeCell ref="AI17:AM17"/>
  </mergeCells>
  <conditionalFormatting sqref="D3:AH13">
    <cfRule type="expression" dxfId="8" priority="4">
      <formula>D$3="SUN"</formula>
    </cfRule>
  </conditionalFormatting>
  <conditionalFormatting sqref="D5:AH13">
    <cfRule type="cellIs" dxfId="7" priority="5" operator="equal">
      <formula>"A"</formula>
    </cfRule>
    <cfRule type="cellIs" dxfId="6" priority="6" operator="equal">
      <formula>"P"</formula>
    </cfRule>
  </conditionalFormatting>
  <conditionalFormatting sqref="D17:AH25">
    <cfRule type="expression" dxfId="5" priority="1">
      <formula>D$3="SUN"</formula>
    </cfRule>
  </conditionalFormatting>
  <conditionalFormatting sqref="D19:AH25">
    <cfRule type="cellIs" dxfId="4" priority="2" operator="equal">
      <formula>"A"</formula>
    </cfRule>
    <cfRule type="cellIs" dxfId="3" priority="3" operator="equal">
      <formula>"P"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29"/>
  <sheetViews>
    <sheetView tabSelected="1" topLeftCell="A13" workbookViewId="0">
      <selection activeCell="A2" sqref="A2:N2"/>
    </sheetView>
  </sheetViews>
  <sheetFormatPr defaultRowHeight="15" x14ac:dyDescent="0.25"/>
  <cols>
    <col min="1" max="1" width="19.5703125" bestFit="1" customWidth="1"/>
    <col min="2" max="2" width="21.42578125" bestFit="1" customWidth="1"/>
    <col min="3" max="3" width="13.42578125" bestFit="1" customWidth="1"/>
    <col min="4" max="4" width="9.5703125" bestFit="1" customWidth="1"/>
    <col min="5" max="5" width="14.140625" customWidth="1"/>
    <col min="6" max="6" width="17.5703125" bestFit="1" customWidth="1"/>
    <col min="7" max="7" width="19.5703125" bestFit="1" customWidth="1"/>
    <col min="8" max="8" width="9" customWidth="1"/>
    <col min="9" max="9" width="6" customWidth="1"/>
    <col min="10" max="10" width="6.7109375" customWidth="1"/>
    <col min="11" max="11" width="8.85546875" bestFit="1" customWidth="1"/>
    <col min="12" max="12" width="7.28515625" bestFit="1" customWidth="1"/>
    <col min="13" max="13" width="13.42578125" customWidth="1"/>
    <col min="14" max="14" width="14.42578125" bestFit="1" customWidth="1"/>
  </cols>
  <sheetData>
    <row r="1" spans="1:14" ht="21" x14ac:dyDescent="0.25">
      <c r="A1" s="75" t="s">
        <v>100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7"/>
    </row>
    <row r="2" spans="1:14" ht="21.75" thickBot="1" x14ac:dyDescent="0.3">
      <c r="A2" s="78" t="s">
        <v>99</v>
      </c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80"/>
    </row>
    <row r="3" spans="1:14" ht="24" thickBot="1" x14ac:dyDescent="0.4">
      <c r="A3" s="48" t="s">
        <v>89</v>
      </c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50"/>
    </row>
    <row r="4" spans="1:14" ht="15.75" thickBot="1" x14ac:dyDescent="0.3"/>
    <row r="5" spans="1:14" x14ac:dyDescent="0.25">
      <c r="A5" s="58" t="s">
        <v>31</v>
      </c>
      <c r="B5" s="61" t="s">
        <v>32</v>
      </c>
      <c r="C5" s="61" t="s">
        <v>4</v>
      </c>
      <c r="D5" s="61" t="s">
        <v>33</v>
      </c>
      <c r="E5" s="54" t="s">
        <v>34</v>
      </c>
      <c r="F5" s="54" t="s">
        <v>36</v>
      </c>
      <c r="G5" s="54" t="s">
        <v>37</v>
      </c>
      <c r="H5" s="54" t="s">
        <v>35</v>
      </c>
      <c r="I5" s="57" t="s">
        <v>38</v>
      </c>
      <c r="J5" s="57"/>
      <c r="K5" s="57"/>
      <c r="L5" s="57"/>
      <c r="M5" s="66" t="s">
        <v>77</v>
      </c>
      <c r="N5" s="51" t="s">
        <v>9</v>
      </c>
    </row>
    <row r="6" spans="1:14" x14ac:dyDescent="0.25">
      <c r="A6" s="59"/>
      <c r="B6" s="55"/>
      <c r="C6" s="55"/>
      <c r="D6" s="55"/>
      <c r="E6" s="62"/>
      <c r="F6" s="55"/>
      <c r="G6" s="62"/>
      <c r="H6" s="62"/>
      <c r="I6" s="71" t="s">
        <v>39</v>
      </c>
      <c r="J6" s="69" t="s">
        <v>40</v>
      </c>
      <c r="K6" s="64" t="s">
        <v>41</v>
      </c>
      <c r="L6" s="64" t="s">
        <v>42</v>
      </c>
      <c r="M6" s="67"/>
      <c r="N6" s="52"/>
    </row>
    <row r="7" spans="1:14" ht="15.75" thickBot="1" x14ac:dyDescent="0.3">
      <c r="A7" s="60"/>
      <c r="B7" s="56"/>
      <c r="C7" s="56"/>
      <c r="D7" s="56"/>
      <c r="E7" s="63"/>
      <c r="F7" s="56"/>
      <c r="G7" s="63"/>
      <c r="H7" s="63"/>
      <c r="I7" s="72"/>
      <c r="J7" s="70"/>
      <c r="K7" s="65"/>
      <c r="L7" s="65"/>
      <c r="M7" s="68"/>
      <c r="N7" s="53"/>
    </row>
    <row r="8" spans="1:14" x14ac:dyDescent="0.25">
      <c r="A8" s="36" t="s">
        <v>43</v>
      </c>
      <c r="B8" s="37" t="s">
        <v>50</v>
      </c>
      <c r="C8" s="37" t="s">
        <v>11</v>
      </c>
      <c r="D8" s="37" t="s">
        <v>59</v>
      </c>
      <c r="E8" s="38">
        <v>44774</v>
      </c>
      <c r="F8" s="39" t="s">
        <v>60</v>
      </c>
      <c r="G8" s="40" t="s">
        <v>69</v>
      </c>
      <c r="H8" s="41">
        <v>22000</v>
      </c>
      <c r="I8" s="37">
        <v>31</v>
      </c>
      <c r="J8" s="37">
        <v>31</v>
      </c>
      <c r="K8" s="37">
        <v>0</v>
      </c>
      <c r="L8" s="37">
        <v>0</v>
      </c>
      <c r="M8" s="37"/>
      <c r="N8" s="42">
        <f>(H8/31)*J8</f>
        <v>22000</v>
      </c>
    </row>
    <row r="9" spans="1:14" x14ac:dyDescent="0.25">
      <c r="A9" s="24" t="s">
        <v>44</v>
      </c>
      <c r="B9" s="15" t="s">
        <v>51</v>
      </c>
      <c r="C9" s="15" t="s">
        <v>11</v>
      </c>
      <c r="D9" s="15" t="s">
        <v>59</v>
      </c>
      <c r="E9" s="22">
        <v>44774</v>
      </c>
      <c r="F9" s="16" t="s">
        <v>61</v>
      </c>
      <c r="G9" s="17" t="s">
        <v>70</v>
      </c>
      <c r="H9" s="23">
        <v>18000</v>
      </c>
      <c r="I9" s="15">
        <v>31</v>
      </c>
      <c r="J9" s="14">
        <v>31</v>
      </c>
      <c r="K9" s="14">
        <v>0</v>
      </c>
      <c r="L9" s="14">
        <v>0</v>
      </c>
      <c r="M9" s="15"/>
      <c r="N9" s="29">
        <f t="shared" ref="N9:N16" si="0">(H9/31)*J9</f>
        <v>18000</v>
      </c>
    </row>
    <row r="10" spans="1:14" x14ac:dyDescent="0.25">
      <c r="A10" s="24" t="s">
        <v>45</v>
      </c>
      <c r="B10" s="15" t="s">
        <v>52</v>
      </c>
      <c r="C10" s="15" t="s">
        <v>11</v>
      </c>
      <c r="D10" s="15" t="s">
        <v>59</v>
      </c>
      <c r="E10" s="22">
        <v>44774</v>
      </c>
      <c r="F10" s="16" t="s">
        <v>62</v>
      </c>
      <c r="G10" s="17" t="s">
        <v>71</v>
      </c>
      <c r="H10" s="23">
        <v>15000</v>
      </c>
      <c r="I10" s="15">
        <v>31</v>
      </c>
      <c r="J10" s="14">
        <v>25</v>
      </c>
      <c r="K10" s="14">
        <v>6</v>
      </c>
      <c r="L10" s="14">
        <v>1</v>
      </c>
      <c r="M10" s="15"/>
      <c r="N10" s="29">
        <f>(H10/30)*J10</f>
        <v>12500</v>
      </c>
    </row>
    <row r="11" spans="1:14" x14ac:dyDescent="0.25">
      <c r="A11" s="24" t="s">
        <v>63</v>
      </c>
      <c r="B11" s="15" t="s">
        <v>54</v>
      </c>
      <c r="C11" s="15" t="s">
        <v>11</v>
      </c>
      <c r="D11" s="15" t="s">
        <v>59</v>
      </c>
      <c r="E11" s="22">
        <v>45198</v>
      </c>
      <c r="F11" s="16" t="s">
        <v>64</v>
      </c>
      <c r="G11" s="17" t="s">
        <v>72</v>
      </c>
      <c r="H11" s="23">
        <v>15000</v>
      </c>
      <c r="I11" s="15">
        <v>31</v>
      </c>
      <c r="J11" s="14">
        <v>29</v>
      </c>
      <c r="K11" s="14">
        <v>2</v>
      </c>
      <c r="L11" s="14">
        <v>1</v>
      </c>
      <c r="M11" s="15"/>
      <c r="N11" s="29">
        <f>(H11/30)*J11</f>
        <v>14500</v>
      </c>
    </row>
    <row r="12" spans="1:14" x14ac:dyDescent="0.25">
      <c r="A12" s="24" t="s">
        <v>46</v>
      </c>
      <c r="B12" s="15" t="s">
        <v>53</v>
      </c>
      <c r="C12" s="15" t="s">
        <v>11</v>
      </c>
      <c r="D12" s="15" t="s">
        <v>59</v>
      </c>
      <c r="E12" s="22">
        <v>45229</v>
      </c>
      <c r="F12" s="16" t="s">
        <v>68</v>
      </c>
      <c r="G12" s="17" t="s">
        <v>73</v>
      </c>
      <c r="H12" s="23">
        <v>15000</v>
      </c>
      <c r="I12" s="15">
        <v>31</v>
      </c>
      <c r="J12" s="14">
        <v>29</v>
      </c>
      <c r="K12" s="14">
        <v>1</v>
      </c>
      <c r="L12" s="14">
        <v>1</v>
      </c>
      <c r="M12" s="15"/>
      <c r="N12" s="29">
        <f>(H12/30)*J12</f>
        <v>14500</v>
      </c>
    </row>
    <row r="13" spans="1:14" x14ac:dyDescent="0.25">
      <c r="A13" s="24" t="s">
        <v>47</v>
      </c>
      <c r="B13" s="15" t="s">
        <v>55</v>
      </c>
      <c r="C13" s="15" t="s">
        <v>11</v>
      </c>
      <c r="D13" s="15" t="s">
        <v>59</v>
      </c>
      <c r="E13" s="22">
        <v>45323</v>
      </c>
      <c r="F13" s="16" t="s">
        <v>65</v>
      </c>
      <c r="G13" s="17" t="s">
        <v>74</v>
      </c>
      <c r="H13" s="23">
        <v>25000</v>
      </c>
      <c r="I13" s="15">
        <v>31</v>
      </c>
      <c r="J13" s="14">
        <v>31</v>
      </c>
      <c r="K13" s="14">
        <v>0</v>
      </c>
      <c r="L13" s="14">
        <v>0</v>
      </c>
      <c r="M13" s="15"/>
      <c r="N13" s="29">
        <f t="shared" si="0"/>
        <v>25000</v>
      </c>
    </row>
    <row r="14" spans="1:14" x14ac:dyDescent="0.25">
      <c r="A14" s="24" t="s">
        <v>48</v>
      </c>
      <c r="B14" s="15" t="s">
        <v>56</v>
      </c>
      <c r="C14" s="15" t="s">
        <v>11</v>
      </c>
      <c r="D14" s="15" t="s">
        <v>59</v>
      </c>
      <c r="E14" s="22">
        <v>45536</v>
      </c>
      <c r="F14" s="16" t="s">
        <v>66</v>
      </c>
      <c r="G14" s="17" t="s">
        <v>75</v>
      </c>
      <c r="H14" s="23">
        <v>20000</v>
      </c>
      <c r="I14" s="15">
        <v>31</v>
      </c>
      <c r="J14" s="14">
        <v>31</v>
      </c>
      <c r="K14" s="14">
        <v>0</v>
      </c>
      <c r="L14" s="14">
        <v>0</v>
      </c>
      <c r="M14" s="15"/>
      <c r="N14" s="29">
        <f t="shared" si="0"/>
        <v>20000</v>
      </c>
    </row>
    <row r="15" spans="1:14" x14ac:dyDescent="0.25">
      <c r="A15" s="24" t="s">
        <v>91</v>
      </c>
      <c r="B15" s="15" t="s">
        <v>92</v>
      </c>
      <c r="C15" s="15" t="s">
        <v>11</v>
      </c>
      <c r="D15" s="15" t="s">
        <v>59</v>
      </c>
      <c r="E15" s="22">
        <v>45566</v>
      </c>
      <c r="F15" s="16" t="s">
        <v>93</v>
      </c>
      <c r="G15" s="17" t="s">
        <v>75</v>
      </c>
      <c r="H15" s="23">
        <v>30000</v>
      </c>
      <c r="I15" s="15">
        <v>31</v>
      </c>
      <c r="J15" s="14">
        <v>31</v>
      </c>
      <c r="K15" s="14">
        <v>0</v>
      </c>
      <c r="L15" s="14">
        <v>0</v>
      </c>
      <c r="M15" s="15"/>
      <c r="N15" s="29">
        <f>(H15/30)*J15</f>
        <v>31000</v>
      </c>
    </row>
    <row r="16" spans="1:14" ht="15.75" thickBot="1" x14ac:dyDescent="0.3">
      <c r="A16" s="25" t="s">
        <v>49</v>
      </c>
      <c r="B16" s="18" t="s">
        <v>57</v>
      </c>
      <c r="C16" s="18" t="s">
        <v>58</v>
      </c>
      <c r="D16" s="18" t="s">
        <v>59</v>
      </c>
      <c r="E16" s="26">
        <v>45559</v>
      </c>
      <c r="F16" s="20" t="s">
        <v>67</v>
      </c>
      <c r="G16" s="21" t="s">
        <v>76</v>
      </c>
      <c r="H16" s="27">
        <v>28000</v>
      </c>
      <c r="I16" s="18">
        <v>31</v>
      </c>
      <c r="J16" s="19">
        <v>31</v>
      </c>
      <c r="K16" s="19">
        <v>0</v>
      </c>
      <c r="L16" s="19">
        <v>1</v>
      </c>
      <c r="M16" s="28"/>
      <c r="N16" s="43">
        <f t="shared" si="0"/>
        <v>28000</v>
      </c>
    </row>
    <row r="17" spans="1:14" ht="15.75" thickBot="1" x14ac:dyDescent="0.3"/>
    <row r="18" spans="1:14" ht="24" thickBot="1" x14ac:dyDescent="0.4">
      <c r="A18" s="48" t="s">
        <v>90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50"/>
    </row>
    <row r="19" spans="1:14" ht="15.75" thickBot="1" x14ac:dyDescent="0.3"/>
    <row r="20" spans="1:14" x14ac:dyDescent="0.25">
      <c r="A20" s="58" t="s">
        <v>31</v>
      </c>
      <c r="B20" s="61" t="s">
        <v>32</v>
      </c>
      <c r="C20" s="61" t="s">
        <v>4</v>
      </c>
      <c r="D20" s="61" t="s">
        <v>33</v>
      </c>
      <c r="E20" s="54" t="s">
        <v>34</v>
      </c>
      <c r="F20" s="54" t="s">
        <v>36</v>
      </c>
      <c r="G20" s="54" t="s">
        <v>37</v>
      </c>
      <c r="H20" s="54" t="s">
        <v>35</v>
      </c>
      <c r="I20" s="57" t="s">
        <v>38</v>
      </c>
      <c r="J20" s="57"/>
      <c r="K20" s="57"/>
      <c r="L20" s="57"/>
      <c r="M20" s="66" t="s">
        <v>77</v>
      </c>
      <c r="N20" s="51" t="s">
        <v>9</v>
      </c>
    </row>
    <row r="21" spans="1:14" x14ac:dyDescent="0.25">
      <c r="A21" s="59"/>
      <c r="B21" s="55"/>
      <c r="C21" s="55"/>
      <c r="D21" s="55"/>
      <c r="E21" s="62"/>
      <c r="F21" s="55"/>
      <c r="G21" s="62"/>
      <c r="H21" s="62"/>
      <c r="I21" s="71" t="s">
        <v>39</v>
      </c>
      <c r="J21" s="69" t="s">
        <v>40</v>
      </c>
      <c r="K21" s="64" t="s">
        <v>41</v>
      </c>
      <c r="L21" s="64" t="s">
        <v>42</v>
      </c>
      <c r="M21" s="67"/>
      <c r="N21" s="52"/>
    </row>
    <row r="22" spans="1:14" ht="15.75" thickBot="1" x14ac:dyDescent="0.3">
      <c r="A22" s="60"/>
      <c r="B22" s="56"/>
      <c r="C22" s="56"/>
      <c r="D22" s="56"/>
      <c r="E22" s="63"/>
      <c r="F22" s="56"/>
      <c r="G22" s="63"/>
      <c r="H22" s="63"/>
      <c r="I22" s="72"/>
      <c r="J22" s="70"/>
      <c r="K22" s="65"/>
      <c r="L22" s="65"/>
      <c r="M22" s="68"/>
      <c r="N22" s="53"/>
    </row>
    <row r="23" spans="1:14" x14ac:dyDescent="0.25">
      <c r="A23" s="36" t="s">
        <v>20</v>
      </c>
      <c r="B23" s="37" t="s">
        <v>78</v>
      </c>
      <c r="C23" s="37" t="s">
        <v>21</v>
      </c>
      <c r="D23" s="37" t="s">
        <v>59</v>
      </c>
      <c r="E23" s="38">
        <v>44475</v>
      </c>
      <c r="F23" s="39" t="s">
        <v>83</v>
      </c>
      <c r="G23" s="40" t="s">
        <v>69</v>
      </c>
      <c r="H23" s="41">
        <v>60000</v>
      </c>
      <c r="I23" s="37">
        <v>31</v>
      </c>
      <c r="J23" s="37">
        <v>29</v>
      </c>
      <c r="K23" s="37">
        <v>1</v>
      </c>
      <c r="L23" s="37">
        <v>0</v>
      </c>
      <c r="M23" s="37">
        <v>25000</v>
      </c>
      <c r="N23" s="42">
        <f>(H23/30)*J23+M23</f>
        <v>83000</v>
      </c>
    </row>
    <row r="24" spans="1:14" x14ac:dyDescent="0.25">
      <c r="A24" s="24" t="s">
        <v>22</v>
      </c>
      <c r="B24" s="15" t="s">
        <v>79</v>
      </c>
      <c r="C24" s="15" t="s">
        <v>23</v>
      </c>
      <c r="D24" s="15" t="s">
        <v>59</v>
      </c>
      <c r="E24" s="22">
        <v>45468</v>
      </c>
      <c r="F24" s="16" t="s">
        <v>84</v>
      </c>
      <c r="G24" s="17" t="s">
        <v>75</v>
      </c>
      <c r="H24" s="23">
        <v>24000</v>
      </c>
      <c r="I24" s="15">
        <v>31</v>
      </c>
      <c r="J24" s="15">
        <v>31</v>
      </c>
      <c r="K24" s="15">
        <v>0</v>
      </c>
      <c r="L24" s="15">
        <v>0</v>
      </c>
      <c r="M24" s="15"/>
      <c r="N24" s="73">
        <f t="shared" ref="N24:N28" si="1">(H24/30)*J24+M24</f>
        <v>24800</v>
      </c>
    </row>
    <row r="25" spans="1:14" x14ac:dyDescent="0.25">
      <c r="A25" s="24" t="s">
        <v>24</v>
      </c>
      <c r="B25" s="15" t="s">
        <v>80</v>
      </c>
      <c r="C25" s="15" t="s">
        <v>25</v>
      </c>
      <c r="D25" s="15" t="s">
        <v>59</v>
      </c>
      <c r="E25" s="22">
        <v>45505</v>
      </c>
      <c r="F25" s="16" t="s">
        <v>85</v>
      </c>
      <c r="G25" s="17" t="s">
        <v>75</v>
      </c>
      <c r="H25" s="23">
        <v>8000</v>
      </c>
      <c r="I25" s="15">
        <v>31</v>
      </c>
      <c r="J25" s="15">
        <v>31</v>
      </c>
      <c r="K25" s="15">
        <v>0</v>
      </c>
      <c r="L25" s="15">
        <v>0</v>
      </c>
      <c r="M25" s="15"/>
      <c r="N25" s="73">
        <v>8000</v>
      </c>
    </row>
    <row r="26" spans="1:14" x14ac:dyDescent="0.25">
      <c r="A26" s="24" t="s">
        <v>26</v>
      </c>
      <c r="B26" s="15" t="s">
        <v>81</v>
      </c>
      <c r="C26" s="15" t="s">
        <v>27</v>
      </c>
      <c r="D26" s="15" t="s">
        <v>59</v>
      </c>
      <c r="E26" s="22">
        <v>44743</v>
      </c>
      <c r="F26" s="16" t="s">
        <v>86</v>
      </c>
      <c r="G26" s="17" t="s">
        <v>75</v>
      </c>
      <c r="H26" s="23">
        <v>15000</v>
      </c>
      <c r="I26" s="15">
        <v>31</v>
      </c>
      <c r="J26" s="15">
        <v>10</v>
      </c>
      <c r="K26" s="15">
        <v>21</v>
      </c>
      <c r="L26" s="15">
        <v>0</v>
      </c>
      <c r="M26" s="15"/>
      <c r="N26" s="73">
        <f t="shared" si="1"/>
        <v>5000</v>
      </c>
    </row>
    <row r="27" spans="1:14" x14ac:dyDescent="0.25">
      <c r="A27" s="24" t="s">
        <v>28</v>
      </c>
      <c r="B27" s="15" t="s">
        <v>82</v>
      </c>
      <c r="C27" s="15" t="s">
        <v>27</v>
      </c>
      <c r="D27" s="15" t="s">
        <v>59</v>
      </c>
      <c r="E27" s="22">
        <v>44967</v>
      </c>
      <c r="F27" s="16" t="s">
        <v>87</v>
      </c>
      <c r="G27" s="17" t="s">
        <v>75</v>
      </c>
      <c r="H27" s="23">
        <v>15000</v>
      </c>
      <c r="I27" s="15">
        <v>31</v>
      </c>
      <c r="J27" s="15">
        <v>31</v>
      </c>
      <c r="K27" s="15">
        <v>0</v>
      </c>
      <c r="L27" s="15">
        <v>0</v>
      </c>
      <c r="M27" s="15"/>
      <c r="N27" s="73">
        <v>15000</v>
      </c>
    </row>
    <row r="28" spans="1:14" x14ac:dyDescent="0.25">
      <c r="A28" s="24" t="s">
        <v>96</v>
      </c>
      <c r="B28" s="15" t="s">
        <v>97</v>
      </c>
      <c r="C28" s="15" t="s">
        <v>27</v>
      </c>
      <c r="D28" s="15" t="s">
        <v>59</v>
      </c>
      <c r="E28" s="22">
        <v>45587</v>
      </c>
      <c r="F28" s="16" t="s">
        <v>98</v>
      </c>
      <c r="G28" s="17" t="s">
        <v>75</v>
      </c>
      <c r="H28" s="23">
        <v>15000</v>
      </c>
      <c r="I28" s="15">
        <v>31</v>
      </c>
      <c r="J28" s="15">
        <v>9</v>
      </c>
      <c r="K28" s="15">
        <v>0</v>
      </c>
      <c r="L28" s="15">
        <v>0</v>
      </c>
      <c r="M28" s="15"/>
      <c r="N28" s="73">
        <f t="shared" si="1"/>
        <v>4500</v>
      </c>
    </row>
    <row r="29" spans="1:14" ht="15.75" thickBot="1" x14ac:dyDescent="0.3">
      <c r="A29" s="25" t="s">
        <v>29</v>
      </c>
      <c r="B29" s="18" t="s">
        <v>82</v>
      </c>
      <c r="C29" s="18" t="s">
        <v>30</v>
      </c>
      <c r="D29" s="18" t="s">
        <v>59</v>
      </c>
      <c r="E29" s="26">
        <v>44959</v>
      </c>
      <c r="F29" s="20" t="s">
        <v>88</v>
      </c>
      <c r="G29" s="21" t="s">
        <v>75</v>
      </c>
      <c r="H29" s="27">
        <v>15000</v>
      </c>
      <c r="I29" s="18">
        <v>31</v>
      </c>
      <c r="J29" s="18">
        <v>31</v>
      </c>
      <c r="K29" s="18">
        <v>0</v>
      </c>
      <c r="L29" s="18">
        <v>0</v>
      </c>
      <c r="M29" s="18"/>
      <c r="N29" s="74">
        <v>15000</v>
      </c>
    </row>
  </sheetData>
  <mergeCells count="34">
    <mergeCell ref="A1:N1"/>
    <mergeCell ref="A2:N2"/>
    <mergeCell ref="E20:E22"/>
    <mergeCell ref="N5:N7"/>
    <mergeCell ref="F5:F7"/>
    <mergeCell ref="I5:L5"/>
    <mergeCell ref="L6:L7"/>
    <mergeCell ref="K6:K7"/>
    <mergeCell ref="M5:M7"/>
    <mergeCell ref="J6:J7"/>
    <mergeCell ref="G5:G7"/>
    <mergeCell ref="H5:H7"/>
    <mergeCell ref="I6:I7"/>
    <mergeCell ref="A18:N18"/>
    <mergeCell ref="E5:E7"/>
    <mergeCell ref="B5:B7"/>
    <mergeCell ref="C5:C7"/>
    <mergeCell ref="D5:D7"/>
    <mergeCell ref="A3:N3"/>
    <mergeCell ref="N20:N22"/>
    <mergeCell ref="I21:I22"/>
    <mergeCell ref="J21:J22"/>
    <mergeCell ref="K21:K22"/>
    <mergeCell ref="L21:L22"/>
    <mergeCell ref="F20:F22"/>
    <mergeCell ref="G20:G22"/>
    <mergeCell ref="H20:H22"/>
    <mergeCell ref="I20:L20"/>
    <mergeCell ref="M20:M22"/>
    <mergeCell ref="A20:A22"/>
    <mergeCell ref="B20:B22"/>
    <mergeCell ref="C20:C22"/>
    <mergeCell ref="D20:D22"/>
    <mergeCell ref="A5:A7"/>
  </mergeCells>
  <conditionalFormatting sqref="B8:M8 B9:C12 M9:M15 D9:L16 C13:C15 F23:F29 K24:M29 D29:J29">
    <cfRule type="expression" dxfId="2" priority="9">
      <formula>$C8=#REF!</formula>
    </cfRule>
  </conditionalFormatting>
  <conditionalFormatting sqref="C23:C29">
    <cfRule type="expression" dxfId="1" priority="1">
      <formula>$C23=#REF!</formula>
    </cfRule>
  </conditionalFormatting>
  <conditionalFormatting sqref="G23:M23 B23:B28 D23:E28 G24:J28">
    <cfRule type="expression" dxfId="0" priority="2">
      <formula>$C23=#REF!</formula>
    </cfRule>
  </conditionalFormatting>
  <pageMargins left="0.25" right="0.25" top="0.75" bottom="0.75" header="0.3" footer="0.3"/>
  <pageSetup paperSize="9" scale="78" fitToHeight="0" orientation="landscape" horizontalDpi="203" verticalDpi="203" r:id="rId1"/>
  <ignoredErrors>
    <ignoredError sqref="N15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Attandance</vt:lpstr>
      <vt:lpstr>Salary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</dc:creator>
  <cp:lastModifiedBy>Fayyaz Mohammad</cp:lastModifiedBy>
  <cp:lastPrinted>2024-12-06T07:00:26Z</cp:lastPrinted>
  <dcterms:created xsi:type="dcterms:W3CDTF">2022-08-25T22:49:00Z</dcterms:created>
  <dcterms:modified xsi:type="dcterms:W3CDTF">2025-03-27T05:27:05Z</dcterms:modified>
</cp:coreProperties>
</file>