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Salary Sheet\"/>
    </mc:Choice>
  </mc:AlternateContent>
  <xr:revisionPtr revIDLastSave="0" documentId="13_ncr:1_{10E4B3B0-14FE-414E-969E-1E780EBD2E6F}" xr6:coauthVersionLast="47" xr6:coauthVersionMax="47" xr10:uidLastSave="{00000000-0000-0000-0000-000000000000}"/>
  <bookViews>
    <workbookView xWindow="-120" yWindow="-120" windowWidth="20730" windowHeight="11160" xr2:uid="{92CE3A9B-E618-454F-A242-AE026DF5BDF3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1" i="1" l="1"/>
  <c r="K31" i="1"/>
  <c r="L30" i="1"/>
  <c r="K30" i="1"/>
  <c r="L29" i="1"/>
  <c r="K29" i="1"/>
  <c r="L28" i="1"/>
  <c r="L27" i="1"/>
  <c r="K27" i="1"/>
  <c r="L26" i="1"/>
  <c r="K26" i="1"/>
  <c r="L9" i="1"/>
</calcChain>
</file>

<file path=xl/sharedStrings.xml><?xml version="1.0" encoding="utf-8"?>
<sst xmlns="http://schemas.openxmlformats.org/spreadsheetml/2006/main" count="130" uniqueCount="87">
  <si>
    <t xml:space="preserve">Government High School Sindhi Jamaat Cooperative Housing Society, Bin Qasim Town Karachi </t>
  </si>
  <si>
    <t>Teaching Staff</t>
  </si>
  <si>
    <t>Name</t>
  </si>
  <si>
    <t>Father Name</t>
  </si>
  <si>
    <t>Designation</t>
  </si>
  <si>
    <t>Program</t>
  </si>
  <si>
    <t>Date of Joining</t>
  </si>
  <si>
    <t>CNIC NO</t>
  </si>
  <si>
    <t>Account No</t>
  </si>
  <si>
    <t>Current Salary</t>
  </si>
  <si>
    <t>Attandance</t>
  </si>
  <si>
    <t>Conveyance Allowance</t>
  </si>
  <si>
    <t>NET SALARY</t>
  </si>
  <si>
    <t>Total Days</t>
  </si>
  <si>
    <t>P. Days</t>
  </si>
  <si>
    <t>A. Days</t>
  </si>
  <si>
    <t>Leave</t>
  </si>
  <si>
    <t>Saika</t>
  </si>
  <si>
    <t>Sikandar Jamali</t>
  </si>
  <si>
    <t>Teacher</t>
  </si>
  <si>
    <t>EMO</t>
  </si>
  <si>
    <t>42501-7160658-6</t>
  </si>
  <si>
    <t>0003936568281601</t>
  </si>
  <si>
    <t>Tooba</t>
  </si>
  <si>
    <t>Mir Muhammad</t>
  </si>
  <si>
    <t>42501-8210999-2</t>
  </si>
  <si>
    <t>0003636572792701</t>
  </si>
  <si>
    <t>Parwish Fatima</t>
  </si>
  <si>
    <t>Amir Abbas Dasti</t>
  </si>
  <si>
    <t>42201-7487104-2</t>
  </si>
  <si>
    <t>0003938883651001</t>
  </si>
  <si>
    <t>Saba</t>
  </si>
  <si>
    <t>Deen Muhammad</t>
  </si>
  <si>
    <t>43203-9105637-2</t>
  </si>
  <si>
    <t>0003935968441600</t>
  </si>
  <si>
    <t>Shaila Bhatti</t>
  </si>
  <si>
    <t>Shahmeer Khan</t>
  </si>
  <si>
    <t>42201-9679408-6</t>
  </si>
  <si>
    <t>N/A</t>
  </si>
  <si>
    <t>Hussan Bano</t>
  </si>
  <si>
    <t>Muhammad Mashooq</t>
  </si>
  <si>
    <t>EC Director</t>
  </si>
  <si>
    <t>42301-5768818-8</t>
  </si>
  <si>
    <t>Fayyaz Muhammad</t>
  </si>
  <si>
    <t>Fida Muhammad</t>
  </si>
  <si>
    <t>IT Teacher</t>
  </si>
  <si>
    <t>01230104183142</t>
  </si>
  <si>
    <t>Non-Teaching Staff</t>
  </si>
  <si>
    <t>Syeda Samiya</t>
  </si>
  <si>
    <t>Syed Nayab Naqvi</t>
  </si>
  <si>
    <t>Co-Ordinator</t>
  </si>
  <si>
    <t>41304 8178382 2</t>
  </si>
  <si>
    <t>Naeem Ahmed</t>
  </si>
  <si>
    <t>Sahab Dino</t>
  </si>
  <si>
    <t>Guard</t>
  </si>
  <si>
    <t>45203-9721947-3</t>
  </si>
  <si>
    <t>Ijaz Ahmed</t>
  </si>
  <si>
    <t>Muhammad Ali</t>
  </si>
  <si>
    <t>Gardner</t>
  </si>
  <si>
    <t>42501-5817372-7</t>
  </si>
  <si>
    <t>Maid</t>
  </si>
  <si>
    <t>Tahira Bibi</t>
  </si>
  <si>
    <t>Abdul Majeed</t>
  </si>
  <si>
    <t>31201 6578084 1</t>
  </si>
  <si>
    <t>Haleema</t>
  </si>
  <si>
    <t>Abdul Sattar</t>
  </si>
  <si>
    <t>41105-4725771-0</t>
  </si>
  <si>
    <t>Rimsha Bibi</t>
  </si>
  <si>
    <t>Cleaner</t>
  </si>
  <si>
    <t>31201 2460819 2</t>
  </si>
  <si>
    <t>Nusrat</t>
  </si>
  <si>
    <t>Jhando Khan</t>
  </si>
  <si>
    <t>41105-8110066-6</t>
  </si>
  <si>
    <t>0003646014261000</t>
  </si>
  <si>
    <t>0003936386121000</t>
  </si>
  <si>
    <t>0003936299331000</t>
  </si>
  <si>
    <t>Shumaila</t>
  </si>
  <si>
    <t>42501-9517622-7</t>
  </si>
  <si>
    <t>0003706594221001</t>
  </si>
  <si>
    <t>Habib Ur Rehman</t>
  </si>
  <si>
    <t>Montisory Director</t>
  </si>
  <si>
    <t>42501-6502056-2</t>
  </si>
  <si>
    <t>Uzma Sheraz</t>
  </si>
  <si>
    <t>Sheraz Khan</t>
  </si>
  <si>
    <t>Montisory Teacher</t>
  </si>
  <si>
    <t>42401-1474395-4</t>
  </si>
  <si>
    <t>Salary Sheet for the Month August 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</si>
</sst>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d\-mmm\-yyyy;@"/>
    <numFmt numFmtId="165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rgb="FF000000"/>
      <name val="Calibri"/>
      <family val="2"/>
      <scheme val="minor"/>
    </font>
    <font>
      <b/>
      <sz val="20"/>
      <color theme="1"/>
      <name val="Arial"/>
      <family val="2"/>
    </font>
    <font>
      <sz val="9"/>
      <color theme="1"/>
      <name val="Calibri Light"/>
      <family val="2"/>
      <scheme val="major"/>
    </font>
    <font>
      <b/>
      <sz val="9"/>
      <color theme="1"/>
      <name val="Arial"/>
      <family val="2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Calibri Light"/>
      <family val="2"/>
      <scheme val="major"/>
    </font>
  </fonts>
  <fills count="9">
    <fill>
      <patternFill patternType="none"/>
    </fill>
    <fill>
      <patternFill patternType="gray125"/>
    </fill>
    <fill>
      <patternFill patternType="solid">
        <fgColor rgb="FFB9CCE4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0">
    <xf numFmtId="0" fontId="0" fillId="0" borderId="0" xfId="0"/>
    <xf numFmtId="0" fontId="4" fillId="0" borderId="0" xfId="0" applyFont="1"/>
    <xf numFmtId="0" fontId="4" fillId="0" borderId="0" xfId="0" applyFont="1" applyAlignment="1">
      <alignment horizontal="left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4" fontId="6" fillId="0" borderId="2" xfId="0" applyNumberFormat="1" applyFont="1" applyBorder="1" applyAlignment="1">
      <alignment horizontal="left" vertical="center"/>
    </xf>
    <xf numFmtId="0" fontId="7" fillId="8" borderId="2" xfId="0" applyFont="1" applyFill="1" applyBorder="1" applyAlignment="1">
      <alignment horizontal="center" vertical="center"/>
    </xf>
    <xf numFmtId="165" fontId="6" fillId="0" borderId="2" xfId="1" applyNumberFormat="1" applyFont="1" applyBorder="1" applyAlignment="1">
      <alignment horizontal="center" vertical="center"/>
    </xf>
    <xf numFmtId="43" fontId="6" fillId="0" borderId="3" xfId="0" applyNumberFormat="1" applyFont="1" applyBorder="1"/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164" fontId="6" fillId="0" borderId="11" xfId="0" applyNumberFormat="1" applyFont="1" applyBorder="1" applyAlignment="1">
      <alignment horizontal="left" vertical="center"/>
    </xf>
    <xf numFmtId="0" fontId="7" fillId="8" borderId="11" xfId="0" applyFont="1" applyFill="1" applyBorder="1" applyAlignment="1">
      <alignment horizontal="center" vertical="center"/>
    </xf>
    <xf numFmtId="49" fontId="8" fillId="8" borderId="11" xfId="0" applyNumberFormat="1" applyFont="1" applyFill="1" applyBorder="1" applyAlignment="1">
      <alignment horizontal="center" vertical="center"/>
    </xf>
    <xf numFmtId="165" fontId="6" fillId="0" borderId="11" xfId="1" applyNumberFormat="1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43" fontId="6" fillId="0" borderId="14" xfId="0" applyNumberFormat="1" applyFont="1" applyBorder="1"/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164" fontId="6" fillId="0" borderId="5" xfId="0" applyNumberFormat="1" applyFont="1" applyBorder="1" applyAlignment="1">
      <alignment horizontal="left" vertical="center"/>
    </xf>
    <xf numFmtId="0" fontId="7" fillId="8" borderId="5" xfId="0" applyFont="1" applyFill="1" applyBorder="1" applyAlignment="1">
      <alignment horizontal="center" vertical="center"/>
    </xf>
    <xf numFmtId="49" fontId="8" fillId="8" borderId="5" xfId="0" applyNumberFormat="1" applyFont="1" applyFill="1" applyBorder="1" applyAlignment="1">
      <alignment horizontal="center" vertical="center"/>
    </xf>
    <xf numFmtId="165" fontId="6" fillId="0" borderId="5" xfId="1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5" xfId="0" applyFont="1" applyBorder="1"/>
    <xf numFmtId="43" fontId="6" fillId="0" borderId="16" xfId="0" applyNumberFormat="1" applyFont="1" applyBorder="1"/>
    <xf numFmtId="43" fontId="6" fillId="0" borderId="2" xfId="1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164" fontId="6" fillId="0" borderId="13" xfId="0" applyNumberFormat="1" applyFont="1" applyBorder="1" applyAlignment="1">
      <alignment horizontal="left" vertical="center"/>
    </xf>
    <xf numFmtId="165" fontId="6" fillId="0" borderId="13" xfId="1" applyNumberFormat="1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7" fillId="8" borderId="19" xfId="0" applyFont="1" applyFill="1" applyBorder="1" applyAlignment="1">
      <alignment horizontal="center" vertical="center"/>
    </xf>
    <xf numFmtId="49" fontId="8" fillId="8" borderId="19" xfId="0" applyNumberFormat="1" applyFont="1" applyFill="1" applyBorder="1" applyAlignment="1">
      <alignment horizontal="center" vertical="center"/>
    </xf>
    <xf numFmtId="165" fontId="6" fillId="0" borderId="15" xfId="1" applyNumberFormat="1" applyFont="1" applyBorder="1" applyAlignment="1">
      <alignment horizontal="center" vertical="center"/>
    </xf>
    <xf numFmtId="43" fontId="0" fillId="0" borderId="0" xfId="0" applyNumberFormat="1"/>
    <xf numFmtId="43" fontId="6" fillId="0" borderId="12" xfId="0" applyNumberFormat="1" applyFont="1" applyBorder="1"/>
    <xf numFmtId="43" fontId="6" fillId="0" borderId="6" xfId="0" applyNumberFormat="1" applyFont="1" applyBorder="1"/>
    <xf numFmtId="0" fontId="7" fillId="8" borderId="13" xfId="0" applyFont="1" applyFill="1" applyBorder="1" applyAlignment="1">
      <alignment horizontal="center" vertical="center"/>
    </xf>
    <xf numFmtId="49" fontId="8" fillId="8" borderId="13" xfId="0" applyNumberFormat="1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 wrapText="1"/>
    </xf>
    <xf numFmtId="0" fontId="5" fillId="7" borderId="15" xfId="0" applyFont="1" applyFill="1" applyBorder="1" applyAlignment="1">
      <alignment horizontal="center" vertical="center" wrapText="1"/>
    </xf>
    <xf numFmtId="0" fontId="5" fillId="7" borderId="19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5" fillId="7" borderId="11" xfId="0" applyFont="1" applyFill="1" applyBorder="1" applyAlignment="1">
      <alignment horizontal="center" vertical="center" wrapText="1"/>
    </xf>
    <xf numFmtId="0" fontId="5" fillId="7" borderId="5" xfId="0" applyFont="1" applyFill="1" applyBorder="1" applyAlignment="1">
      <alignment horizontal="center" vertical="center" wrapText="1"/>
    </xf>
    <xf numFmtId="0" fontId="5" fillId="7" borderId="11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8" xfId="0" applyFont="1" applyFill="1" applyBorder="1" applyAlignment="1">
      <alignment horizontal="center"/>
    </xf>
    <xf numFmtId="0" fontId="3" fillId="3" borderId="9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5" fillId="4" borderId="17" xfId="0" applyFont="1" applyFill="1" applyBorder="1" applyAlignment="1">
      <alignment horizontal="center" vertical="center" wrapText="1"/>
    </xf>
    <xf numFmtId="0" fontId="5" fillId="4" borderId="18" xfId="0" applyFont="1" applyFill="1" applyBorder="1" applyAlignment="1">
      <alignment horizontal="center" vertical="center" wrapText="1"/>
    </xf>
    <xf numFmtId="0" fontId="5" fillId="4" borderId="15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/>
    </xf>
    <xf numFmtId="0" fontId="5" fillId="5" borderId="17" xfId="0" applyFont="1" applyFill="1" applyBorder="1" applyAlignment="1">
      <alignment horizontal="center" vertical="center" wrapText="1"/>
    </xf>
    <xf numFmtId="0" fontId="5" fillId="5" borderId="18" xfId="0" applyFont="1" applyFill="1" applyBorder="1" applyAlignment="1">
      <alignment horizontal="center" vertical="center" wrapText="1"/>
    </xf>
    <xf numFmtId="0" fontId="5" fillId="5" borderId="15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0" fontId="5" fillId="6" borderId="12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 wrapText="1"/>
    </xf>
    <xf numFmtId="0" fontId="5" fillId="5" borderId="11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3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Government-High-School\Sindhi%20Muslim\Staff%20Record\Staff%20Record%20-%20Oct-2024.xlsx" TargetMode="External"/><Relationship Id="rId1" Type="http://schemas.openxmlformats.org/officeDocument/2006/relationships/externalLinkPath" Target="/Government-High-School/Sindhi%20Muslim/Staff%20Record/Staff%20Record%20-%20Oct-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tandance"/>
      <sheetName val="Salary Sheet"/>
    </sheetNames>
    <sheetDataSet>
      <sheetData sheetId="0">
        <row r="5">
          <cell r="AJ5">
            <v>0</v>
          </cell>
          <cell r="AK5">
            <v>0</v>
          </cell>
        </row>
        <row r="20">
          <cell r="AJ20">
            <v>0</v>
          </cell>
          <cell r="AK20">
            <v>0</v>
          </cell>
        </row>
        <row r="21">
          <cell r="AJ21">
            <v>0</v>
          </cell>
          <cell r="AK21">
            <v>0</v>
          </cell>
        </row>
        <row r="22">
          <cell r="AK22">
            <v>0</v>
          </cell>
        </row>
        <row r="23">
          <cell r="AJ23">
            <v>0</v>
          </cell>
          <cell r="AK23">
            <v>0</v>
          </cell>
        </row>
        <row r="24">
          <cell r="AJ24">
            <v>0</v>
          </cell>
          <cell r="AK24">
            <v>0</v>
          </cell>
        </row>
        <row r="25">
          <cell r="AJ25">
            <v>0</v>
          </cell>
          <cell r="AK25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A5F1A-9130-449F-92CE-1960C6A6F0AF}">
  <dimension ref="A1:O31"/>
  <sheetViews>
    <sheetView tabSelected="1" topLeftCell="A10" workbookViewId="0">
      <selection activeCell="A10" sqref="A10"/>
    </sheetView>
  </sheetViews>
  <sheetFormatPr defaultRowHeight="15" x14ac:dyDescent="0.25"/>
  <cols>
    <col min="1" max="1" width="18.28515625" bestFit="1" customWidth="1"/>
    <col min="2" max="2" width="20.7109375" bestFit="1" customWidth="1"/>
    <col min="3" max="3" width="17.5703125" bestFit="1" customWidth="1"/>
    <col min="4" max="4" width="8.140625" bestFit="1" customWidth="1"/>
    <col min="5" max="5" width="13.140625" bestFit="1" customWidth="1"/>
    <col min="6" max="6" width="18" bestFit="1" customWidth="1"/>
    <col min="7" max="7" width="19.5703125" bestFit="1" customWidth="1"/>
    <col min="8" max="8" width="8.42578125" customWidth="1"/>
    <col min="9" max="9" width="5.7109375" customWidth="1"/>
    <col min="10" max="10" width="4.85546875" customWidth="1"/>
    <col min="11" max="11" width="5.85546875" customWidth="1"/>
    <col min="12" max="12" width="5.85546875" bestFit="1" customWidth="1"/>
    <col min="13" max="13" width="11.140625" customWidth="1"/>
    <col min="14" max="14" width="11.140625" bestFit="1" customWidth="1"/>
    <col min="15" max="15" width="10.5703125" bestFit="1" customWidth="1"/>
  </cols>
  <sheetData>
    <row r="1" spans="1:15" ht="21" x14ac:dyDescent="0.25">
      <c r="A1" s="70" t="s">
        <v>86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2"/>
    </row>
    <row r="2" spans="1:15" ht="21.75" thickBot="1" x14ac:dyDescent="0.3">
      <c r="A2" s="73" t="s">
        <v>0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5"/>
    </row>
    <row r="3" spans="1:15" ht="15.75" thickBot="1" x14ac:dyDescent="0.3"/>
    <row r="4" spans="1:15" ht="27" thickBot="1" x14ac:dyDescent="0.45">
      <c r="A4" s="48" t="s">
        <v>1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50"/>
    </row>
    <row r="5" spans="1:15" ht="15.75" thickBot="1" x14ac:dyDescent="0.3">
      <c r="A5" s="1"/>
      <c r="B5" s="1"/>
      <c r="C5" s="1"/>
      <c r="D5" s="1"/>
      <c r="E5" s="2"/>
      <c r="F5" s="1"/>
      <c r="G5" s="1"/>
      <c r="H5" s="1"/>
      <c r="I5" s="1"/>
      <c r="J5" s="1"/>
      <c r="K5" s="1"/>
      <c r="L5" s="1"/>
      <c r="M5" s="1"/>
      <c r="N5" s="1"/>
    </row>
    <row r="6" spans="1:15" x14ac:dyDescent="0.25">
      <c r="A6" s="51" t="s">
        <v>2</v>
      </c>
      <c r="B6" s="54" t="s">
        <v>3</v>
      </c>
      <c r="C6" s="54" t="s">
        <v>4</v>
      </c>
      <c r="D6" s="54" t="s">
        <v>5</v>
      </c>
      <c r="E6" s="57" t="s">
        <v>6</v>
      </c>
      <c r="F6" s="57" t="s">
        <v>7</v>
      </c>
      <c r="G6" s="57" t="s">
        <v>8</v>
      </c>
      <c r="H6" s="57" t="s">
        <v>9</v>
      </c>
      <c r="I6" s="76" t="s">
        <v>10</v>
      </c>
      <c r="J6" s="76"/>
      <c r="K6" s="76"/>
      <c r="L6" s="76"/>
      <c r="M6" s="77" t="s">
        <v>11</v>
      </c>
      <c r="N6" s="67" t="s">
        <v>12</v>
      </c>
    </row>
    <row r="7" spans="1:15" x14ac:dyDescent="0.25">
      <c r="A7" s="52"/>
      <c r="B7" s="55"/>
      <c r="C7" s="55"/>
      <c r="D7" s="55"/>
      <c r="E7" s="58"/>
      <c r="F7" s="55"/>
      <c r="G7" s="58"/>
      <c r="H7" s="58"/>
      <c r="I7" s="44" t="s">
        <v>13</v>
      </c>
      <c r="J7" s="44" t="s">
        <v>14</v>
      </c>
      <c r="K7" s="44" t="s">
        <v>15</v>
      </c>
      <c r="L7" s="46" t="s">
        <v>16</v>
      </c>
      <c r="M7" s="78"/>
      <c r="N7" s="68"/>
    </row>
    <row r="8" spans="1:15" ht="15.75" thickBot="1" x14ac:dyDescent="0.3">
      <c r="A8" s="53"/>
      <c r="B8" s="56"/>
      <c r="C8" s="56"/>
      <c r="D8" s="56"/>
      <c r="E8" s="59"/>
      <c r="F8" s="56"/>
      <c r="G8" s="59"/>
      <c r="H8" s="59"/>
      <c r="I8" s="45"/>
      <c r="J8" s="45"/>
      <c r="K8" s="45"/>
      <c r="L8" s="47"/>
      <c r="M8" s="79"/>
      <c r="N8" s="69"/>
    </row>
    <row r="9" spans="1:15" x14ac:dyDescent="0.25">
      <c r="A9" s="27" t="s">
        <v>17</v>
      </c>
      <c r="B9" s="15" t="s">
        <v>18</v>
      </c>
      <c r="C9" s="15" t="s">
        <v>19</v>
      </c>
      <c r="D9" s="15" t="s">
        <v>20</v>
      </c>
      <c r="E9" s="28">
        <v>44774</v>
      </c>
      <c r="F9" s="37" t="s">
        <v>21</v>
      </c>
      <c r="G9" s="38" t="s">
        <v>22</v>
      </c>
      <c r="H9" s="29">
        <v>22000</v>
      </c>
      <c r="I9" s="15">
        <v>30</v>
      </c>
      <c r="J9" s="15">
        <v>24</v>
      </c>
      <c r="K9" s="15">
        <v>6</v>
      </c>
      <c r="L9" s="15">
        <f>[1]Attandance!AK5</f>
        <v>0</v>
      </c>
      <c r="M9" s="15"/>
      <c r="N9" s="16">
        <v>17600</v>
      </c>
      <c r="O9" s="34"/>
    </row>
    <row r="10" spans="1:15" x14ac:dyDescent="0.25">
      <c r="A10" s="9" t="s">
        <v>23</v>
      </c>
      <c r="B10" s="10" t="s">
        <v>24</v>
      </c>
      <c r="C10" s="10" t="s">
        <v>19</v>
      </c>
      <c r="D10" s="10" t="s">
        <v>20</v>
      </c>
      <c r="E10" s="11">
        <v>44774</v>
      </c>
      <c r="F10" s="12" t="s">
        <v>25</v>
      </c>
      <c r="G10" s="13" t="s">
        <v>26</v>
      </c>
      <c r="H10" s="14">
        <v>15000</v>
      </c>
      <c r="I10" s="10">
        <v>30</v>
      </c>
      <c r="J10" s="15">
        <v>24</v>
      </c>
      <c r="K10" s="10">
        <v>6</v>
      </c>
      <c r="L10" s="10">
        <v>0</v>
      </c>
      <c r="M10" s="10"/>
      <c r="N10" s="35">
        <v>12000</v>
      </c>
      <c r="O10" s="34"/>
    </row>
    <row r="11" spans="1:15" x14ac:dyDescent="0.25">
      <c r="A11" s="9" t="s">
        <v>27</v>
      </c>
      <c r="B11" s="10" t="s">
        <v>28</v>
      </c>
      <c r="C11" s="10" t="s">
        <v>19</v>
      </c>
      <c r="D11" s="10" t="s">
        <v>20</v>
      </c>
      <c r="E11" s="11">
        <v>45198</v>
      </c>
      <c r="F11" s="12" t="s">
        <v>29</v>
      </c>
      <c r="G11" s="13" t="s">
        <v>30</v>
      </c>
      <c r="H11" s="14">
        <v>15000</v>
      </c>
      <c r="I11" s="10">
        <v>30</v>
      </c>
      <c r="J11" s="15">
        <v>25</v>
      </c>
      <c r="K11" s="10">
        <v>5</v>
      </c>
      <c r="L11" s="10">
        <v>0</v>
      </c>
      <c r="M11" s="10"/>
      <c r="N11" s="35">
        <v>12500</v>
      </c>
      <c r="O11" s="34"/>
    </row>
    <row r="12" spans="1:15" x14ac:dyDescent="0.25">
      <c r="A12" s="9" t="s">
        <v>31</v>
      </c>
      <c r="B12" s="10" t="s">
        <v>32</v>
      </c>
      <c r="C12" s="10" t="s">
        <v>19</v>
      </c>
      <c r="D12" s="10" t="s">
        <v>20</v>
      </c>
      <c r="E12" s="11">
        <v>45323</v>
      </c>
      <c r="F12" s="12" t="s">
        <v>33</v>
      </c>
      <c r="G12" s="13" t="s">
        <v>34</v>
      </c>
      <c r="H12" s="14">
        <v>25000</v>
      </c>
      <c r="I12" s="10">
        <v>30</v>
      </c>
      <c r="J12" s="10">
        <v>28</v>
      </c>
      <c r="K12" s="10">
        <v>2</v>
      </c>
      <c r="L12" s="10">
        <v>0</v>
      </c>
      <c r="M12" s="10"/>
      <c r="N12" s="35">
        <v>23333.33</v>
      </c>
      <c r="O12" s="34"/>
    </row>
    <row r="13" spans="1:15" x14ac:dyDescent="0.25">
      <c r="A13" s="9" t="s">
        <v>35</v>
      </c>
      <c r="B13" s="10" t="s">
        <v>36</v>
      </c>
      <c r="C13" s="10" t="s">
        <v>19</v>
      </c>
      <c r="D13" s="10" t="s">
        <v>20</v>
      </c>
      <c r="E13" s="11">
        <v>45536</v>
      </c>
      <c r="F13" s="12" t="s">
        <v>37</v>
      </c>
      <c r="G13" s="13" t="s">
        <v>38</v>
      </c>
      <c r="H13" s="14">
        <v>20000</v>
      </c>
      <c r="I13" s="10">
        <v>30</v>
      </c>
      <c r="J13" s="10">
        <v>0</v>
      </c>
      <c r="K13" s="10">
        <v>0</v>
      </c>
      <c r="L13" s="10">
        <v>0</v>
      </c>
      <c r="M13" s="10"/>
      <c r="N13" s="35">
        <v>20000</v>
      </c>
      <c r="O13" s="34"/>
    </row>
    <row r="14" spans="1:15" x14ac:dyDescent="0.25">
      <c r="A14" s="9" t="s">
        <v>39</v>
      </c>
      <c r="B14" s="10" t="s">
        <v>40</v>
      </c>
      <c r="C14" s="10" t="s">
        <v>41</v>
      </c>
      <c r="D14" s="10" t="s">
        <v>20</v>
      </c>
      <c r="E14" s="11">
        <v>45566</v>
      </c>
      <c r="F14" s="12" t="s">
        <v>42</v>
      </c>
      <c r="G14" s="13" t="s">
        <v>38</v>
      </c>
      <c r="H14" s="14">
        <v>30000</v>
      </c>
      <c r="I14" s="10">
        <v>30</v>
      </c>
      <c r="J14" s="10">
        <v>0</v>
      </c>
      <c r="K14" s="10">
        <v>0</v>
      </c>
      <c r="L14" s="10">
        <v>0</v>
      </c>
      <c r="M14" s="10"/>
      <c r="N14" s="35">
        <v>30000</v>
      </c>
      <c r="O14" s="34"/>
    </row>
    <row r="15" spans="1:15" x14ac:dyDescent="0.25">
      <c r="A15" s="9" t="s">
        <v>76</v>
      </c>
      <c r="B15" s="10" t="s">
        <v>79</v>
      </c>
      <c r="C15" s="10" t="s">
        <v>80</v>
      </c>
      <c r="D15" s="10" t="s">
        <v>20</v>
      </c>
      <c r="E15" s="11">
        <v>45597</v>
      </c>
      <c r="F15" s="12" t="s">
        <v>81</v>
      </c>
      <c r="G15" s="13" t="s">
        <v>78</v>
      </c>
      <c r="H15" s="14">
        <v>30000</v>
      </c>
      <c r="I15" s="10">
        <v>30</v>
      </c>
      <c r="J15" s="10">
        <v>0</v>
      </c>
      <c r="K15" s="10">
        <v>0</v>
      </c>
      <c r="L15" s="10">
        <v>0</v>
      </c>
      <c r="M15" s="10"/>
      <c r="N15" s="35">
        <v>30000</v>
      </c>
      <c r="O15" s="34"/>
    </row>
    <row r="16" spans="1:15" x14ac:dyDescent="0.25">
      <c r="A16" s="39" t="s">
        <v>82</v>
      </c>
      <c r="B16" s="30" t="s">
        <v>83</v>
      </c>
      <c r="C16" s="10" t="s">
        <v>84</v>
      </c>
      <c r="D16" s="10" t="s">
        <v>20</v>
      </c>
      <c r="E16" s="11">
        <v>45597</v>
      </c>
      <c r="F16" s="31" t="s">
        <v>85</v>
      </c>
      <c r="G16" s="32" t="s">
        <v>38</v>
      </c>
      <c r="H16" s="14">
        <v>26000</v>
      </c>
      <c r="I16" s="10">
        <v>30</v>
      </c>
      <c r="J16" s="10">
        <v>0</v>
      </c>
      <c r="K16" s="10">
        <v>0</v>
      </c>
      <c r="L16" s="10">
        <v>0</v>
      </c>
      <c r="M16" s="10"/>
      <c r="N16" s="35">
        <v>26000</v>
      </c>
      <c r="O16" s="34"/>
    </row>
    <row r="17" spans="1:14" ht="15.75" thickBot="1" x14ac:dyDescent="0.3">
      <c r="A17" s="17" t="s">
        <v>43</v>
      </c>
      <c r="B17" s="18" t="s">
        <v>44</v>
      </c>
      <c r="C17" s="18" t="s">
        <v>45</v>
      </c>
      <c r="D17" s="18" t="s">
        <v>20</v>
      </c>
      <c r="E17" s="19">
        <v>45559</v>
      </c>
      <c r="F17" s="20" t="s">
        <v>77</v>
      </c>
      <c r="G17" s="21" t="s">
        <v>46</v>
      </c>
      <c r="H17" s="22">
        <v>28000</v>
      </c>
      <c r="I17" s="18">
        <v>30</v>
      </c>
      <c r="J17" s="18">
        <v>0</v>
      </c>
      <c r="K17" s="18">
        <v>0</v>
      </c>
      <c r="L17" s="18">
        <v>0</v>
      </c>
      <c r="M17" s="24"/>
      <c r="N17" s="36">
        <v>28000</v>
      </c>
    </row>
    <row r="18" spans="1:14" x14ac:dyDescent="0.25">
      <c r="A18" s="1"/>
      <c r="B18" s="1"/>
      <c r="C18" s="1"/>
      <c r="D18" s="1"/>
      <c r="E18" s="2"/>
      <c r="F18" s="1"/>
      <c r="G18" s="1"/>
      <c r="H18" s="1"/>
      <c r="I18" s="1"/>
      <c r="J18" s="1"/>
      <c r="K18" s="1"/>
      <c r="L18" s="1"/>
      <c r="M18" s="1"/>
      <c r="N18" s="1"/>
    </row>
    <row r="19" spans="1:14" ht="15.75" thickBot="1" x14ac:dyDescent="0.3">
      <c r="A19" s="1"/>
      <c r="B19" s="1"/>
      <c r="C19" s="1"/>
      <c r="D19" s="1"/>
      <c r="E19" s="2"/>
      <c r="F19" s="1"/>
      <c r="G19" s="1"/>
      <c r="H19" s="1"/>
      <c r="I19" s="1"/>
      <c r="J19" s="1"/>
      <c r="K19" s="1"/>
      <c r="L19" s="1"/>
      <c r="M19" s="1"/>
      <c r="N19" s="1"/>
    </row>
    <row r="20" spans="1:14" ht="27" thickBot="1" x14ac:dyDescent="0.45">
      <c r="A20" s="48" t="s">
        <v>47</v>
      </c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50"/>
    </row>
    <row r="21" spans="1:14" ht="15.75" thickBot="1" x14ac:dyDescent="0.3">
      <c r="A21" s="1"/>
      <c r="B21" s="1"/>
      <c r="C21" s="1"/>
      <c r="D21" s="1"/>
      <c r="E21" s="2"/>
      <c r="F21" s="1"/>
      <c r="G21" s="1"/>
      <c r="H21" s="1"/>
      <c r="I21" s="1"/>
      <c r="J21" s="1"/>
      <c r="K21" s="1"/>
      <c r="L21" s="1"/>
      <c r="M21" s="1"/>
      <c r="N21" s="1"/>
    </row>
    <row r="22" spans="1:14" x14ac:dyDescent="0.25">
      <c r="A22" s="51" t="s">
        <v>2</v>
      </c>
      <c r="B22" s="54" t="s">
        <v>3</v>
      </c>
      <c r="C22" s="54" t="s">
        <v>4</v>
      </c>
      <c r="D22" s="54" t="s">
        <v>5</v>
      </c>
      <c r="E22" s="57" t="s">
        <v>6</v>
      </c>
      <c r="F22" s="57" t="s">
        <v>7</v>
      </c>
      <c r="G22" s="60" t="s">
        <v>8</v>
      </c>
      <c r="H22" s="60" t="s">
        <v>9</v>
      </c>
      <c r="I22" s="63" t="s">
        <v>10</v>
      </c>
      <c r="J22" s="63"/>
      <c r="K22" s="63"/>
      <c r="L22" s="63"/>
      <c r="M22" s="64" t="s">
        <v>11</v>
      </c>
      <c r="N22" s="67" t="s">
        <v>12</v>
      </c>
    </row>
    <row r="23" spans="1:14" x14ac:dyDescent="0.25">
      <c r="A23" s="52"/>
      <c r="B23" s="55"/>
      <c r="C23" s="55"/>
      <c r="D23" s="55"/>
      <c r="E23" s="58"/>
      <c r="F23" s="55"/>
      <c r="G23" s="61"/>
      <c r="H23" s="61"/>
      <c r="I23" s="40" t="s">
        <v>13</v>
      </c>
      <c r="J23" s="40" t="s">
        <v>14</v>
      </c>
      <c r="K23" s="40" t="s">
        <v>15</v>
      </c>
      <c r="L23" s="42" t="s">
        <v>16</v>
      </c>
      <c r="M23" s="65"/>
      <c r="N23" s="68"/>
    </row>
    <row r="24" spans="1:14" ht="15.75" thickBot="1" x14ac:dyDescent="0.3">
      <c r="A24" s="53"/>
      <c r="B24" s="56"/>
      <c r="C24" s="56"/>
      <c r="D24" s="56"/>
      <c r="E24" s="59"/>
      <c r="F24" s="56"/>
      <c r="G24" s="62"/>
      <c r="H24" s="62"/>
      <c r="I24" s="41"/>
      <c r="J24" s="41"/>
      <c r="K24" s="41"/>
      <c r="L24" s="43"/>
      <c r="M24" s="66"/>
      <c r="N24" s="69"/>
    </row>
    <row r="25" spans="1:14" x14ac:dyDescent="0.25">
      <c r="A25" s="3" t="s">
        <v>48</v>
      </c>
      <c r="B25" s="4" t="s">
        <v>49</v>
      </c>
      <c r="C25" s="4" t="s">
        <v>50</v>
      </c>
      <c r="D25" s="4" t="s">
        <v>20</v>
      </c>
      <c r="E25" s="5">
        <v>44475</v>
      </c>
      <c r="F25" s="6" t="s">
        <v>51</v>
      </c>
      <c r="G25" s="13" t="s">
        <v>75</v>
      </c>
      <c r="H25" s="7">
        <v>60000</v>
      </c>
      <c r="I25" s="4">
        <v>30</v>
      </c>
      <c r="J25" s="4">
        <v>0</v>
      </c>
      <c r="K25" s="4">
        <v>0</v>
      </c>
      <c r="L25" s="4">
        <v>0</v>
      </c>
      <c r="M25" s="26">
        <v>25000</v>
      </c>
      <c r="N25" s="8">
        <v>85000</v>
      </c>
    </row>
    <row r="26" spans="1:14" x14ac:dyDescent="0.25">
      <c r="A26" s="27" t="s">
        <v>52</v>
      </c>
      <c r="B26" s="10" t="s">
        <v>53</v>
      </c>
      <c r="C26" s="15" t="s">
        <v>54</v>
      </c>
      <c r="D26" s="15" t="s">
        <v>20</v>
      </c>
      <c r="E26" s="28">
        <v>45468</v>
      </c>
      <c r="F26" s="12" t="s">
        <v>55</v>
      </c>
      <c r="G26" s="13" t="s">
        <v>74</v>
      </c>
      <c r="H26" s="29">
        <v>24000</v>
      </c>
      <c r="I26" s="15">
        <v>30</v>
      </c>
      <c r="J26" s="15">
        <v>0</v>
      </c>
      <c r="K26" s="15">
        <f>[1]Attandance!AJ20</f>
        <v>0</v>
      </c>
      <c r="L26" s="15">
        <f>[1]Attandance!AK20</f>
        <v>0</v>
      </c>
      <c r="M26" s="15"/>
      <c r="N26" s="16">
        <v>24000</v>
      </c>
    </row>
    <row r="27" spans="1:14" x14ac:dyDescent="0.25">
      <c r="A27" s="27" t="s">
        <v>56</v>
      </c>
      <c r="B27" s="10" t="s">
        <v>57</v>
      </c>
      <c r="C27" s="15" t="s">
        <v>58</v>
      </c>
      <c r="D27" s="15" t="s">
        <v>20</v>
      </c>
      <c r="E27" s="28">
        <v>45505</v>
      </c>
      <c r="F27" s="12" t="s">
        <v>59</v>
      </c>
      <c r="G27" s="13" t="s">
        <v>73</v>
      </c>
      <c r="H27" s="29">
        <v>8000</v>
      </c>
      <c r="I27" s="15">
        <v>30</v>
      </c>
      <c r="J27" s="15">
        <v>0</v>
      </c>
      <c r="K27" s="15">
        <f>[1]Attandance!AJ21</f>
        <v>0</v>
      </c>
      <c r="L27" s="15">
        <f>[1]Attandance!AK21</f>
        <v>0</v>
      </c>
      <c r="M27" s="15"/>
      <c r="N27" s="16">
        <v>8000</v>
      </c>
    </row>
    <row r="28" spans="1:14" x14ac:dyDescent="0.25">
      <c r="A28" s="27" t="s">
        <v>70</v>
      </c>
      <c r="B28" s="10" t="s">
        <v>71</v>
      </c>
      <c r="C28" s="15" t="s">
        <v>68</v>
      </c>
      <c r="D28" s="15" t="s">
        <v>20</v>
      </c>
      <c r="E28" s="28">
        <v>45597</v>
      </c>
      <c r="F28" s="12" t="s">
        <v>72</v>
      </c>
      <c r="G28" s="13" t="s">
        <v>38</v>
      </c>
      <c r="H28" s="29">
        <v>15000</v>
      </c>
      <c r="I28" s="15">
        <v>30</v>
      </c>
      <c r="J28" s="15">
        <v>0</v>
      </c>
      <c r="K28" s="15">
        <v>0</v>
      </c>
      <c r="L28" s="15">
        <f>[1]Attandance!AK22</f>
        <v>0</v>
      </c>
      <c r="M28" s="15"/>
      <c r="N28" s="16">
        <v>15000</v>
      </c>
    </row>
    <row r="29" spans="1:14" x14ac:dyDescent="0.25">
      <c r="A29" s="27" t="s">
        <v>61</v>
      </c>
      <c r="B29" s="10" t="s">
        <v>62</v>
      </c>
      <c r="C29" s="15" t="s">
        <v>60</v>
      </c>
      <c r="D29" s="15" t="s">
        <v>20</v>
      </c>
      <c r="E29" s="28">
        <v>44967</v>
      </c>
      <c r="F29" s="12" t="s">
        <v>63</v>
      </c>
      <c r="G29" s="13" t="s">
        <v>38</v>
      </c>
      <c r="H29" s="29">
        <v>15000</v>
      </c>
      <c r="I29" s="15">
        <v>30</v>
      </c>
      <c r="J29" s="15">
        <v>0</v>
      </c>
      <c r="K29" s="15">
        <f>[1]Attandance!AJ23</f>
        <v>0</v>
      </c>
      <c r="L29" s="15">
        <f>[1]Attandance!AK23</f>
        <v>0</v>
      </c>
      <c r="M29" s="15"/>
      <c r="N29" s="16">
        <v>15000</v>
      </c>
    </row>
    <row r="30" spans="1:14" x14ac:dyDescent="0.25">
      <c r="A30" s="27" t="s">
        <v>64</v>
      </c>
      <c r="B30" s="30" t="s">
        <v>65</v>
      </c>
      <c r="C30" s="15" t="s">
        <v>60</v>
      </c>
      <c r="D30" s="15" t="s">
        <v>20</v>
      </c>
      <c r="E30" s="28">
        <v>45587</v>
      </c>
      <c r="F30" s="31" t="s">
        <v>66</v>
      </c>
      <c r="G30" s="32" t="s">
        <v>38</v>
      </c>
      <c r="H30" s="29">
        <v>15000</v>
      </c>
      <c r="I30" s="15">
        <v>30</v>
      </c>
      <c r="J30" s="15">
        <v>0</v>
      </c>
      <c r="K30" s="15">
        <f>[1]Attandance!AJ24</f>
        <v>0</v>
      </c>
      <c r="L30" s="15">
        <f>[1]Attandance!AK24</f>
        <v>0</v>
      </c>
      <c r="M30" s="10"/>
      <c r="N30" s="16">
        <v>15000</v>
      </c>
    </row>
    <row r="31" spans="1:14" ht="15.75" thickBot="1" x14ac:dyDescent="0.3">
      <c r="A31" s="17" t="s">
        <v>67</v>
      </c>
      <c r="B31" s="18" t="s">
        <v>62</v>
      </c>
      <c r="C31" s="23" t="s">
        <v>68</v>
      </c>
      <c r="D31" s="23" t="s">
        <v>20</v>
      </c>
      <c r="E31" s="19">
        <v>44959</v>
      </c>
      <c r="F31" s="20" t="s">
        <v>69</v>
      </c>
      <c r="G31" s="21" t="s">
        <v>38</v>
      </c>
      <c r="H31" s="33">
        <v>15000</v>
      </c>
      <c r="I31" s="23">
        <v>30</v>
      </c>
      <c r="J31" s="23">
        <v>0</v>
      </c>
      <c r="K31" s="23">
        <f>[1]Attandance!AJ25</f>
        <v>0</v>
      </c>
      <c r="L31" s="23">
        <f>[1]Attandance!AK25</f>
        <v>0</v>
      </c>
      <c r="M31" s="23"/>
      <c r="N31" s="25">
        <v>15000</v>
      </c>
    </row>
  </sheetData>
  <mergeCells count="34">
    <mergeCell ref="I7:I8"/>
    <mergeCell ref="J7:J8"/>
    <mergeCell ref="I23:I24"/>
    <mergeCell ref="J23:J24"/>
    <mergeCell ref="A1:N1"/>
    <mergeCell ref="A2:N2"/>
    <mergeCell ref="A4:N4"/>
    <mergeCell ref="A6:A8"/>
    <mergeCell ref="B6:B8"/>
    <mergeCell ref="C6:C8"/>
    <mergeCell ref="D6:D8"/>
    <mergeCell ref="E6:E8"/>
    <mergeCell ref="F6:F8"/>
    <mergeCell ref="G6:G8"/>
    <mergeCell ref="H6:H8"/>
    <mergeCell ref="I6:L6"/>
    <mergeCell ref="M6:M8"/>
    <mergeCell ref="N6:N8"/>
    <mergeCell ref="K23:K24"/>
    <mergeCell ref="L23:L24"/>
    <mergeCell ref="K7:K8"/>
    <mergeCell ref="L7:L8"/>
    <mergeCell ref="A20:N20"/>
    <mergeCell ref="A22:A24"/>
    <mergeCell ref="B22:B24"/>
    <mergeCell ref="C22:C24"/>
    <mergeCell ref="D22:D24"/>
    <mergeCell ref="E22:E24"/>
    <mergeCell ref="F22:F24"/>
    <mergeCell ref="G22:G24"/>
    <mergeCell ref="H22:H24"/>
    <mergeCell ref="I22:L22"/>
    <mergeCell ref="M22:M24"/>
    <mergeCell ref="N22:N24"/>
  </mergeCells>
  <conditionalFormatting sqref="B25:B30">
    <cfRule type="expression" dxfId="2" priority="3">
      <formula>$C25=#REF!</formula>
    </cfRule>
  </conditionalFormatting>
  <conditionalFormatting sqref="B9:M9 B10:C11 M10:M16 D10:L17 C12:C16">
    <cfRule type="expression" dxfId="1" priority="4">
      <formula>$C9=#REF!</formula>
    </cfRule>
  </conditionalFormatting>
  <conditionalFormatting sqref="C25:M31">
    <cfRule type="expression" dxfId="0" priority="1">
      <formula>$C25=#REF!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dcterms:created xsi:type="dcterms:W3CDTF">2024-11-08T06:08:06Z</dcterms:created>
  <dcterms:modified xsi:type="dcterms:W3CDTF">2025-03-15T07:07:50Z</dcterms:modified>
</cp:coreProperties>
</file>