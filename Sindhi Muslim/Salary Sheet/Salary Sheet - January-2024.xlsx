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999C2EFC-9937-4F35-AD98-C06326BFC88A}" xr6:coauthVersionLast="47" xr6:coauthVersionMax="47" xr10:uidLastSave="{00000000-0000-0000-0000-000000000000}"/>
  <bookViews>
    <workbookView xWindow="-120" yWindow="-120" windowWidth="20730" windowHeight="11160" xr2:uid="{92CE3A9B-E618-454F-A242-AE026DF5BDF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29" i="1"/>
  <c r="K28" i="1"/>
  <c r="K26" i="1"/>
  <c r="K25" i="1"/>
</calcChain>
</file>

<file path=xl/sharedStrings.xml><?xml version="1.0" encoding="utf-8"?>
<sst xmlns="http://schemas.openxmlformats.org/spreadsheetml/2006/main" count="126" uniqueCount="83">
  <si>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</si>
  <si>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</si>
  <si>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</si>
  <si>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</si>
  <si>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</si>
  <si>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</si>
  <si>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</si>
  <si>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</si>
  <si>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</si>
  <si>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</si>
  <si>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</si>
  <si>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</si>
  <si>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</si>
  <si>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</si>
  <si>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</si>
  <si>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</si>
  <si>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</si>
  <si>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</si>
  <si>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</si>
  <si>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</si>
  <si>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</si>
  <si>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</si>
  <si>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</si>
  <si>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</si>
  <si>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</si>
  <si>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</si>
  <si>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</si>
  <si>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</si>
  <si>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</si>
  <si>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</si>
  <si>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</si>
  <si>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</si>
  <si>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</si>
  <si>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</si>
  <si>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</si>
  <si>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</si>
  <si>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</si>
  <si>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</si>
  <si>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</si>
  <si>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</si>
  <si>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</si>
  <si>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</si>
  <si>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</si>
  <si>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Fayyaz Muhammad</t>
  </si>
  <si>
    <t>Fida Muhammad</t>
  </si>
  <si>
    <t>IT Teacher</t>
  </si>
  <si>
    <t>Non-Teaching Staff</t>
  </si>
  <si>
    <t>Syeda Samiya</t>
  </si>
  <si>
    <t>Syed Nayab Naqvi</t>
  </si>
  <si>
    <t>Co-Ordinator</t>
  </si>
  <si>
    <t>41304 8178382 2</t>
  </si>
  <si>
    <t>Naeem Ahmed</t>
  </si>
  <si>
    <t>Sahab Dino</t>
  </si>
  <si>
    <t>Guard</t>
  </si>
  <si>
    <t>45203-9721947-3</t>
  </si>
  <si>
    <t>Ijaz Ahmed</t>
  </si>
  <si>
    <t>Muhammad Ali</t>
  </si>
  <si>
    <t>Gardner</t>
  </si>
  <si>
    <t>42501-5817372-7</t>
  </si>
  <si>
    <t>Maid</t>
  </si>
  <si>
    <t>Tahira Bibi</t>
  </si>
  <si>
    <t>Abdul Majeed</t>
  </si>
  <si>
    <t>Haleema</t>
  </si>
  <si>
    <t>Abdul Sattar</t>
  </si>
  <si>
    <t>41105-4725771-0</t>
  </si>
  <si>
    <t>Rimsha Bibi</t>
  </si>
  <si>
    <t>Cleaner</t>
  </si>
  <si>
    <t>31201 2460819 2</t>
  </si>
  <si>
    <t>Nusrat</t>
  </si>
  <si>
    <t>Jhando Khan</t>
  </si>
  <si>
    <t>41105-8110066-6</t>
  </si>
  <si>
    <t>0003646014261000</t>
  </si>
  <si>
    <t>0003936386121000</t>
  </si>
  <si>
    <t>0003936299331000</t>
  </si>
  <si>
    <t>Shumaila</t>
  </si>
  <si>
    <t>42501-9517622-7</t>
  </si>
  <si>
    <t>0003706594221001</t>
  </si>
  <si>
    <t>Habib Ur Rehman</t>
  </si>
  <si>
    <t>Montisory Director</t>
  </si>
  <si>
    <t>42501-6502056-2</t>
  </si>
  <si>
    <t>31201-6578084-1</t>
  </si>
  <si>
    <t>Signature</t>
  </si>
  <si>
    <t>Salary Sheet for the Month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</si>
</sst>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0"/>
      <color theme="1"/>
      <name val="Arial"/>
      <family val="2"/>
    </font>
    <font>
      <sz val="9"/>
      <color theme="1"/>
      <name val="Calibri Light"/>
      <family val="2"/>
      <scheme val="major"/>
    </font>
    <font>
      <b/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5" fontId="6" fillId="0" borderId="8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left" vertical="center"/>
    </xf>
    <xf numFmtId="0" fontId="7" fillId="8" borderId="5" xfId="0" applyFont="1" applyFill="1" applyBorder="1" applyAlignment="1">
      <alignment horizontal="center" vertical="center"/>
    </xf>
    <xf numFmtId="49" fontId="8" fillId="8" borderId="5" xfId="0" applyNumberFormat="1" applyFont="1" applyFill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0" fontId="6" fillId="0" borderId="5" xfId="0" applyFont="1" applyBorder="1"/>
    <xf numFmtId="0" fontId="6" fillId="0" borderId="12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left" vertical="center"/>
    </xf>
    <xf numFmtId="165" fontId="6" fillId="0" borderId="10" xfId="1" applyNumberFormat="1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43" fontId="6" fillId="0" borderId="8" xfId="0" applyNumberFormat="1" applyFont="1" applyBorder="1"/>
    <xf numFmtId="0" fontId="5" fillId="6" borderId="2" xfId="0" applyFont="1" applyFill="1" applyBorder="1" applyAlignment="1">
      <alignment horizontal="center" vertical="center" wrapText="1"/>
    </xf>
    <xf numFmtId="43" fontId="0" fillId="0" borderId="9" xfId="0" applyNumberFormat="1" applyBorder="1"/>
    <xf numFmtId="43" fontId="6" fillId="0" borderId="5" xfId="0" applyNumberFormat="1" applyFont="1" applyBorder="1"/>
    <xf numFmtId="43" fontId="0" fillId="0" borderId="6" xfId="0" applyNumberFormat="1" applyBorder="1"/>
    <xf numFmtId="43" fontId="6" fillId="0" borderId="10" xfId="0" applyNumberFormat="1" applyFont="1" applyBorder="1"/>
    <xf numFmtId="43" fontId="0" fillId="0" borderId="11" xfId="0" applyNumberFormat="1" applyBorder="1"/>
    <xf numFmtId="0" fontId="5" fillId="6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9" xfId="0" applyBorder="1"/>
    <xf numFmtId="0" fontId="0" fillId="0" borderId="6" xfId="0" applyBorder="1"/>
    <xf numFmtId="43" fontId="6" fillId="0" borderId="10" xfId="1" applyFont="1" applyBorder="1" applyAlignment="1">
      <alignment horizontal="center" vertical="center"/>
    </xf>
    <xf numFmtId="165" fontId="0" fillId="0" borderId="11" xfId="0" applyNumberFormat="1" applyBorder="1"/>
  </cellXfs>
  <cellStyles count="2">
    <cellStyle name="Comma" xfId="1" builtinId="3"/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overnment-High-School\Sindhi%20Muslim\Staff%20Record\Staff%20Record%20-%20Oct-2024.xlsx" TargetMode="External"/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andance"/>
      <sheetName val="Salary Sheet"/>
    </sheetNames>
    <sheetDataSet>
      <sheetData sheetId="0">
        <row r="5">
          <cell r="AK5">
            <v>0</v>
          </cell>
        </row>
        <row r="20">
          <cell r="AJ20">
            <v>0</v>
          </cell>
        </row>
        <row r="21">
          <cell r="AJ21">
            <v>0</v>
          </cell>
        </row>
        <row r="23">
          <cell r="AJ23">
            <v>0</v>
          </cell>
        </row>
        <row r="24">
          <cell r="AJ24">
            <v>0</v>
          </cell>
        </row>
        <row r="25">
          <cell r="AJ2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5F1A-9130-449F-92CE-1960C6A6F0AF}">
  <dimension ref="A1:O30"/>
  <sheetViews>
    <sheetView tabSelected="1" topLeftCell="A15" workbookViewId="0">
      <selection activeCell="O24" sqref="O24"/>
    </sheetView>
  </sheetViews>
  <sheetFormatPr defaultRowHeight="15" x14ac:dyDescent="0.25"/>
  <cols>
    <col min="1" max="1" width="18.28515625" bestFit="1" customWidth="1"/>
    <col min="2" max="2" width="20.7109375" bestFit="1" customWidth="1"/>
    <col min="3" max="3" width="17.5703125" bestFit="1" customWidth="1"/>
    <col min="4" max="4" width="8.140625" bestFit="1" customWidth="1"/>
    <col min="5" max="5" width="13.140625" bestFit="1" customWidth="1"/>
    <col min="6" max="6" width="18" bestFit="1" customWidth="1"/>
    <col min="7" max="7" width="19.5703125" bestFit="1" customWidth="1"/>
    <col min="8" max="8" width="8.42578125" customWidth="1"/>
    <col min="9" max="9" width="5.7109375" customWidth="1"/>
    <col min="10" max="10" width="4.85546875" customWidth="1"/>
    <col min="11" max="11" width="5.85546875" customWidth="1"/>
    <col min="12" max="12" width="5.85546875" bestFit="1" customWidth="1"/>
    <col min="13" max="13" width="11.140625" customWidth="1"/>
    <col min="14" max="14" width="11.140625" bestFit="1" customWidth="1"/>
    <col min="15" max="15" width="16.42578125" customWidth="1"/>
  </cols>
  <sheetData>
    <row r="1" spans="1:15" ht="21" x14ac:dyDescent="0.25">
      <c r="A1" s="56" t="s">
        <v>82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ht="21" x14ac:dyDescent="0.25">
      <c r="A2" s="54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4" spans="1:15" ht="26.25" x14ac:dyDescent="0.4">
      <c r="A4" s="52" t="s">
        <v>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5" ht="15.75" thickBot="1" x14ac:dyDescent="0.3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 x14ac:dyDescent="0.25">
      <c r="A6" s="22" t="s">
        <v>2</v>
      </c>
      <c r="B6" s="25" t="s">
        <v>3</v>
      </c>
      <c r="C6" s="25" t="s">
        <v>4</v>
      </c>
      <c r="D6" s="25" t="s">
        <v>5</v>
      </c>
      <c r="E6" s="28" t="s">
        <v>6</v>
      </c>
      <c r="F6" s="28" t="s">
        <v>7</v>
      </c>
      <c r="G6" s="28" t="s">
        <v>8</v>
      </c>
      <c r="H6" s="28" t="s">
        <v>9</v>
      </c>
      <c r="I6" s="31" t="s">
        <v>10</v>
      </c>
      <c r="J6" s="31"/>
      <c r="K6" s="31"/>
      <c r="L6" s="31"/>
      <c r="M6" s="35" t="s">
        <v>11</v>
      </c>
      <c r="N6" s="42" t="s">
        <v>12</v>
      </c>
      <c r="O6" s="49" t="s">
        <v>81</v>
      </c>
    </row>
    <row r="7" spans="1:15" x14ac:dyDescent="0.25">
      <c r="A7" s="23"/>
      <c r="B7" s="26"/>
      <c r="C7" s="26"/>
      <c r="D7" s="26"/>
      <c r="E7" s="29"/>
      <c r="F7" s="26"/>
      <c r="G7" s="29"/>
      <c r="H7" s="29"/>
      <c r="I7" s="33" t="s">
        <v>13</v>
      </c>
      <c r="J7" s="33" t="s">
        <v>14</v>
      </c>
      <c r="K7" s="33" t="s">
        <v>15</v>
      </c>
      <c r="L7" s="38" t="s">
        <v>16</v>
      </c>
      <c r="M7" s="36"/>
      <c r="N7" s="40"/>
      <c r="O7" s="50"/>
    </row>
    <row r="8" spans="1:15" ht="15.75" thickBot="1" x14ac:dyDescent="0.3">
      <c r="A8" s="24"/>
      <c r="B8" s="27"/>
      <c r="C8" s="27"/>
      <c r="D8" s="27"/>
      <c r="E8" s="30"/>
      <c r="F8" s="27"/>
      <c r="G8" s="30"/>
      <c r="H8" s="30"/>
      <c r="I8" s="34"/>
      <c r="J8" s="34"/>
      <c r="K8" s="34"/>
      <c r="L8" s="39"/>
      <c r="M8" s="37"/>
      <c r="N8" s="48"/>
      <c r="O8" s="51"/>
    </row>
    <row r="9" spans="1:15" ht="30" customHeight="1" x14ac:dyDescent="0.25">
      <c r="A9" s="17" t="s">
        <v>17</v>
      </c>
      <c r="B9" s="9" t="s">
        <v>18</v>
      </c>
      <c r="C9" s="9" t="s">
        <v>19</v>
      </c>
      <c r="D9" s="9" t="s">
        <v>20</v>
      </c>
      <c r="E9" s="18">
        <v>44774</v>
      </c>
      <c r="F9" s="20" t="s">
        <v>21</v>
      </c>
      <c r="G9" s="21" t="s">
        <v>22</v>
      </c>
      <c r="H9" s="19">
        <v>24200</v>
      </c>
      <c r="I9" s="9">
        <v>31</v>
      </c>
      <c r="J9" s="9">
        <v>30</v>
      </c>
      <c r="K9" s="9">
        <v>0</v>
      </c>
      <c r="L9" s="9">
        <v>0</v>
      </c>
      <c r="M9" s="9"/>
      <c r="N9" s="46">
        <v>24200</v>
      </c>
      <c r="O9" s="47"/>
    </row>
    <row r="10" spans="1:15" ht="30" customHeight="1" x14ac:dyDescent="0.25">
      <c r="A10" s="3" t="s">
        <v>23</v>
      </c>
      <c r="B10" s="4" t="s">
        <v>24</v>
      </c>
      <c r="C10" s="4" t="s">
        <v>19</v>
      </c>
      <c r="D10" s="4" t="s">
        <v>20</v>
      </c>
      <c r="E10" s="5">
        <v>44774</v>
      </c>
      <c r="F10" s="6" t="s">
        <v>25</v>
      </c>
      <c r="G10" s="7" t="s">
        <v>26</v>
      </c>
      <c r="H10" s="8">
        <v>16500</v>
      </c>
      <c r="I10" s="4">
        <v>31</v>
      </c>
      <c r="J10" s="4">
        <v>30</v>
      </c>
      <c r="K10" s="4">
        <v>0</v>
      </c>
      <c r="L10" s="4">
        <v>0</v>
      </c>
      <c r="M10" s="4"/>
      <c r="N10" s="41">
        <v>16500</v>
      </c>
      <c r="O10" s="43"/>
    </row>
    <row r="11" spans="1:15" ht="30" customHeight="1" x14ac:dyDescent="0.25">
      <c r="A11" s="3" t="s">
        <v>27</v>
      </c>
      <c r="B11" s="4" t="s">
        <v>28</v>
      </c>
      <c r="C11" s="4" t="s">
        <v>19</v>
      </c>
      <c r="D11" s="4" t="s">
        <v>20</v>
      </c>
      <c r="E11" s="5">
        <v>45198</v>
      </c>
      <c r="F11" s="6" t="s">
        <v>29</v>
      </c>
      <c r="G11" s="7" t="s">
        <v>30</v>
      </c>
      <c r="H11" s="8">
        <v>16500</v>
      </c>
      <c r="I11" s="4">
        <v>31</v>
      </c>
      <c r="J11" s="4">
        <v>30</v>
      </c>
      <c r="K11" s="4">
        <v>0</v>
      </c>
      <c r="L11" s="4">
        <v>1</v>
      </c>
      <c r="M11" s="4"/>
      <c r="N11" s="41">
        <v>16500</v>
      </c>
      <c r="O11" s="43"/>
    </row>
    <row r="12" spans="1:15" ht="30" customHeight="1" x14ac:dyDescent="0.25">
      <c r="A12" s="3" t="s">
        <v>31</v>
      </c>
      <c r="B12" s="4" t="s">
        <v>32</v>
      </c>
      <c r="C12" s="4" t="s">
        <v>19</v>
      </c>
      <c r="D12" s="4" t="s">
        <v>20</v>
      </c>
      <c r="E12" s="5">
        <v>45323</v>
      </c>
      <c r="F12" s="6" t="s">
        <v>33</v>
      </c>
      <c r="G12" s="7" t="s">
        <v>34</v>
      </c>
      <c r="H12" s="8">
        <v>25000</v>
      </c>
      <c r="I12" s="4">
        <v>31</v>
      </c>
      <c r="J12" s="4">
        <v>30</v>
      </c>
      <c r="K12" s="4">
        <v>0</v>
      </c>
      <c r="L12" s="4">
        <v>1</v>
      </c>
      <c r="M12" s="4"/>
      <c r="N12" s="41">
        <v>25000</v>
      </c>
      <c r="O12" s="43"/>
    </row>
    <row r="13" spans="1:15" ht="30" customHeight="1" x14ac:dyDescent="0.25">
      <c r="A13" s="3" t="s">
        <v>35</v>
      </c>
      <c r="B13" s="4" t="s">
        <v>36</v>
      </c>
      <c r="C13" s="4" t="s">
        <v>19</v>
      </c>
      <c r="D13" s="4" t="s">
        <v>20</v>
      </c>
      <c r="E13" s="5">
        <v>45536</v>
      </c>
      <c r="F13" s="6" t="s">
        <v>37</v>
      </c>
      <c r="G13" s="7" t="s">
        <v>38</v>
      </c>
      <c r="H13" s="8">
        <v>20000</v>
      </c>
      <c r="I13" s="4">
        <v>31</v>
      </c>
      <c r="J13" s="4">
        <v>30</v>
      </c>
      <c r="K13" s="4">
        <v>0</v>
      </c>
      <c r="L13" s="4">
        <v>0</v>
      </c>
      <c r="M13" s="4"/>
      <c r="N13" s="41">
        <v>20000</v>
      </c>
      <c r="O13" s="43"/>
    </row>
    <row r="14" spans="1:15" ht="30" customHeight="1" x14ac:dyDescent="0.25">
      <c r="A14" s="3" t="s">
        <v>39</v>
      </c>
      <c r="B14" s="4" t="s">
        <v>40</v>
      </c>
      <c r="C14" s="4" t="s">
        <v>41</v>
      </c>
      <c r="D14" s="4" t="s">
        <v>20</v>
      </c>
      <c r="E14" s="5">
        <v>45566</v>
      </c>
      <c r="F14" s="6" t="s">
        <v>42</v>
      </c>
      <c r="G14" s="7" t="s">
        <v>38</v>
      </c>
      <c r="H14" s="8">
        <v>30000</v>
      </c>
      <c r="I14" s="4">
        <v>31</v>
      </c>
      <c r="J14" s="4">
        <v>30</v>
      </c>
      <c r="K14" s="4">
        <v>0</v>
      </c>
      <c r="L14" s="4">
        <v>1</v>
      </c>
      <c r="M14" s="4"/>
      <c r="N14" s="41">
        <v>30000</v>
      </c>
      <c r="O14" s="43"/>
    </row>
    <row r="15" spans="1:15" ht="30" customHeight="1" x14ac:dyDescent="0.25">
      <c r="A15" s="3" t="s">
        <v>74</v>
      </c>
      <c r="B15" s="4" t="s">
        <v>77</v>
      </c>
      <c r="C15" s="4" t="s">
        <v>78</v>
      </c>
      <c r="D15" s="4" t="s">
        <v>20</v>
      </c>
      <c r="E15" s="5">
        <v>45597</v>
      </c>
      <c r="F15" s="6" t="s">
        <v>79</v>
      </c>
      <c r="G15" s="7" t="s">
        <v>76</v>
      </c>
      <c r="H15" s="8">
        <v>30000</v>
      </c>
      <c r="I15" s="4">
        <v>31</v>
      </c>
      <c r="J15" s="4">
        <v>30</v>
      </c>
      <c r="K15" s="4">
        <v>0</v>
      </c>
      <c r="L15" s="4">
        <v>1</v>
      </c>
      <c r="M15" s="4"/>
      <c r="N15" s="41">
        <v>30000</v>
      </c>
      <c r="O15" s="43"/>
    </row>
    <row r="16" spans="1:15" ht="30" customHeight="1" thickBot="1" x14ac:dyDescent="0.3">
      <c r="A16" s="10" t="s">
        <v>43</v>
      </c>
      <c r="B16" s="11" t="s">
        <v>44</v>
      </c>
      <c r="C16" s="11" t="s">
        <v>45</v>
      </c>
      <c r="D16" s="11" t="s">
        <v>20</v>
      </c>
      <c r="E16" s="12">
        <v>45559</v>
      </c>
      <c r="F16" s="13" t="s">
        <v>75</v>
      </c>
      <c r="G16" s="14" t="s">
        <v>38</v>
      </c>
      <c r="H16" s="15">
        <v>28000</v>
      </c>
      <c r="I16" s="11">
        <v>31</v>
      </c>
      <c r="J16" s="11">
        <v>29</v>
      </c>
      <c r="K16" s="11">
        <v>2</v>
      </c>
      <c r="L16" s="11">
        <v>0</v>
      </c>
      <c r="M16" s="16"/>
      <c r="N16" s="44">
        <v>26133.33</v>
      </c>
      <c r="O16" s="45"/>
    </row>
    <row r="17" spans="1:15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5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5" ht="26.25" x14ac:dyDescent="0.4">
      <c r="A19" s="52" t="s">
        <v>46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1:15" ht="15.75" thickBot="1" x14ac:dyDescent="0.3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5" x14ac:dyDescent="0.25">
      <c r="A21" s="22" t="s">
        <v>2</v>
      </c>
      <c r="B21" s="25" t="s">
        <v>3</v>
      </c>
      <c r="C21" s="25" t="s">
        <v>4</v>
      </c>
      <c r="D21" s="25" t="s">
        <v>5</v>
      </c>
      <c r="E21" s="28" t="s">
        <v>6</v>
      </c>
      <c r="F21" s="28" t="s">
        <v>7</v>
      </c>
      <c r="G21" s="28" t="s">
        <v>8</v>
      </c>
      <c r="H21" s="28" t="s">
        <v>9</v>
      </c>
      <c r="I21" s="32" t="s">
        <v>10</v>
      </c>
      <c r="J21" s="32"/>
      <c r="K21" s="32"/>
      <c r="L21" s="32"/>
      <c r="M21" s="35" t="s">
        <v>11</v>
      </c>
      <c r="N21" s="42" t="s">
        <v>12</v>
      </c>
      <c r="O21" s="49" t="s">
        <v>81</v>
      </c>
    </row>
    <row r="22" spans="1:15" x14ac:dyDescent="0.25">
      <c r="A22" s="23"/>
      <c r="B22" s="26"/>
      <c r="C22" s="26"/>
      <c r="D22" s="26"/>
      <c r="E22" s="29"/>
      <c r="F22" s="26"/>
      <c r="G22" s="29"/>
      <c r="H22" s="29"/>
      <c r="I22" s="33" t="s">
        <v>13</v>
      </c>
      <c r="J22" s="33" t="s">
        <v>14</v>
      </c>
      <c r="K22" s="33" t="s">
        <v>15</v>
      </c>
      <c r="L22" s="38" t="s">
        <v>16</v>
      </c>
      <c r="M22" s="36"/>
      <c r="N22" s="40"/>
      <c r="O22" s="50"/>
    </row>
    <row r="23" spans="1:15" ht="15.75" thickBot="1" x14ac:dyDescent="0.3">
      <c r="A23" s="24"/>
      <c r="B23" s="27"/>
      <c r="C23" s="27"/>
      <c r="D23" s="27"/>
      <c r="E23" s="30"/>
      <c r="F23" s="27"/>
      <c r="G23" s="30"/>
      <c r="H23" s="30"/>
      <c r="I23" s="34"/>
      <c r="J23" s="34"/>
      <c r="K23" s="34"/>
      <c r="L23" s="39"/>
      <c r="M23" s="37"/>
      <c r="N23" s="48"/>
      <c r="O23" s="51"/>
    </row>
    <row r="24" spans="1:15" ht="30" customHeight="1" x14ac:dyDescent="0.25">
      <c r="A24" s="17" t="s">
        <v>47</v>
      </c>
      <c r="B24" s="9" t="s">
        <v>48</v>
      </c>
      <c r="C24" s="9" t="s">
        <v>49</v>
      </c>
      <c r="D24" s="9" t="s">
        <v>20</v>
      </c>
      <c r="E24" s="18">
        <v>44475</v>
      </c>
      <c r="F24" s="20" t="s">
        <v>50</v>
      </c>
      <c r="G24" s="21" t="s">
        <v>73</v>
      </c>
      <c r="H24" s="19">
        <v>66000</v>
      </c>
      <c r="I24" s="9">
        <v>30</v>
      </c>
      <c r="J24" s="9">
        <v>0</v>
      </c>
      <c r="K24" s="9">
        <v>0</v>
      </c>
      <c r="L24" s="9">
        <v>1</v>
      </c>
      <c r="M24" s="60">
        <v>25000</v>
      </c>
      <c r="N24" s="46">
        <v>91000</v>
      </c>
      <c r="O24" s="61"/>
    </row>
    <row r="25" spans="1:15" ht="30" customHeight="1" x14ac:dyDescent="0.25">
      <c r="A25" s="3" t="s">
        <v>51</v>
      </c>
      <c r="B25" s="4" t="s">
        <v>52</v>
      </c>
      <c r="C25" s="4" t="s">
        <v>53</v>
      </c>
      <c r="D25" s="4" t="s">
        <v>20</v>
      </c>
      <c r="E25" s="5">
        <v>45468</v>
      </c>
      <c r="F25" s="6" t="s">
        <v>54</v>
      </c>
      <c r="G25" s="7" t="s">
        <v>72</v>
      </c>
      <c r="H25" s="8">
        <v>24000</v>
      </c>
      <c r="I25" s="4">
        <v>30</v>
      </c>
      <c r="J25" s="4">
        <v>0</v>
      </c>
      <c r="K25" s="4">
        <f>[1]Attandance!AJ20</f>
        <v>0</v>
      </c>
      <c r="L25" s="4">
        <v>0</v>
      </c>
      <c r="M25" s="4"/>
      <c r="N25" s="41">
        <v>24000</v>
      </c>
      <c r="O25" s="58"/>
    </row>
    <row r="26" spans="1:15" ht="30" customHeight="1" x14ac:dyDescent="0.25">
      <c r="A26" s="3" t="s">
        <v>55</v>
      </c>
      <c r="B26" s="4" t="s">
        <v>56</v>
      </c>
      <c r="C26" s="4" t="s">
        <v>57</v>
      </c>
      <c r="D26" s="4" t="s">
        <v>20</v>
      </c>
      <c r="E26" s="5">
        <v>45505</v>
      </c>
      <c r="F26" s="6" t="s">
        <v>58</v>
      </c>
      <c r="G26" s="7" t="s">
        <v>71</v>
      </c>
      <c r="H26" s="8">
        <v>8000</v>
      </c>
      <c r="I26" s="4">
        <v>30</v>
      </c>
      <c r="J26" s="4">
        <v>0</v>
      </c>
      <c r="K26" s="4">
        <f>[1]Attandance!AJ21</f>
        <v>0</v>
      </c>
      <c r="L26" s="4">
        <v>1</v>
      </c>
      <c r="M26" s="4"/>
      <c r="N26" s="41">
        <v>8000</v>
      </c>
      <c r="O26" s="58"/>
    </row>
    <row r="27" spans="1:15" ht="30" customHeight="1" x14ac:dyDescent="0.25">
      <c r="A27" s="3" t="s">
        <v>68</v>
      </c>
      <c r="B27" s="4" t="s">
        <v>69</v>
      </c>
      <c r="C27" s="4" t="s">
        <v>66</v>
      </c>
      <c r="D27" s="4" t="s">
        <v>20</v>
      </c>
      <c r="E27" s="5">
        <v>45597</v>
      </c>
      <c r="F27" s="6" t="s">
        <v>70</v>
      </c>
      <c r="G27" s="7" t="s">
        <v>38</v>
      </c>
      <c r="H27" s="8">
        <v>15000</v>
      </c>
      <c r="I27" s="4">
        <v>30</v>
      </c>
      <c r="J27" s="4">
        <v>0</v>
      </c>
      <c r="K27" s="4">
        <v>0</v>
      </c>
      <c r="L27" s="4">
        <v>0</v>
      </c>
      <c r="M27" s="4"/>
      <c r="N27" s="41">
        <v>15000</v>
      </c>
      <c r="O27" s="58"/>
    </row>
    <row r="28" spans="1:15" ht="30" customHeight="1" x14ac:dyDescent="0.25">
      <c r="A28" s="3" t="s">
        <v>60</v>
      </c>
      <c r="B28" s="4" t="s">
        <v>61</v>
      </c>
      <c r="C28" s="4" t="s">
        <v>59</v>
      </c>
      <c r="D28" s="4" t="s">
        <v>20</v>
      </c>
      <c r="E28" s="5">
        <v>44967</v>
      </c>
      <c r="F28" s="6" t="s">
        <v>80</v>
      </c>
      <c r="G28" s="7" t="s">
        <v>38</v>
      </c>
      <c r="H28" s="8">
        <v>16500</v>
      </c>
      <c r="I28" s="4">
        <v>30</v>
      </c>
      <c r="J28" s="4">
        <v>0</v>
      </c>
      <c r="K28" s="4">
        <f>[1]Attandance!AJ23</f>
        <v>0</v>
      </c>
      <c r="L28" s="4">
        <v>0</v>
      </c>
      <c r="M28" s="4"/>
      <c r="N28" s="41">
        <v>16500</v>
      </c>
      <c r="O28" s="58"/>
    </row>
    <row r="29" spans="1:15" ht="30" customHeight="1" x14ac:dyDescent="0.25">
      <c r="A29" s="3" t="s">
        <v>62</v>
      </c>
      <c r="B29" s="4" t="s">
        <v>63</v>
      </c>
      <c r="C29" s="4" t="s">
        <v>59</v>
      </c>
      <c r="D29" s="4" t="s">
        <v>20</v>
      </c>
      <c r="E29" s="5">
        <v>45587</v>
      </c>
      <c r="F29" s="6" t="s">
        <v>64</v>
      </c>
      <c r="G29" s="7" t="s">
        <v>38</v>
      </c>
      <c r="H29" s="8">
        <v>15000</v>
      </c>
      <c r="I29" s="4">
        <v>30</v>
      </c>
      <c r="J29" s="4">
        <v>0</v>
      </c>
      <c r="K29" s="4">
        <f>[1]Attandance!AJ24</f>
        <v>0</v>
      </c>
      <c r="L29" s="4">
        <v>0</v>
      </c>
      <c r="M29" s="4"/>
      <c r="N29" s="41">
        <v>15000</v>
      </c>
      <c r="O29" s="58"/>
    </row>
    <row r="30" spans="1:15" ht="30" customHeight="1" thickBot="1" x14ac:dyDescent="0.3">
      <c r="A30" s="10" t="s">
        <v>65</v>
      </c>
      <c r="B30" s="11" t="s">
        <v>61</v>
      </c>
      <c r="C30" s="11" t="s">
        <v>66</v>
      </c>
      <c r="D30" s="11" t="s">
        <v>20</v>
      </c>
      <c r="E30" s="12">
        <v>44959</v>
      </c>
      <c r="F30" s="13" t="s">
        <v>67</v>
      </c>
      <c r="G30" s="14" t="s">
        <v>38</v>
      </c>
      <c r="H30" s="15">
        <v>16500</v>
      </c>
      <c r="I30" s="11">
        <v>30</v>
      </c>
      <c r="J30" s="11">
        <v>0</v>
      </c>
      <c r="K30" s="11">
        <f>[1]Attandance!AJ25</f>
        <v>0</v>
      </c>
      <c r="L30" s="11">
        <v>0</v>
      </c>
      <c r="M30" s="11"/>
      <c r="N30" s="44">
        <v>16500</v>
      </c>
      <c r="O30" s="59"/>
    </row>
  </sheetData>
  <mergeCells count="36">
    <mergeCell ref="O21:O23"/>
    <mergeCell ref="O6:O8"/>
    <mergeCell ref="A4:O4"/>
    <mergeCell ref="A2:O2"/>
    <mergeCell ref="A1:O1"/>
    <mergeCell ref="A19:O19"/>
    <mergeCell ref="M21:M23"/>
    <mergeCell ref="N21:N23"/>
    <mergeCell ref="M6:M8"/>
    <mergeCell ref="N6:N8"/>
    <mergeCell ref="K22:K23"/>
    <mergeCell ref="L22:L23"/>
    <mergeCell ref="K7:K8"/>
    <mergeCell ref="L7:L8"/>
    <mergeCell ref="A21:A23"/>
    <mergeCell ref="B21:B23"/>
    <mergeCell ref="C21:C23"/>
    <mergeCell ref="D21:D23"/>
    <mergeCell ref="E21:E23"/>
    <mergeCell ref="F21:F23"/>
    <mergeCell ref="G21:G23"/>
    <mergeCell ref="H21:H23"/>
    <mergeCell ref="I21:L21"/>
    <mergeCell ref="I7:I8"/>
    <mergeCell ref="J7:J8"/>
    <mergeCell ref="I22:I23"/>
    <mergeCell ref="J22:J23"/>
    <mergeCell ref="A6:A8"/>
    <mergeCell ref="B6:B8"/>
    <mergeCell ref="C6:C8"/>
    <mergeCell ref="D6:D8"/>
    <mergeCell ref="E6:E8"/>
    <mergeCell ref="F6:F8"/>
    <mergeCell ref="G6:G8"/>
    <mergeCell ref="H6:H8"/>
    <mergeCell ref="I6:L6"/>
  </mergeCells>
  <conditionalFormatting sqref="B9:M9 B10:C11 M10:M15 D10:L16 C12:C15 F24:F30 G25:I29 D25:E30 K25:M30 G30:J30">
    <cfRule type="expression" dxfId="3" priority="4">
      <formula>$C9=#REF!</formula>
    </cfRule>
  </conditionalFormatting>
  <conditionalFormatting sqref="C24:C30">
    <cfRule type="expression" dxfId="2" priority="2">
      <formula>$C24=#REF!</formula>
    </cfRule>
  </conditionalFormatting>
  <conditionalFormatting sqref="D24:E24 H24:M24 B24:B29 J25:J29">
    <cfRule type="expression" dxfId="1" priority="3">
      <formula>$C24=#REF!</formula>
    </cfRule>
  </conditionalFormatting>
  <conditionalFormatting sqref="G24">
    <cfRule type="expression" dxfId="0" priority="1">
      <formula>$C24=#REF!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2024-11-08T06:08:06Z</dcterms:created>
  <dcterms:modified xsi:type="dcterms:W3CDTF">2025-01-31T04:56:59Z</dcterms:modified>
</cp:coreProperties>
</file>