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30" windowWidth="15240" windowHeight="751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</workbook>
</file>

<file path=xl/calcChain.xml><?xml version="1.0" encoding="utf-8"?>
<calcChain xmlns="http://schemas.openxmlformats.org/spreadsheetml/2006/main">
  <c r="D20" i="1" l="1"/>
  <c r="D21" i="1" s="1"/>
  <c r="D19" i="1"/>
  <c r="E6" i="1"/>
  <c r="F6" i="1" s="1"/>
  <c r="E7" i="1"/>
  <c r="E8" i="1"/>
  <c r="E9" i="1"/>
  <c r="E10" i="1"/>
  <c r="E11" i="1"/>
  <c r="E12" i="1"/>
  <c r="E13" i="1"/>
  <c r="E14" i="1"/>
  <c r="E5" i="1"/>
  <c r="F5" i="1" s="1"/>
  <c r="D23" i="1" l="1"/>
  <c r="D22" i="1"/>
  <c r="G6" i="1"/>
  <c r="H6" i="1"/>
  <c r="H5" i="1"/>
  <c r="G5" i="1"/>
  <c r="I5" i="1" l="1"/>
  <c r="I6" i="1"/>
</calcChain>
</file>

<file path=xl/comments1.xml><?xml version="1.0" encoding="utf-8"?>
<comments xmlns="http://schemas.openxmlformats.org/spreadsheetml/2006/main">
  <authors>
    <author>MCB</author>
  </authors>
  <commentList>
    <comment ref="E5" authorId="0">
      <text>
        <r>
          <rPr>
            <b/>
            <sz val="9"/>
            <color indexed="81"/>
            <rFont val="Tahoma"/>
            <family val="2"/>
          </rPr>
          <t>Formola:for current date
=TODAY()</t>
        </r>
      </text>
    </comment>
    <comment ref="F5" authorId="0">
      <text>
        <r>
          <rPr>
            <sz val="9"/>
            <color indexed="81"/>
            <rFont val="Tahoma"/>
            <family val="2"/>
          </rPr>
          <t>Formola:for total year
=DATEDIF(D5,E5,"y")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Formola:for total month
=DATEDIF(D5,E5,"ym")</t>
        </r>
      </text>
    </comment>
    <comment ref="H5" authorId="0">
      <text>
        <r>
          <rPr>
            <b/>
            <sz val="9"/>
            <color indexed="81"/>
            <rFont val="Tahoma"/>
            <family val="2"/>
          </rPr>
          <t>Formola:for total days
=DATEDIF(D5,E5,"md")</t>
        </r>
      </text>
    </comment>
    <comment ref="I5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D19" authorId="0">
      <text>
        <r>
          <rPr>
            <b/>
            <sz val="9"/>
            <color indexed="81"/>
            <rFont val="Tahoma"/>
            <family val="2"/>
          </rPr>
          <t>formola for Retirement Age Limit
=EDATE(D17,60*12)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>formola:today date
=todays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 xml:space="preserve">formola:
=datedif(C Date,R Date,"y")
</t>
        </r>
      </text>
    </comment>
    <comment ref="D22" authorId="0">
      <text>
        <r>
          <rPr>
            <b/>
            <sz val="9"/>
            <color indexed="81"/>
            <rFont val="Tahoma"/>
            <family val="2"/>
          </rPr>
          <t>formola:
=datedif(C Date,R Date,"ym")</t>
        </r>
      </text>
    </comment>
    <comment ref="D23" authorId="0">
      <text>
        <r>
          <rPr>
            <b/>
            <sz val="9"/>
            <color indexed="81"/>
            <rFont val="Tahoma"/>
            <family val="2"/>
          </rPr>
          <t>formola:
=datedif(C Date,R Date,"md")</t>
        </r>
      </text>
    </comment>
  </commentList>
</comments>
</file>

<file path=xl/sharedStrings.xml><?xml version="1.0" encoding="utf-8"?>
<sst xmlns="http://schemas.openxmlformats.org/spreadsheetml/2006/main" count="25" uniqueCount="25">
  <si>
    <t>Total Service</t>
  </si>
  <si>
    <t>NO</t>
  </si>
  <si>
    <t>Name</t>
  </si>
  <si>
    <t>Date of Joining</t>
  </si>
  <si>
    <t>Year</t>
  </si>
  <si>
    <t>Month</t>
  </si>
  <si>
    <t>Day</t>
  </si>
  <si>
    <t>Khalid Pervez</t>
  </si>
  <si>
    <t>Anwar Abdullah</t>
  </si>
  <si>
    <t>Zia Habib</t>
  </si>
  <si>
    <t>Nauman Usmani</t>
  </si>
  <si>
    <t>Faisl Iqbal</t>
  </si>
  <si>
    <t>Imran Akthar</t>
  </si>
  <si>
    <t>Javed Akram</t>
  </si>
  <si>
    <t>Allah Dita</t>
  </si>
  <si>
    <t>Mobin Chaudhry</t>
  </si>
  <si>
    <t>Faisal Arshad</t>
  </si>
  <si>
    <t>DOB</t>
  </si>
  <si>
    <t>Retirement Age Limit</t>
  </si>
  <si>
    <t>Retirement Date</t>
  </si>
  <si>
    <t>Months</t>
  </si>
  <si>
    <t>Days</t>
  </si>
  <si>
    <t>Current Date</t>
  </si>
  <si>
    <t>Service Years Remaining</t>
  </si>
  <si>
    <t>Curent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</si>
</sst>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6" formatCode="[$-409]mmmm\ d\,\ yyyy;@"/>
  </numFmts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164" fontId="4" fillId="0" borderId="2" xfId="0" applyNumberFormat="1" applyFont="1" applyBorder="1" applyAlignment="1">
      <alignment horizontal="left"/>
    </xf>
    <xf numFmtId="0" fontId="4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2" fontId="0" fillId="0" borderId="0" xfId="0" applyNumberFormat="1"/>
    <xf numFmtId="0" fontId="3" fillId="0" borderId="0" xfId="0" applyFont="1" applyFill="1" applyBorder="1" applyAlignment="1">
      <alignment horizontal="center"/>
    </xf>
    <xf numFmtId="164" fontId="4" fillId="0" borderId="0" xfId="0" applyNumberFormat="1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5" fontId="0" fillId="0" borderId="0" xfId="0" applyNumberFormat="1"/>
    <xf numFmtId="14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3" xfId="0" applyFont="1" applyFill="1" applyBorder="1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3:M23"/>
  <sheetViews>
    <sheetView tabSelected="1" zoomScale="130" zoomScaleNormal="130" workbookViewId="0">
      <selection activeCell="I15" sqref="I15"/>
    </sheetView>
  </sheetViews>
  <sheetFormatPr defaultRowHeight="15" x14ac:dyDescent="0.25"/>
  <cols>
    <col min="3" max="3" width="28" bestFit="1" customWidth="1"/>
    <col min="4" max="5" width="18.5703125" customWidth="1"/>
    <col min="6" max="6" width="11.28515625" customWidth="1"/>
    <col min="7" max="7" width="11.85546875" customWidth="1"/>
    <col min="8" max="8" width="11.7109375" customWidth="1"/>
    <col min="9" max="9" width="24.42578125" bestFit="1" customWidth="1"/>
    <col min="10" max="10" width="11.28515625" bestFit="1" customWidth="1"/>
  </cols>
  <sheetData>
    <row r="3" spans="2:13" ht="15.75" x14ac:dyDescent="0.25">
      <c r="B3" s="1"/>
      <c r="C3" s="1"/>
      <c r="D3" s="1"/>
      <c r="E3" s="1"/>
      <c r="F3" s="18" t="s">
        <v>0</v>
      </c>
      <c r="G3" s="18"/>
      <c r="H3" s="18"/>
    </row>
    <row r="4" spans="2:13" ht="15.75" x14ac:dyDescent="0.25">
      <c r="B4" s="2" t="s">
        <v>1</v>
      </c>
      <c r="C4" s="3" t="s">
        <v>2</v>
      </c>
      <c r="D4" s="3" t="s">
        <v>3</v>
      </c>
      <c r="E4" s="19" t="s">
        <v>24</v>
      </c>
      <c r="F4" s="4" t="s">
        <v>4</v>
      </c>
      <c r="G4" s="5" t="s">
        <v>5</v>
      </c>
      <c r="H4" s="6" t="s">
        <v>6</v>
      </c>
      <c r="J4" s="13"/>
    </row>
    <row r="5" spans="2:13" ht="15.75" x14ac:dyDescent="0.25">
      <c r="B5" s="7">
        <v>1</v>
      </c>
      <c r="C5" s="8" t="s">
        <v>7</v>
      </c>
      <c r="D5" s="9">
        <v>34988</v>
      </c>
      <c r="E5" s="9">
        <f ca="1">TODAY()</f>
        <v>43155</v>
      </c>
      <c r="F5" s="10">
        <f ca="1">DATEDIF(D5,E5,"y")</f>
        <v>22</v>
      </c>
      <c r="G5" s="10">
        <f ca="1">DATEDIF(D5,E5,"ym")</f>
        <v>4</v>
      </c>
      <c r="H5" s="10">
        <f ca="1">DATEDIF(D5,E5,"md")</f>
        <v>8</v>
      </c>
      <c r="I5" t="str">
        <f ca="1">CONCATENATE(F5," years ",G5, " months ",H5," days ")</f>
        <v xml:space="preserve">22 years 4 months 8 days </v>
      </c>
      <c r="J5" s="14"/>
      <c r="M5" s="12"/>
    </row>
    <row r="6" spans="2:13" ht="15.75" x14ac:dyDescent="0.25">
      <c r="B6" s="7">
        <v>2</v>
      </c>
      <c r="C6" s="11" t="s">
        <v>8</v>
      </c>
      <c r="D6" s="9">
        <v>35886</v>
      </c>
      <c r="E6" s="9">
        <f t="shared" ref="E6:E14" ca="1" si="0">TODAY()</f>
        <v>43155</v>
      </c>
      <c r="F6" s="10">
        <f ca="1">DATEDIF(D6,E6,"y")</f>
        <v>19</v>
      </c>
      <c r="G6" s="10">
        <f ca="1">DATEDIF(D6,E6,"ym")</f>
        <v>10</v>
      </c>
      <c r="H6" s="10">
        <f ca="1">DATEDIF(D6,E6,"md")</f>
        <v>23</v>
      </c>
      <c r="I6" t="str">
        <f ca="1">CONCATENATE(F6," years ",G6, " months ",H6," days ")</f>
        <v xml:space="preserve">19 years 10 months 23 days </v>
      </c>
      <c r="J6" s="14"/>
    </row>
    <row r="7" spans="2:13" ht="15.75" x14ac:dyDescent="0.25">
      <c r="B7" s="7">
        <v>3</v>
      </c>
      <c r="C7" s="11" t="s">
        <v>9</v>
      </c>
      <c r="D7" s="9">
        <v>35977</v>
      </c>
      <c r="E7" s="9">
        <f t="shared" ca="1" si="0"/>
        <v>43155</v>
      </c>
      <c r="F7" s="10"/>
      <c r="G7" s="10"/>
      <c r="H7" s="10"/>
      <c r="J7" s="14"/>
    </row>
    <row r="8" spans="2:13" ht="15.75" x14ac:dyDescent="0.25">
      <c r="B8" s="7">
        <v>4</v>
      </c>
      <c r="C8" s="8" t="s">
        <v>10</v>
      </c>
      <c r="D8" s="9">
        <v>37053</v>
      </c>
      <c r="E8" s="9">
        <f t="shared" ca="1" si="0"/>
        <v>43155</v>
      </c>
      <c r="F8" s="10"/>
      <c r="G8" s="10"/>
      <c r="H8" s="10"/>
      <c r="J8" s="14"/>
    </row>
    <row r="9" spans="2:13" ht="15.75" x14ac:dyDescent="0.25">
      <c r="B9" s="7">
        <v>5</v>
      </c>
      <c r="C9" s="11" t="s">
        <v>11</v>
      </c>
      <c r="D9" s="9">
        <v>37438</v>
      </c>
      <c r="E9" s="9">
        <f t="shared" ca="1" si="0"/>
        <v>43155</v>
      </c>
      <c r="F9" s="10"/>
      <c r="G9" s="10"/>
      <c r="H9" s="10"/>
      <c r="J9" s="14"/>
    </row>
    <row r="10" spans="2:13" ht="15.75" x14ac:dyDescent="0.25">
      <c r="B10" s="7">
        <v>6</v>
      </c>
      <c r="C10" s="11" t="s">
        <v>12</v>
      </c>
      <c r="D10" s="9">
        <v>35856</v>
      </c>
      <c r="E10" s="9">
        <f t="shared" ca="1" si="0"/>
        <v>43155</v>
      </c>
      <c r="F10" s="10"/>
      <c r="G10" s="10"/>
      <c r="H10" s="10"/>
      <c r="J10" s="14"/>
    </row>
    <row r="11" spans="2:13" ht="15.75" x14ac:dyDescent="0.25">
      <c r="B11" s="7">
        <v>7</v>
      </c>
      <c r="C11" s="11" t="s">
        <v>13</v>
      </c>
      <c r="D11" s="9">
        <v>36647</v>
      </c>
      <c r="E11" s="9">
        <f t="shared" ca="1" si="0"/>
        <v>43155</v>
      </c>
      <c r="F11" s="10"/>
      <c r="G11" s="10"/>
      <c r="H11" s="10"/>
      <c r="J11" s="14"/>
    </row>
    <row r="12" spans="2:13" ht="15.75" x14ac:dyDescent="0.25">
      <c r="B12" s="7">
        <v>8</v>
      </c>
      <c r="C12" s="11" t="s">
        <v>14</v>
      </c>
      <c r="D12" s="9">
        <v>36566</v>
      </c>
      <c r="E12" s="9">
        <f t="shared" ca="1" si="0"/>
        <v>43155</v>
      </c>
      <c r="F12" s="10"/>
      <c r="G12" s="10"/>
      <c r="H12" s="10"/>
      <c r="J12" s="14"/>
    </row>
    <row r="13" spans="2:13" ht="15.75" x14ac:dyDescent="0.25">
      <c r="B13" s="7">
        <v>9</v>
      </c>
      <c r="C13" s="11" t="s">
        <v>15</v>
      </c>
      <c r="D13" s="9">
        <v>35735</v>
      </c>
      <c r="E13" s="9">
        <f t="shared" ca="1" si="0"/>
        <v>43155</v>
      </c>
      <c r="F13" s="10"/>
      <c r="G13" s="10"/>
      <c r="H13" s="10"/>
      <c r="J13" s="14"/>
    </row>
    <row r="14" spans="2:13" ht="15.75" x14ac:dyDescent="0.25">
      <c r="B14" s="7">
        <v>10</v>
      </c>
      <c r="C14" s="11" t="s">
        <v>16</v>
      </c>
      <c r="D14" s="9">
        <v>35249</v>
      </c>
      <c r="E14" s="9">
        <f t="shared" ca="1" si="0"/>
        <v>43155</v>
      </c>
      <c r="F14" s="10"/>
      <c r="G14" s="10"/>
      <c r="H14" s="10"/>
      <c r="J14" s="14"/>
    </row>
    <row r="16" spans="2:13" x14ac:dyDescent="0.25">
      <c r="I16" s="16"/>
    </row>
    <row r="17" spans="3:9" ht="15.75" x14ac:dyDescent="0.25">
      <c r="C17" s="15" t="s">
        <v>17</v>
      </c>
      <c r="D17" s="16">
        <v>30173</v>
      </c>
      <c r="E17" s="16"/>
      <c r="G17" s="16"/>
      <c r="I17" s="16"/>
    </row>
    <row r="18" spans="3:9" ht="15.75" x14ac:dyDescent="0.25">
      <c r="C18" s="15" t="s">
        <v>18</v>
      </c>
      <c r="D18">
        <v>60</v>
      </c>
    </row>
    <row r="19" spans="3:9" ht="15.75" x14ac:dyDescent="0.25">
      <c r="C19" s="15" t="s">
        <v>19</v>
      </c>
      <c r="D19" s="20">
        <f>EDATE(D17,D18*12)</f>
        <v>52088</v>
      </c>
      <c r="E19" s="16"/>
      <c r="F19" s="16"/>
    </row>
    <row r="20" spans="3:9" ht="15.75" x14ac:dyDescent="0.25">
      <c r="C20" s="15" t="s">
        <v>22</v>
      </c>
      <c r="D20" s="17">
        <f ca="1">TODAY()</f>
        <v>43155</v>
      </c>
      <c r="E20" s="17"/>
      <c r="F20" s="17"/>
    </row>
    <row r="21" spans="3:9" ht="15.75" x14ac:dyDescent="0.25">
      <c r="C21" s="15" t="s">
        <v>23</v>
      </c>
      <c r="D21">
        <f ca="1">DATEDIF(D20,D19,"y")</f>
        <v>24</v>
      </c>
    </row>
    <row r="22" spans="3:9" ht="15.75" x14ac:dyDescent="0.25">
      <c r="C22" s="15" t="s">
        <v>20</v>
      </c>
      <c r="D22">
        <f ca="1">DATEDIF(D20,D19,"ym")</f>
        <v>5</v>
      </c>
    </row>
    <row r="23" spans="3:9" ht="15.75" x14ac:dyDescent="0.25">
      <c r="C23" s="15" t="s">
        <v>21</v>
      </c>
      <c r="D23">
        <f ca="1">DATEDIF(D20,D19,"md")</f>
        <v>17</v>
      </c>
    </row>
  </sheetData>
  <mergeCells count="1">
    <mergeCell ref="F3:H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Deftones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</dc:creator>
  <cp:lastModifiedBy>MCB</cp:lastModifiedBy>
  <dcterms:created xsi:type="dcterms:W3CDTF">2009-03-03T01:48:58Z</dcterms:created>
  <dcterms:modified xsi:type="dcterms:W3CDTF">2018-02-24T02:16:12Z</dcterms:modified>
</cp:coreProperties>
</file>