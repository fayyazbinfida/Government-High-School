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9095" windowHeight="7680" activeTab="2"/>
  </bookViews>
  <sheets>
    <sheet name="Payroll Sheet" sheetId="1" r:id="rId1"/>
    <sheet name="Allownce &amp; Tax Rates" sheetId="2" r:id="rId2"/>
    <sheet name="Grades &amp; Desig" sheetId="3" r:id="rId3"/>
    <sheet name="Pay Slip" sheetId="4" r:id="rId4"/>
  </sheets>
  <definedNames>
    <definedName name="Grade">'Grades &amp; Desig'!$D$3:$F$9</definedName>
    <definedName name="Payroll">'Payroll Sheet'!$B$4:$M$24</definedName>
  </definedNames>
  <calcPr calcId="144525"/>
</workbook>
</file>

<file path=xl/calcChain.xml><?xml version="1.0" encoding="utf-8"?>
<calcChain xmlns="http://schemas.openxmlformats.org/spreadsheetml/2006/main">
  <c r="G6" i="4" l="1"/>
  <c r="J6" i="4"/>
  <c r="I6" i="4"/>
  <c r="H6" i="4"/>
  <c r="E6" i="4"/>
  <c r="D6" i="4"/>
  <c r="C6" i="4"/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5" i="1"/>
  <c r="K6" i="1"/>
  <c r="K7" i="1"/>
  <c r="L7" i="1" s="1"/>
  <c r="K8" i="1"/>
  <c r="K9" i="1"/>
  <c r="L9" i="1" s="1"/>
  <c r="K10" i="1"/>
  <c r="K11" i="1"/>
  <c r="L11" i="1" s="1"/>
  <c r="K12" i="1"/>
  <c r="K13" i="1"/>
  <c r="L13" i="1" s="1"/>
  <c r="K14" i="1"/>
  <c r="K15" i="1"/>
  <c r="L15" i="1" s="1"/>
  <c r="K16" i="1"/>
  <c r="K17" i="1"/>
  <c r="L17" i="1" s="1"/>
  <c r="K18" i="1"/>
  <c r="K19" i="1"/>
  <c r="K20" i="1"/>
  <c r="K21" i="1"/>
  <c r="K22" i="1"/>
  <c r="K23" i="1"/>
  <c r="K24" i="1"/>
  <c r="K5" i="1"/>
  <c r="L18" i="1"/>
  <c r="L6" i="1"/>
  <c r="L8" i="1"/>
  <c r="L10" i="1"/>
  <c r="L12" i="1"/>
  <c r="L14" i="1"/>
  <c r="L16" i="1"/>
  <c r="L19" i="1"/>
  <c r="L20" i="1"/>
  <c r="L21" i="1"/>
  <c r="L22" i="1"/>
  <c r="L23" i="1"/>
  <c r="L24" i="1"/>
  <c r="L5" i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5" i="1"/>
</calcChain>
</file>

<file path=xl/sharedStrings.xml><?xml version="1.0" encoding="utf-8"?>
<sst xmlns="http://schemas.openxmlformats.org/spreadsheetml/2006/main" count="149" uniqueCount="91">
  <si>
    <t>Name</t>
  </si>
  <si>
    <t>Grade</t>
  </si>
  <si>
    <t>Basic Salary</t>
  </si>
  <si>
    <t>Khalid Pervez</t>
  </si>
  <si>
    <t>Anwar Abdullah</t>
  </si>
  <si>
    <t>Zia Habib</t>
  </si>
  <si>
    <t>Nauman Usmani</t>
  </si>
  <si>
    <t>Faisl Iqbal</t>
  </si>
  <si>
    <t>Imran Akthar</t>
  </si>
  <si>
    <t>Javed Akram</t>
  </si>
  <si>
    <t>Allah Dita</t>
  </si>
  <si>
    <t>Mobin Chaudhry</t>
  </si>
  <si>
    <t>Faisal Arshad</t>
  </si>
  <si>
    <t>Shahid Mahmood</t>
  </si>
  <si>
    <t>Raza Khan</t>
  </si>
  <si>
    <t>Waleed Hussain</t>
  </si>
  <si>
    <t>Basit  Akram</t>
  </si>
  <si>
    <t>Waqas Shafiq</t>
  </si>
  <si>
    <t>EN1001</t>
  </si>
  <si>
    <t>EN1002</t>
  </si>
  <si>
    <t>EN1003</t>
  </si>
  <si>
    <t>EN1004</t>
  </si>
  <si>
    <t>EN1005</t>
  </si>
  <si>
    <t>EN1006</t>
  </si>
  <si>
    <t>EN1007</t>
  </si>
  <si>
    <t>EN1008</t>
  </si>
  <si>
    <t>EN1009</t>
  </si>
  <si>
    <t>EN1010</t>
  </si>
  <si>
    <t>EN1011</t>
  </si>
  <si>
    <t>EN1012</t>
  </si>
  <si>
    <t>EN1013</t>
  </si>
  <si>
    <t>EN1014</t>
  </si>
  <si>
    <t>EN1015</t>
  </si>
  <si>
    <t>EN1016</t>
  </si>
  <si>
    <t>EN1017</t>
  </si>
  <si>
    <t>EN1018</t>
  </si>
  <si>
    <t>EN1019</t>
  </si>
  <si>
    <t>EN1020</t>
  </si>
  <si>
    <t>Abid Aziz</t>
  </si>
  <si>
    <t>Mariam Rana</t>
  </si>
  <si>
    <t>Hina Shaikh</t>
  </si>
  <si>
    <t>Asif Hussian</t>
  </si>
  <si>
    <t>E-Code</t>
  </si>
  <si>
    <t>Conv Allow</t>
  </si>
  <si>
    <t>House Rent</t>
  </si>
  <si>
    <t>COLA</t>
  </si>
  <si>
    <t>Tax</t>
  </si>
  <si>
    <t>Net Salary</t>
  </si>
  <si>
    <t>Gross Salary</t>
  </si>
  <si>
    <t>Date of Brith</t>
  </si>
  <si>
    <t>Allownce</t>
  </si>
  <si>
    <t>Convynce</t>
  </si>
  <si>
    <t>Tax Slabs</t>
  </si>
  <si>
    <t>Starting</t>
  </si>
  <si>
    <t>Ending</t>
  </si>
  <si>
    <t>Tax Rate</t>
  </si>
  <si>
    <t>Allownces Calculation</t>
  </si>
  <si>
    <t>% of Basic Salary</t>
  </si>
  <si>
    <t>Description</t>
  </si>
  <si>
    <t>Pay Scale</t>
  </si>
  <si>
    <t>M1</t>
  </si>
  <si>
    <t>M2</t>
  </si>
  <si>
    <t>O1</t>
  </si>
  <si>
    <t>O2</t>
  </si>
  <si>
    <t>Manager</t>
  </si>
  <si>
    <t>Sr. Manager</t>
  </si>
  <si>
    <t>Sr. Clerk</t>
  </si>
  <si>
    <t>Jr. Clerk</t>
  </si>
  <si>
    <t>C1</t>
  </si>
  <si>
    <t>C2</t>
  </si>
  <si>
    <t>Sr. Officer</t>
  </si>
  <si>
    <t>Jr. Officer</t>
  </si>
  <si>
    <t>70000-5000-100000</t>
  </si>
  <si>
    <t>50000-3000-70000</t>
  </si>
  <si>
    <t>30000-1500-50000</t>
  </si>
  <si>
    <t>20000-1200-30000</t>
  </si>
  <si>
    <t>10000-800-20000</t>
  </si>
  <si>
    <t>6500-500-12000</t>
  </si>
  <si>
    <t>Deductions</t>
  </si>
  <si>
    <t>Allowances</t>
  </si>
  <si>
    <t>Income Tax</t>
  </si>
  <si>
    <t>Inwords</t>
  </si>
  <si>
    <t>Employee PaySlip</t>
  </si>
  <si>
    <t>Age (Years)</t>
  </si>
  <si>
    <t>Job Title</t>
  </si>
  <si>
    <t>Conv. Allowance</t>
  </si>
  <si>
    <t>Enter Employee Code</t>
  </si>
  <si>
    <t>Saima Chaudhry</t>
  </si>
  <si>
    <t>formola: =VLOOKUP(D2,'Payroll Sheet'!B5:D24,3,)</t>
  </si>
  <si>
    <t>job title farmola: =VLOOKUP(D6,'Grades &amp; Desig'!D4:E9,2,)</t>
  </si>
  <si>
    <t>Basic formola: =VLOOKUP(D2,'Payroll Sheet'!B5:F24,5,FALSE)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</si>
</sst>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[$-409]d\-mmm\-yy;@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54">
    <xf numFmtId="0" fontId="0" fillId="0" borderId="0" xfId="0"/>
    <xf numFmtId="0" fontId="0" fillId="0" borderId="0" xfId="0" applyBorder="1"/>
    <xf numFmtId="0" fontId="5" fillId="3" borderId="1" xfId="0" applyFont="1" applyFill="1" applyBorder="1"/>
    <xf numFmtId="0" fontId="6" fillId="0" borderId="1" xfId="0" applyFont="1" applyBorder="1"/>
    <xf numFmtId="14" fontId="6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8" borderId="1" xfId="0" applyFont="1" applyFill="1" applyBorder="1"/>
    <xf numFmtId="9" fontId="4" fillId="8" borderId="1" xfId="0" applyNumberFormat="1" applyFont="1" applyFill="1" applyBorder="1"/>
    <xf numFmtId="9" fontId="4" fillId="8" borderId="1" xfId="1" applyFont="1" applyFill="1" applyBorder="1"/>
    <xf numFmtId="0" fontId="10" fillId="0" borderId="1" xfId="0" applyFont="1" applyBorder="1"/>
    <xf numFmtId="0" fontId="7" fillId="0" borderId="6" xfId="0" quotePrefix="1" applyFont="1" applyBorder="1"/>
    <xf numFmtId="0" fontId="11" fillId="0" borderId="0" xfId="0" quotePrefix="1" applyFont="1" applyBorder="1"/>
    <xf numFmtId="0" fontId="11" fillId="0" borderId="0" xfId="0" applyFont="1" applyBorder="1"/>
    <xf numFmtId="165" fontId="11" fillId="0" borderId="0" xfId="0" quotePrefix="1" applyNumberFormat="1" applyFont="1" applyBorder="1"/>
    <xf numFmtId="166" fontId="11" fillId="0" borderId="7" xfId="0" quotePrefix="1" applyNumberFormat="1" applyFon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5" fillId="0" borderId="6" xfId="0" applyFont="1" applyBorder="1"/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quotePrefix="1" applyFont="1" applyBorder="1"/>
    <xf numFmtId="166" fontId="6" fillId="0" borderId="0" xfId="0" quotePrefix="1" applyNumberFormat="1" applyFont="1" applyBorder="1"/>
    <xf numFmtId="0" fontId="12" fillId="2" borderId="0" xfId="2" applyFont="1"/>
    <xf numFmtId="0" fontId="7" fillId="0" borderId="6" xfId="0" quotePrefix="1" applyFont="1" applyBorder="1" applyAlignment="1">
      <alignment horizontal="center"/>
    </xf>
    <xf numFmtId="0" fontId="11" fillId="0" borderId="0" xfId="0" quotePrefix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6" fontId="11" fillId="0" borderId="7" xfId="0" quotePrefix="1" applyNumberFormat="1" applyFont="1" applyBorder="1" applyAlignment="1">
      <alignment horizontal="center"/>
    </xf>
    <xf numFmtId="166" fontId="6" fillId="0" borderId="11" xfId="0" quotePrefix="1" applyNumberFormat="1" applyFont="1" applyBorder="1" applyAlignment="1">
      <alignment horizontal="center"/>
    </xf>
    <xf numFmtId="0" fontId="6" fillId="0" borderId="11" xfId="0" quotePrefix="1" applyFont="1" applyBorder="1" applyAlignment="1">
      <alignment horizontal="center"/>
    </xf>
    <xf numFmtId="0" fontId="11" fillId="0" borderId="0" xfId="0" quotePrefix="1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3" fillId="9" borderId="12" xfId="0" applyFont="1" applyFill="1" applyBorder="1" applyAlignment="1">
      <alignment horizontal="center"/>
    </xf>
    <xf numFmtId="0" fontId="13" fillId="9" borderId="13" xfId="0" applyFont="1" applyFill="1" applyBorder="1" applyAlignment="1">
      <alignment horizontal="center"/>
    </xf>
    <xf numFmtId="0" fontId="13" fillId="9" borderId="14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3">
    <cellStyle name="Accent4" xfId="2" builtinId="41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24"/>
  <sheetViews>
    <sheetView topLeftCell="A4" workbookViewId="0">
      <selection activeCell="B5" sqref="B5"/>
    </sheetView>
  </sheetViews>
  <sheetFormatPr defaultRowHeight="15" x14ac:dyDescent="0.25"/>
  <cols>
    <col min="2" max="2" width="10.42578125" customWidth="1"/>
    <col min="3" max="3" width="17.28515625" bestFit="1" customWidth="1"/>
    <col min="5" max="5" width="16" bestFit="1" customWidth="1"/>
    <col min="6" max="6" width="14.7109375" bestFit="1" customWidth="1"/>
    <col min="7" max="7" width="14.140625" bestFit="1" customWidth="1"/>
    <col min="8" max="8" width="14.5703125" bestFit="1" customWidth="1"/>
    <col min="9" max="9" width="11.28515625" customWidth="1"/>
    <col min="10" max="10" width="15.28515625" bestFit="1" customWidth="1"/>
    <col min="11" max="11" width="15.28515625" customWidth="1"/>
    <col min="12" max="12" width="11.28515625" customWidth="1"/>
    <col min="13" max="13" width="13" bestFit="1" customWidth="1"/>
  </cols>
  <sheetData>
    <row r="4" spans="2:17" ht="18.75" x14ac:dyDescent="0.3">
      <c r="B4" s="5" t="s">
        <v>42</v>
      </c>
      <c r="C4" s="5" t="s">
        <v>0</v>
      </c>
      <c r="D4" s="5" t="s">
        <v>1</v>
      </c>
      <c r="E4" s="5" t="s">
        <v>49</v>
      </c>
      <c r="F4" s="5" t="s">
        <v>2</v>
      </c>
      <c r="G4" s="5" t="s">
        <v>43</v>
      </c>
      <c r="H4" s="5" t="s">
        <v>44</v>
      </c>
      <c r="I4" s="5" t="s">
        <v>45</v>
      </c>
      <c r="J4" s="5" t="s">
        <v>48</v>
      </c>
      <c r="K4" s="5" t="s">
        <v>55</v>
      </c>
      <c r="L4" s="5" t="s">
        <v>46</v>
      </c>
      <c r="M4" s="5" t="s">
        <v>47</v>
      </c>
      <c r="O4" s="44" t="s">
        <v>52</v>
      </c>
      <c r="P4" s="44"/>
      <c r="Q4" s="44"/>
    </row>
    <row r="5" spans="2:17" ht="15.75" x14ac:dyDescent="0.25">
      <c r="B5" s="3" t="s">
        <v>18</v>
      </c>
      <c r="C5" s="3" t="s">
        <v>3</v>
      </c>
      <c r="D5" s="3" t="s">
        <v>60</v>
      </c>
      <c r="E5" s="4">
        <v>24031</v>
      </c>
      <c r="F5" s="3">
        <v>75000</v>
      </c>
      <c r="G5" s="3">
        <f>0.12*F5</f>
        <v>9000</v>
      </c>
      <c r="H5" s="3">
        <f>0.2*F5</f>
        <v>15000</v>
      </c>
      <c r="I5" s="3">
        <f>0.06*F5</f>
        <v>4500</v>
      </c>
      <c r="J5" s="3">
        <f>F5+G5+H5+I5</f>
        <v>103500</v>
      </c>
      <c r="K5" s="3">
        <f>IF(J5&gt;95000,12%,IF(J5&gt;90000,11.5%,IF(J5&gt;85000,11%,IF(J5&gt;80000,10.5%,IF(J5&gt;75000,10%,IF(J5&gt;70000,9.5%,IF(J5&gt;65000,9%,IF(J5&gt;60000,8.5%,IF(J5&gt;55000,8%,IF(J5&gt;50000,7.5%,IF(J5&gt;45000,7%,IF(J5&gt;40000,6.5%,IF(J5&gt;35000,6%,IF(J5&gt;30000,5.5%,IF(J5&gt;25000,5%,IF(J5&gt;20000,4.5%,IF(J5&gt;15000,4%,IF(J5&lt;14999,3.5%,FALSE))))))))))))))))))</f>
        <v>0.12</v>
      </c>
      <c r="L5" s="3">
        <f>K5*J5</f>
        <v>12420</v>
      </c>
      <c r="M5" s="3">
        <f>J5-L5</f>
        <v>91080</v>
      </c>
      <c r="O5" s="6" t="s">
        <v>53</v>
      </c>
      <c r="P5" s="6" t="s">
        <v>54</v>
      </c>
      <c r="Q5" s="6" t="s">
        <v>55</v>
      </c>
    </row>
    <row r="6" spans="2:17" ht="15.75" x14ac:dyDescent="0.25">
      <c r="B6" s="3" t="s">
        <v>19</v>
      </c>
      <c r="C6" s="3" t="s">
        <v>4</v>
      </c>
      <c r="D6" s="3" t="s">
        <v>61</v>
      </c>
      <c r="E6" s="4">
        <v>26390</v>
      </c>
      <c r="F6" s="3">
        <v>56000</v>
      </c>
      <c r="G6" s="3">
        <f t="shared" ref="G6:G24" si="0">0.12*F6</f>
        <v>6720</v>
      </c>
      <c r="H6" s="3">
        <f t="shared" ref="H6:H24" si="1">0.2*F6</f>
        <v>11200</v>
      </c>
      <c r="I6" s="3">
        <f t="shared" ref="I6:I24" si="2">0.06*F6</f>
        <v>3360</v>
      </c>
      <c r="J6" s="3">
        <f t="shared" ref="J6:J24" si="3">F6+G6+H6+I6</f>
        <v>77280</v>
      </c>
      <c r="K6" s="3">
        <f t="shared" ref="K6:K24" si="4">IF(J6&gt;95000,12%,IF(J6&gt;90000,11.5%,IF(J6&gt;85000,11%,IF(J6&gt;80000,10.5%,IF(J6&gt;75000,10%,IF(J6&gt;70000,9.5%,IF(J6&gt;65000,9%,IF(J6&gt;60000,8.5%,IF(J6&gt;55000,8%,IF(J6&gt;50000,7.5%,IF(J6&gt;45000,7%,IF(J6&gt;40000,6.5%,IF(J6&gt;35000,6%,IF(J6&gt;30000,5.5%,IF(J6&gt;25000,5%,IF(J6&gt;20000,4.5%,IF(J6&gt;15000,4%,IF(J6&lt;14999,3.5%,FALSE))))))))))))))))))</f>
        <v>0.1</v>
      </c>
      <c r="L6" s="3">
        <f t="shared" ref="L6:L24" si="5">K6*J6</f>
        <v>7728</v>
      </c>
      <c r="M6" s="3">
        <f t="shared" ref="M6:M24" si="6">J6-L6</f>
        <v>69552</v>
      </c>
      <c r="O6" s="7">
        <v>0</v>
      </c>
      <c r="P6" s="7">
        <v>14999</v>
      </c>
      <c r="Q6" s="8">
        <v>3.5000000000000003E-2</v>
      </c>
    </row>
    <row r="7" spans="2:17" ht="15.75" x14ac:dyDescent="0.25">
      <c r="B7" s="3" t="s">
        <v>20</v>
      </c>
      <c r="C7" s="3" t="s">
        <v>5</v>
      </c>
      <c r="D7" s="3" t="s">
        <v>68</v>
      </c>
      <c r="E7" s="4">
        <v>29768</v>
      </c>
      <c r="F7" s="3">
        <v>15660</v>
      </c>
      <c r="G7" s="3">
        <f t="shared" si="0"/>
        <v>1879.1999999999998</v>
      </c>
      <c r="H7" s="3">
        <f t="shared" si="1"/>
        <v>3132</v>
      </c>
      <c r="I7" s="3">
        <f t="shared" si="2"/>
        <v>939.59999999999991</v>
      </c>
      <c r="J7" s="3">
        <f t="shared" si="3"/>
        <v>21610.799999999999</v>
      </c>
      <c r="K7" s="3">
        <f t="shared" si="4"/>
        <v>4.4999999999999998E-2</v>
      </c>
      <c r="L7" s="3">
        <f t="shared" si="5"/>
        <v>972.48599999999988</v>
      </c>
      <c r="M7" s="3">
        <f t="shared" si="6"/>
        <v>20638.313999999998</v>
      </c>
      <c r="O7" s="7">
        <v>15000</v>
      </c>
      <c r="P7" s="7">
        <v>19999</v>
      </c>
      <c r="Q7" s="8">
        <v>0.04</v>
      </c>
    </row>
    <row r="8" spans="2:17" ht="15.75" x14ac:dyDescent="0.25">
      <c r="B8" s="3" t="s">
        <v>21</v>
      </c>
      <c r="C8" s="3" t="s">
        <v>6</v>
      </c>
      <c r="D8" s="3" t="s">
        <v>63</v>
      </c>
      <c r="E8" s="4">
        <v>29748</v>
      </c>
      <c r="F8" s="3">
        <v>27000</v>
      </c>
      <c r="G8" s="3">
        <f t="shared" si="0"/>
        <v>3240</v>
      </c>
      <c r="H8" s="3">
        <f t="shared" si="1"/>
        <v>5400</v>
      </c>
      <c r="I8" s="3">
        <f t="shared" si="2"/>
        <v>1620</v>
      </c>
      <c r="J8" s="3">
        <f t="shared" si="3"/>
        <v>37260</v>
      </c>
      <c r="K8" s="3">
        <f t="shared" si="4"/>
        <v>0.06</v>
      </c>
      <c r="L8" s="3">
        <f t="shared" si="5"/>
        <v>2235.6</v>
      </c>
      <c r="M8" s="3">
        <f t="shared" si="6"/>
        <v>35024.400000000001</v>
      </c>
      <c r="O8" s="7">
        <v>20000</v>
      </c>
      <c r="P8" s="7">
        <v>24999</v>
      </c>
      <c r="Q8" s="8">
        <v>4.4999999999999998E-2</v>
      </c>
    </row>
    <row r="9" spans="2:17" ht="15.75" x14ac:dyDescent="0.25">
      <c r="B9" s="3" t="s">
        <v>22</v>
      </c>
      <c r="C9" s="3" t="s">
        <v>7</v>
      </c>
      <c r="D9" s="3" t="s">
        <v>63</v>
      </c>
      <c r="E9" s="4">
        <v>32325</v>
      </c>
      <c r="F9" s="3">
        <v>21000</v>
      </c>
      <c r="G9" s="3">
        <f t="shared" si="0"/>
        <v>2520</v>
      </c>
      <c r="H9" s="3">
        <f t="shared" si="1"/>
        <v>4200</v>
      </c>
      <c r="I9" s="3">
        <f t="shared" si="2"/>
        <v>1260</v>
      </c>
      <c r="J9" s="3">
        <f t="shared" si="3"/>
        <v>28980</v>
      </c>
      <c r="K9" s="3">
        <f t="shared" si="4"/>
        <v>0.05</v>
      </c>
      <c r="L9" s="3">
        <f t="shared" si="5"/>
        <v>1449</v>
      </c>
      <c r="M9" s="3">
        <f t="shared" si="6"/>
        <v>27531</v>
      </c>
      <c r="O9" s="7">
        <v>25000</v>
      </c>
      <c r="P9" s="7">
        <v>29999</v>
      </c>
      <c r="Q9" s="8">
        <v>0.05</v>
      </c>
    </row>
    <row r="10" spans="2:17" ht="15.75" x14ac:dyDescent="0.25">
      <c r="B10" s="3" t="s">
        <v>23</v>
      </c>
      <c r="C10" s="3" t="s">
        <v>8</v>
      </c>
      <c r="D10" s="3" t="s">
        <v>69</v>
      </c>
      <c r="E10" s="4">
        <v>32569</v>
      </c>
      <c r="F10" s="3">
        <v>11000</v>
      </c>
      <c r="G10" s="3">
        <f t="shared" si="0"/>
        <v>1320</v>
      </c>
      <c r="H10" s="3">
        <f t="shared" si="1"/>
        <v>2200</v>
      </c>
      <c r="I10" s="3">
        <f t="shared" si="2"/>
        <v>660</v>
      </c>
      <c r="J10" s="3">
        <f t="shared" si="3"/>
        <v>15180</v>
      </c>
      <c r="K10" s="3">
        <f t="shared" si="4"/>
        <v>0.04</v>
      </c>
      <c r="L10" s="3">
        <f t="shared" si="5"/>
        <v>607.20000000000005</v>
      </c>
      <c r="M10" s="3">
        <f t="shared" si="6"/>
        <v>14572.8</v>
      </c>
      <c r="O10" s="7">
        <v>30000</v>
      </c>
      <c r="P10" s="7">
        <v>34999</v>
      </c>
      <c r="Q10" s="8">
        <v>5.5E-2</v>
      </c>
    </row>
    <row r="11" spans="2:17" ht="15.75" x14ac:dyDescent="0.25">
      <c r="B11" s="3" t="s">
        <v>24</v>
      </c>
      <c r="C11" s="3" t="s">
        <v>9</v>
      </c>
      <c r="D11" s="3" t="s">
        <v>62</v>
      </c>
      <c r="E11" s="4">
        <v>29342</v>
      </c>
      <c r="F11" s="3">
        <v>41000</v>
      </c>
      <c r="G11" s="3">
        <f t="shared" si="0"/>
        <v>4920</v>
      </c>
      <c r="H11" s="3">
        <f t="shared" si="1"/>
        <v>8200</v>
      </c>
      <c r="I11" s="3">
        <f t="shared" si="2"/>
        <v>2460</v>
      </c>
      <c r="J11" s="3">
        <f t="shared" si="3"/>
        <v>56580</v>
      </c>
      <c r="K11" s="3">
        <f t="shared" si="4"/>
        <v>0.08</v>
      </c>
      <c r="L11" s="3">
        <f t="shared" si="5"/>
        <v>4526.4000000000005</v>
      </c>
      <c r="M11" s="3">
        <f t="shared" si="6"/>
        <v>52053.599999999999</v>
      </c>
      <c r="O11" s="7">
        <v>35000</v>
      </c>
      <c r="P11" s="7">
        <v>39999</v>
      </c>
      <c r="Q11" s="8">
        <v>0.06</v>
      </c>
    </row>
    <row r="12" spans="2:17" ht="15.75" x14ac:dyDescent="0.25">
      <c r="B12" s="3" t="s">
        <v>25</v>
      </c>
      <c r="C12" s="3" t="s">
        <v>10</v>
      </c>
      <c r="D12" s="3" t="s">
        <v>69</v>
      </c>
      <c r="E12" s="4">
        <v>32183</v>
      </c>
      <c r="F12" s="3">
        <v>10000</v>
      </c>
      <c r="G12" s="3">
        <f t="shared" si="0"/>
        <v>1200</v>
      </c>
      <c r="H12" s="3">
        <f t="shared" si="1"/>
        <v>2000</v>
      </c>
      <c r="I12" s="3">
        <f t="shared" si="2"/>
        <v>600</v>
      </c>
      <c r="J12" s="3">
        <f t="shared" si="3"/>
        <v>13800</v>
      </c>
      <c r="K12" s="3">
        <f t="shared" si="4"/>
        <v>3.5000000000000003E-2</v>
      </c>
      <c r="L12" s="3">
        <f t="shared" si="5"/>
        <v>483.00000000000006</v>
      </c>
      <c r="M12" s="3">
        <f t="shared" si="6"/>
        <v>13317</v>
      </c>
      <c r="O12" s="7">
        <v>40000</v>
      </c>
      <c r="P12" s="7">
        <v>44999</v>
      </c>
      <c r="Q12" s="8">
        <v>6.5000000000000002E-2</v>
      </c>
    </row>
    <row r="13" spans="2:17" ht="15.75" x14ac:dyDescent="0.25">
      <c r="B13" s="3" t="s">
        <v>26</v>
      </c>
      <c r="C13" s="3" t="s">
        <v>11</v>
      </c>
      <c r="D13" s="3" t="s">
        <v>68</v>
      </c>
      <c r="E13" s="4">
        <v>32082</v>
      </c>
      <c r="F13" s="3">
        <v>16750</v>
      </c>
      <c r="G13" s="3">
        <f t="shared" si="0"/>
        <v>2010</v>
      </c>
      <c r="H13" s="3">
        <f t="shared" si="1"/>
        <v>3350</v>
      </c>
      <c r="I13" s="3">
        <f t="shared" si="2"/>
        <v>1005</v>
      </c>
      <c r="J13" s="3">
        <f t="shared" si="3"/>
        <v>23115</v>
      </c>
      <c r="K13" s="3">
        <f t="shared" si="4"/>
        <v>4.4999999999999998E-2</v>
      </c>
      <c r="L13" s="3">
        <f t="shared" si="5"/>
        <v>1040.175</v>
      </c>
      <c r="M13" s="3">
        <f t="shared" si="6"/>
        <v>22074.825000000001</v>
      </c>
      <c r="O13" s="9">
        <v>45000</v>
      </c>
      <c r="P13" s="9">
        <v>49999</v>
      </c>
      <c r="Q13" s="8">
        <v>7.0000000000000007E-2</v>
      </c>
    </row>
    <row r="14" spans="2:17" ht="15.75" x14ac:dyDescent="0.25">
      <c r="B14" s="3" t="s">
        <v>27</v>
      </c>
      <c r="C14" s="3" t="s">
        <v>12</v>
      </c>
      <c r="D14" s="3" t="s">
        <v>63</v>
      </c>
      <c r="E14" s="4">
        <v>32692</v>
      </c>
      <c r="F14" s="3">
        <v>24500</v>
      </c>
      <c r="G14" s="3">
        <f t="shared" si="0"/>
        <v>2940</v>
      </c>
      <c r="H14" s="3">
        <f t="shared" si="1"/>
        <v>4900</v>
      </c>
      <c r="I14" s="3">
        <f t="shared" si="2"/>
        <v>1470</v>
      </c>
      <c r="J14" s="3">
        <f t="shared" si="3"/>
        <v>33810</v>
      </c>
      <c r="K14" s="3">
        <f t="shared" si="4"/>
        <v>5.5E-2</v>
      </c>
      <c r="L14" s="3">
        <f t="shared" si="5"/>
        <v>1859.55</v>
      </c>
      <c r="M14" s="3">
        <f t="shared" si="6"/>
        <v>31950.45</v>
      </c>
      <c r="O14" s="9">
        <v>50000</v>
      </c>
      <c r="P14" s="9">
        <v>54999</v>
      </c>
      <c r="Q14" s="8">
        <v>7.4999999999999997E-2</v>
      </c>
    </row>
    <row r="15" spans="2:17" ht="15.75" x14ac:dyDescent="0.25">
      <c r="B15" s="3" t="s">
        <v>28</v>
      </c>
      <c r="C15" s="3" t="s">
        <v>13</v>
      </c>
      <c r="D15" s="3" t="s">
        <v>69</v>
      </c>
      <c r="E15" s="4">
        <v>32365</v>
      </c>
      <c r="F15" s="3">
        <v>11745</v>
      </c>
      <c r="G15" s="3">
        <f t="shared" si="0"/>
        <v>1409.3999999999999</v>
      </c>
      <c r="H15" s="3">
        <f t="shared" si="1"/>
        <v>2349</v>
      </c>
      <c r="I15" s="3">
        <f t="shared" si="2"/>
        <v>704.69999999999993</v>
      </c>
      <c r="J15" s="3">
        <f t="shared" si="3"/>
        <v>16208.1</v>
      </c>
      <c r="K15" s="3">
        <f t="shared" si="4"/>
        <v>0.04</v>
      </c>
      <c r="L15" s="3">
        <f t="shared" si="5"/>
        <v>648.32400000000007</v>
      </c>
      <c r="M15" s="3">
        <f t="shared" si="6"/>
        <v>15559.776</v>
      </c>
      <c r="O15" s="9">
        <v>55000</v>
      </c>
      <c r="P15" s="9">
        <v>59999</v>
      </c>
      <c r="Q15" s="8">
        <v>0.08</v>
      </c>
    </row>
    <row r="16" spans="2:17" ht="15.75" x14ac:dyDescent="0.25">
      <c r="B16" s="3" t="s">
        <v>29</v>
      </c>
      <c r="C16" s="3" t="s">
        <v>14</v>
      </c>
      <c r="D16" s="3" t="s">
        <v>69</v>
      </c>
      <c r="E16" s="4">
        <v>28225</v>
      </c>
      <c r="F16" s="3">
        <v>11400</v>
      </c>
      <c r="G16" s="3">
        <f t="shared" si="0"/>
        <v>1368</v>
      </c>
      <c r="H16" s="3">
        <f t="shared" si="1"/>
        <v>2280</v>
      </c>
      <c r="I16" s="3">
        <f t="shared" si="2"/>
        <v>684</v>
      </c>
      <c r="J16" s="3">
        <f t="shared" si="3"/>
        <v>15732</v>
      </c>
      <c r="K16" s="3">
        <f t="shared" si="4"/>
        <v>0.04</v>
      </c>
      <c r="L16" s="3">
        <f t="shared" si="5"/>
        <v>629.28</v>
      </c>
      <c r="M16" s="3">
        <f t="shared" si="6"/>
        <v>15102.72</v>
      </c>
      <c r="O16" s="9">
        <v>60000</v>
      </c>
      <c r="P16" s="9">
        <v>64999</v>
      </c>
      <c r="Q16" s="8">
        <v>8.5000000000000006E-2</v>
      </c>
    </row>
    <row r="17" spans="2:17" ht="15.75" x14ac:dyDescent="0.25">
      <c r="B17" s="3" t="s">
        <v>30</v>
      </c>
      <c r="C17" s="3" t="s">
        <v>15</v>
      </c>
      <c r="D17" s="3" t="s">
        <v>62</v>
      </c>
      <c r="E17" s="4">
        <v>26482</v>
      </c>
      <c r="F17" s="3">
        <v>39750</v>
      </c>
      <c r="G17" s="3">
        <f t="shared" si="0"/>
        <v>4770</v>
      </c>
      <c r="H17" s="3">
        <f t="shared" si="1"/>
        <v>7950</v>
      </c>
      <c r="I17" s="3">
        <f t="shared" si="2"/>
        <v>2385</v>
      </c>
      <c r="J17" s="3">
        <f t="shared" si="3"/>
        <v>54855</v>
      </c>
      <c r="K17" s="3">
        <f t="shared" si="4"/>
        <v>7.4999999999999997E-2</v>
      </c>
      <c r="L17" s="3">
        <f t="shared" si="5"/>
        <v>4114.125</v>
      </c>
      <c r="M17" s="3">
        <f t="shared" si="6"/>
        <v>50740.875</v>
      </c>
      <c r="O17" s="9">
        <v>65000</v>
      </c>
      <c r="P17" s="9">
        <v>69999</v>
      </c>
      <c r="Q17" s="8">
        <v>0.09</v>
      </c>
    </row>
    <row r="18" spans="2:17" ht="15.75" x14ac:dyDescent="0.25">
      <c r="B18" s="3" t="s">
        <v>31</v>
      </c>
      <c r="C18" s="3" t="s">
        <v>16</v>
      </c>
      <c r="D18" s="3" t="s">
        <v>68</v>
      </c>
      <c r="E18" s="4">
        <v>29707</v>
      </c>
      <c r="F18" s="3">
        <v>15000</v>
      </c>
      <c r="G18" s="3">
        <f t="shared" si="0"/>
        <v>1800</v>
      </c>
      <c r="H18" s="3">
        <f t="shared" si="1"/>
        <v>3000</v>
      </c>
      <c r="I18" s="3">
        <f t="shared" si="2"/>
        <v>900</v>
      </c>
      <c r="J18" s="3">
        <f t="shared" si="3"/>
        <v>20700</v>
      </c>
      <c r="K18" s="3">
        <f t="shared" si="4"/>
        <v>4.4999999999999998E-2</v>
      </c>
      <c r="L18" s="3">
        <f t="shared" si="5"/>
        <v>931.5</v>
      </c>
      <c r="M18" s="3">
        <f t="shared" si="6"/>
        <v>19768.5</v>
      </c>
      <c r="O18" s="9">
        <v>70000</v>
      </c>
      <c r="P18" s="9">
        <v>74999</v>
      </c>
      <c r="Q18" s="8">
        <v>9.5000000000000001E-2</v>
      </c>
    </row>
    <row r="19" spans="2:17" ht="15.75" x14ac:dyDescent="0.25">
      <c r="B19" s="3" t="s">
        <v>32</v>
      </c>
      <c r="C19" s="3" t="s">
        <v>17</v>
      </c>
      <c r="D19" s="3" t="s">
        <v>63</v>
      </c>
      <c r="E19" s="4">
        <v>31959</v>
      </c>
      <c r="F19" s="3">
        <v>26500</v>
      </c>
      <c r="G19" s="3">
        <f t="shared" si="0"/>
        <v>3180</v>
      </c>
      <c r="H19" s="3">
        <f t="shared" si="1"/>
        <v>5300</v>
      </c>
      <c r="I19" s="3">
        <f t="shared" si="2"/>
        <v>1590</v>
      </c>
      <c r="J19" s="3">
        <f t="shared" si="3"/>
        <v>36570</v>
      </c>
      <c r="K19" s="3">
        <f t="shared" si="4"/>
        <v>0.06</v>
      </c>
      <c r="L19" s="3">
        <f t="shared" si="5"/>
        <v>2194.1999999999998</v>
      </c>
      <c r="M19" s="3">
        <f t="shared" si="6"/>
        <v>34375.800000000003</v>
      </c>
      <c r="O19" s="9">
        <v>75000</v>
      </c>
      <c r="P19" s="9">
        <v>79999</v>
      </c>
      <c r="Q19" s="8">
        <v>0.1</v>
      </c>
    </row>
    <row r="20" spans="2:17" ht="15.75" x14ac:dyDescent="0.25">
      <c r="B20" s="3" t="s">
        <v>33</v>
      </c>
      <c r="C20" s="3" t="s">
        <v>87</v>
      </c>
      <c r="D20" s="3" t="s">
        <v>61</v>
      </c>
      <c r="E20" s="4">
        <v>30387</v>
      </c>
      <c r="F20" s="3">
        <v>63500</v>
      </c>
      <c r="G20" s="3">
        <f t="shared" si="0"/>
        <v>7620</v>
      </c>
      <c r="H20" s="3">
        <f t="shared" si="1"/>
        <v>12700</v>
      </c>
      <c r="I20" s="3">
        <f t="shared" si="2"/>
        <v>3810</v>
      </c>
      <c r="J20" s="3">
        <f t="shared" si="3"/>
        <v>87630</v>
      </c>
      <c r="K20" s="3">
        <f t="shared" si="4"/>
        <v>0.11</v>
      </c>
      <c r="L20" s="3">
        <f t="shared" si="5"/>
        <v>9639.2999999999993</v>
      </c>
      <c r="M20" s="3">
        <f t="shared" si="6"/>
        <v>77990.7</v>
      </c>
      <c r="O20" s="9">
        <v>80000</v>
      </c>
      <c r="P20" s="9">
        <v>84999</v>
      </c>
      <c r="Q20" s="8">
        <v>0.105</v>
      </c>
    </row>
    <row r="21" spans="2:17" ht="15.75" x14ac:dyDescent="0.25">
      <c r="B21" s="3" t="s">
        <v>34</v>
      </c>
      <c r="C21" s="3" t="s">
        <v>38</v>
      </c>
      <c r="D21" s="3" t="s">
        <v>60</v>
      </c>
      <c r="E21" s="4">
        <v>24211</v>
      </c>
      <c r="F21" s="3">
        <v>82000</v>
      </c>
      <c r="G21" s="3">
        <f t="shared" si="0"/>
        <v>9840</v>
      </c>
      <c r="H21" s="3">
        <f t="shared" si="1"/>
        <v>16400</v>
      </c>
      <c r="I21" s="3">
        <f t="shared" si="2"/>
        <v>4920</v>
      </c>
      <c r="J21" s="3">
        <f t="shared" si="3"/>
        <v>113160</v>
      </c>
      <c r="K21" s="3">
        <f t="shared" si="4"/>
        <v>0.12</v>
      </c>
      <c r="L21" s="3">
        <f t="shared" si="5"/>
        <v>13579.199999999999</v>
      </c>
      <c r="M21" s="3">
        <f t="shared" si="6"/>
        <v>99580.800000000003</v>
      </c>
      <c r="O21" s="9">
        <v>85000</v>
      </c>
      <c r="P21" s="9">
        <v>89999</v>
      </c>
      <c r="Q21" s="8">
        <v>0.11</v>
      </c>
    </row>
    <row r="22" spans="2:17" ht="15.75" x14ac:dyDescent="0.25">
      <c r="B22" s="3" t="s">
        <v>35</v>
      </c>
      <c r="C22" s="3" t="s">
        <v>39</v>
      </c>
      <c r="D22" s="3" t="s">
        <v>62</v>
      </c>
      <c r="E22" s="4">
        <v>30848</v>
      </c>
      <c r="F22" s="3">
        <v>45000</v>
      </c>
      <c r="G22" s="3">
        <f t="shared" si="0"/>
        <v>5400</v>
      </c>
      <c r="H22" s="3">
        <f t="shared" si="1"/>
        <v>9000</v>
      </c>
      <c r="I22" s="3">
        <f t="shared" si="2"/>
        <v>2700</v>
      </c>
      <c r="J22" s="3">
        <f t="shared" si="3"/>
        <v>62100</v>
      </c>
      <c r="K22" s="3">
        <f t="shared" si="4"/>
        <v>8.5000000000000006E-2</v>
      </c>
      <c r="L22" s="3">
        <f t="shared" si="5"/>
        <v>5278.5</v>
      </c>
      <c r="M22" s="3">
        <f t="shared" si="6"/>
        <v>56821.5</v>
      </c>
      <c r="O22" s="9">
        <v>90000</v>
      </c>
      <c r="P22" s="9">
        <v>94999</v>
      </c>
      <c r="Q22" s="8">
        <v>0.115</v>
      </c>
    </row>
    <row r="23" spans="2:17" ht="15.75" x14ac:dyDescent="0.25">
      <c r="B23" s="3" t="s">
        <v>36</v>
      </c>
      <c r="C23" s="3" t="s">
        <v>40</v>
      </c>
      <c r="D23" s="3" t="s">
        <v>61</v>
      </c>
      <c r="E23" s="4">
        <v>28764</v>
      </c>
      <c r="F23" s="3">
        <v>57000</v>
      </c>
      <c r="G23" s="3">
        <f t="shared" si="0"/>
        <v>6840</v>
      </c>
      <c r="H23" s="3">
        <f t="shared" si="1"/>
        <v>11400</v>
      </c>
      <c r="I23" s="3">
        <f t="shared" si="2"/>
        <v>3420</v>
      </c>
      <c r="J23" s="3">
        <f t="shared" si="3"/>
        <v>78660</v>
      </c>
      <c r="K23" s="3">
        <f t="shared" si="4"/>
        <v>0.1</v>
      </c>
      <c r="L23" s="3">
        <f t="shared" si="5"/>
        <v>7866</v>
      </c>
      <c r="M23" s="3">
        <f t="shared" si="6"/>
        <v>70794</v>
      </c>
      <c r="O23" s="9">
        <v>95000</v>
      </c>
      <c r="P23" s="9"/>
      <c r="Q23" s="8">
        <v>0.12</v>
      </c>
    </row>
    <row r="24" spans="2:17" ht="15.75" x14ac:dyDescent="0.25">
      <c r="B24" s="3" t="s">
        <v>37</v>
      </c>
      <c r="C24" s="3" t="s">
        <v>41</v>
      </c>
      <c r="D24" s="3" t="s">
        <v>68</v>
      </c>
      <c r="E24" s="4">
        <v>29018</v>
      </c>
      <c r="F24" s="3">
        <v>19777</v>
      </c>
      <c r="G24" s="3">
        <f t="shared" si="0"/>
        <v>2373.2399999999998</v>
      </c>
      <c r="H24" s="3">
        <f t="shared" si="1"/>
        <v>3955.4</v>
      </c>
      <c r="I24" s="3">
        <f t="shared" si="2"/>
        <v>1186.6199999999999</v>
      </c>
      <c r="J24" s="3">
        <f t="shared" si="3"/>
        <v>27292.26</v>
      </c>
      <c r="K24" s="3">
        <f t="shared" si="4"/>
        <v>0.05</v>
      </c>
      <c r="L24" s="3">
        <f t="shared" si="5"/>
        <v>1364.6130000000001</v>
      </c>
      <c r="M24" s="3">
        <f t="shared" si="6"/>
        <v>25927.646999999997</v>
      </c>
    </row>
  </sheetData>
  <mergeCells count="1">
    <mergeCell ref="O4:Q4"/>
  </mergeCells>
  <dataValidations disablePrompts="1" count="1">
    <dataValidation type="list" allowBlank="1" showInputMessage="1" showErrorMessage="1" sqref="I4">
      <formula1>$B$5:$B$24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30"/>
  <sheetViews>
    <sheetView topLeftCell="A10" workbookViewId="0">
      <selection activeCell="I23" sqref="I23"/>
    </sheetView>
  </sheetViews>
  <sheetFormatPr defaultRowHeight="15" x14ac:dyDescent="0.25"/>
  <cols>
    <col min="3" max="3" width="14.85546875" customWidth="1"/>
    <col min="4" max="4" width="20.28515625" bestFit="1" customWidth="1"/>
    <col min="5" max="5" width="9.7109375" bestFit="1" customWidth="1"/>
  </cols>
  <sheetData>
    <row r="2" spans="3:5" ht="18" x14ac:dyDescent="0.25">
      <c r="C2" s="45" t="s">
        <v>56</v>
      </c>
      <c r="D2" s="45"/>
    </row>
    <row r="3" spans="3:5" ht="18.75" x14ac:dyDescent="0.3">
      <c r="C3" s="2" t="s">
        <v>50</v>
      </c>
      <c r="D3" s="2" t="s">
        <v>57</v>
      </c>
    </row>
    <row r="4" spans="3:5" ht="15.75" x14ac:dyDescent="0.25">
      <c r="C4" s="10" t="s">
        <v>51</v>
      </c>
      <c r="D4" s="11">
        <v>0.12</v>
      </c>
    </row>
    <row r="5" spans="3:5" ht="15.75" x14ac:dyDescent="0.25">
      <c r="C5" s="10" t="s">
        <v>44</v>
      </c>
      <c r="D5" s="12">
        <v>0.2</v>
      </c>
    </row>
    <row r="6" spans="3:5" ht="15.75" x14ac:dyDescent="0.25">
      <c r="C6" s="10" t="s">
        <v>45</v>
      </c>
      <c r="D6" s="12">
        <v>0.06</v>
      </c>
    </row>
    <row r="11" spans="3:5" ht="18" x14ac:dyDescent="0.25">
      <c r="C11" s="44" t="s">
        <v>52</v>
      </c>
      <c r="D11" s="44"/>
      <c r="E11" s="44"/>
    </row>
    <row r="12" spans="3:5" ht="15.75" x14ac:dyDescent="0.25">
      <c r="C12" s="6" t="s">
        <v>53</v>
      </c>
      <c r="D12" s="6" t="s">
        <v>54</v>
      </c>
      <c r="E12" s="6" t="s">
        <v>55</v>
      </c>
    </row>
    <row r="13" spans="3:5" ht="15.75" x14ac:dyDescent="0.25">
      <c r="C13" s="7">
        <v>0</v>
      </c>
      <c r="D13" s="7">
        <v>14999</v>
      </c>
      <c r="E13" s="8">
        <v>3.5000000000000003E-2</v>
      </c>
    </row>
    <row r="14" spans="3:5" ht="15.75" x14ac:dyDescent="0.25">
      <c r="C14" s="7">
        <v>15000</v>
      </c>
      <c r="D14" s="7">
        <v>19999</v>
      </c>
      <c r="E14" s="8">
        <v>0.04</v>
      </c>
    </row>
    <row r="15" spans="3:5" ht="15.75" x14ac:dyDescent="0.25">
      <c r="C15" s="7">
        <v>20000</v>
      </c>
      <c r="D15" s="7">
        <v>24999</v>
      </c>
      <c r="E15" s="8">
        <v>4.4999999999999998E-2</v>
      </c>
    </row>
    <row r="16" spans="3:5" ht="15.75" x14ac:dyDescent="0.25">
      <c r="C16" s="7">
        <v>25000</v>
      </c>
      <c r="D16" s="7">
        <v>29999</v>
      </c>
      <c r="E16" s="8">
        <v>0.05</v>
      </c>
    </row>
    <row r="17" spans="3:5" ht="15.75" x14ac:dyDescent="0.25">
      <c r="C17" s="7">
        <v>30000</v>
      </c>
      <c r="D17" s="7">
        <v>34999</v>
      </c>
      <c r="E17" s="8">
        <v>5.5E-2</v>
      </c>
    </row>
    <row r="18" spans="3:5" ht="15.75" x14ac:dyDescent="0.25">
      <c r="C18" s="7">
        <v>35000</v>
      </c>
      <c r="D18" s="7">
        <v>39999</v>
      </c>
      <c r="E18" s="8">
        <v>0.06</v>
      </c>
    </row>
    <row r="19" spans="3:5" ht="15.75" x14ac:dyDescent="0.25">
      <c r="C19" s="7">
        <v>40000</v>
      </c>
      <c r="D19" s="7">
        <v>44999</v>
      </c>
      <c r="E19" s="8">
        <v>6.5000000000000002E-2</v>
      </c>
    </row>
    <row r="20" spans="3:5" ht="15.75" x14ac:dyDescent="0.25">
      <c r="C20" s="9">
        <v>45000</v>
      </c>
      <c r="D20" s="9">
        <v>49999</v>
      </c>
      <c r="E20" s="8">
        <v>7.0000000000000007E-2</v>
      </c>
    </row>
    <row r="21" spans="3:5" ht="15.75" x14ac:dyDescent="0.25">
      <c r="C21" s="9">
        <v>50000</v>
      </c>
      <c r="D21" s="9">
        <v>54999</v>
      </c>
      <c r="E21" s="8">
        <v>7.4999999999999997E-2</v>
      </c>
    </row>
    <row r="22" spans="3:5" ht="15.75" x14ac:dyDescent="0.25">
      <c r="C22" s="9">
        <v>55000</v>
      </c>
      <c r="D22" s="9">
        <v>59999</v>
      </c>
      <c r="E22" s="8">
        <v>0.08</v>
      </c>
    </row>
    <row r="23" spans="3:5" ht="15.75" x14ac:dyDescent="0.25">
      <c r="C23" s="9">
        <v>60000</v>
      </c>
      <c r="D23" s="9">
        <v>64999</v>
      </c>
      <c r="E23" s="8">
        <v>8.5000000000000006E-2</v>
      </c>
    </row>
    <row r="24" spans="3:5" ht="15.75" x14ac:dyDescent="0.25">
      <c r="C24" s="9">
        <v>65000</v>
      </c>
      <c r="D24" s="9">
        <v>69999</v>
      </c>
      <c r="E24" s="8">
        <v>0.09</v>
      </c>
    </row>
    <row r="25" spans="3:5" ht="15.75" x14ac:dyDescent="0.25">
      <c r="C25" s="9">
        <v>70000</v>
      </c>
      <c r="D25" s="9">
        <v>74999</v>
      </c>
      <c r="E25" s="8">
        <v>9.5000000000000001E-2</v>
      </c>
    </row>
    <row r="26" spans="3:5" ht="15.75" x14ac:dyDescent="0.25">
      <c r="C26" s="9">
        <v>75000</v>
      </c>
      <c r="D26" s="9">
        <v>79999</v>
      </c>
      <c r="E26" s="8">
        <v>0.1</v>
      </c>
    </row>
    <row r="27" spans="3:5" ht="15.75" x14ac:dyDescent="0.25">
      <c r="C27" s="9">
        <v>80000</v>
      </c>
      <c r="D27" s="9">
        <v>84999</v>
      </c>
      <c r="E27" s="8">
        <v>0.105</v>
      </c>
    </row>
    <row r="28" spans="3:5" ht="15.75" x14ac:dyDescent="0.25">
      <c r="C28" s="9">
        <v>85000</v>
      </c>
      <c r="D28" s="9">
        <v>89999</v>
      </c>
      <c r="E28" s="8">
        <v>0.11</v>
      </c>
    </row>
    <row r="29" spans="3:5" ht="15.75" x14ac:dyDescent="0.25">
      <c r="C29" s="9">
        <v>90000</v>
      </c>
      <c r="D29" s="9">
        <v>94999</v>
      </c>
      <c r="E29" s="8">
        <v>0.115</v>
      </c>
    </row>
    <row r="30" spans="3:5" ht="15.75" x14ac:dyDescent="0.25">
      <c r="C30" s="9">
        <v>95000</v>
      </c>
      <c r="D30" s="9"/>
      <c r="E30" s="8">
        <v>0.12</v>
      </c>
    </row>
  </sheetData>
  <mergeCells count="2">
    <mergeCell ref="C11:E11"/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F9"/>
  <sheetViews>
    <sheetView tabSelected="1" workbookViewId="0">
      <selection activeCell="H22" sqref="H22"/>
    </sheetView>
  </sheetViews>
  <sheetFormatPr defaultRowHeight="15" x14ac:dyDescent="0.25"/>
  <cols>
    <col min="4" max="4" width="9.42578125" bestFit="1" customWidth="1"/>
    <col min="5" max="5" width="16.7109375" bestFit="1" customWidth="1"/>
    <col min="6" max="6" width="22.42578125" bestFit="1" customWidth="1"/>
  </cols>
  <sheetData>
    <row r="3" spans="4:6" ht="18" x14ac:dyDescent="0.25">
      <c r="D3" s="43" t="s">
        <v>1</v>
      </c>
      <c r="E3" s="43" t="s">
        <v>58</v>
      </c>
      <c r="F3" s="43" t="s">
        <v>59</v>
      </c>
    </row>
    <row r="4" spans="4:6" ht="15.75" x14ac:dyDescent="0.25">
      <c r="D4" s="13" t="s">
        <v>60</v>
      </c>
      <c r="E4" s="13" t="s">
        <v>65</v>
      </c>
      <c r="F4" s="13" t="s">
        <v>72</v>
      </c>
    </row>
    <row r="5" spans="4:6" ht="15.75" x14ac:dyDescent="0.25">
      <c r="D5" s="13" t="s">
        <v>61</v>
      </c>
      <c r="E5" s="13" t="s">
        <v>64</v>
      </c>
      <c r="F5" s="13" t="s">
        <v>73</v>
      </c>
    </row>
    <row r="6" spans="4:6" ht="15.75" x14ac:dyDescent="0.25">
      <c r="D6" s="13" t="s">
        <v>62</v>
      </c>
      <c r="E6" s="13" t="s">
        <v>70</v>
      </c>
      <c r="F6" s="13" t="s">
        <v>74</v>
      </c>
    </row>
    <row r="7" spans="4:6" ht="15.75" x14ac:dyDescent="0.25">
      <c r="D7" s="13" t="s">
        <v>63</v>
      </c>
      <c r="E7" s="13" t="s">
        <v>71</v>
      </c>
      <c r="F7" s="13" t="s">
        <v>75</v>
      </c>
    </row>
    <row r="8" spans="4:6" ht="15.75" x14ac:dyDescent="0.25">
      <c r="D8" s="13" t="s">
        <v>68</v>
      </c>
      <c r="E8" s="13" t="s">
        <v>66</v>
      </c>
      <c r="F8" s="13" t="s">
        <v>76</v>
      </c>
    </row>
    <row r="9" spans="4:6" ht="15.75" x14ac:dyDescent="0.25">
      <c r="D9" s="13" t="s">
        <v>69</v>
      </c>
      <c r="E9" s="13" t="s">
        <v>67</v>
      </c>
      <c r="F9" s="13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9"/>
  <sheetViews>
    <sheetView topLeftCell="C2" zoomScale="120" zoomScaleNormal="120" workbookViewId="0">
      <selection activeCell="F6" sqref="F6"/>
    </sheetView>
  </sheetViews>
  <sheetFormatPr defaultRowHeight="15" x14ac:dyDescent="0.25"/>
  <cols>
    <col min="2" max="2" width="22.28515625" bestFit="1" customWidth="1"/>
    <col min="3" max="3" width="25.42578125" bestFit="1" customWidth="1"/>
    <col min="4" max="4" width="12" bestFit="1" customWidth="1"/>
    <col min="5" max="5" width="17.42578125" bestFit="1" customWidth="1"/>
    <col min="6" max="6" width="13.85546875" bestFit="1" customWidth="1"/>
    <col min="7" max="7" width="22.42578125" bestFit="1" customWidth="1"/>
    <col min="8" max="8" width="15" bestFit="1" customWidth="1"/>
    <col min="9" max="9" width="15" customWidth="1"/>
    <col min="10" max="10" width="12.42578125" bestFit="1" customWidth="1"/>
    <col min="13" max="13" width="16.7109375" bestFit="1" customWidth="1"/>
    <col min="14" max="14" width="22.42578125" bestFit="1" customWidth="1"/>
  </cols>
  <sheetData>
    <row r="2" spans="3:14" ht="15.75" x14ac:dyDescent="0.25">
      <c r="C2" s="35" t="s">
        <v>86</v>
      </c>
      <c r="D2" s="3" t="s">
        <v>18</v>
      </c>
    </row>
    <row r="3" spans="3:14" ht="15.75" thickBot="1" x14ac:dyDescent="0.3"/>
    <row r="4" spans="3:14" ht="24" thickBot="1" x14ac:dyDescent="0.4">
      <c r="C4" s="46" t="s">
        <v>82</v>
      </c>
      <c r="D4" s="47"/>
      <c r="E4" s="47"/>
      <c r="F4" s="47"/>
      <c r="G4" s="47"/>
      <c r="H4" s="47"/>
      <c r="I4" s="47"/>
      <c r="J4" s="48"/>
      <c r="L4" s="43" t="s">
        <v>1</v>
      </c>
      <c r="M4" s="43" t="s">
        <v>84</v>
      </c>
      <c r="N4" s="43" t="s">
        <v>59</v>
      </c>
    </row>
    <row r="5" spans="3:14" ht="15.75" x14ac:dyDescent="0.25">
      <c r="C5" s="24" t="s">
        <v>0</v>
      </c>
      <c r="D5" s="25" t="s">
        <v>1</v>
      </c>
      <c r="E5" s="25" t="s">
        <v>84</v>
      </c>
      <c r="F5" s="25" t="s">
        <v>83</v>
      </c>
      <c r="G5" s="31" t="s">
        <v>59</v>
      </c>
      <c r="H5" s="25" t="s">
        <v>2</v>
      </c>
      <c r="I5" s="25" t="s">
        <v>48</v>
      </c>
      <c r="J5" s="26" t="s">
        <v>47</v>
      </c>
      <c r="L5" s="13" t="s">
        <v>60</v>
      </c>
      <c r="M5" s="13" t="s">
        <v>65</v>
      </c>
      <c r="N5" s="13" t="s">
        <v>72</v>
      </c>
    </row>
    <row r="6" spans="3:14" ht="15.75" x14ac:dyDescent="0.25">
      <c r="C6" s="36" t="str">
        <f>VLOOKUP(D2,'Payroll Sheet'!B5:C24,2,)</f>
        <v>Khalid Pervez</v>
      </c>
      <c r="D6" s="37" t="str">
        <f>VLOOKUP(D2,'Payroll Sheet'!B5:D24,3,)</f>
        <v>M1</v>
      </c>
      <c r="E6" s="38" t="str">
        <f>VLOOKUP(D6,'Grades &amp; Desig'!D4:E9,2,)</f>
        <v>Sr. Manager</v>
      </c>
      <c r="F6" s="42"/>
      <c r="G6" s="37" t="str">
        <f>VLOOKUP(D6,'Grades &amp; Desig'!D4:F9,3,FALSE)</f>
        <v>70000-5000-100000</v>
      </c>
      <c r="H6" s="37">
        <f>VLOOKUP(D2,'Payroll Sheet'!B5:F24,5,FALSE)</f>
        <v>75000</v>
      </c>
      <c r="I6" s="37">
        <f>VLOOKUP(D2,'Payroll Sheet'!B5:J24,9,FALSE)</f>
        <v>103500</v>
      </c>
      <c r="J6" s="39">
        <f>VLOOKUP(D2,'Payroll Sheet'!B5:M24,12,FALSE)</f>
        <v>91080</v>
      </c>
      <c r="L6" s="13" t="s">
        <v>61</v>
      </c>
      <c r="M6" s="13" t="s">
        <v>64</v>
      </c>
      <c r="N6" s="13" t="s">
        <v>73</v>
      </c>
    </row>
    <row r="7" spans="3:14" ht="15.75" x14ac:dyDescent="0.25">
      <c r="C7" s="14"/>
      <c r="D7" s="15"/>
      <c r="E7" s="16"/>
      <c r="F7" s="17"/>
      <c r="G7" s="15"/>
      <c r="H7" s="15"/>
      <c r="I7" s="15"/>
      <c r="J7" s="18"/>
      <c r="L7" s="13" t="s">
        <v>62</v>
      </c>
      <c r="M7" s="13" t="s">
        <v>70</v>
      </c>
      <c r="N7" s="13" t="s">
        <v>74</v>
      </c>
    </row>
    <row r="8" spans="3:14" ht="16.5" thickBot="1" x14ac:dyDescent="0.3">
      <c r="C8" s="19"/>
      <c r="D8" s="1"/>
      <c r="E8" s="1"/>
      <c r="F8" s="1"/>
      <c r="G8" s="1"/>
      <c r="H8" s="1"/>
      <c r="I8" s="1"/>
      <c r="J8" s="20"/>
      <c r="L8" s="13" t="s">
        <v>63</v>
      </c>
      <c r="M8" s="13" t="s">
        <v>71</v>
      </c>
      <c r="N8" s="13" t="s">
        <v>75</v>
      </c>
    </row>
    <row r="9" spans="3:14" ht="16.5" thickBot="1" x14ac:dyDescent="0.3">
      <c r="C9" s="19"/>
      <c r="D9" s="28" t="s">
        <v>78</v>
      </c>
      <c r="E9" s="49" t="s">
        <v>79</v>
      </c>
      <c r="F9" s="50"/>
      <c r="G9" s="51"/>
      <c r="H9" s="32"/>
      <c r="I9" s="32"/>
      <c r="J9" s="20"/>
      <c r="L9" s="13" t="s">
        <v>68</v>
      </c>
      <c r="M9" s="13" t="s">
        <v>66</v>
      </c>
      <c r="N9" s="13" t="s">
        <v>76</v>
      </c>
    </row>
    <row r="10" spans="3:14" ht="16.5" thickBot="1" x14ac:dyDescent="0.3">
      <c r="C10" s="19"/>
      <c r="D10" s="29" t="s">
        <v>80</v>
      </c>
      <c r="E10" s="28" t="s">
        <v>85</v>
      </c>
      <c r="F10" s="28" t="s">
        <v>44</v>
      </c>
      <c r="G10" s="30" t="s">
        <v>45</v>
      </c>
      <c r="H10" s="32"/>
      <c r="I10" s="32"/>
      <c r="J10" s="20"/>
      <c r="L10" s="13" t="s">
        <v>69</v>
      </c>
      <c r="M10" s="13" t="s">
        <v>67</v>
      </c>
      <c r="N10" s="13" t="s">
        <v>77</v>
      </c>
    </row>
    <row r="11" spans="3:14" ht="16.5" thickBot="1" x14ac:dyDescent="0.3">
      <c r="C11" s="19"/>
      <c r="D11" s="40"/>
      <c r="E11" s="41"/>
      <c r="F11" s="41"/>
      <c r="G11" s="41"/>
      <c r="H11" s="33"/>
      <c r="I11" s="33"/>
      <c r="J11" s="20"/>
    </row>
    <row r="12" spans="3:14" ht="15.75" x14ac:dyDescent="0.25">
      <c r="C12" s="19"/>
      <c r="D12" s="34"/>
      <c r="E12" s="33"/>
      <c r="F12" s="33"/>
      <c r="G12" s="33"/>
      <c r="H12" s="33"/>
      <c r="I12" s="33"/>
      <c r="J12" s="20"/>
    </row>
    <row r="13" spans="3:14" x14ac:dyDescent="0.25">
      <c r="C13" s="19"/>
      <c r="D13" s="1"/>
      <c r="E13" s="1"/>
      <c r="F13" s="1"/>
      <c r="G13" s="1"/>
      <c r="H13" s="1"/>
      <c r="I13" s="1"/>
      <c r="J13" s="20"/>
    </row>
    <row r="14" spans="3:14" ht="19.5" thickBot="1" x14ac:dyDescent="0.35">
      <c r="C14" s="27" t="s">
        <v>81</v>
      </c>
      <c r="D14" s="52"/>
      <c r="E14" s="52"/>
      <c r="F14" s="52"/>
      <c r="G14" s="52"/>
      <c r="H14" s="52"/>
      <c r="I14" s="52"/>
      <c r="J14" s="53"/>
    </row>
    <row r="15" spans="3:14" ht="16.5" thickTop="1" thickBot="1" x14ac:dyDescent="0.3">
      <c r="C15" s="21"/>
      <c r="D15" s="22"/>
      <c r="E15" s="22"/>
      <c r="F15" s="22"/>
      <c r="G15" s="22"/>
      <c r="H15" s="22"/>
      <c r="I15" s="22"/>
      <c r="J15" s="23"/>
    </row>
    <row r="17" spans="3:3" x14ac:dyDescent="0.25">
      <c r="C17" t="s">
        <v>88</v>
      </c>
    </row>
    <row r="18" spans="3:3" x14ac:dyDescent="0.25">
      <c r="C18" t="s">
        <v>89</v>
      </c>
    </row>
    <row r="19" spans="3:3" x14ac:dyDescent="0.25">
      <c r="C19" t="s">
        <v>90</v>
      </c>
    </row>
  </sheetData>
  <mergeCells count="3">
    <mergeCell ref="C4:J4"/>
    <mergeCell ref="E9:G9"/>
    <mergeCell ref="D14:J1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'Payroll Sheet'!$B$5:$B$24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Payroll Sheet</vt:lpstr>
      <vt:lpstr>Allownce &amp; Tax Rates</vt:lpstr>
      <vt:lpstr>Grades &amp; Desig</vt:lpstr>
      <vt:lpstr>Pay Slip</vt:lpstr>
      <vt:lpstr>Grade</vt:lpstr>
      <vt:lpstr>Payroll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</dc:creator>
  <cp:lastModifiedBy>MCB</cp:lastModifiedBy>
  <dcterms:created xsi:type="dcterms:W3CDTF">2013-01-27T07:49:05Z</dcterms:created>
  <dcterms:modified xsi:type="dcterms:W3CDTF">2018-02-24T02:16:22Z</dcterms:modified>
</cp:coreProperties>
</file>