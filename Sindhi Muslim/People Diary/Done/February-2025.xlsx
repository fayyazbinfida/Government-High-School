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eople Diary\"/>
    </mc:Choice>
  </mc:AlternateContent>
  <xr:revisionPtr revIDLastSave="0" documentId="13_ncr:1_{55BF3954-40C0-4BE1-809C-A9C34966289F}" xr6:coauthVersionLast="47" xr6:coauthVersionMax="47" xr10:uidLastSave="{00000000-0000-0000-0000-000000000000}"/>
  <bookViews>
    <workbookView xWindow="-120" yWindow="-120" windowWidth="20730" windowHeight="11160" firstSheet="15" activeTab="20" xr2:uid="{CC8C79AA-A885-4B45-93E1-9511BBAB4246}"/>
  </bookViews>
  <sheets>
    <sheet name="01-02-2025" sheetId="1" r:id="rId1"/>
    <sheet name="03-02-2025" sheetId="2" r:id="rId2"/>
    <sheet name="04-02-2025" sheetId="3" r:id="rId3"/>
    <sheet name="06-02-2025" sheetId="4" r:id="rId4"/>
    <sheet name="07-02-2025" sheetId="5" r:id="rId5"/>
    <sheet name="08-02-2025" sheetId="6" r:id="rId6"/>
    <sheet name="10-02-2025" sheetId="7" r:id="rId7"/>
    <sheet name="11-02-2025" sheetId="8" r:id="rId8"/>
    <sheet name="12-02-2025" sheetId="9" r:id="rId9"/>
    <sheet name="13-02-2025" sheetId="10" r:id="rId10"/>
    <sheet name="15-02-2025" sheetId="11" r:id="rId11"/>
    <sheet name="17-02-2025" sheetId="12" r:id="rId12"/>
    <sheet name="18-02-2025" sheetId="13" r:id="rId13"/>
    <sheet name="20-02-2025" sheetId="14" r:id="rId14"/>
    <sheet name="21-02-2025" sheetId="15" r:id="rId15"/>
    <sheet name="22-02-2025" sheetId="16" r:id="rId16"/>
    <sheet name="24-02-2025" sheetId="17" r:id="rId17"/>
    <sheet name="25-02-2025" sheetId="18" r:id="rId18"/>
    <sheet name="26-02-2025" sheetId="19" r:id="rId19"/>
    <sheet name="27-02-2025" sheetId="20" r:id="rId20"/>
    <sheet name="28-02-2025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1" l="1"/>
  <c r="E15" i="21"/>
  <c r="C15" i="21"/>
  <c r="B15" i="21"/>
  <c r="G14" i="21"/>
  <c r="H14" i="21" s="1"/>
  <c r="D14" i="21"/>
  <c r="G13" i="21"/>
  <c r="H13" i="21" s="1"/>
  <c r="D13" i="21"/>
  <c r="G12" i="21"/>
  <c r="H12" i="21" s="1"/>
  <c r="D12" i="21"/>
  <c r="G11" i="21"/>
  <c r="H11" i="21" s="1"/>
  <c r="D11" i="21"/>
  <c r="G10" i="21"/>
  <c r="H10" i="21" s="1"/>
  <c r="D10" i="21"/>
  <c r="G9" i="21"/>
  <c r="H9" i="21" s="1"/>
  <c r="D9" i="21"/>
  <c r="G8" i="21"/>
  <c r="H8" i="21" s="1"/>
  <c r="D8" i="21"/>
  <c r="G7" i="21"/>
  <c r="H7" i="21" s="1"/>
  <c r="D7" i="21"/>
  <c r="G6" i="21"/>
  <c r="H6" i="21" s="1"/>
  <c r="D6" i="21"/>
  <c r="G5" i="21"/>
  <c r="H5" i="21" s="1"/>
  <c r="D5" i="21"/>
  <c r="D15" i="21" s="1"/>
  <c r="F15" i="20"/>
  <c r="E15" i="20"/>
  <c r="C15" i="20"/>
  <c r="B15" i="20"/>
  <c r="G14" i="20"/>
  <c r="H14" i="20" s="1"/>
  <c r="D14" i="20"/>
  <c r="G13" i="20"/>
  <c r="H13" i="20" s="1"/>
  <c r="D13" i="20"/>
  <c r="G12" i="20"/>
  <c r="H12" i="20" s="1"/>
  <c r="D12" i="20"/>
  <c r="G11" i="20"/>
  <c r="H11" i="20" s="1"/>
  <c r="D11" i="20"/>
  <c r="G10" i="20"/>
  <c r="H10" i="20" s="1"/>
  <c r="D10" i="20"/>
  <c r="G9" i="20"/>
  <c r="H9" i="20" s="1"/>
  <c r="D9" i="20"/>
  <c r="G8" i="20"/>
  <c r="H8" i="20" s="1"/>
  <c r="D8" i="20"/>
  <c r="G7" i="20"/>
  <c r="H7" i="20" s="1"/>
  <c r="D7" i="20"/>
  <c r="G6" i="20"/>
  <c r="H6" i="20" s="1"/>
  <c r="D6" i="20"/>
  <c r="G5" i="20"/>
  <c r="D5" i="20"/>
  <c r="D15" i="20" s="1"/>
  <c r="F15" i="19"/>
  <c r="E15" i="19"/>
  <c r="C15" i="19"/>
  <c r="B15" i="19"/>
  <c r="G14" i="19"/>
  <c r="H14" i="19" s="1"/>
  <c r="D14" i="19"/>
  <c r="G13" i="19"/>
  <c r="H13" i="19" s="1"/>
  <c r="D13" i="19"/>
  <c r="G12" i="19"/>
  <c r="H12" i="19" s="1"/>
  <c r="D12" i="19"/>
  <c r="G11" i="19"/>
  <c r="H11" i="19" s="1"/>
  <c r="D11" i="19"/>
  <c r="G10" i="19"/>
  <c r="H10" i="19" s="1"/>
  <c r="D10" i="19"/>
  <c r="G9" i="19"/>
  <c r="H9" i="19" s="1"/>
  <c r="D9" i="19"/>
  <c r="G8" i="19"/>
  <c r="H8" i="19" s="1"/>
  <c r="D8" i="19"/>
  <c r="G7" i="19"/>
  <c r="H7" i="19" s="1"/>
  <c r="D7" i="19"/>
  <c r="G6" i="19"/>
  <c r="H6" i="19" s="1"/>
  <c r="D6" i="19"/>
  <c r="G5" i="19"/>
  <c r="D5" i="19"/>
  <c r="D15" i="19" s="1"/>
  <c r="F15" i="18"/>
  <c r="E15" i="18"/>
  <c r="C15" i="18"/>
  <c r="B15" i="18"/>
  <c r="G14" i="18"/>
  <c r="H14" i="18" s="1"/>
  <c r="D14" i="18"/>
  <c r="G13" i="18"/>
  <c r="H13" i="18" s="1"/>
  <c r="D13" i="18"/>
  <c r="G12" i="18"/>
  <c r="H12" i="18" s="1"/>
  <c r="D12" i="18"/>
  <c r="G11" i="18"/>
  <c r="H11" i="18" s="1"/>
  <c r="D11" i="18"/>
  <c r="G10" i="18"/>
  <c r="H10" i="18" s="1"/>
  <c r="D10" i="18"/>
  <c r="G9" i="18"/>
  <c r="H9" i="18" s="1"/>
  <c r="D9" i="18"/>
  <c r="G8" i="18"/>
  <c r="H8" i="18" s="1"/>
  <c r="D8" i="18"/>
  <c r="G7" i="18"/>
  <c r="H7" i="18" s="1"/>
  <c r="D7" i="18"/>
  <c r="G6" i="18"/>
  <c r="H6" i="18" s="1"/>
  <c r="D6" i="18"/>
  <c r="G5" i="18"/>
  <c r="D5" i="18"/>
  <c r="D15" i="18" s="1"/>
  <c r="F15" i="17"/>
  <c r="E15" i="17"/>
  <c r="C15" i="17"/>
  <c r="B15" i="17"/>
  <c r="G14" i="17"/>
  <c r="H14" i="17" s="1"/>
  <c r="D14" i="17"/>
  <c r="G13" i="17"/>
  <c r="H13" i="17" s="1"/>
  <c r="D13" i="17"/>
  <c r="G12" i="17"/>
  <c r="D12" i="17"/>
  <c r="G11" i="17"/>
  <c r="H11" i="17" s="1"/>
  <c r="D11" i="17"/>
  <c r="G10" i="17"/>
  <c r="H10" i="17" s="1"/>
  <c r="D10" i="17"/>
  <c r="G9" i="17"/>
  <c r="H9" i="17" s="1"/>
  <c r="D9" i="17"/>
  <c r="G8" i="17"/>
  <c r="D8" i="17"/>
  <c r="G7" i="17"/>
  <c r="H7" i="17" s="1"/>
  <c r="D7" i="17"/>
  <c r="G6" i="17"/>
  <c r="H6" i="17" s="1"/>
  <c r="D6" i="17"/>
  <c r="G5" i="17"/>
  <c r="D5" i="17"/>
  <c r="D15" i="17" s="1"/>
  <c r="F15" i="16"/>
  <c r="E15" i="16"/>
  <c r="C15" i="16"/>
  <c r="B15" i="16"/>
  <c r="G14" i="16"/>
  <c r="H14" i="16" s="1"/>
  <c r="D14" i="16"/>
  <c r="G13" i="16"/>
  <c r="H13" i="16" s="1"/>
  <c r="D13" i="16"/>
  <c r="G12" i="16"/>
  <c r="H12" i="16" s="1"/>
  <c r="D12" i="16"/>
  <c r="G11" i="16"/>
  <c r="H11" i="16" s="1"/>
  <c r="D11" i="16"/>
  <c r="G10" i="16"/>
  <c r="H10" i="16" s="1"/>
  <c r="D10" i="16"/>
  <c r="G9" i="16"/>
  <c r="H9" i="16" s="1"/>
  <c r="D9" i="16"/>
  <c r="G8" i="16"/>
  <c r="H8" i="16" s="1"/>
  <c r="D8" i="16"/>
  <c r="G7" i="16"/>
  <c r="H7" i="16" s="1"/>
  <c r="D7" i="16"/>
  <c r="G6" i="16"/>
  <c r="H6" i="16" s="1"/>
  <c r="D6" i="16"/>
  <c r="G5" i="16"/>
  <c r="D5" i="16"/>
  <c r="D15" i="16" s="1"/>
  <c r="F15" i="15"/>
  <c r="E15" i="15"/>
  <c r="C15" i="15"/>
  <c r="B15" i="15"/>
  <c r="G14" i="15"/>
  <c r="H14" i="15" s="1"/>
  <c r="D14" i="15"/>
  <c r="G13" i="15"/>
  <c r="H13" i="15" s="1"/>
  <c r="D13" i="15"/>
  <c r="G12" i="15"/>
  <c r="H12" i="15" s="1"/>
  <c r="D12" i="15"/>
  <c r="G11" i="15"/>
  <c r="H11" i="15" s="1"/>
  <c r="D11" i="15"/>
  <c r="G10" i="15"/>
  <c r="H10" i="15" s="1"/>
  <c r="D10" i="15"/>
  <c r="G9" i="15"/>
  <c r="H9" i="15" s="1"/>
  <c r="D9" i="15"/>
  <c r="G8" i="15"/>
  <c r="H8" i="15" s="1"/>
  <c r="D8" i="15"/>
  <c r="G7" i="15"/>
  <c r="H7" i="15" s="1"/>
  <c r="D7" i="15"/>
  <c r="G6" i="15"/>
  <c r="H6" i="15" s="1"/>
  <c r="D6" i="15"/>
  <c r="G5" i="15"/>
  <c r="D5" i="15"/>
  <c r="D15" i="15" s="1"/>
  <c r="F15" i="14"/>
  <c r="E15" i="14"/>
  <c r="C15" i="14"/>
  <c r="B15" i="14"/>
  <c r="G14" i="14"/>
  <c r="H14" i="14" s="1"/>
  <c r="D14" i="14"/>
  <c r="G13" i="14"/>
  <c r="H13" i="14" s="1"/>
  <c r="D13" i="14"/>
  <c r="G12" i="14"/>
  <c r="H12" i="14" s="1"/>
  <c r="D12" i="14"/>
  <c r="G11" i="14"/>
  <c r="H11" i="14" s="1"/>
  <c r="D11" i="14"/>
  <c r="G10" i="14"/>
  <c r="H10" i="14" s="1"/>
  <c r="D10" i="14"/>
  <c r="G9" i="14"/>
  <c r="H9" i="14" s="1"/>
  <c r="D9" i="14"/>
  <c r="G8" i="14"/>
  <c r="H8" i="14" s="1"/>
  <c r="D8" i="14"/>
  <c r="G7" i="14"/>
  <c r="H7" i="14" s="1"/>
  <c r="D7" i="14"/>
  <c r="G6" i="14"/>
  <c r="H6" i="14" s="1"/>
  <c r="D6" i="14"/>
  <c r="G5" i="14"/>
  <c r="H5" i="14" s="1"/>
  <c r="D5" i="14"/>
  <c r="D15" i="14" s="1"/>
  <c r="F15" i="13"/>
  <c r="E15" i="13"/>
  <c r="C15" i="13"/>
  <c r="B15" i="13"/>
  <c r="G14" i="13"/>
  <c r="H14" i="13" s="1"/>
  <c r="D14" i="13"/>
  <c r="G13" i="13"/>
  <c r="H13" i="13" s="1"/>
  <c r="D13" i="13"/>
  <c r="G12" i="13"/>
  <c r="H12" i="13" s="1"/>
  <c r="D12" i="13"/>
  <c r="G11" i="13"/>
  <c r="H11" i="13" s="1"/>
  <c r="D11" i="13"/>
  <c r="G10" i="13"/>
  <c r="H10" i="13" s="1"/>
  <c r="D10" i="13"/>
  <c r="G9" i="13"/>
  <c r="H9" i="13" s="1"/>
  <c r="D9" i="13"/>
  <c r="G8" i="13"/>
  <c r="H8" i="13" s="1"/>
  <c r="D8" i="13"/>
  <c r="G7" i="13"/>
  <c r="H7" i="13" s="1"/>
  <c r="D7" i="13"/>
  <c r="G6" i="13"/>
  <c r="H6" i="13" s="1"/>
  <c r="D6" i="13"/>
  <c r="G5" i="13"/>
  <c r="D5" i="13"/>
  <c r="D15" i="13" s="1"/>
  <c r="F15" i="12"/>
  <c r="E15" i="12"/>
  <c r="C15" i="12"/>
  <c r="B15" i="12"/>
  <c r="G14" i="12"/>
  <c r="H14" i="12" s="1"/>
  <c r="D14" i="12"/>
  <c r="G13" i="12"/>
  <c r="H13" i="12" s="1"/>
  <c r="D13" i="12"/>
  <c r="G12" i="12"/>
  <c r="D12" i="12"/>
  <c r="G11" i="12"/>
  <c r="H11" i="12" s="1"/>
  <c r="D11" i="12"/>
  <c r="G10" i="12"/>
  <c r="H10" i="12" s="1"/>
  <c r="D10" i="12"/>
  <c r="G9" i="12"/>
  <c r="H9" i="12" s="1"/>
  <c r="D9" i="12"/>
  <c r="G8" i="12"/>
  <c r="D8" i="12"/>
  <c r="H8" i="12" s="1"/>
  <c r="G7" i="12"/>
  <c r="H7" i="12" s="1"/>
  <c r="D7" i="12"/>
  <c r="G6" i="12"/>
  <c r="H6" i="12" s="1"/>
  <c r="D6" i="12"/>
  <c r="G5" i="12"/>
  <c r="D5" i="12"/>
  <c r="D15" i="12" s="1"/>
  <c r="F15" i="11"/>
  <c r="E15" i="11"/>
  <c r="C15" i="11"/>
  <c r="B15" i="11"/>
  <c r="G14" i="11"/>
  <c r="H14" i="11" s="1"/>
  <c r="D14" i="11"/>
  <c r="G13" i="11"/>
  <c r="H13" i="11" s="1"/>
  <c r="D13" i="11"/>
  <c r="G12" i="11"/>
  <c r="H12" i="11" s="1"/>
  <c r="D12" i="11"/>
  <c r="G11" i="11"/>
  <c r="H11" i="11" s="1"/>
  <c r="D11" i="11"/>
  <c r="G10" i="11"/>
  <c r="H10" i="11" s="1"/>
  <c r="D10" i="11"/>
  <c r="G9" i="11"/>
  <c r="H9" i="11" s="1"/>
  <c r="D9" i="11"/>
  <c r="G8" i="11"/>
  <c r="H8" i="11" s="1"/>
  <c r="D8" i="11"/>
  <c r="G7" i="11"/>
  <c r="H7" i="11" s="1"/>
  <c r="D7" i="11"/>
  <c r="G6" i="11"/>
  <c r="H6" i="11" s="1"/>
  <c r="D6" i="11"/>
  <c r="G5" i="11"/>
  <c r="D5" i="11"/>
  <c r="D15" i="11" s="1"/>
  <c r="F15" i="10"/>
  <c r="E15" i="10"/>
  <c r="C15" i="10"/>
  <c r="B15" i="10"/>
  <c r="G14" i="10"/>
  <c r="H14" i="10" s="1"/>
  <c r="D14" i="10"/>
  <c r="G13" i="10"/>
  <c r="H13" i="10" s="1"/>
  <c r="D13" i="10"/>
  <c r="G12" i="10"/>
  <c r="H12" i="10" s="1"/>
  <c r="D12" i="10"/>
  <c r="G11" i="10"/>
  <c r="H11" i="10" s="1"/>
  <c r="D11" i="10"/>
  <c r="G10" i="10"/>
  <c r="H10" i="10" s="1"/>
  <c r="D10" i="10"/>
  <c r="G9" i="10"/>
  <c r="H9" i="10" s="1"/>
  <c r="D9" i="10"/>
  <c r="G8" i="10"/>
  <c r="H8" i="10" s="1"/>
  <c r="D8" i="10"/>
  <c r="G7" i="10"/>
  <c r="H7" i="10" s="1"/>
  <c r="D7" i="10"/>
  <c r="G6" i="10"/>
  <c r="H6" i="10" s="1"/>
  <c r="D6" i="10"/>
  <c r="G5" i="10"/>
  <c r="D5" i="10"/>
  <c r="D15" i="10" s="1"/>
  <c r="F15" i="9"/>
  <c r="E15" i="9"/>
  <c r="C15" i="9"/>
  <c r="B15" i="9"/>
  <c r="G14" i="9"/>
  <c r="H14" i="9" s="1"/>
  <c r="D14" i="9"/>
  <c r="G13" i="9"/>
  <c r="H13" i="9" s="1"/>
  <c r="D13" i="9"/>
  <c r="G12" i="9"/>
  <c r="H12" i="9" s="1"/>
  <c r="D12" i="9"/>
  <c r="G11" i="9"/>
  <c r="H11" i="9" s="1"/>
  <c r="D11" i="9"/>
  <c r="G10" i="9"/>
  <c r="H10" i="9" s="1"/>
  <c r="D10" i="9"/>
  <c r="G9" i="9"/>
  <c r="H9" i="9" s="1"/>
  <c r="D9" i="9"/>
  <c r="G8" i="9"/>
  <c r="H8" i="9" s="1"/>
  <c r="D8" i="9"/>
  <c r="G7" i="9"/>
  <c r="H7" i="9" s="1"/>
  <c r="D7" i="9"/>
  <c r="G6" i="9"/>
  <c r="H6" i="9" s="1"/>
  <c r="D6" i="9"/>
  <c r="G5" i="9"/>
  <c r="D5" i="9"/>
  <c r="D15" i="9" s="1"/>
  <c r="F15" i="8"/>
  <c r="E15" i="8"/>
  <c r="C15" i="8"/>
  <c r="B15" i="8"/>
  <c r="G14" i="8"/>
  <c r="H14" i="8" s="1"/>
  <c r="D14" i="8"/>
  <c r="G13" i="8"/>
  <c r="H13" i="8" s="1"/>
  <c r="D13" i="8"/>
  <c r="G12" i="8"/>
  <c r="H12" i="8" s="1"/>
  <c r="D12" i="8"/>
  <c r="G11" i="8"/>
  <c r="H11" i="8" s="1"/>
  <c r="D11" i="8"/>
  <c r="G10" i="8"/>
  <c r="H10" i="8" s="1"/>
  <c r="D10" i="8"/>
  <c r="G9" i="8"/>
  <c r="H9" i="8" s="1"/>
  <c r="D9" i="8"/>
  <c r="G8" i="8"/>
  <c r="H8" i="8" s="1"/>
  <c r="D8" i="8"/>
  <c r="G7" i="8"/>
  <c r="H7" i="8" s="1"/>
  <c r="D7" i="8"/>
  <c r="G6" i="8"/>
  <c r="H6" i="8" s="1"/>
  <c r="D6" i="8"/>
  <c r="G5" i="8"/>
  <c r="D5" i="8"/>
  <c r="D15" i="8" s="1"/>
  <c r="F15" i="7"/>
  <c r="E15" i="7"/>
  <c r="C15" i="7"/>
  <c r="B15" i="7"/>
  <c r="G14" i="7"/>
  <c r="H14" i="7" s="1"/>
  <c r="D14" i="7"/>
  <c r="G13" i="7"/>
  <c r="H13" i="7" s="1"/>
  <c r="D13" i="7"/>
  <c r="G12" i="7"/>
  <c r="H12" i="7" s="1"/>
  <c r="D12" i="7"/>
  <c r="G11" i="7"/>
  <c r="H11" i="7" s="1"/>
  <c r="D11" i="7"/>
  <c r="G10" i="7"/>
  <c r="H10" i="7" s="1"/>
  <c r="D10" i="7"/>
  <c r="G9" i="7"/>
  <c r="H9" i="7" s="1"/>
  <c r="D9" i="7"/>
  <c r="G8" i="7"/>
  <c r="H8" i="7" s="1"/>
  <c r="D8" i="7"/>
  <c r="G7" i="7"/>
  <c r="H7" i="7" s="1"/>
  <c r="D7" i="7"/>
  <c r="G6" i="7"/>
  <c r="H6" i="7" s="1"/>
  <c r="D6" i="7"/>
  <c r="G5" i="7"/>
  <c r="D5" i="7"/>
  <c r="D15" i="7" s="1"/>
  <c r="F15" i="6"/>
  <c r="E15" i="6"/>
  <c r="C15" i="6"/>
  <c r="B15" i="6"/>
  <c r="G14" i="6"/>
  <c r="H14" i="6" s="1"/>
  <c r="D14" i="6"/>
  <c r="G13" i="6"/>
  <c r="H13" i="6" s="1"/>
  <c r="D13" i="6"/>
  <c r="G12" i="6"/>
  <c r="H12" i="6" s="1"/>
  <c r="D12" i="6"/>
  <c r="G11" i="6"/>
  <c r="H11" i="6" s="1"/>
  <c r="D11" i="6"/>
  <c r="G10" i="6"/>
  <c r="H10" i="6" s="1"/>
  <c r="D10" i="6"/>
  <c r="G9" i="6"/>
  <c r="H9" i="6" s="1"/>
  <c r="D9" i="6"/>
  <c r="G8" i="6"/>
  <c r="H8" i="6" s="1"/>
  <c r="D8" i="6"/>
  <c r="G7" i="6"/>
  <c r="H7" i="6" s="1"/>
  <c r="D7" i="6"/>
  <c r="G6" i="6"/>
  <c r="H6" i="6" s="1"/>
  <c r="D6" i="6"/>
  <c r="G5" i="6"/>
  <c r="H5" i="6" s="1"/>
  <c r="D5" i="6"/>
  <c r="D15" i="6" s="1"/>
  <c r="F15" i="5"/>
  <c r="E15" i="5"/>
  <c r="C15" i="5"/>
  <c r="B15" i="5"/>
  <c r="G14" i="5"/>
  <c r="H14" i="5" s="1"/>
  <c r="D14" i="5"/>
  <c r="G13" i="5"/>
  <c r="H13" i="5" s="1"/>
  <c r="D13" i="5"/>
  <c r="G12" i="5"/>
  <c r="H12" i="5" s="1"/>
  <c r="D12" i="5"/>
  <c r="G11" i="5"/>
  <c r="H11" i="5" s="1"/>
  <c r="D11" i="5"/>
  <c r="G10" i="5"/>
  <c r="H10" i="5" s="1"/>
  <c r="D10" i="5"/>
  <c r="G9" i="5"/>
  <c r="H9" i="5" s="1"/>
  <c r="D9" i="5"/>
  <c r="G8" i="5"/>
  <c r="H8" i="5" s="1"/>
  <c r="D8" i="5"/>
  <c r="G7" i="5"/>
  <c r="H7" i="5" s="1"/>
  <c r="D7" i="5"/>
  <c r="G6" i="5"/>
  <c r="H6" i="5" s="1"/>
  <c r="D6" i="5"/>
  <c r="G5" i="5"/>
  <c r="H5" i="5" s="1"/>
  <c r="D5" i="5"/>
  <c r="D15" i="5" s="1"/>
  <c r="F15" i="4"/>
  <c r="E15" i="4"/>
  <c r="C15" i="4"/>
  <c r="B15" i="4"/>
  <c r="G14" i="4"/>
  <c r="H14" i="4" s="1"/>
  <c r="D14" i="4"/>
  <c r="G13" i="4"/>
  <c r="H13" i="4" s="1"/>
  <c r="D13" i="4"/>
  <c r="G12" i="4"/>
  <c r="D12" i="4"/>
  <c r="G11" i="4"/>
  <c r="H11" i="4" s="1"/>
  <c r="D11" i="4"/>
  <c r="G10" i="4"/>
  <c r="H10" i="4" s="1"/>
  <c r="D10" i="4"/>
  <c r="G9" i="4"/>
  <c r="H9" i="4" s="1"/>
  <c r="D9" i="4"/>
  <c r="G8" i="4"/>
  <c r="D8" i="4"/>
  <c r="H8" i="4" s="1"/>
  <c r="G7" i="4"/>
  <c r="H7" i="4" s="1"/>
  <c r="D7" i="4"/>
  <c r="G6" i="4"/>
  <c r="H6" i="4" s="1"/>
  <c r="D6" i="4"/>
  <c r="G5" i="4"/>
  <c r="D5" i="4"/>
  <c r="D15" i="4" s="1"/>
  <c r="F15" i="3"/>
  <c r="E15" i="3"/>
  <c r="C15" i="3"/>
  <c r="B15" i="3"/>
  <c r="G14" i="3"/>
  <c r="H14" i="3" s="1"/>
  <c r="D14" i="3"/>
  <c r="G13" i="3"/>
  <c r="H13" i="3" s="1"/>
  <c r="D13" i="3"/>
  <c r="G12" i="3"/>
  <c r="H12" i="3" s="1"/>
  <c r="D12" i="3"/>
  <c r="G11" i="3"/>
  <c r="H11" i="3" s="1"/>
  <c r="D11" i="3"/>
  <c r="G10" i="3"/>
  <c r="H10" i="3" s="1"/>
  <c r="D10" i="3"/>
  <c r="G9" i="3"/>
  <c r="H9" i="3" s="1"/>
  <c r="D9" i="3"/>
  <c r="G8" i="3"/>
  <c r="H8" i="3" s="1"/>
  <c r="D8" i="3"/>
  <c r="G7" i="3"/>
  <c r="H7" i="3" s="1"/>
  <c r="D7" i="3"/>
  <c r="G6" i="3"/>
  <c r="H6" i="3" s="1"/>
  <c r="D6" i="3"/>
  <c r="G5" i="3"/>
  <c r="D5" i="3"/>
  <c r="D15" i="3" s="1"/>
  <c r="F15" i="2"/>
  <c r="E15" i="2"/>
  <c r="C15" i="2"/>
  <c r="B15" i="2"/>
  <c r="G14" i="2"/>
  <c r="H14" i="2" s="1"/>
  <c r="D14" i="2"/>
  <c r="G13" i="2"/>
  <c r="H13" i="2" s="1"/>
  <c r="D13" i="2"/>
  <c r="G12" i="2"/>
  <c r="H12" i="2" s="1"/>
  <c r="D12" i="2"/>
  <c r="G11" i="2"/>
  <c r="H11" i="2" s="1"/>
  <c r="D11" i="2"/>
  <c r="G10" i="2"/>
  <c r="H10" i="2" s="1"/>
  <c r="D10" i="2"/>
  <c r="G9" i="2"/>
  <c r="H9" i="2" s="1"/>
  <c r="D9" i="2"/>
  <c r="G8" i="2"/>
  <c r="D8" i="2"/>
  <c r="G7" i="2"/>
  <c r="D7" i="2"/>
  <c r="G6" i="2"/>
  <c r="H6" i="2" s="1"/>
  <c r="D6" i="2"/>
  <c r="G5" i="2"/>
  <c r="H5" i="2" s="1"/>
  <c r="D5" i="2"/>
  <c r="F15" i="1"/>
  <c r="E15" i="1"/>
  <c r="C15" i="1"/>
  <c r="B15" i="1"/>
  <c r="G14" i="1"/>
  <c r="H14" i="1" s="1"/>
  <c r="D14" i="1"/>
  <c r="G13" i="1"/>
  <c r="H13" i="1" s="1"/>
  <c r="D13" i="1"/>
  <c r="G12" i="1"/>
  <c r="H12" i="1" s="1"/>
  <c r="D12" i="1"/>
  <c r="G11" i="1"/>
  <c r="H11" i="1" s="1"/>
  <c r="D11" i="1"/>
  <c r="G10" i="1"/>
  <c r="H10" i="1" s="1"/>
  <c r="D10" i="1"/>
  <c r="G9" i="1"/>
  <c r="H9" i="1" s="1"/>
  <c r="D9" i="1"/>
  <c r="G8" i="1"/>
  <c r="H8" i="1" s="1"/>
  <c r="D8" i="1"/>
  <c r="G7" i="1"/>
  <c r="H7" i="1" s="1"/>
  <c r="D7" i="1"/>
  <c r="G6" i="1"/>
  <c r="H6" i="1" s="1"/>
  <c r="D6" i="1"/>
  <c r="G5" i="1"/>
  <c r="D5" i="1"/>
  <c r="D15" i="1" s="1"/>
  <c r="G15" i="21" l="1"/>
  <c r="H15" i="21" s="1"/>
  <c r="G15" i="20"/>
  <c r="H15" i="20" s="1"/>
  <c r="H5" i="20"/>
  <c r="G15" i="19"/>
  <c r="H15" i="19" s="1"/>
  <c r="H5" i="19"/>
  <c r="G15" i="18"/>
  <c r="H15" i="18" s="1"/>
  <c r="H5" i="18"/>
  <c r="H8" i="17"/>
  <c r="H12" i="17"/>
  <c r="G15" i="17"/>
  <c r="H15" i="17" s="1"/>
  <c r="H5" i="17"/>
  <c r="G15" i="16"/>
  <c r="H15" i="16" s="1"/>
  <c r="H5" i="16"/>
  <c r="G15" i="15"/>
  <c r="H15" i="15" s="1"/>
  <c r="H5" i="15"/>
  <c r="G15" i="14"/>
  <c r="H15" i="14" s="1"/>
  <c r="G15" i="13"/>
  <c r="H15" i="13" s="1"/>
  <c r="H5" i="13"/>
  <c r="H12" i="12"/>
  <c r="G15" i="12"/>
  <c r="H15" i="12" s="1"/>
  <c r="H5" i="12"/>
  <c r="G15" i="11"/>
  <c r="H15" i="11" s="1"/>
  <c r="H5" i="11"/>
  <c r="G15" i="10"/>
  <c r="H15" i="10" s="1"/>
  <c r="H5" i="10"/>
  <c r="G15" i="9"/>
  <c r="H15" i="9" s="1"/>
  <c r="H5" i="9"/>
  <c r="G15" i="8"/>
  <c r="H15" i="8" s="1"/>
  <c r="H5" i="8"/>
  <c r="G15" i="7"/>
  <c r="H15" i="7" s="1"/>
  <c r="H5" i="7"/>
  <c r="G15" i="6"/>
  <c r="H15" i="6" s="1"/>
  <c r="G15" i="5"/>
  <c r="H15" i="5" s="1"/>
  <c r="H12" i="4"/>
  <c r="G15" i="4"/>
  <c r="H15" i="4" s="1"/>
  <c r="H5" i="4"/>
  <c r="G15" i="3"/>
  <c r="H15" i="3" s="1"/>
  <c r="H5" i="3"/>
  <c r="H8" i="2"/>
  <c r="H7" i="2"/>
  <c r="D15" i="2"/>
  <c r="G15" i="2"/>
  <c r="G15" i="1"/>
  <c r="H15" i="1" s="1"/>
  <c r="H5" i="1"/>
  <c r="H15" i="2" l="1"/>
</calcChain>
</file>

<file path=xl/sharedStrings.xml><?xml version="1.0" encoding="utf-8"?>
<sst xmlns="http://schemas.openxmlformats.org/spreadsheetml/2006/main" count="441" uniqueCount="19">
  <si>
    <t>Monthly Attendance Summary of Student GHS</t>
  </si>
  <si>
    <t>CLASS WISE ENROLLED SUMMARY</t>
  </si>
  <si>
    <t>BOYS</t>
  </si>
  <si>
    <t>GIRLS</t>
  </si>
  <si>
    <t>TOTAL</t>
  </si>
  <si>
    <t>PRESENT BOYS</t>
  </si>
  <si>
    <t>PRESENT GIRLS</t>
  </si>
  <si>
    <t>PERCENTAGE</t>
  </si>
  <si>
    <t>ECE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</si>
  <si>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</si>
  <si>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</si>
  <si>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</si>
  <si>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</si>
  <si>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</si>
  <si>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</si>
  <si>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</si>
  <si>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</si>
  <si>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</si>
  <si>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SJCHS (February-2025)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</si>
</sst>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nrollment&quot;\ \(dd\-mm\-yyyy\)\ \(dddd\)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0" fillId="0" borderId="13" xfId="0" applyBorder="1"/>
    <xf numFmtId="2" fontId="0" fillId="0" borderId="14" xfId="0" applyNumberFormat="1" applyBorder="1"/>
    <xf numFmtId="0" fontId="3" fillId="0" borderId="15" xfId="0" applyFont="1" applyBorder="1"/>
    <xf numFmtId="0" fontId="0" fillId="0" borderId="16" xfId="0" applyBorder="1"/>
    <xf numFmtId="0" fontId="0" fillId="0" borderId="17" xfId="0" applyBorder="1"/>
    <xf numFmtId="2" fontId="0" fillId="0" borderId="18" xfId="0" applyNumberFormat="1" applyBorder="1"/>
    <xf numFmtId="0" fontId="3" fillId="0" borderId="19" xfId="0" applyFont="1" applyBorder="1"/>
    <xf numFmtId="0" fontId="0" fillId="0" borderId="20" xfId="0" applyBorder="1"/>
    <xf numFmtId="0" fontId="0" fillId="0" borderId="21" xfId="0" applyBorder="1"/>
    <xf numFmtId="2" fontId="0" fillId="0" borderId="22" xfId="0" applyNumberFormat="1" applyBorder="1"/>
    <xf numFmtId="0" fontId="4" fillId="0" borderId="9" xfId="0" applyFont="1" applyBorder="1"/>
    <xf numFmtId="0" fontId="0" fillId="0" borderId="10" xfId="0" applyBorder="1"/>
    <xf numFmtId="2" fontId="0" fillId="0" borderId="11" xfId="0" applyNumberFormat="1" applyBorder="1"/>
    <xf numFmtId="0" fontId="0" fillId="0" borderId="23" xfId="0" applyBorder="1"/>
    <xf numFmtId="0" fontId="0" fillId="0" borderId="22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5678-072A-4E71-AF3B-E180EB680BF4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45689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/>
      <c r="F5" s="6"/>
      <c r="G5" s="6">
        <f t="shared" ref="G5" si="0">E5+F5</f>
        <v>0</v>
      </c>
      <c r="H5" s="7">
        <f>G5/D5*100</f>
        <v>0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/>
      <c r="F6" s="10"/>
      <c r="G6" s="9">
        <f>E6+F6</f>
        <v>0</v>
      </c>
      <c r="H6" s="11">
        <f t="shared" ref="H6:H15" si="2">G6/D6*100</f>
        <v>0</v>
      </c>
    </row>
    <row r="7" spans="1:8" ht="15.75" x14ac:dyDescent="0.25">
      <c r="A7" s="8" t="s">
        <v>10</v>
      </c>
      <c r="B7" s="9">
        <v>26</v>
      </c>
      <c r="C7" s="9">
        <v>26</v>
      </c>
      <c r="D7" s="10">
        <f t="shared" si="1"/>
        <v>52</v>
      </c>
      <c r="E7" s="10"/>
      <c r="F7" s="10"/>
      <c r="G7" s="9">
        <f t="shared" ref="G7:G14" si="3">E7+F7</f>
        <v>0</v>
      </c>
      <c r="H7" s="11">
        <f t="shared" si="2"/>
        <v>0</v>
      </c>
    </row>
    <row r="8" spans="1:8" ht="15.75" x14ac:dyDescent="0.25">
      <c r="A8" s="8" t="s">
        <v>11</v>
      </c>
      <c r="B8" s="9">
        <v>28</v>
      </c>
      <c r="C8" s="9">
        <v>24</v>
      </c>
      <c r="D8" s="10">
        <f t="shared" si="1"/>
        <v>52</v>
      </c>
      <c r="E8" s="10"/>
      <c r="F8" s="10"/>
      <c r="G8" s="9">
        <f t="shared" si="3"/>
        <v>0</v>
      </c>
      <c r="H8" s="11">
        <f t="shared" si="2"/>
        <v>0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7</v>
      </c>
      <c r="F9" s="10">
        <v>17</v>
      </c>
      <c r="G9" s="9">
        <f t="shared" si="3"/>
        <v>24</v>
      </c>
      <c r="H9" s="11">
        <f t="shared" si="2"/>
        <v>46.153846153846153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18</v>
      </c>
      <c r="F10" s="10">
        <v>12</v>
      </c>
      <c r="G10" s="9">
        <f t="shared" si="3"/>
        <v>30</v>
      </c>
      <c r="H10" s="11">
        <f t="shared" si="2"/>
        <v>65.217391304347828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8</v>
      </c>
      <c r="F11" s="10">
        <v>13</v>
      </c>
      <c r="G11" s="9">
        <f t="shared" si="3"/>
        <v>21</v>
      </c>
      <c r="H11" s="11">
        <f t="shared" si="2"/>
        <v>50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16</v>
      </c>
      <c r="F12" s="10">
        <v>14</v>
      </c>
      <c r="G12" s="9">
        <f t="shared" si="3"/>
        <v>30</v>
      </c>
      <c r="H12" s="11">
        <f t="shared" si="2"/>
        <v>66.666666666666657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12</v>
      </c>
      <c r="F13" s="10">
        <v>20</v>
      </c>
      <c r="G13" s="9">
        <f t="shared" si="3"/>
        <v>32</v>
      </c>
      <c r="H13" s="11">
        <f t="shared" si="2"/>
        <v>76.19047619047619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12</v>
      </c>
      <c r="F14" s="14">
        <v>15</v>
      </c>
      <c r="G14" s="13">
        <f t="shared" si="3"/>
        <v>27</v>
      </c>
      <c r="H14" s="15">
        <f t="shared" si="2"/>
        <v>77.142857142857153</v>
      </c>
    </row>
    <row r="15" spans="1:8" ht="16.5" thickBot="1" x14ac:dyDescent="0.3">
      <c r="A15" s="16" t="s">
        <v>4</v>
      </c>
      <c r="B15" s="17">
        <f t="shared" ref="B15:G15" si="4">SUM(B5:B14)</f>
        <v>271</v>
      </c>
      <c r="C15" s="17">
        <f t="shared" si="4"/>
        <v>261</v>
      </c>
      <c r="D15" s="17">
        <f t="shared" si="4"/>
        <v>532</v>
      </c>
      <c r="E15" s="17">
        <f t="shared" si="4"/>
        <v>73</v>
      </c>
      <c r="F15" s="17">
        <f t="shared" si="4"/>
        <v>91</v>
      </c>
      <c r="G15" s="17">
        <f t="shared" si="4"/>
        <v>164</v>
      </c>
      <c r="H15" s="18">
        <f t="shared" si="2"/>
        <v>30.82706766917293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F43AA300-CFD7-404D-9F67-7E653C4C8B0A}">
      <formula1>B5&gt;=E5</formula1>
    </dataValidation>
    <dataValidation type="custom" allowBlank="1" showInputMessage="1" showErrorMessage="1" errorTitle="Wrong Entry" error="Kindly Enter Value Less then Available Girls" sqref="F5:F14" xr:uid="{58EB6A56-6364-4BD4-BDE9-ED9F0C237133}">
      <formula1>C5&gt;=F5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74EC-6680-462D-9C21-37BB71A8A12A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45691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58</v>
      </c>
      <c r="F5" s="6">
        <v>44</v>
      </c>
      <c r="G5" s="6">
        <f t="shared" ref="G5" si="0">E5+F5</f>
        <v>102</v>
      </c>
      <c r="H5" s="7">
        <f>G5/D5*100</f>
        <v>92.72727272727272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28</v>
      </c>
      <c r="F6" s="10">
        <v>18</v>
      </c>
      <c r="G6" s="9">
        <f>E6+F6</f>
        <v>46</v>
      </c>
      <c r="H6" s="11">
        <f t="shared" ref="H6:H15" si="2">G6/D6*100</f>
        <v>82.142857142857139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21</v>
      </c>
      <c r="F7" s="10">
        <v>21</v>
      </c>
      <c r="G7" s="9">
        <f t="shared" ref="G7:G14" si="3">E7+F7</f>
        <v>42</v>
      </c>
      <c r="H7" s="11">
        <f t="shared" si="2"/>
        <v>89.361702127659569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22</v>
      </c>
      <c r="F8" s="10">
        <v>21</v>
      </c>
      <c r="G8" s="9">
        <f t="shared" si="3"/>
        <v>43</v>
      </c>
      <c r="H8" s="11">
        <f t="shared" si="2"/>
        <v>86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20</v>
      </c>
      <c r="F9" s="10">
        <v>22</v>
      </c>
      <c r="G9" s="9">
        <f t="shared" si="3"/>
        <v>42</v>
      </c>
      <c r="H9" s="11">
        <f t="shared" si="2"/>
        <v>80.769230769230774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20</v>
      </c>
      <c r="F10" s="10">
        <v>18</v>
      </c>
      <c r="G10" s="9">
        <f t="shared" si="3"/>
        <v>38</v>
      </c>
      <c r="H10" s="11">
        <f t="shared" si="2"/>
        <v>82.608695652173907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20</v>
      </c>
      <c r="G11" s="9">
        <f t="shared" si="3"/>
        <v>33</v>
      </c>
      <c r="H11" s="11">
        <f t="shared" si="2"/>
        <v>78.571428571428569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23</v>
      </c>
      <c r="F12" s="10">
        <v>15</v>
      </c>
      <c r="G12" s="9">
        <f t="shared" si="3"/>
        <v>38</v>
      </c>
      <c r="H12" s="11">
        <f t="shared" si="2"/>
        <v>84.444444444444443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16</v>
      </c>
      <c r="F13" s="10">
        <v>20</v>
      </c>
      <c r="G13" s="9">
        <f t="shared" si="3"/>
        <v>36</v>
      </c>
      <c r="H13" s="11">
        <f t="shared" si="2"/>
        <v>85.714285714285708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13</v>
      </c>
      <c r="F14" s="14">
        <v>13</v>
      </c>
      <c r="G14" s="13">
        <f t="shared" si="3"/>
        <v>26</v>
      </c>
      <c r="H14" s="15">
        <f t="shared" si="2"/>
        <v>74.285714285714292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234</v>
      </c>
      <c r="F15" s="17">
        <f t="shared" si="4"/>
        <v>212</v>
      </c>
      <c r="G15" s="17">
        <f t="shared" si="4"/>
        <v>446</v>
      </c>
      <c r="H15" s="18">
        <f t="shared" si="2"/>
        <v>84.952380952380963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BCC76779-35B0-4485-9C82-2E5A9702CA52}">
      <formula1>C5&gt;=F5</formula1>
    </dataValidation>
    <dataValidation type="custom" allowBlank="1" showInputMessage="1" showErrorMessage="1" errorTitle="Wrong Entry" error="Kindly Enter Value Less then Available Boys" sqref="E5:E13" xr:uid="{1697345D-BE26-46C2-8543-0638C204D72C}">
      <formula1>B5&gt;=E5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F8E1-5DA6-445A-AB45-50AC670C6CBF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45692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55</v>
      </c>
      <c r="F5" s="6">
        <v>42</v>
      </c>
      <c r="G5" s="6">
        <f t="shared" ref="G5" si="0">E5+F5</f>
        <v>97</v>
      </c>
      <c r="H5" s="7">
        <f>G5/D5*100</f>
        <v>88.181818181818187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25</v>
      </c>
      <c r="F6" s="10">
        <v>22</v>
      </c>
      <c r="G6" s="9">
        <f>E6+F6</f>
        <v>47</v>
      </c>
      <c r="H6" s="11">
        <f t="shared" ref="H6:H15" si="2">G6/D6*100</f>
        <v>83.928571428571431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23</v>
      </c>
      <c r="F7" s="10">
        <v>22</v>
      </c>
      <c r="G7" s="9">
        <f t="shared" ref="G7:G14" si="3">E7+F7</f>
        <v>45</v>
      </c>
      <c r="H7" s="11">
        <f t="shared" si="2"/>
        <v>95.744680851063833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24</v>
      </c>
      <c r="F8" s="10">
        <v>21</v>
      </c>
      <c r="G8" s="9">
        <f t="shared" si="3"/>
        <v>45</v>
      </c>
      <c r="H8" s="11">
        <f t="shared" si="2"/>
        <v>90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17</v>
      </c>
      <c r="F9" s="10">
        <v>25</v>
      </c>
      <c r="G9" s="9">
        <f t="shared" si="3"/>
        <v>42</v>
      </c>
      <c r="H9" s="11">
        <f t="shared" si="2"/>
        <v>80.769230769230774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21</v>
      </c>
      <c r="F10" s="10">
        <v>19</v>
      </c>
      <c r="G10" s="9">
        <f t="shared" si="3"/>
        <v>40</v>
      </c>
      <c r="H10" s="11">
        <f t="shared" si="2"/>
        <v>86.956521739130437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10</v>
      </c>
      <c r="F11" s="10">
        <v>20</v>
      </c>
      <c r="G11" s="9">
        <f t="shared" si="3"/>
        <v>30</v>
      </c>
      <c r="H11" s="11">
        <f t="shared" si="2"/>
        <v>71.428571428571431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24</v>
      </c>
      <c r="F12" s="10">
        <v>16</v>
      </c>
      <c r="G12" s="9">
        <f t="shared" si="3"/>
        <v>40</v>
      </c>
      <c r="H12" s="11">
        <f t="shared" si="2"/>
        <v>88.888888888888886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15</v>
      </c>
      <c r="F13" s="10">
        <v>20</v>
      </c>
      <c r="G13" s="9">
        <f t="shared" si="3"/>
        <v>35</v>
      </c>
      <c r="H13" s="11">
        <f t="shared" si="2"/>
        <v>83.333333333333343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14</v>
      </c>
      <c r="F14" s="14">
        <v>13</v>
      </c>
      <c r="G14" s="13">
        <f t="shared" si="3"/>
        <v>27</v>
      </c>
      <c r="H14" s="15">
        <f t="shared" si="2"/>
        <v>77.142857142857153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228</v>
      </c>
      <c r="F15" s="17">
        <f t="shared" si="4"/>
        <v>220</v>
      </c>
      <c r="G15" s="17">
        <f t="shared" si="4"/>
        <v>448</v>
      </c>
      <c r="H15" s="18">
        <f t="shared" si="2"/>
        <v>85.333333333333343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31C03F68-C4C7-40D4-B8C4-7501D73AF539}">
      <formula1>B5&gt;=E5</formula1>
    </dataValidation>
    <dataValidation type="custom" allowBlank="1" showInputMessage="1" showErrorMessage="1" errorTitle="Wrong Entry" error="Kindly Enter Value Less then Available Girls" sqref="F5:F14" xr:uid="{52CEB806-E0F1-46F7-A14E-5305803E6963}">
      <formula1>C5&gt;=F5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40AC-5000-41F0-BB9D-02021FB6BC75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45694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54</v>
      </c>
      <c r="F5" s="6">
        <v>42</v>
      </c>
      <c r="G5" s="6">
        <f t="shared" ref="G5" si="0">E5+F5</f>
        <v>96</v>
      </c>
      <c r="H5" s="7">
        <f>G5/D5*100</f>
        <v>87.272727272727266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29</v>
      </c>
      <c r="F6" s="10">
        <v>19</v>
      </c>
      <c r="G6" s="9">
        <f>E6+F6</f>
        <v>48</v>
      </c>
      <c r="H6" s="11">
        <f t="shared" ref="H6:H15" si="2">G6/D6*100</f>
        <v>85.714285714285708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22</v>
      </c>
      <c r="F7" s="10">
        <v>21</v>
      </c>
      <c r="G7" s="9">
        <f t="shared" ref="G7:G14" si="3">E7+F7</f>
        <v>43</v>
      </c>
      <c r="H7" s="11">
        <f t="shared" si="2"/>
        <v>91.489361702127653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22</v>
      </c>
      <c r="F8" s="10">
        <v>21</v>
      </c>
      <c r="G8" s="9">
        <f t="shared" si="3"/>
        <v>43</v>
      </c>
      <c r="H8" s="11">
        <f t="shared" si="2"/>
        <v>86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19</v>
      </c>
      <c r="F9" s="10">
        <v>25</v>
      </c>
      <c r="G9" s="9">
        <f t="shared" si="3"/>
        <v>44</v>
      </c>
      <c r="H9" s="11">
        <f t="shared" si="2"/>
        <v>84.615384615384613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20</v>
      </c>
      <c r="F10" s="10">
        <v>17</v>
      </c>
      <c r="G10" s="9">
        <f t="shared" si="3"/>
        <v>37</v>
      </c>
      <c r="H10" s="11">
        <f t="shared" si="2"/>
        <v>80.434782608695656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12</v>
      </c>
      <c r="F11" s="10">
        <v>22</v>
      </c>
      <c r="G11" s="9">
        <f t="shared" si="3"/>
        <v>34</v>
      </c>
      <c r="H11" s="11">
        <f t="shared" si="2"/>
        <v>80.952380952380949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23</v>
      </c>
      <c r="F12" s="10">
        <v>12</v>
      </c>
      <c r="G12" s="9">
        <f t="shared" si="3"/>
        <v>35</v>
      </c>
      <c r="H12" s="11">
        <f t="shared" si="2"/>
        <v>77.777777777777786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14</v>
      </c>
      <c r="F13" s="10">
        <v>21</v>
      </c>
      <c r="G13" s="9">
        <f t="shared" si="3"/>
        <v>35</v>
      </c>
      <c r="H13" s="11">
        <f t="shared" si="2"/>
        <v>83.333333333333343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13</v>
      </c>
      <c r="F14" s="14">
        <v>13</v>
      </c>
      <c r="G14" s="13">
        <f t="shared" si="3"/>
        <v>26</v>
      </c>
      <c r="H14" s="15">
        <f t="shared" si="2"/>
        <v>74.285714285714292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228</v>
      </c>
      <c r="F15" s="17">
        <f t="shared" si="4"/>
        <v>213</v>
      </c>
      <c r="G15" s="17">
        <f t="shared" si="4"/>
        <v>441</v>
      </c>
      <c r="H15" s="18">
        <f t="shared" si="2"/>
        <v>84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C4AE0042-5515-4B2A-9FE5-0E2E046C9781}">
      <formula1>C5&gt;=F5</formula1>
    </dataValidation>
    <dataValidation type="custom" allowBlank="1" showInputMessage="1" showErrorMessage="1" errorTitle="Wrong Entry" error="Kindly Enter Value Less then Available Boys" sqref="E5:E13" xr:uid="{FD7A97E2-3291-4F03-ADE1-2756D51BE5F9}">
      <formula1>B5&gt;=E5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77D-4B69-4F92-92E5-AF5C8C7864C6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45695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49</v>
      </c>
      <c r="F5" s="6">
        <v>42</v>
      </c>
      <c r="G5" s="6">
        <f t="shared" ref="G5" si="0">E5+F5</f>
        <v>91</v>
      </c>
      <c r="H5" s="7">
        <f>G5/D5*100</f>
        <v>82.727272727272734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22</v>
      </c>
      <c r="F6" s="10">
        <v>17</v>
      </c>
      <c r="G6" s="9">
        <f>E6+F6</f>
        <v>39</v>
      </c>
      <c r="H6" s="11">
        <f t="shared" ref="H6:H15" si="2">G6/D6*100</f>
        <v>69.642857142857139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22</v>
      </c>
      <c r="F7" s="10">
        <v>23</v>
      </c>
      <c r="G7" s="9">
        <f t="shared" ref="G7:G14" si="3">E7+F7</f>
        <v>45</v>
      </c>
      <c r="H7" s="11">
        <f t="shared" si="2"/>
        <v>95.744680851063833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22</v>
      </c>
      <c r="F8" s="10">
        <v>21</v>
      </c>
      <c r="G8" s="9">
        <f t="shared" si="3"/>
        <v>43</v>
      </c>
      <c r="H8" s="11">
        <f t="shared" si="2"/>
        <v>86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18</v>
      </c>
      <c r="F9" s="10">
        <v>25</v>
      </c>
      <c r="G9" s="9">
        <f t="shared" si="3"/>
        <v>43</v>
      </c>
      <c r="H9" s="11">
        <f t="shared" si="2"/>
        <v>82.692307692307693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22</v>
      </c>
      <c r="F10" s="10">
        <v>17</v>
      </c>
      <c r="G10" s="9">
        <f t="shared" si="3"/>
        <v>39</v>
      </c>
      <c r="H10" s="11">
        <f t="shared" si="2"/>
        <v>84.782608695652172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12</v>
      </c>
      <c r="F11" s="10">
        <v>19</v>
      </c>
      <c r="G11" s="9">
        <f t="shared" si="3"/>
        <v>31</v>
      </c>
      <c r="H11" s="11">
        <f t="shared" si="2"/>
        <v>73.80952380952381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23</v>
      </c>
      <c r="F12" s="10">
        <v>15</v>
      </c>
      <c r="G12" s="9">
        <f t="shared" si="3"/>
        <v>38</v>
      </c>
      <c r="H12" s="11">
        <f t="shared" si="2"/>
        <v>84.444444444444443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13</v>
      </c>
      <c r="F13" s="10">
        <v>20</v>
      </c>
      <c r="G13" s="9">
        <f t="shared" si="3"/>
        <v>33</v>
      </c>
      <c r="H13" s="11">
        <f t="shared" si="2"/>
        <v>78.571428571428569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12</v>
      </c>
      <c r="F14" s="14">
        <v>13</v>
      </c>
      <c r="G14" s="13">
        <f t="shared" si="3"/>
        <v>25</v>
      </c>
      <c r="H14" s="15">
        <f t="shared" si="2"/>
        <v>71.428571428571431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215</v>
      </c>
      <c r="F15" s="17">
        <f t="shared" si="4"/>
        <v>212</v>
      </c>
      <c r="G15" s="17">
        <f t="shared" si="4"/>
        <v>427</v>
      </c>
      <c r="H15" s="18">
        <f t="shared" si="2"/>
        <v>81.333333333333329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FF6B2FA8-2AFD-472F-ACC4-0A86F0189EB4}">
      <formula1>B5&gt;=E5</formula1>
    </dataValidation>
    <dataValidation type="custom" allowBlank="1" showInputMessage="1" showErrorMessage="1" errorTitle="Wrong Entry" error="Kindly Enter Value Less then Available Girls" sqref="F5:F14" xr:uid="{649B0401-3991-42F3-9A04-639836543D87}">
      <formula1>C5&gt;=F5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CC51-9273-4B90-BED5-93F4EBD07D57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45696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45</v>
      </c>
      <c r="F5" s="6">
        <v>38</v>
      </c>
      <c r="G5" s="6">
        <f t="shared" ref="G5" si="0">E5+F5</f>
        <v>83</v>
      </c>
      <c r="H5" s="7">
        <f>G5/D5*100</f>
        <v>75.454545454545453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24</v>
      </c>
      <c r="F6" s="10">
        <v>14</v>
      </c>
      <c r="G6" s="9">
        <f>E6+F6</f>
        <v>38</v>
      </c>
      <c r="H6" s="11">
        <f t="shared" ref="H6:H15" si="2">G6/D6*100</f>
        <v>67.857142857142861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18</v>
      </c>
      <c r="F7" s="10">
        <v>20</v>
      </c>
      <c r="G7" s="9">
        <f t="shared" ref="G7:G14" si="3">E7+F7</f>
        <v>38</v>
      </c>
      <c r="H7" s="11">
        <f t="shared" si="2"/>
        <v>80.851063829787222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21</v>
      </c>
      <c r="F8" s="10">
        <v>19</v>
      </c>
      <c r="G8" s="9">
        <f t="shared" si="3"/>
        <v>40</v>
      </c>
      <c r="H8" s="11">
        <f t="shared" si="2"/>
        <v>80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16</v>
      </c>
      <c r="F9" s="10">
        <v>24</v>
      </c>
      <c r="G9" s="9">
        <f t="shared" si="3"/>
        <v>40</v>
      </c>
      <c r="H9" s="11">
        <f t="shared" si="2"/>
        <v>76.923076923076934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17</v>
      </c>
      <c r="F10" s="10">
        <v>15</v>
      </c>
      <c r="G10" s="9">
        <f t="shared" si="3"/>
        <v>32</v>
      </c>
      <c r="H10" s="11">
        <f t="shared" si="2"/>
        <v>69.565217391304344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9</v>
      </c>
      <c r="F11" s="10">
        <v>15</v>
      </c>
      <c r="G11" s="9">
        <f t="shared" si="3"/>
        <v>24</v>
      </c>
      <c r="H11" s="11">
        <f t="shared" si="2"/>
        <v>57.142857142857139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18</v>
      </c>
      <c r="F12" s="10">
        <v>15</v>
      </c>
      <c r="G12" s="9">
        <f t="shared" si="3"/>
        <v>33</v>
      </c>
      <c r="H12" s="11">
        <f t="shared" si="2"/>
        <v>73.333333333333329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11</v>
      </c>
      <c r="F13" s="10">
        <v>15</v>
      </c>
      <c r="G13" s="9">
        <f t="shared" si="3"/>
        <v>26</v>
      </c>
      <c r="H13" s="11">
        <f t="shared" si="2"/>
        <v>61.904761904761905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7</v>
      </c>
      <c r="F14" s="14">
        <v>13</v>
      </c>
      <c r="G14" s="13">
        <f t="shared" si="3"/>
        <v>20</v>
      </c>
      <c r="H14" s="15">
        <f t="shared" si="2"/>
        <v>57.142857142857139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186</v>
      </c>
      <c r="F15" s="17">
        <f t="shared" si="4"/>
        <v>188</v>
      </c>
      <c r="G15" s="17">
        <f t="shared" si="4"/>
        <v>374</v>
      </c>
      <c r="H15" s="18">
        <f t="shared" si="2"/>
        <v>71.238095238095241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BA552408-097A-4A31-8D03-CC0763181900}">
      <formula1>C5&gt;=F5</formula1>
    </dataValidation>
    <dataValidation type="custom" allowBlank="1" showInputMessage="1" showErrorMessage="1" errorTitle="Wrong Entry" error="Kindly Enter Value Less then Available Boys" sqref="E5:E13" xr:uid="{601A4CA4-FF8D-4DEB-81BD-775C0EED20F8}">
      <formula1>B5&gt;=E5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9FC4-0C05-4EFF-96E3-4337218D44EA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45698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52</v>
      </c>
      <c r="F5" s="6">
        <v>41</v>
      </c>
      <c r="G5" s="6">
        <f t="shared" ref="G5" si="0">E5+F5</f>
        <v>93</v>
      </c>
      <c r="H5" s="7">
        <f>G5/D5*100</f>
        <v>84.545454545454547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26</v>
      </c>
      <c r="F6" s="10">
        <v>17</v>
      </c>
      <c r="G6" s="9">
        <f>E6+F6</f>
        <v>43</v>
      </c>
      <c r="H6" s="11">
        <f t="shared" ref="H6:H15" si="2">G6/D6*100</f>
        <v>76.785714285714292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22</v>
      </c>
      <c r="F7" s="10">
        <v>21</v>
      </c>
      <c r="G7" s="9">
        <f t="shared" ref="G7:G14" si="3">E7+F7</f>
        <v>43</v>
      </c>
      <c r="H7" s="11">
        <f t="shared" si="2"/>
        <v>91.489361702127653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21</v>
      </c>
      <c r="F8" s="10">
        <v>20</v>
      </c>
      <c r="G8" s="9">
        <f t="shared" si="3"/>
        <v>41</v>
      </c>
      <c r="H8" s="11">
        <f t="shared" si="2"/>
        <v>82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19</v>
      </c>
      <c r="F9" s="10">
        <v>25</v>
      </c>
      <c r="G9" s="9">
        <f t="shared" si="3"/>
        <v>44</v>
      </c>
      <c r="H9" s="11">
        <f t="shared" si="2"/>
        <v>84.615384615384613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21</v>
      </c>
      <c r="F10" s="10">
        <v>17</v>
      </c>
      <c r="G10" s="9">
        <f t="shared" si="3"/>
        <v>38</v>
      </c>
      <c r="H10" s="11">
        <f t="shared" si="2"/>
        <v>82.608695652173907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17</v>
      </c>
      <c r="G11" s="9">
        <f t="shared" si="3"/>
        <v>30</v>
      </c>
      <c r="H11" s="11">
        <f t="shared" si="2"/>
        <v>71.428571428571431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22</v>
      </c>
      <c r="F12" s="10">
        <v>14</v>
      </c>
      <c r="G12" s="9">
        <f t="shared" si="3"/>
        <v>36</v>
      </c>
      <c r="H12" s="11">
        <f t="shared" si="2"/>
        <v>80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13</v>
      </c>
      <c r="F13" s="10">
        <v>19</v>
      </c>
      <c r="G13" s="9">
        <f t="shared" si="3"/>
        <v>32</v>
      </c>
      <c r="H13" s="11">
        <f t="shared" si="2"/>
        <v>76.19047619047619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14</v>
      </c>
      <c r="F14" s="14">
        <v>14</v>
      </c>
      <c r="G14" s="13">
        <f t="shared" si="3"/>
        <v>28</v>
      </c>
      <c r="H14" s="15">
        <f t="shared" si="2"/>
        <v>80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223</v>
      </c>
      <c r="F15" s="17">
        <f t="shared" si="4"/>
        <v>205</v>
      </c>
      <c r="G15" s="17">
        <f t="shared" si="4"/>
        <v>428</v>
      </c>
      <c r="H15" s="18">
        <f t="shared" si="2"/>
        <v>81.523809523809518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99F1D3E9-6966-47CA-969F-BB2540F598BB}">
      <formula1>B5&gt;=E5</formula1>
    </dataValidation>
    <dataValidation type="custom" allowBlank="1" showInputMessage="1" showErrorMessage="1" errorTitle="Wrong Entry" error="Kindly Enter Value Less then Available Girls" sqref="F5:F14" xr:uid="{9E8A7489-9F99-41ED-BB37-54C30898CF29}">
      <formula1>C5&gt;=F5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D8F3-486F-48EE-8D3B-4748020F4FAB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45699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53</v>
      </c>
      <c r="F5" s="6">
        <v>43</v>
      </c>
      <c r="G5" s="6">
        <f t="shared" ref="G5" si="0">E5+F5</f>
        <v>96</v>
      </c>
      <c r="H5" s="7">
        <f>G5/D5*100</f>
        <v>87.272727272727266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26</v>
      </c>
      <c r="F6" s="10">
        <v>18</v>
      </c>
      <c r="G6" s="9">
        <f>E6+F6</f>
        <v>44</v>
      </c>
      <c r="H6" s="11">
        <f t="shared" ref="H6:H15" si="2">G6/D6*100</f>
        <v>78.571428571428569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19</v>
      </c>
      <c r="F7" s="10">
        <v>18</v>
      </c>
      <c r="G7" s="9">
        <f t="shared" ref="G7:G14" si="3">E7+F7</f>
        <v>37</v>
      </c>
      <c r="H7" s="11">
        <f t="shared" si="2"/>
        <v>78.723404255319153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22</v>
      </c>
      <c r="F8" s="10">
        <v>20</v>
      </c>
      <c r="G8" s="9">
        <f t="shared" si="3"/>
        <v>42</v>
      </c>
      <c r="H8" s="11">
        <f t="shared" si="2"/>
        <v>84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17</v>
      </c>
      <c r="F9" s="10">
        <v>21</v>
      </c>
      <c r="G9" s="9">
        <f t="shared" si="3"/>
        <v>38</v>
      </c>
      <c r="H9" s="11">
        <f t="shared" si="2"/>
        <v>73.076923076923066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19</v>
      </c>
      <c r="F10" s="10">
        <v>17</v>
      </c>
      <c r="G10" s="9">
        <f t="shared" si="3"/>
        <v>36</v>
      </c>
      <c r="H10" s="11">
        <f t="shared" si="2"/>
        <v>78.260869565217391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14</v>
      </c>
      <c r="F11" s="10">
        <v>21</v>
      </c>
      <c r="G11" s="9">
        <f t="shared" si="3"/>
        <v>35</v>
      </c>
      <c r="H11" s="11">
        <f t="shared" si="2"/>
        <v>83.333333333333343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23</v>
      </c>
      <c r="F12" s="10">
        <v>16</v>
      </c>
      <c r="G12" s="9">
        <f t="shared" si="3"/>
        <v>39</v>
      </c>
      <c r="H12" s="11">
        <f t="shared" si="2"/>
        <v>86.666666666666671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13</v>
      </c>
      <c r="F13" s="10">
        <v>20</v>
      </c>
      <c r="G13" s="9">
        <f t="shared" si="3"/>
        <v>33</v>
      </c>
      <c r="H13" s="11">
        <f t="shared" si="2"/>
        <v>78.571428571428569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13</v>
      </c>
      <c r="F14" s="14">
        <v>13</v>
      </c>
      <c r="G14" s="13">
        <f t="shared" si="3"/>
        <v>26</v>
      </c>
      <c r="H14" s="15">
        <f t="shared" si="2"/>
        <v>74.285714285714292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219</v>
      </c>
      <c r="F15" s="17">
        <f t="shared" si="4"/>
        <v>207</v>
      </c>
      <c r="G15" s="17">
        <f t="shared" si="4"/>
        <v>426</v>
      </c>
      <c r="H15" s="18">
        <f t="shared" si="2"/>
        <v>81.142857142857139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3CD078E8-3339-406A-B87B-A37A706873B9}">
      <formula1>C5&gt;=F5</formula1>
    </dataValidation>
    <dataValidation type="custom" allowBlank="1" showInputMessage="1" showErrorMessage="1" errorTitle="Wrong Entry" error="Kindly Enter Value Less then Available Boys" sqref="E5:E13" xr:uid="{7ECA6958-E0CA-4E2A-A89A-29730665D3AE}">
      <formula1>B5&gt;=E5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2019-D68E-4F12-B0AA-BE061ADF492C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45700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54</v>
      </c>
      <c r="F5" s="6">
        <v>39</v>
      </c>
      <c r="G5" s="6">
        <f t="shared" ref="G5" si="0">E5+F5</f>
        <v>93</v>
      </c>
      <c r="H5" s="7">
        <f>G5/D5*100</f>
        <v>84.545454545454547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26</v>
      </c>
      <c r="F6" s="10">
        <v>21</v>
      </c>
      <c r="G6" s="9">
        <f>E6+F6</f>
        <v>47</v>
      </c>
      <c r="H6" s="11">
        <f t="shared" ref="H6:H15" si="2">G6/D6*100</f>
        <v>83.928571428571431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20</v>
      </c>
      <c r="F7" s="10">
        <v>20</v>
      </c>
      <c r="G7" s="9">
        <f t="shared" ref="G7:G14" si="3">E7+F7</f>
        <v>40</v>
      </c>
      <c r="H7" s="11">
        <f t="shared" si="2"/>
        <v>85.106382978723403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23</v>
      </c>
      <c r="F8" s="10">
        <v>19</v>
      </c>
      <c r="G8" s="9">
        <f t="shared" si="3"/>
        <v>42</v>
      </c>
      <c r="H8" s="11">
        <f t="shared" si="2"/>
        <v>84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16</v>
      </c>
      <c r="F9" s="10">
        <v>23</v>
      </c>
      <c r="G9" s="9">
        <f t="shared" si="3"/>
        <v>39</v>
      </c>
      <c r="H9" s="11">
        <f t="shared" si="2"/>
        <v>75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19</v>
      </c>
      <c r="F10" s="10">
        <v>16</v>
      </c>
      <c r="G10" s="9">
        <f t="shared" si="3"/>
        <v>35</v>
      </c>
      <c r="H10" s="11">
        <f t="shared" si="2"/>
        <v>76.08695652173914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20</v>
      </c>
      <c r="G11" s="9">
        <f t="shared" si="3"/>
        <v>33</v>
      </c>
      <c r="H11" s="11">
        <f t="shared" si="2"/>
        <v>78.571428571428569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19</v>
      </c>
      <c r="F12" s="10">
        <v>15</v>
      </c>
      <c r="G12" s="9">
        <f t="shared" si="3"/>
        <v>34</v>
      </c>
      <c r="H12" s="11">
        <f t="shared" si="2"/>
        <v>75.555555555555557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13</v>
      </c>
      <c r="F13" s="10">
        <v>17</v>
      </c>
      <c r="G13" s="9">
        <f t="shared" si="3"/>
        <v>30</v>
      </c>
      <c r="H13" s="11">
        <f t="shared" si="2"/>
        <v>71.428571428571431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13</v>
      </c>
      <c r="F14" s="14">
        <v>15</v>
      </c>
      <c r="G14" s="13">
        <f t="shared" si="3"/>
        <v>28</v>
      </c>
      <c r="H14" s="15">
        <f t="shared" si="2"/>
        <v>80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216</v>
      </c>
      <c r="F15" s="17">
        <f t="shared" si="4"/>
        <v>205</v>
      </c>
      <c r="G15" s="17">
        <f t="shared" si="4"/>
        <v>421</v>
      </c>
      <c r="H15" s="18">
        <f t="shared" si="2"/>
        <v>80.19047619047619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CD4FBDCB-B6F6-441C-89E7-1A0812FF3213}">
      <formula1>B5&gt;=E5</formula1>
    </dataValidation>
    <dataValidation type="custom" allowBlank="1" showInputMessage="1" showErrorMessage="1" errorTitle="Wrong Entry" error="Kindly Enter Value Less then Available Girls" sqref="F5:F14" xr:uid="{5F5FE4A6-9598-4528-999B-9D1615873021}">
      <formula1>C5&gt;=F5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DE27-9DED-49FC-9C1C-0DB9EDBC7DD4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45701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52</v>
      </c>
      <c r="F5" s="6">
        <v>46</v>
      </c>
      <c r="G5" s="6">
        <f t="shared" ref="G5" si="0">E5+F5</f>
        <v>98</v>
      </c>
      <c r="H5" s="7">
        <f>G5/D5*100</f>
        <v>89.090909090909093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28</v>
      </c>
      <c r="F6" s="10">
        <v>20</v>
      </c>
      <c r="G6" s="9">
        <f>E6+F6</f>
        <v>48</v>
      </c>
      <c r="H6" s="11">
        <f t="shared" ref="H6:H15" si="2">G6/D6*100</f>
        <v>85.714285714285708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23</v>
      </c>
      <c r="F7" s="10">
        <v>20</v>
      </c>
      <c r="G7" s="9">
        <f t="shared" ref="G7:G14" si="3">E7+F7</f>
        <v>43</v>
      </c>
      <c r="H7" s="11">
        <f t="shared" si="2"/>
        <v>91.489361702127653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22</v>
      </c>
      <c r="F8" s="10">
        <v>24</v>
      </c>
      <c r="G8" s="9">
        <f t="shared" si="3"/>
        <v>46</v>
      </c>
      <c r="H8" s="11">
        <f t="shared" si="2"/>
        <v>92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16</v>
      </c>
      <c r="F9" s="10">
        <v>22</v>
      </c>
      <c r="G9" s="9">
        <f t="shared" si="3"/>
        <v>38</v>
      </c>
      <c r="H9" s="11">
        <f t="shared" si="2"/>
        <v>73.076923076923066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21</v>
      </c>
      <c r="F10" s="10">
        <v>18</v>
      </c>
      <c r="G10" s="9">
        <f t="shared" si="3"/>
        <v>39</v>
      </c>
      <c r="H10" s="11">
        <f t="shared" si="2"/>
        <v>84.782608695652172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15</v>
      </c>
      <c r="F11" s="10">
        <v>23</v>
      </c>
      <c r="G11" s="9">
        <f t="shared" si="3"/>
        <v>38</v>
      </c>
      <c r="H11" s="11">
        <f t="shared" si="2"/>
        <v>90.476190476190482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23</v>
      </c>
      <c r="F12" s="10">
        <v>15</v>
      </c>
      <c r="G12" s="9">
        <f t="shared" si="3"/>
        <v>38</v>
      </c>
      <c r="H12" s="11">
        <f t="shared" si="2"/>
        <v>84.444444444444443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12</v>
      </c>
      <c r="F13" s="10">
        <v>16</v>
      </c>
      <c r="G13" s="9">
        <f t="shared" si="3"/>
        <v>28</v>
      </c>
      <c r="H13" s="11">
        <f t="shared" si="2"/>
        <v>66.666666666666657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13</v>
      </c>
      <c r="F14" s="14">
        <v>11</v>
      </c>
      <c r="G14" s="13">
        <f t="shared" si="3"/>
        <v>24</v>
      </c>
      <c r="H14" s="15">
        <f t="shared" si="2"/>
        <v>68.571428571428569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225</v>
      </c>
      <c r="F15" s="17">
        <f t="shared" si="4"/>
        <v>215</v>
      </c>
      <c r="G15" s="17">
        <f t="shared" si="4"/>
        <v>440</v>
      </c>
      <c r="H15" s="18">
        <f t="shared" si="2"/>
        <v>83.80952380952381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1F9650AE-EE8B-4E27-8A85-5CE4B2F3733F}">
      <formula1>C5&gt;=F5</formula1>
    </dataValidation>
    <dataValidation type="custom" allowBlank="1" showInputMessage="1" showErrorMessage="1" errorTitle="Wrong Entry" error="Kindly Enter Value Less then Available Boys" sqref="E5:E13" xr:uid="{F5F4ACB7-EE22-489A-BB95-4804DB87AC18}">
      <formula1>B5&gt;=E5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23CE-E1CA-4499-8C0E-BCE98B7ADD3D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45703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40</v>
      </c>
      <c r="F5" s="6">
        <v>30</v>
      </c>
      <c r="G5" s="6">
        <f t="shared" ref="G5" si="0">E5+F5</f>
        <v>70</v>
      </c>
      <c r="H5" s="7">
        <f>G5/D5*100</f>
        <v>63.636363636363633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23</v>
      </c>
      <c r="F6" s="10">
        <v>17</v>
      </c>
      <c r="G6" s="9">
        <f>E6+F6</f>
        <v>40</v>
      </c>
      <c r="H6" s="11">
        <f t="shared" ref="H6:H15" si="2">G6/D6*100</f>
        <v>71.428571428571431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16</v>
      </c>
      <c r="F7" s="10">
        <v>18</v>
      </c>
      <c r="G7" s="9">
        <f t="shared" ref="G7:G14" si="3">E7+F7</f>
        <v>34</v>
      </c>
      <c r="H7" s="11">
        <f t="shared" si="2"/>
        <v>72.340425531914903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19</v>
      </c>
      <c r="F8" s="10">
        <v>18</v>
      </c>
      <c r="G8" s="9">
        <f t="shared" si="3"/>
        <v>37</v>
      </c>
      <c r="H8" s="11">
        <f t="shared" si="2"/>
        <v>74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10</v>
      </c>
      <c r="F9" s="10">
        <v>18</v>
      </c>
      <c r="G9" s="9">
        <f t="shared" si="3"/>
        <v>28</v>
      </c>
      <c r="H9" s="11">
        <f t="shared" si="2"/>
        <v>53.846153846153847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16</v>
      </c>
      <c r="F10" s="10">
        <v>16</v>
      </c>
      <c r="G10" s="9">
        <f t="shared" si="3"/>
        <v>32</v>
      </c>
      <c r="H10" s="11">
        <f t="shared" si="2"/>
        <v>69.565217391304344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23</v>
      </c>
      <c r="G11" s="9">
        <f t="shared" si="3"/>
        <v>36</v>
      </c>
      <c r="H11" s="11">
        <f t="shared" si="2"/>
        <v>85.714285714285708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16</v>
      </c>
      <c r="F12" s="10">
        <v>13</v>
      </c>
      <c r="G12" s="9">
        <f t="shared" si="3"/>
        <v>29</v>
      </c>
      <c r="H12" s="11">
        <f t="shared" si="2"/>
        <v>64.444444444444443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10</v>
      </c>
      <c r="F13" s="10">
        <v>12</v>
      </c>
      <c r="G13" s="9">
        <f t="shared" si="3"/>
        <v>22</v>
      </c>
      <c r="H13" s="11">
        <f t="shared" si="2"/>
        <v>52.380952380952387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6</v>
      </c>
      <c r="F14" s="14">
        <v>11</v>
      </c>
      <c r="G14" s="13">
        <f t="shared" si="3"/>
        <v>17</v>
      </c>
      <c r="H14" s="15">
        <f t="shared" si="2"/>
        <v>48.571428571428569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169</v>
      </c>
      <c r="F15" s="17">
        <f t="shared" si="4"/>
        <v>176</v>
      </c>
      <c r="G15" s="17">
        <f t="shared" si="4"/>
        <v>345</v>
      </c>
      <c r="H15" s="18">
        <f t="shared" si="2"/>
        <v>65.714285714285708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AC934CD6-BBA9-43CF-8C27-B9E03C32ADEA}">
      <formula1>B5&gt;=E5</formula1>
    </dataValidation>
    <dataValidation type="custom" allowBlank="1" showInputMessage="1" showErrorMessage="1" errorTitle="Wrong Entry" error="Kindly Enter Value Less then Available Girls" sqref="F5:F14" xr:uid="{DB87AF06-96C8-4713-A274-804E08F532B6}">
      <formula1>C5&gt;=F5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681B-85E4-434C-85B9-8B8420E32098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45705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52</v>
      </c>
      <c r="F5" s="6">
        <v>34</v>
      </c>
      <c r="G5" s="6">
        <f t="shared" ref="G5" si="0">E5+F5</f>
        <v>86</v>
      </c>
      <c r="H5" s="7">
        <f>G5/D5*100</f>
        <v>78.181818181818187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27</v>
      </c>
      <c r="F6" s="10">
        <v>19</v>
      </c>
      <c r="G6" s="9">
        <f>E6+F6</f>
        <v>46</v>
      </c>
      <c r="H6" s="11">
        <f t="shared" ref="H6:H15" si="2">G6/D6*100</f>
        <v>82.142857142857139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22</v>
      </c>
      <c r="F7" s="10">
        <v>19</v>
      </c>
      <c r="G7" s="9">
        <f t="shared" ref="G7:G14" si="3">E7+F7</f>
        <v>41</v>
      </c>
      <c r="H7" s="11">
        <f t="shared" si="2"/>
        <v>87.2340425531915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23</v>
      </c>
      <c r="F8" s="10">
        <v>21</v>
      </c>
      <c r="G8" s="9">
        <f t="shared" si="3"/>
        <v>44</v>
      </c>
      <c r="H8" s="11">
        <f t="shared" si="2"/>
        <v>88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15</v>
      </c>
      <c r="F9" s="10">
        <v>22</v>
      </c>
      <c r="G9" s="9">
        <f t="shared" si="3"/>
        <v>37</v>
      </c>
      <c r="H9" s="11">
        <f t="shared" si="2"/>
        <v>71.15384615384616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18</v>
      </c>
      <c r="F10" s="10">
        <v>17</v>
      </c>
      <c r="G10" s="9">
        <f t="shared" si="3"/>
        <v>35</v>
      </c>
      <c r="H10" s="11">
        <f t="shared" si="2"/>
        <v>76.08695652173914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15</v>
      </c>
      <c r="F11" s="10">
        <v>18</v>
      </c>
      <c r="G11" s="9">
        <f t="shared" si="3"/>
        <v>33</v>
      </c>
      <c r="H11" s="11">
        <f t="shared" si="2"/>
        <v>78.571428571428569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18</v>
      </c>
      <c r="F12" s="10">
        <v>13</v>
      </c>
      <c r="G12" s="9">
        <f t="shared" si="3"/>
        <v>31</v>
      </c>
      <c r="H12" s="11">
        <f t="shared" si="2"/>
        <v>68.888888888888886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14</v>
      </c>
      <c r="F13" s="10">
        <v>14</v>
      </c>
      <c r="G13" s="9">
        <f t="shared" si="3"/>
        <v>28</v>
      </c>
      <c r="H13" s="11">
        <f t="shared" si="2"/>
        <v>66.666666666666657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13</v>
      </c>
      <c r="F14" s="14">
        <v>15</v>
      </c>
      <c r="G14" s="13">
        <f t="shared" si="3"/>
        <v>28</v>
      </c>
      <c r="H14" s="15">
        <f t="shared" si="2"/>
        <v>80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217</v>
      </c>
      <c r="F15" s="17">
        <f t="shared" si="4"/>
        <v>192</v>
      </c>
      <c r="G15" s="17">
        <f t="shared" si="4"/>
        <v>409</v>
      </c>
      <c r="H15" s="18">
        <f t="shared" si="2"/>
        <v>77.904761904761912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A71A4585-61AA-4769-9A9F-B0A5A8F4A068}">
      <formula1>C5&gt;=F5</formula1>
    </dataValidation>
    <dataValidation type="custom" allowBlank="1" showInputMessage="1" showErrorMessage="1" errorTitle="Wrong Entry" error="Kindly Enter Value Less then Available Boys" sqref="E5:E13" xr:uid="{93C8BEB7-BC36-4558-A93C-B76C97702735}">
      <formula1>B5&gt;=E5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38F6-D6E8-46CE-8E77-9233E3F2BAC7}">
  <dimension ref="A1:H16"/>
  <sheetViews>
    <sheetView workbookViewId="0">
      <selection activeCell="A2" sqref="A2:H2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45706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51</v>
      </c>
      <c r="F5" s="6">
        <v>41</v>
      </c>
      <c r="G5" s="6">
        <f t="shared" ref="G5" si="0">E5+F5</f>
        <v>92</v>
      </c>
      <c r="H5" s="7">
        <f>G5/D5*100</f>
        <v>83.636363636363626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27</v>
      </c>
      <c r="F6" s="10">
        <v>16</v>
      </c>
      <c r="G6" s="9">
        <f>E6+F6</f>
        <v>43</v>
      </c>
      <c r="H6" s="11">
        <f t="shared" ref="H6:H15" si="2">G6/D6*100</f>
        <v>76.785714285714292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19</v>
      </c>
      <c r="F7" s="10">
        <v>20</v>
      </c>
      <c r="G7" s="9">
        <f t="shared" ref="G7:G14" si="3">E7+F7</f>
        <v>39</v>
      </c>
      <c r="H7" s="11">
        <f t="shared" si="2"/>
        <v>82.978723404255319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22</v>
      </c>
      <c r="F8" s="10">
        <v>21</v>
      </c>
      <c r="G8" s="9">
        <f t="shared" si="3"/>
        <v>43</v>
      </c>
      <c r="H8" s="11">
        <f t="shared" si="2"/>
        <v>86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18</v>
      </c>
      <c r="F9" s="10">
        <v>20</v>
      </c>
      <c r="G9" s="9">
        <f t="shared" si="3"/>
        <v>38</v>
      </c>
      <c r="H9" s="11">
        <f t="shared" si="2"/>
        <v>73.076923076923066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18</v>
      </c>
      <c r="F10" s="10">
        <v>17</v>
      </c>
      <c r="G10" s="9">
        <f t="shared" si="3"/>
        <v>35</v>
      </c>
      <c r="H10" s="11">
        <f t="shared" si="2"/>
        <v>76.08695652173914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14</v>
      </c>
      <c r="F11" s="10">
        <v>19</v>
      </c>
      <c r="G11" s="9">
        <f t="shared" si="3"/>
        <v>33</v>
      </c>
      <c r="H11" s="11">
        <f t="shared" si="2"/>
        <v>78.571428571428569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20</v>
      </c>
      <c r="F12" s="10">
        <v>14</v>
      </c>
      <c r="G12" s="9">
        <f t="shared" si="3"/>
        <v>34</v>
      </c>
      <c r="H12" s="11">
        <f t="shared" si="2"/>
        <v>75.555555555555557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13</v>
      </c>
      <c r="F13" s="10">
        <v>17</v>
      </c>
      <c r="G13" s="9">
        <f t="shared" si="3"/>
        <v>30</v>
      </c>
      <c r="H13" s="11">
        <f t="shared" si="2"/>
        <v>71.428571428571431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11</v>
      </c>
      <c r="F14" s="14">
        <v>14</v>
      </c>
      <c r="G14" s="13">
        <f t="shared" si="3"/>
        <v>25</v>
      </c>
      <c r="H14" s="15">
        <f t="shared" si="2"/>
        <v>71.428571428571431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213</v>
      </c>
      <c r="F15" s="17">
        <f t="shared" si="4"/>
        <v>199</v>
      </c>
      <c r="G15" s="17">
        <f t="shared" si="4"/>
        <v>412</v>
      </c>
      <c r="H15" s="18">
        <f t="shared" si="2"/>
        <v>78.476190476190482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B683C5E0-2D7F-4F14-8C78-49619EE26C4E}">
      <formula1>B5&gt;=E5</formula1>
    </dataValidation>
    <dataValidation type="custom" allowBlank="1" showInputMessage="1" showErrorMessage="1" errorTitle="Wrong Entry" error="Kindly Enter Value Less then Available Girls" sqref="F5:F14" xr:uid="{27408063-6C7E-4003-A201-001682F83B46}">
      <formula1>C5&gt;=F5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0364-4D79-4347-8F9A-A6A113B360A6}">
  <dimension ref="A1:H16"/>
  <sheetViews>
    <sheetView workbookViewId="0">
      <selection activeCell="E15" sqref="E15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45708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52</v>
      </c>
      <c r="F5" s="6">
        <v>42</v>
      </c>
      <c r="G5" s="6">
        <f t="shared" ref="G5" si="0">E5+F5</f>
        <v>94</v>
      </c>
      <c r="H5" s="7">
        <f>G5/D5*100</f>
        <v>85.454545454545453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24</v>
      </c>
      <c r="F6" s="10">
        <v>19</v>
      </c>
      <c r="G6" s="9">
        <f>E6+F6</f>
        <v>43</v>
      </c>
      <c r="H6" s="11">
        <f t="shared" ref="H6:H15" si="2">G6/D6*100</f>
        <v>76.785714285714292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20</v>
      </c>
      <c r="F7" s="10">
        <v>20</v>
      </c>
      <c r="G7" s="9">
        <f t="shared" ref="G7:G14" si="3">E7+F7</f>
        <v>40</v>
      </c>
      <c r="H7" s="11">
        <f t="shared" si="2"/>
        <v>85.106382978723403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22</v>
      </c>
      <c r="F8" s="10">
        <v>21</v>
      </c>
      <c r="G8" s="9">
        <f t="shared" si="3"/>
        <v>43</v>
      </c>
      <c r="H8" s="11">
        <f t="shared" si="2"/>
        <v>86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19</v>
      </c>
      <c r="F9" s="10">
        <v>23</v>
      </c>
      <c r="G9" s="9">
        <f t="shared" si="3"/>
        <v>42</v>
      </c>
      <c r="H9" s="11">
        <f t="shared" si="2"/>
        <v>80.769230769230774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19</v>
      </c>
      <c r="F10" s="10">
        <v>15</v>
      </c>
      <c r="G10" s="9">
        <f t="shared" si="3"/>
        <v>34</v>
      </c>
      <c r="H10" s="11">
        <f t="shared" si="2"/>
        <v>73.91304347826086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15</v>
      </c>
      <c r="F11" s="10">
        <v>19</v>
      </c>
      <c r="G11" s="9">
        <f t="shared" si="3"/>
        <v>34</v>
      </c>
      <c r="H11" s="11">
        <f t="shared" si="2"/>
        <v>80.952380952380949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25</v>
      </c>
      <c r="F12" s="10">
        <v>15</v>
      </c>
      <c r="G12" s="9">
        <f t="shared" si="3"/>
        <v>40</v>
      </c>
      <c r="H12" s="11">
        <f t="shared" si="2"/>
        <v>88.888888888888886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13</v>
      </c>
      <c r="F13" s="10">
        <v>17</v>
      </c>
      <c r="G13" s="9">
        <f t="shared" si="3"/>
        <v>30</v>
      </c>
      <c r="H13" s="11">
        <f t="shared" si="2"/>
        <v>71.428571428571431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14</v>
      </c>
      <c r="F14" s="14">
        <v>13</v>
      </c>
      <c r="G14" s="13">
        <f t="shared" si="3"/>
        <v>27</v>
      </c>
      <c r="H14" s="15">
        <f t="shared" si="2"/>
        <v>77.142857142857153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223</v>
      </c>
      <c r="F15" s="17">
        <f t="shared" si="4"/>
        <v>204</v>
      </c>
      <c r="G15" s="17">
        <f t="shared" si="4"/>
        <v>427</v>
      </c>
      <c r="H15" s="18">
        <f t="shared" si="2"/>
        <v>81.333333333333329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C9697FDA-DFC9-4A0C-B91D-1A8775395F33}">
      <formula1>C5&gt;=F5</formula1>
    </dataValidation>
    <dataValidation type="custom" allowBlank="1" showInputMessage="1" showErrorMessage="1" errorTitle="Wrong Entry" error="Kindly Enter Value Less then Available Boys" sqref="E5:E13" xr:uid="{F2BE1E22-2F4D-4DBE-9B54-1B1E4679EE61}">
      <formula1>B5&gt;=E5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A62A-7E27-440F-A6D5-BBA70FB08B6C}">
  <dimension ref="A1:H16"/>
  <sheetViews>
    <sheetView workbookViewId="0">
      <selection activeCell="E15" sqref="E15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45709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48</v>
      </c>
      <c r="F5" s="6">
        <v>39</v>
      </c>
      <c r="G5" s="6">
        <f t="shared" ref="G5" si="0">E5+F5</f>
        <v>87</v>
      </c>
      <c r="H5" s="7">
        <f>G5/D5*100</f>
        <v>79.090909090909093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24</v>
      </c>
      <c r="F6" s="10">
        <v>16</v>
      </c>
      <c r="G6" s="9">
        <f>E6+F6</f>
        <v>40</v>
      </c>
      <c r="H6" s="11">
        <f t="shared" ref="H6:H15" si="2">G6/D6*100</f>
        <v>71.428571428571431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18</v>
      </c>
      <c r="F7" s="10">
        <v>20</v>
      </c>
      <c r="G7" s="9">
        <f t="shared" ref="G7:G14" si="3">E7+F7</f>
        <v>38</v>
      </c>
      <c r="H7" s="11">
        <f t="shared" si="2"/>
        <v>80.851063829787222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20</v>
      </c>
      <c r="F8" s="10">
        <v>21</v>
      </c>
      <c r="G8" s="9">
        <f t="shared" si="3"/>
        <v>41</v>
      </c>
      <c r="H8" s="11">
        <f t="shared" si="2"/>
        <v>82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15</v>
      </c>
      <c r="F9" s="10">
        <v>21</v>
      </c>
      <c r="G9" s="9">
        <f t="shared" si="3"/>
        <v>36</v>
      </c>
      <c r="H9" s="11">
        <f t="shared" si="2"/>
        <v>69.230769230769226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17</v>
      </c>
      <c r="F10" s="10">
        <v>15</v>
      </c>
      <c r="G10" s="9">
        <f t="shared" si="3"/>
        <v>32</v>
      </c>
      <c r="H10" s="11">
        <f t="shared" si="2"/>
        <v>69.565217391304344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16</v>
      </c>
      <c r="G11" s="9">
        <f t="shared" si="3"/>
        <v>29</v>
      </c>
      <c r="H11" s="11">
        <f t="shared" si="2"/>
        <v>69.047619047619051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20</v>
      </c>
      <c r="F12" s="10">
        <v>15</v>
      </c>
      <c r="G12" s="9">
        <f t="shared" si="3"/>
        <v>35</v>
      </c>
      <c r="H12" s="11">
        <f t="shared" si="2"/>
        <v>77.777777777777786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15</v>
      </c>
      <c r="F13" s="10">
        <v>16</v>
      </c>
      <c r="G13" s="9">
        <f t="shared" si="3"/>
        <v>31</v>
      </c>
      <c r="H13" s="11">
        <f t="shared" si="2"/>
        <v>73.80952380952381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13</v>
      </c>
      <c r="F14" s="14">
        <v>14</v>
      </c>
      <c r="G14" s="13">
        <f t="shared" si="3"/>
        <v>27</v>
      </c>
      <c r="H14" s="15">
        <f t="shared" si="2"/>
        <v>77.142857142857153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203</v>
      </c>
      <c r="F15" s="17">
        <f t="shared" si="4"/>
        <v>193</v>
      </c>
      <c r="G15" s="17">
        <f t="shared" si="4"/>
        <v>396</v>
      </c>
      <c r="H15" s="18">
        <f t="shared" si="2"/>
        <v>75.428571428571431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220E769E-8A6D-4790-9EF3-331893801997}">
      <formula1>B5&gt;=E5</formula1>
    </dataValidation>
    <dataValidation type="custom" allowBlank="1" showInputMessage="1" showErrorMessage="1" errorTitle="Wrong Entry" error="Kindly Enter Value Less then Available Girls" sqref="F5:F14" xr:uid="{0918CD63-A267-423C-A2B9-1FBA32743E52}">
      <formula1>C5&gt;=F5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321D-219A-48F0-A1A0-60ED738F189B}">
  <dimension ref="A1:H16"/>
  <sheetViews>
    <sheetView workbookViewId="0">
      <selection activeCell="E15" sqref="E15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45710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45</v>
      </c>
      <c r="F5" s="6">
        <v>39</v>
      </c>
      <c r="G5" s="6">
        <f t="shared" ref="G5" si="0">E5+F5</f>
        <v>84</v>
      </c>
      <c r="H5" s="7">
        <f>G5/D5*100</f>
        <v>76.363636363636374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24</v>
      </c>
      <c r="F6" s="10">
        <v>17</v>
      </c>
      <c r="G6" s="9">
        <f>E6+F6</f>
        <v>41</v>
      </c>
      <c r="H6" s="11">
        <f t="shared" ref="H6:H15" si="2">G6/D6*100</f>
        <v>73.214285714285708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14</v>
      </c>
      <c r="F7" s="10">
        <v>19</v>
      </c>
      <c r="G7" s="9">
        <f t="shared" ref="G7:G14" si="3">E7+F7</f>
        <v>33</v>
      </c>
      <c r="H7" s="11">
        <f t="shared" si="2"/>
        <v>70.212765957446805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19</v>
      </c>
      <c r="F8" s="10">
        <v>21</v>
      </c>
      <c r="G8" s="9">
        <f t="shared" si="3"/>
        <v>40</v>
      </c>
      <c r="H8" s="11">
        <f t="shared" si="2"/>
        <v>80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16</v>
      </c>
      <c r="F9" s="10">
        <v>22</v>
      </c>
      <c r="G9" s="9">
        <f t="shared" si="3"/>
        <v>38</v>
      </c>
      <c r="H9" s="11">
        <f t="shared" si="2"/>
        <v>73.076923076923066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18</v>
      </c>
      <c r="F10" s="10">
        <v>19</v>
      </c>
      <c r="G10" s="9">
        <f t="shared" si="3"/>
        <v>37</v>
      </c>
      <c r="H10" s="11">
        <f t="shared" si="2"/>
        <v>80.434782608695656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15</v>
      </c>
      <c r="F11" s="10">
        <v>20</v>
      </c>
      <c r="G11" s="9">
        <f t="shared" si="3"/>
        <v>35</v>
      </c>
      <c r="H11" s="11">
        <f t="shared" si="2"/>
        <v>83.333333333333343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20</v>
      </c>
      <c r="F12" s="10">
        <v>15</v>
      </c>
      <c r="G12" s="9">
        <f t="shared" si="3"/>
        <v>35</v>
      </c>
      <c r="H12" s="11">
        <f t="shared" si="2"/>
        <v>77.777777777777786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13</v>
      </c>
      <c r="F13" s="10">
        <v>18</v>
      </c>
      <c r="G13" s="9">
        <f t="shared" si="3"/>
        <v>31</v>
      </c>
      <c r="H13" s="11">
        <f t="shared" si="2"/>
        <v>73.80952380952381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13</v>
      </c>
      <c r="F14" s="14">
        <v>14</v>
      </c>
      <c r="G14" s="13">
        <f t="shared" si="3"/>
        <v>27</v>
      </c>
      <c r="H14" s="15">
        <f t="shared" si="2"/>
        <v>77.142857142857153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197</v>
      </c>
      <c r="F15" s="17">
        <f t="shared" si="4"/>
        <v>204</v>
      </c>
      <c r="G15" s="17">
        <f t="shared" si="4"/>
        <v>401</v>
      </c>
      <c r="H15" s="18">
        <f t="shared" si="2"/>
        <v>76.38095238095238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A84FFE7A-E9DA-4800-B5FC-9CA39488EEBC}">
      <formula1>C5&gt;=F5</formula1>
    </dataValidation>
    <dataValidation type="custom" allowBlank="1" showInputMessage="1" showErrorMessage="1" errorTitle="Wrong Entry" error="Kindly Enter Value Less then Available Boys" sqref="E5:E13" xr:uid="{AC38627A-BB8D-43DD-A808-379A534BBF27}">
      <formula1>B5&gt;=E5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ABE9-579D-4570-88F6-BB7CA2BA561E}">
  <dimension ref="A1:H16"/>
  <sheetViews>
    <sheetView workbookViewId="0">
      <selection activeCell="E15" sqref="E15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45712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50</v>
      </c>
      <c r="F5" s="6">
        <v>44</v>
      </c>
      <c r="G5" s="6">
        <f t="shared" ref="G5" si="0">E5+F5</f>
        <v>94</v>
      </c>
      <c r="H5" s="7">
        <f>G5/D5*100</f>
        <v>85.454545454545453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28</v>
      </c>
      <c r="F6" s="10">
        <v>19</v>
      </c>
      <c r="G6" s="9">
        <f>E6+F6</f>
        <v>47</v>
      </c>
      <c r="H6" s="11">
        <f t="shared" ref="H6:H15" si="2">G6/D6*100</f>
        <v>83.928571428571431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20</v>
      </c>
      <c r="F7" s="10">
        <v>23</v>
      </c>
      <c r="G7" s="9">
        <f t="shared" ref="G7:G14" si="3">E7+F7</f>
        <v>43</v>
      </c>
      <c r="H7" s="11">
        <f t="shared" si="2"/>
        <v>91.489361702127653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23</v>
      </c>
      <c r="F8" s="10">
        <v>23</v>
      </c>
      <c r="G8" s="9">
        <f t="shared" si="3"/>
        <v>46</v>
      </c>
      <c r="H8" s="11">
        <f t="shared" si="2"/>
        <v>92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17</v>
      </c>
      <c r="F9" s="10">
        <v>23</v>
      </c>
      <c r="G9" s="9">
        <f t="shared" si="3"/>
        <v>40</v>
      </c>
      <c r="H9" s="11">
        <f t="shared" si="2"/>
        <v>76.923076923076934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20</v>
      </c>
      <c r="F10" s="10">
        <v>18</v>
      </c>
      <c r="G10" s="9">
        <f t="shared" si="3"/>
        <v>38</v>
      </c>
      <c r="H10" s="11">
        <f t="shared" si="2"/>
        <v>82.608695652173907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17</v>
      </c>
      <c r="G11" s="9">
        <f t="shared" si="3"/>
        <v>30</v>
      </c>
      <c r="H11" s="11">
        <f t="shared" si="2"/>
        <v>71.428571428571431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24</v>
      </c>
      <c r="F12" s="10">
        <v>16</v>
      </c>
      <c r="G12" s="9">
        <f t="shared" si="3"/>
        <v>40</v>
      </c>
      <c r="H12" s="11">
        <f t="shared" si="2"/>
        <v>88.888888888888886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15</v>
      </c>
      <c r="F13" s="10">
        <v>18</v>
      </c>
      <c r="G13" s="9">
        <f t="shared" si="3"/>
        <v>33</v>
      </c>
      <c r="H13" s="11">
        <f t="shared" si="2"/>
        <v>78.571428571428569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14</v>
      </c>
      <c r="F14" s="14">
        <v>15</v>
      </c>
      <c r="G14" s="13">
        <f t="shared" si="3"/>
        <v>29</v>
      </c>
      <c r="H14" s="15">
        <f t="shared" si="2"/>
        <v>82.857142857142861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224</v>
      </c>
      <c r="F15" s="17">
        <f t="shared" si="4"/>
        <v>216</v>
      </c>
      <c r="G15" s="17">
        <f t="shared" si="4"/>
        <v>440</v>
      </c>
      <c r="H15" s="18">
        <f t="shared" si="2"/>
        <v>83.80952380952381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1CF54D5C-5FA6-4D02-A999-1D36100BCF45}">
      <formula1>B5&gt;=E5</formula1>
    </dataValidation>
    <dataValidation type="custom" allowBlank="1" showInputMessage="1" showErrorMessage="1" errorTitle="Wrong Entry" error="Kindly Enter Value Less then Available Girls" sqref="F5:F14" xr:uid="{20B16CEF-63A3-4234-BBD5-C2293432AF5A}">
      <formula1>C5&gt;=F5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4A75-8AC0-4B43-9C0B-9E763ACC1038}">
  <dimension ref="A1:H16"/>
  <sheetViews>
    <sheetView workbookViewId="0">
      <selection activeCell="E15" sqref="E15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45713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52</v>
      </c>
      <c r="F5" s="6">
        <v>35</v>
      </c>
      <c r="G5" s="6">
        <f t="shared" ref="G5" si="0">E5+F5</f>
        <v>87</v>
      </c>
      <c r="H5" s="7">
        <f>G5/D5*100</f>
        <v>79.090909090909093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24</v>
      </c>
      <c r="F6" s="10">
        <v>18</v>
      </c>
      <c r="G6" s="9">
        <f>E6+F6</f>
        <v>42</v>
      </c>
      <c r="H6" s="11">
        <f t="shared" ref="H6:H15" si="2">G6/D6*100</f>
        <v>75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22</v>
      </c>
      <c r="F7" s="10">
        <v>20</v>
      </c>
      <c r="G7" s="9">
        <f t="shared" ref="G7:G14" si="3">E7+F7</f>
        <v>42</v>
      </c>
      <c r="H7" s="11">
        <f t="shared" si="2"/>
        <v>89.361702127659569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20</v>
      </c>
      <c r="F8" s="10">
        <v>20</v>
      </c>
      <c r="G8" s="9">
        <f t="shared" si="3"/>
        <v>40</v>
      </c>
      <c r="H8" s="11">
        <f t="shared" si="2"/>
        <v>80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15</v>
      </c>
      <c r="F9" s="10">
        <v>23</v>
      </c>
      <c r="G9" s="9">
        <f t="shared" si="3"/>
        <v>38</v>
      </c>
      <c r="H9" s="11">
        <f t="shared" si="2"/>
        <v>73.076923076923066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16</v>
      </c>
      <c r="F10" s="10">
        <v>18</v>
      </c>
      <c r="G10" s="9">
        <f t="shared" si="3"/>
        <v>34</v>
      </c>
      <c r="H10" s="11">
        <f t="shared" si="2"/>
        <v>73.91304347826086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16</v>
      </c>
      <c r="F11" s="10">
        <v>20</v>
      </c>
      <c r="G11" s="9">
        <f t="shared" si="3"/>
        <v>36</v>
      </c>
      <c r="H11" s="11">
        <f t="shared" si="2"/>
        <v>85.714285714285708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22</v>
      </c>
      <c r="F12" s="10">
        <v>13</v>
      </c>
      <c r="G12" s="9">
        <f t="shared" si="3"/>
        <v>35</v>
      </c>
      <c r="H12" s="11">
        <f t="shared" si="2"/>
        <v>77.777777777777786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11</v>
      </c>
      <c r="F13" s="10">
        <v>19</v>
      </c>
      <c r="G13" s="9">
        <f t="shared" si="3"/>
        <v>30</v>
      </c>
      <c r="H13" s="11">
        <f t="shared" si="2"/>
        <v>71.428571428571431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15</v>
      </c>
      <c r="F14" s="14">
        <v>14</v>
      </c>
      <c r="G14" s="13">
        <f t="shared" si="3"/>
        <v>29</v>
      </c>
      <c r="H14" s="15">
        <f t="shared" si="2"/>
        <v>82.857142857142861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213</v>
      </c>
      <c r="F15" s="17">
        <f t="shared" si="4"/>
        <v>200</v>
      </c>
      <c r="G15" s="17">
        <f t="shared" si="4"/>
        <v>413</v>
      </c>
      <c r="H15" s="18">
        <f t="shared" si="2"/>
        <v>78.666666666666657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F637B0AE-0868-48B8-9F47-9675DE2E3C29}">
      <formula1>C5&gt;=F5</formula1>
    </dataValidation>
    <dataValidation type="custom" allowBlank="1" showInputMessage="1" showErrorMessage="1" errorTitle="Wrong Entry" error="Kindly Enter Value Less then Available Boys" sqref="E5:E13" xr:uid="{07B29CBD-9BA0-4C8F-AECF-550F87B9BE87}">
      <formula1>B5&gt;=E5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EF5C-3D6B-4D16-A485-1A1E1F92BE9E}">
  <dimension ref="A1:H16"/>
  <sheetViews>
    <sheetView workbookViewId="0">
      <selection activeCell="E15" sqref="E15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45714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51</v>
      </c>
      <c r="F5" s="6">
        <v>43</v>
      </c>
      <c r="G5" s="6">
        <f t="shared" ref="G5" si="0">E5+F5</f>
        <v>94</v>
      </c>
      <c r="H5" s="7">
        <f>G5/D5*100</f>
        <v>85.454545454545453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25</v>
      </c>
      <c r="F6" s="10">
        <v>17</v>
      </c>
      <c r="G6" s="9">
        <f>E6+F6</f>
        <v>42</v>
      </c>
      <c r="H6" s="11">
        <f t="shared" ref="H6:H15" si="2">G6/D6*100</f>
        <v>75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23</v>
      </c>
      <c r="F7" s="10">
        <v>20</v>
      </c>
      <c r="G7" s="9">
        <f t="shared" ref="G7:G14" si="3">E7+F7</f>
        <v>43</v>
      </c>
      <c r="H7" s="11">
        <f t="shared" si="2"/>
        <v>91.489361702127653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22</v>
      </c>
      <c r="F8" s="10">
        <v>22</v>
      </c>
      <c r="G8" s="9">
        <f t="shared" si="3"/>
        <v>44</v>
      </c>
      <c r="H8" s="11">
        <f t="shared" si="2"/>
        <v>88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14</v>
      </c>
      <c r="F9" s="10">
        <v>25</v>
      </c>
      <c r="G9" s="9">
        <f t="shared" si="3"/>
        <v>39</v>
      </c>
      <c r="H9" s="11">
        <f t="shared" si="2"/>
        <v>75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20</v>
      </c>
      <c r="F10" s="10">
        <v>18</v>
      </c>
      <c r="G10" s="9">
        <f t="shared" si="3"/>
        <v>38</v>
      </c>
      <c r="H10" s="11">
        <f t="shared" si="2"/>
        <v>82.608695652173907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23</v>
      </c>
      <c r="G11" s="9">
        <f t="shared" si="3"/>
        <v>36</v>
      </c>
      <c r="H11" s="11">
        <f t="shared" si="2"/>
        <v>85.714285714285708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21</v>
      </c>
      <c r="F12" s="10">
        <v>17</v>
      </c>
      <c r="G12" s="9">
        <f t="shared" si="3"/>
        <v>38</v>
      </c>
      <c r="H12" s="11">
        <f t="shared" si="2"/>
        <v>84.444444444444443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13</v>
      </c>
      <c r="F13" s="10">
        <v>16</v>
      </c>
      <c r="G13" s="9">
        <f t="shared" si="3"/>
        <v>29</v>
      </c>
      <c r="H13" s="11">
        <f t="shared" si="2"/>
        <v>69.047619047619051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14</v>
      </c>
      <c r="F14" s="14">
        <v>13</v>
      </c>
      <c r="G14" s="13">
        <f t="shared" si="3"/>
        <v>27</v>
      </c>
      <c r="H14" s="15">
        <f t="shared" si="2"/>
        <v>77.142857142857153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216</v>
      </c>
      <c r="F15" s="17">
        <f t="shared" si="4"/>
        <v>214</v>
      </c>
      <c r="G15" s="17">
        <f t="shared" si="4"/>
        <v>430</v>
      </c>
      <c r="H15" s="18">
        <f t="shared" si="2"/>
        <v>81.904761904761898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0501D855-E0B3-4981-A764-DEC3BFAFB5BB}">
      <formula1>B5&gt;=E5</formula1>
    </dataValidation>
    <dataValidation type="custom" allowBlank="1" showInputMessage="1" showErrorMessage="1" errorTitle="Wrong Entry" error="Kindly Enter Value Less then Available Girls" sqref="F5:F14" xr:uid="{CC498BC0-B55D-41E6-8600-E862B3D6105D}">
      <formula1>C5&gt;=F5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8872-A832-4F84-B5E3-433BF344634F}">
  <dimension ref="A1:H16"/>
  <sheetViews>
    <sheetView workbookViewId="0">
      <selection activeCell="E15" sqref="E15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45715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54</v>
      </c>
      <c r="F5" s="6">
        <v>45</v>
      </c>
      <c r="G5" s="6">
        <f t="shared" ref="G5" si="0">E5+F5</f>
        <v>99</v>
      </c>
      <c r="H5" s="7">
        <f>G5/D5*100</f>
        <v>90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30</v>
      </c>
      <c r="F6" s="10">
        <v>24</v>
      </c>
      <c r="G6" s="9">
        <f>E6+F6</f>
        <v>54</v>
      </c>
      <c r="H6" s="11">
        <f t="shared" ref="H6:H15" si="2">G6/D6*100</f>
        <v>96.428571428571431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23</v>
      </c>
      <c r="F7" s="10">
        <v>23</v>
      </c>
      <c r="G7" s="9">
        <f t="shared" ref="G7:G14" si="3">E7+F7</f>
        <v>46</v>
      </c>
      <c r="H7" s="11">
        <f t="shared" si="2"/>
        <v>97.872340425531917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25</v>
      </c>
      <c r="F8" s="10">
        <v>24</v>
      </c>
      <c r="G8" s="9">
        <f t="shared" si="3"/>
        <v>49</v>
      </c>
      <c r="H8" s="11">
        <f t="shared" si="2"/>
        <v>98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17</v>
      </c>
      <c r="F9" s="10">
        <v>24</v>
      </c>
      <c r="G9" s="9">
        <f t="shared" si="3"/>
        <v>41</v>
      </c>
      <c r="H9" s="11">
        <f t="shared" si="2"/>
        <v>78.84615384615384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22</v>
      </c>
      <c r="F10" s="10">
        <v>19</v>
      </c>
      <c r="G10" s="9">
        <f t="shared" si="3"/>
        <v>41</v>
      </c>
      <c r="H10" s="11">
        <f t="shared" si="2"/>
        <v>89.130434782608688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15</v>
      </c>
      <c r="F11" s="10">
        <v>24</v>
      </c>
      <c r="G11" s="9">
        <f t="shared" si="3"/>
        <v>39</v>
      </c>
      <c r="H11" s="11">
        <f t="shared" si="2"/>
        <v>92.857142857142861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22</v>
      </c>
      <c r="F12" s="10">
        <v>15</v>
      </c>
      <c r="G12" s="9">
        <f t="shared" si="3"/>
        <v>37</v>
      </c>
      <c r="H12" s="11">
        <f t="shared" si="2"/>
        <v>82.222222222222214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15</v>
      </c>
      <c r="F13" s="10">
        <v>13</v>
      </c>
      <c r="G13" s="9">
        <f t="shared" si="3"/>
        <v>28</v>
      </c>
      <c r="H13" s="11">
        <f t="shared" si="2"/>
        <v>66.666666666666657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12</v>
      </c>
      <c r="F14" s="14">
        <v>14</v>
      </c>
      <c r="G14" s="13">
        <f t="shared" si="3"/>
        <v>26</v>
      </c>
      <c r="H14" s="15">
        <f t="shared" si="2"/>
        <v>74.285714285714292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235</v>
      </c>
      <c r="F15" s="17">
        <f t="shared" si="4"/>
        <v>225</v>
      </c>
      <c r="G15" s="17">
        <f t="shared" si="4"/>
        <v>460</v>
      </c>
      <c r="H15" s="18">
        <f t="shared" si="2"/>
        <v>87.61904761904762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412344F3-DDF9-4D00-ABA6-561A02DE0944}">
      <formula1>C5&gt;=F5</formula1>
    </dataValidation>
    <dataValidation type="custom" allowBlank="1" showInputMessage="1" showErrorMessage="1" errorTitle="Wrong Entry" error="Kindly Enter Value Less then Available Boys" sqref="E5:E13" xr:uid="{EFA83F4F-2A82-43FF-9D1C-1029BCC340ED}">
      <formula1>B5&gt;=E5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BB9D-E7F3-47F7-8E22-4CF7AE46B339}">
  <dimension ref="A1:H16"/>
  <sheetViews>
    <sheetView tabSelected="1" workbookViewId="0">
      <selection activeCell="E15" sqref="E15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45716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57</v>
      </c>
      <c r="F5" s="6">
        <v>44</v>
      </c>
      <c r="G5" s="6">
        <f t="shared" ref="G5" si="0">E5+F5</f>
        <v>101</v>
      </c>
      <c r="H5" s="7">
        <f>G5/D5*100</f>
        <v>91.818181818181827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30</v>
      </c>
      <c r="F6" s="10">
        <v>22</v>
      </c>
      <c r="G6" s="9">
        <f>E6+F6</f>
        <v>52</v>
      </c>
      <c r="H6" s="11">
        <f t="shared" ref="H6:H15" si="2">G6/D6*100</f>
        <v>92.857142857142861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23</v>
      </c>
      <c r="F7" s="10">
        <v>23</v>
      </c>
      <c r="G7" s="9">
        <f t="shared" ref="G7:G14" si="3">E7+F7</f>
        <v>46</v>
      </c>
      <c r="H7" s="11">
        <f t="shared" si="2"/>
        <v>97.872340425531917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25</v>
      </c>
      <c r="F8" s="10">
        <v>24</v>
      </c>
      <c r="G8" s="9">
        <f t="shared" si="3"/>
        <v>49</v>
      </c>
      <c r="H8" s="11">
        <f t="shared" si="2"/>
        <v>98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17</v>
      </c>
      <c r="F9" s="10">
        <v>23</v>
      </c>
      <c r="G9" s="9">
        <f t="shared" si="3"/>
        <v>40</v>
      </c>
      <c r="H9" s="11">
        <f t="shared" si="2"/>
        <v>76.923076923076934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22</v>
      </c>
      <c r="F10" s="10">
        <v>18</v>
      </c>
      <c r="G10" s="9">
        <f t="shared" si="3"/>
        <v>40</v>
      </c>
      <c r="H10" s="11">
        <f t="shared" si="2"/>
        <v>86.956521739130437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22</v>
      </c>
      <c r="G11" s="9">
        <f t="shared" si="3"/>
        <v>35</v>
      </c>
      <c r="H11" s="11">
        <f t="shared" si="2"/>
        <v>83.333333333333343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20</v>
      </c>
      <c r="F12" s="10">
        <v>14</v>
      </c>
      <c r="G12" s="9">
        <f t="shared" si="3"/>
        <v>34</v>
      </c>
      <c r="H12" s="11">
        <f t="shared" si="2"/>
        <v>75.555555555555557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14</v>
      </c>
      <c r="F13" s="10">
        <v>14</v>
      </c>
      <c r="G13" s="9">
        <f t="shared" si="3"/>
        <v>28</v>
      </c>
      <c r="H13" s="11">
        <f t="shared" si="2"/>
        <v>66.666666666666657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11</v>
      </c>
      <c r="F14" s="14">
        <v>13</v>
      </c>
      <c r="G14" s="13">
        <f t="shared" si="3"/>
        <v>24</v>
      </c>
      <c r="H14" s="15">
        <f t="shared" si="2"/>
        <v>68.571428571428569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232</v>
      </c>
      <c r="F15" s="17">
        <f t="shared" si="4"/>
        <v>217</v>
      </c>
      <c r="G15" s="17">
        <f t="shared" si="4"/>
        <v>449</v>
      </c>
      <c r="H15" s="18">
        <f t="shared" si="2"/>
        <v>85.523809523809518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C099923D-4619-498F-9C82-7B4F354C86AE}">
      <formula1>B5&gt;=E5</formula1>
    </dataValidation>
    <dataValidation type="custom" allowBlank="1" showInputMessage="1" showErrorMessage="1" errorTitle="Wrong Entry" error="Kindly Enter Value Less then Available Girls" sqref="F5:F14" xr:uid="{40FF336A-F706-4A96-817F-E20925566019}">
      <formula1>C5&gt;=F5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01-02-2025</vt:lpstr>
      <vt:lpstr>03-02-2025</vt:lpstr>
      <vt:lpstr>04-02-2025</vt:lpstr>
      <vt:lpstr>06-02-2025</vt:lpstr>
      <vt:lpstr>07-02-2025</vt:lpstr>
      <vt:lpstr>08-02-2025</vt:lpstr>
      <vt:lpstr>10-02-2025</vt:lpstr>
      <vt:lpstr>11-02-2025</vt:lpstr>
      <vt:lpstr>12-02-2025</vt:lpstr>
      <vt:lpstr>13-02-2025</vt:lpstr>
      <vt:lpstr>15-02-2025</vt:lpstr>
      <vt:lpstr>17-02-2025</vt:lpstr>
      <vt:lpstr>18-02-2025</vt:lpstr>
      <vt:lpstr>20-02-2025</vt:lpstr>
      <vt:lpstr>21-02-2025</vt:lpstr>
      <vt:lpstr>22-02-2025</vt:lpstr>
      <vt:lpstr>24-02-2025</vt:lpstr>
      <vt:lpstr>25-02-2025</vt:lpstr>
      <vt:lpstr>26-02-2025</vt:lpstr>
      <vt:lpstr>27-02-2025</vt:lpstr>
      <vt:lpstr>28-02-2025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2025-03-15T05:17:56Z</dcterms:created>
  <dcterms:modified xsi:type="dcterms:W3CDTF">2025-04-07T06:41:11Z</dcterms:modified>
</cp:coreProperties>
</file>