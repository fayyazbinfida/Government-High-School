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People Diary\"/>
    </mc:Choice>
  </mc:AlternateContent>
  <xr:revisionPtr revIDLastSave="0" documentId="13_ncr:1_{DE0BAA91-F994-4D4C-BA52-0E41F950C930}" xr6:coauthVersionLast="47" xr6:coauthVersionMax="47" xr10:uidLastSave="{00000000-0000-0000-0000-000000000000}"/>
  <bookViews>
    <workbookView xWindow="-120" yWindow="-120" windowWidth="20730" windowHeight="11160" firstSheet="12" activeTab="17" xr2:uid="{00000000-000D-0000-FFFF-FFFF00000000}"/>
  </bookViews>
  <sheets>
    <sheet name="02-12-2024" sheetId="1" r:id="rId1"/>
    <sheet name="03-12-2024" sheetId="2" r:id="rId2"/>
    <sheet name="04-12-2024" sheetId="3" r:id="rId3"/>
    <sheet name="05-12-2024" sheetId="6" r:id="rId4"/>
    <sheet name="06-12-2024" sheetId="7" r:id="rId5"/>
    <sheet name="07-12-2024" sheetId="8" r:id="rId6"/>
    <sheet name="09-12-2024" sheetId="9" r:id="rId7"/>
    <sheet name="10-12-2024" sheetId="10" r:id="rId8"/>
    <sheet name="11-12-2024" sheetId="11" r:id="rId9"/>
    <sheet name="12-12-2024" sheetId="12" r:id="rId10"/>
    <sheet name="13-12-2024" sheetId="13" r:id="rId11"/>
    <sheet name="14-12-2024" sheetId="14" r:id="rId12"/>
    <sheet name="16-12-2024" sheetId="15" r:id="rId13"/>
    <sheet name="17-12-2024" sheetId="16" r:id="rId14"/>
    <sheet name="18-12-2024" sheetId="17" r:id="rId15"/>
    <sheet name="19-12-2024" sheetId="18" r:id="rId16"/>
    <sheet name="20-12-2024" sheetId="19" r:id="rId17"/>
    <sheet name="Winter Vications" sheetId="2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9" l="1"/>
  <c r="E15" i="19"/>
  <c r="C15" i="19"/>
  <c r="B15" i="19"/>
  <c r="G14" i="19"/>
  <c r="H14" i="19" s="1"/>
  <c r="D14" i="19"/>
  <c r="G13" i="19"/>
  <c r="H13" i="19" s="1"/>
  <c r="D13" i="19"/>
  <c r="G12" i="19"/>
  <c r="H12" i="19" s="1"/>
  <c r="D12" i="19"/>
  <c r="G11" i="19"/>
  <c r="D11" i="19"/>
  <c r="G10" i="19"/>
  <c r="H10" i="19" s="1"/>
  <c r="D10" i="19"/>
  <c r="G9" i="19"/>
  <c r="H9" i="19" s="1"/>
  <c r="D9" i="19"/>
  <c r="G8" i="19"/>
  <c r="H8" i="19" s="1"/>
  <c r="D8" i="19"/>
  <c r="G7" i="19"/>
  <c r="D7" i="19"/>
  <c r="G6" i="19"/>
  <c r="H6" i="19" s="1"/>
  <c r="D6" i="19"/>
  <c r="G5" i="19"/>
  <c r="D5" i="19"/>
  <c r="D15" i="19" s="1"/>
  <c r="F15" i="18"/>
  <c r="E15" i="18"/>
  <c r="C15" i="18"/>
  <c r="B15" i="18"/>
  <c r="G14" i="18"/>
  <c r="H14" i="18" s="1"/>
  <c r="D14" i="18"/>
  <c r="G13" i="18"/>
  <c r="H13" i="18" s="1"/>
  <c r="D13" i="18"/>
  <c r="G12" i="18"/>
  <c r="H12" i="18" s="1"/>
  <c r="D12" i="18"/>
  <c r="G11" i="18"/>
  <c r="H11" i="18" s="1"/>
  <c r="D11" i="18"/>
  <c r="G10" i="18"/>
  <c r="H10" i="18" s="1"/>
  <c r="D10" i="18"/>
  <c r="G9" i="18"/>
  <c r="H9" i="18" s="1"/>
  <c r="D9" i="18"/>
  <c r="G8" i="18"/>
  <c r="H8" i="18" s="1"/>
  <c r="D8" i="18"/>
  <c r="G7" i="18"/>
  <c r="H7" i="18" s="1"/>
  <c r="D7" i="18"/>
  <c r="G6" i="18"/>
  <c r="H6" i="18" s="1"/>
  <c r="D6" i="18"/>
  <c r="G5" i="18"/>
  <c r="D5" i="18"/>
  <c r="D15" i="18" s="1"/>
  <c r="F15" i="17"/>
  <c r="E15" i="17"/>
  <c r="C15" i="17"/>
  <c r="B15" i="17"/>
  <c r="G14" i="17"/>
  <c r="H14" i="17" s="1"/>
  <c r="D14" i="17"/>
  <c r="G13" i="17"/>
  <c r="H13" i="17" s="1"/>
  <c r="D13" i="17"/>
  <c r="G12" i="17"/>
  <c r="H12" i="17" s="1"/>
  <c r="D12" i="17"/>
  <c r="G11" i="17"/>
  <c r="H11" i="17" s="1"/>
  <c r="D11" i="17"/>
  <c r="G10" i="17"/>
  <c r="H10" i="17" s="1"/>
  <c r="D10" i="17"/>
  <c r="G9" i="17"/>
  <c r="H9" i="17" s="1"/>
  <c r="D9" i="17"/>
  <c r="G8" i="17"/>
  <c r="H8" i="17" s="1"/>
  <c r="D8" i="17"/>
  <c r="G7" i="17"/>
  <c r="H7" i="17" s="1"/>
  <c r="D7" i="17"/>
  <c r="G6" i="17"/>
  <c r="H6" i="17" s="1"/>
  <c r="D6" i="17"/>
  <c r="G5" i="17"/>
  <c r="D5" i="17"/>
  <c r="D15" i="17" s="1"/>
  <c r="F15" i="16"/>
  <c r="E15" i="16"/>
  <c r="C15" i="16"/>
  <c r="B15" i="16"/>
  <c r="G14" i="16"/>
  <c r="H14" i="16" s="1"/>
  <c r="D14" i="16"/>
  <c r="G13" i="16"/>
  <c r="H13" i="16" s="1"/>
  <c r="D13" i="16"/>
  <c r="G12" i="16"/>
  <c r="H12" i="16" s="1"/>
  <c r="D12" i="16"/>
  <c r="G11" i="16"/>
  <c r="H11" i="16" s="1"/>
  <c r="D11" i="16"/>
  <c r="G10" i="16"/>
  <c r="H10" i="16" s="1"/>
  <c r="D10" i="16"/>
  <c r="G9" i="16"/>
  <c r="H9" i="16" s="1"/>
  <c r="D9" i="16"/>
  <c r="G8" i="16"/>
  <c r="H8" i="16" s="1"/>
  <c r="D8" i="16"/>
  <c r="G7" i="16"/>
  <c r="H7" i="16" s="1"/>
  <c r="D7" i="16"/>
  <c r="G6" i="16"/>
  <c r="H6" i="16" s="1"/>
  <c r="D6" i="16"/>
  <c r="G5" i="16"/>
  <c r="D5" i="16"/>
  <c r="D15" i="16" s="1"/>
  <c r="F15" i="15"/>
  <c r="E15" i="15"/>
  <c r="C15" i="15"/>
  <c r="B15" i="15"/>
  <c r="G14" i="15"/>
  <c r="H14" i="15" s="1"/>
  <c r="D14" i="15"/>
  <c r="G13" i="15"/>
  <c r="H13" i="15" s="1"/>
  <c r="D13" i="15"/>
  <c r="G12" i="15"/>
  <c r="H12" i="15" s="1"/>
  <c r="D12" i="15"/>
  <c r="G11" i="15"/>
  <c r="H11" i="15" s="1"/>
  <c r="D11" i="15"/>
  <c r="G10" i="15"/>
  <c r="H10" i="15" s="1"/>
  <c r="D10" i="15"/>
  <c r="G9" i="15"/>
  <c r="H9" i="15" s="1"/>
  <c r="D9" i="15"/>
  <c r="G8" i="15"/>
  <c r="H8" i="15" s="1"/>
  <c r="D8" i="15"/>
  <c r="G7" i="15"/>
  <c r="H7" i="15" s="1"/>
  <c r="D7" i="15"/>
  <c r="G6" i="15"/>
  <c r="H6" i="15" s="1"/>
  <c r="D6" i="15"/>
  <c r="G5" i="15"/>
  <c r="H5" i="15" s="1"/>
  <c r="D5" i="15"/>
  <c r="D15" i="15" s="1"/>
  <c r="F15" i="14"/>
  <c r="E15" i="14"/>
  <c r="C15" i="14"/>
  <c r="B15" i="14"/>
  <c r="G14" i="14"/>
  <c r="H14" i="14" s="1"/>
  <c r="D14" i="14"/>
  <c r="G13" i="14"/>
  <c r="H13" i="14" s="1"/>
  <c r="D13" i="14"/>
  <c r="G12" i="14"/>
  <c r="H12" i="14" s="1"/>
  <c r="D12" i="14"/>
  <c r="G11" i="14"/>
  <c r="H11" i="14" s="1"/>
  <c r="D11" i="14"/>
  <c r="G10" i="14"/>
  <c r="H10" i="14" s="1"/>
  <c r="D10" i="14"/>
  <c r="G9" i="14"/>
  <c r="H9" i="14" s="1"/>
  <c r="D9" i="14"/>
  <c r="G8" i="14"/>
  <c r="H8" i="14" s="1"/>
  <c r="D8" i="14"/>
  <c r="G7" i="14"/>
  <c r="H7" i="14" s="1"/>
  <c r="D7" i="14"/>
  <c r="G6" i="14"/>
  <c r="H6" i="14" s="1"/>
  <c r="D6" i="14"/>
  <c r="G5" i="14"/>
  <c r="D5" i="14"/>
  <c r="D15" i="14" s="1"/>
  <c r="F15" i="13"/>
  <c r="E15" i="13"/>
  <c r="C15" i="13"/>
  <c r="B15" i="13"/>
  <c r="G14" i="13"/>
  <c r="H14" i="13" s="1"/>
  <c r="D14" i="13"/>
  <c r="G13" i="13"/>
  <c r="H13" i="13" s="1"/>
  <c r="D13" i="13"/>
  <c r="G12" i="13"/>
  <c r="H12" i="13" s="1"/>
  <c r="D12" i="13"/>
  <c r="G11" i="13"/>
  <c r="H11" i="13" s="1"/>
  <c r="D11" i="13"/>
  <c r="G10" i="13"/>
  <c r="H10" i="13" s="1"/>
  <c r="D10" i="13"/>
  <c r="G9" i="13"/>
  <c r="H9" i="13" s="1"/>
  <c r="D9" i="13"/>
  <c r="G8" i="13"/>
  <c r="H8" i="13" s="1"/>
  <c r="D8" i="13"/>
  <c r="G7" i="13"/>
  <c r="H7" i="13" s="1"/>
  <c r="D7" i="13"/>
  <c r="G6" i="13"/>
  <c r="H6" i="13" s="1"/>
  <c r="D6" i="13"/>
  <c r="G5" i="13"/>
  <c r="H5" i="13" s="1"/>
  <c r="D5" i="13"/>
  <c r="D15" i="13" s="1"/>
  <c r="F15" i="12"/>
  <c r="E15" i="12"/>
  <c r="C15" i="12"/>
  <c r="B15" i="12"/>
  <c r="G14" i="12"/>
  <c r="H14" i="12" s="1"/>
  <c r="D14" i="12"/>
  <c r="G13" i="12"/>
  <c r="H13" i="12" s="1"/>
  <c r="D13" i="12"/>
  <c r="G12" i="12"/>
  <c r="H12" i="12" s="1"/>
  <c r="D12" i="12"/>
  <c r="G11" i="12"/>
  <c r="H11" i="12" s="1"/>
  <c r="D11" i="12"/>
  <c r="G10" i="12"/>
  <c r="H10" i="12" s="1"/>
  <c r="D10" i="12"/>
  <c r="G9" i="12"/>
  <c r="H9" i="12" s="1"/>
  <c r="D9" i="12"/>
  <c r="G8" i="12"/>
  <c r="H8" i="12" s="1"/>
  <c r="D8" i="12"/>
  <c r="G7" i="12"/>
  <c r="H7" i="12" s="1"/>
  <c r="D7" i="12"/>
  <c r="G6" i="12"/>
  <c r="H6" i="12" s="1"/>
  <c r="D6" i="12"/>
  <c r="G5" i="12"/>
  <c r="D5" i="12"/>
  <c r="D15" i="12" s="1"/>
  <c r="F15" i="11"/>
  <c r="E15" i="11"/>
  <c r="C15" i="11"/>
  <c r="B15" i="11"/>
  <c r="G14" i="11"/>
  <c r="H14" i="11" s="1"/>
  <c r="D14" i="11"/>
  <c r="G13" i="11"/>
  <c r="H13" i="11" s="1"/>
  <c r="D13" i="11"/>
  <c r="G12" i="11"/>
  <c r="D12" i="11"/>
  <c r="G11" i="11"/>
  <c r="H11" i="11" s="1"/>
  <c r="D11" i="11"/>
  <c r="G10" i="11"/>
  <c r="H10" i="11" s="1"/>
  <c r="D10" i="11"/>
  <c r="G9" i="11"/>
  <c r="H9" i="11" s="1"/>
  <c r="D9" i="11"/>
  <c r="G8" i="11"/>
  <c r="H8" i="11" s="1"/>
  <c r="D8" i="11"/>
  <c r="G7" i="11"/>
  <c r="H7" i="11" s="1"/>
  <c r="D7" i="11"/>
  <c r="G6" i="11"/>
  <c r="H6" i="11" s="1"/>
  <c r="D6" i="11"/>
  <c r="G5" i="11"/>
  <c r="D5" i="11"/>
  <c r="D15" i="11" s="1"/>
  <c r="F15" i="10"/>
  <c r="E15" i="10"/>
  <c r="C15" i="10"/>
  <c r="B15" i="10"/>
  <c r="G14" i="10"/>
  <c r="H14" i="10" s="1"/>
  <c r="D14" i="10"/>
  <c r="G13" i="10"/>
  <c r="H13" i="10" s="1"/>
  <c r="D13" i="10"/>
  <c r="G12" i="10"/>
  <c r="H12" i="10" s="1"/>
  <c r="D12" i="10"/>
  <c r="G11" i="10"/>
  <c r="H11" i="10" s="1"/>
  <c r="D11" i="10"/>
  <c r="G10" i="10"/>
  <c r="H10" i="10" s="1"/>
  <c r="D10" i="10"/>
  <c r="G9" i="10"/>
  <c r="H9" i="10" s="1"/>
  <c r="D9" i="10"/>
  <c r="G8" i="10"/>
  <c r="H8" i="10" s="1"/>
  <c r="D8" i="10"/>
  <c r="G7" i="10"/>
  <c r="H7" i="10" s="1"/>
  <c r="D7" i="10"/>
  <c r="G6" i="10"/>
  <c r="H6" i="10" s="1"/>
  <c r="D6" i="10"/>
  <c r="G5" i="10"/>
  <c r="D5" i="10"/>
  <c r="D15" i="10" s="1"/>
  <c r="E15" i="9"/>
  <c r="F15" i="9"/>
  <c r="C15" i="9"/>
  <c r="B15" i="9"/>
  <c r="G14" i="9"/>
  <c r="H14" i="9" s="1"/>
  <c r="D14" i="9"/>
  <c r="G13" i="9"/>
  <c r="H13" i="9" s="1"/>
  <c r="D13" i="9"/>
  <c r="G12" i="9"/>
  <c r="D12" i="9"/>
  <c r="G11" i="9"/>
  <c r="H11" i="9" s="1"/>
  <c r="D11" i="9"/>
  <c r="G10" i="9"/>
  <c r="H10" i="9" s="1"/>
  <c r="D10" i="9"/>
  <c r="G9" i="9"/>
  <c r="H9" i="9" s="1"/>
  <c r="D9" i="9"/>
  <c r="G8" i="9"/>
  <c r="H8" i="9" s="1"/>
  <c r="D8" i="9"/>
  <c r="G7" i="9"/>
  <c r="H7" i="9" s="1"/>
  <c r="D7" i="9"/>
  <c r="G6" i="9"/>
  <c r="H6" i="9" s="1"/>
  <c r="D6" i="9"/>
  <c r="G5" i="9"/>
  <c r="D5" i="9"/>
  <c r="D15" i="9" s="1"/>
  <c r="H15" i="6"/>
  <c r="H15" i="3"/>
  <c r="H15" i="2"/>
  <c r="G15" i="19" l="1"/>
  <c r="H7" i="19"/>
  <c r="H11" i="19"/>
  <c r="H15" i="19"/>
  <c r="H5" i="19"/>
  <c r="G15" i="18"/>
  <c r="H15" i="18" s="1"/>
  <c r="H5" i="18"/>
  <c r="G15" i="17"/>
  <c r="H15" i="17"/>
  <c r="H5" i="17"/>
  <c r="G15" i="16"/>
  <c r="H15" i="16" s="1"/>
  <c r="H5" i="16"/>
  <c r="G15" i="15"/>
  <c r="H15" i="15" s="1"/>
  <c r="G15" i="14"/>
  <c r="H15" i="14" s="1"/>
  <c r="H5" i="14"/>
  <c r="G15" i="13"/>
  <c r="H15" i="13" s="1"/>
  <c r="G15" i="12"/>
  <c r="H15" i="12" s="1"/>
  <c r="H5" i="12"/>
  <c r="H12" i="11"/>
  <c r="H5" i="10"/>
  <c r="G15" i="11"/>
  <c r="H15" i="11" s="1"/>
  <c r="H5" i="11"/>
  <c r="G15" i="10"/>
  <c r="H15" i="10" s="1"/>
  <c r="H12" i="9"/>
  <c r="G15" i="9"/>
  <c r="H15" i="9"/>
  <c r="H5" i="9"/>
  <c r="F15" i="8"/>
  <c r="E15" i="8"/>
  <c r="C15" i="8"/>
  <c r="B15" i="8"/>
  <c r="G14" i="8"/>
  <c r="H14" i="8" s="1"/>
  <c r="D14" i="8"/>
  <c r="G13" i="8"/>
  <c r="H13" i="8" s="1"/>
  <c r="D13" i="8"/>
  <c r="G12" i="8"/>
  <c r="D12" i="8"/>
  <c r="G11" i="8"/>
  <c r="H11" i="8" s="1"/>
  <c r="D11" i="8"/>
  <c r="G10" i="8"/>
  <c r="H10" i="8" s="1"/>
  <c r="D10" i="8"/>
  <c r="G9" i="8"/>
  <c r="H9" i="8" s="1"/>
  <c r="D9" i="8"/>
  <c r="G8" i="8"/>
  <c r="H8" i="8" s="1"/>
  <c r="D8" i="8"/>
  <c r="H7" i="8"/>
  <c r="G7" i="8"/>
  <c r="D7" i="8"/>
  <c r="G6" i="8"/>
  <c r="H6" i="8" s="1"/>
  <c r="D6" i="8"/>
  <c r="G5" i="8"/>
  <c r="D5" i="8"/>
  <c r="D15" i="8" s="1"/>
  <c r="H15" i="8" s="1"/>
  <c r="B15" i="7"/>
  <c r="C15" i="7"/>
  <c r="D15" i="7"/>
  <c r="H15" i="7" s="1"/>
  <c r="E15" i="7"/>
  <c r="F15" i="7"/>
  <c r="G15" i="7"/>
  <c r="H5" i="6"/>
  <c r="B15" i="6"/>
  <c r="C15" i="6"/>
  <c r="D15" i="6"/>
  <c r="E15" i="6"/>
  <c r="F15" i="6"/>
  <c r="G15" i="6"/>
  <c r="B15" i="3"/>
  <c r="C15" i="3"/>
  <c r="D15" i="3"/>
  <c r="E15" i="3"/>
  <c r="F15" i="3"/>
  <c r="G15" i="3"/>
  <c r="B15" i="2"/>
  <c r="C15" i="2"/>
  <c r="D15" i="2"/>
  <c r="E15" i="2"/>
  <c r="F15" i="2"/>
  <c r="G15" i="2"/>
  <c r="G15" i="1"/>
  <c r="H15" i="1" s="1"/>
  <c r="F15" i="1"/>
  <c r="E15" i="1"/>
  <c r="D15" i="1"/>
  <c r="C15" i="1"/>
  <c r="B15" i="1"/>
  <c r="G14" i="7"/>
  <c r="H14" i="7" s="1"/>
  <c r="D14" i="7"/>
  <c r="G13" i="7"/>
  <c r="H13" i="7" s="1"/>
  <c r="D13" i="7"/>
  <c r="G12" i="7"/>
  <c r="D12" i="7"/>
  <c r="G11" i="7"/>
  <c r="H11" i="7" s="1"/>
  <c r="D11" i="7"/>
  <c r="G10" i="7"/>
  <c r="D10" i="7"/>
  <c r="G9" i="7"/>
  <c r="D9" i="7"/>
  <c r="G8" i="7"/>
  <c r="D8" i="7"/>
  <c r="G7" i="7"/>
  <c r="D7" i="7"/>
  <c r="G6" i="7"/>
  <c r="D6" i="7"/>
  <c r="G5" i="7"/>
  <c r="D5" i="7"/>
  <c r="G14" i="6"/>
  <c r="H14" i="6" s="1"/>
  <c r="D14" i="6"/>
  <c r="G13" i="6"/>
  <c r="H13" i="6" s="1"/>
  <c r="D13" i="6"/>
  <c r="G12" i="6"/>
  <c r="D12" i="6"/>
  <c r="G11" i="6"/>
  <c r="D11" i="6"/>
  <c r="G10" i="6"/>
  <c r="D10" i="6"/>
  <c r="G9" i="6"/>
  <c r="D9" i="6"/>
  <c r="G8" i="6"/>
  <c r="D8" i="6"/>
  <c r="G7" i="6"/>
  <c r="D7" i="6"/>
  <c r="G6" i="6"/>
  <c r="D6" i="6"/>
  <c r="G5" i="6"/>
  <c r="D5" i="6"/>
  <c r="G14" i="3"/>
  <c r="D14" i="3"/>
  <c r="G13" i="3"/>
  <c r="D13" i="3"/>
  <c r="G12" i="3"/>
  <c r="D12" i="3"/>
  <c r="G11" i="3"/>
  <c r="H11" i="3" s="1"/>
  <c r="D11" i="3"/>
  <c r="G10" i="3"/>
  <c r="D10" i="3"/>
  <c r="G9" i="3"/>
  <c r="D9" i="3"/>
  <c r="G8" i="3"/>
  <c r="D8" i="3"/>
  <c r="G7" i="3"/>
  <c r="H7" i="3" s="1"/>
  <c r="D7" i="3"/>
  <c r="G6" i="3"/>
  <c r="D6" i="3"/>
  <c r="G5" i="3"/>
  <c r="H5" i="3" s="1"/>
  <c r="D5" i="3"/>
  <c r="G5" i="2"/>
  <c r="D6" i="2"/>
  <c r="G5" i="1"/>
  <c r="G14" i="2"/>
  <c r="H14" i="2" s="1"/>
  <c r="D14" i="2"/>
  <c r="G13" i="2"/>
  <c r="H13" i="2" s="1"/>
  <c r="D13" i="2"/>
  <c r="G12" i="2"/>
  <c r="H12" i="2" s="1"/>
  <c r="D12" i="2"/>
  <c r="G11" i="2"/>
  <c r="H11" i="2" s="1"/>
  <c r="D11" i="2"/>
  <c r="G10" i="2"/>
  <c r="H10" i="2" s="1"/>
  <c r="D10" i="2"/>
  <c r="G9" i="2"/>
  <c r="H9" i="2" s="1"/>
  <c r="D9" i="2"/>
  <c r="G8" i="2"/>
  <c r="H8" i="2" s="1"/>
  <c r="D8" i="2"/>
  <c r="G7" i="2"/>
  <c r="H7" i="2" s="1"/>
  <c r="D7" i="2"/>
  <c r="G6" i="2"/>
  <c r="H6" i="2" s="1"/>
  <c r="D5" i="2"/>
  <c r="G7" i="1"/>
  <c r="G8" i="1"/>
  <c r="G9" i="1"/>
  <c r="G10" i="1"/>
  <c r="G11" i="1"/>
  <c r="G12" i="1"/>
  <c r="G13" i="1"/>
  <c r="G14" i="1"/>
  <c r="G6" i="1"/>
  <c r="D6" i="1"/>
  <c r="D7" i="1"/>
  <c r="D8" i="1"/>
  <c r="D9" i="1"/>
  <c r="D10" i="1"/>
  <c r="D11" i="1"/>
  <c r="D12" i="1"/>
  <c r="D13" i="1"/>
  <c r="D14" i="1"/>
  <c r="D5" i="1"/>
  <c r="H12" i="8" l="1"/>
  <c r="G15" i="8"/>
  <c r="H5" i="8"/>
  <c r="H9" i="7"/>
  <c r="H5" i="7"/>
  <c r="H6" i="7"/>
  <c r="H10" i="7"/>
  <c r="H12" i="7"/>
  <c r="H8" i="7"/>
  <c r="H7" i="7"/>
  <c r="H9" i="6"/>
  <c r="H6" i="6"/>
  <c r="H8" i="6"/>
  <c r="H10" i="6"/>
  <c r="H12" i="6"/>
  <c r="H7" i="6"/>
  <c r="H11" i="6"/>
  <c r="H6" i="3"/>
  <c r="H10" i="3"/>
  <c r="H14" i="3"/>
  <c r="H8" i="3"/>
  <c r="H12" i="3"/>
  <c r="H9" i="3"/>
  <c r="H13" i="3"/>
  <c r="H5" i="2"/>
  <c r="H6" i="1"/>
  <c r="H11" i="1"/>
  <c r="H7" i="1"/>
  <c r="H14" i="1"/>
  <c r="H10" i="1"/>
  <c r="H13" i="1"/>
  <c r="H9" i="1"/>
  <c r="H12" i="1"/>
  <c r="H8" i="1"/>
  <c r="H5" i="1"/>
</calcChain>
</file>

<file path=xl/sharedStrings.xml><?xml version="1.0" encoding="utf-8"?>
<sst xmlns="http://schemas.openxmlformats.org/spreadsheetml/2006/main" count="359" uniqueCount="21">
  <si>
    <t>CLASS WISE ENROLLED SUMMARY</t>
  </si>
  <si>
    <t>BOYS</t>
  </si>
  <si>
    <t>GIRLS</t>
  </si>
  <si>
    <t>TOTAL</t>
  </si>
  <si>
    <t>PRESENT BOYS</t>
  </si>
  <si>
    <t>PRESENT GIRLS</t>
  </si>
  <si>
    <t>PERCENTAGE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</si>
  <si>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</si>
  <si>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</si>
  <si>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</si>
  <si>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</si>
  <si>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</si>
  <si>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</si>
  <si>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</si>
  <si>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</si>
  <si>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</si>
  <si>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Monthly Attendance Summary of Student GHS</t>
  </si>
  <si>
    <t>SJCHS (December-2024)</t>
  </si>
  <si>
    <t>ECE</t>
  </si>
  <si>
    <t>20-Dec-24 to 31-Dec-24</t>
  </si>
  <si>
    <t>Winter Vications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</si>
</sst>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Enrollment&quot;\ \(dd\-mm\-yyyy\)\ \(dddd\)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7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0" fillId="0" borderId="18" xfId="0" applyBorder="1"/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1" fillId="0" borderId="14" xfId="0" applyFont="1" applyBorder="1"/>
    <xf numFmtId="2" fontId="0" fillId="0" borderId="5" xfId="0" applyNumberFormat="1" applyBorder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16" xfId="0" applyNumberFormat="1" applyBorder="1"/>
    <xf numFmtId="171" fontId="2" fillId="3" borderId="11" xfId="0" applyNumberFormat="1" applyFont="1" applyFill="1" applyBorder="1" applyAlignment="1">
      <alignment horizontal="center"/>
    </xf>
    <xf numFmtId="171" fontId="2" fillId="3" borderId="12" xfId="0" applyNumberFormat="1" applyFont="1" applyFill="1" applyBorder="1" applyAlignment="1">
      <alignment horizontal="center"/>
    </xf>
    <xf numFmtId="171" fontId="2" fillId="3" borderId="1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A2" workbookViewId="0">
      <selection activeCell="H15" sqref="H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8.425781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45628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53</v>
      </c>
      <c r="F5" s="4">
        <v>40</v>
      </c>
      <c r="G5" s="1">
        <f t="shared" ref="G5" si="0">E5+F5</f>
        <v>93</v>
      </c>
      <c r="H5" s="15">
        <f t="shared" ref="H5:H15" si="1">G5/D5*100</f>
        <v>84.545454545454547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2">B6+C6</f>
        <v>55</v>
      </c>
      <c r="E6" s="1">
        <v>29</v>
      </c>
      <c r="F6" s="1">
        <v>17</v>
      </c>
      <c r="G6" s="1">
        <f>E6+F6</f>
        <v>46</v>
      </c>
      <c r="H6" s="15">
        <f t="shared" si="1"/>
        <v>83.636363636363626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2"/>
        <v>52</v>
      </c>
      <c r="E7" s="1">
        <v>23</v>
      </c>
      <c r="F7" s="1">
        <v>22</v>
      </c>
      <c r="G7" s="1">
        <f t="shared" ref="G7:G14" si="3">E7+F7</f>
        <v>45</v>
      </c>
      <c r="H7" s="15">
        <f t="shared" si="1"/>
        <v>86.538461538461547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2"/>
        <v>52</v>
      </c>
      <c r="E8" s="1">
        <v>22</v>
      </c>
      <c r="F8" s="1">
        <v>18</v>
      </c>
      <c r="G8" s="1">
        <f t="shared" si="3"/>
        <v>40</v>
      </c>
      <c r="H8" s="15">
        <f t="shared" si="1"/>
        <v>76.923076923076934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2"/>
        <v>53</v>
      </c>
      <c r="E9" s="1">
        <v>19</v>
      </c>
      <c r="F9" s="1">
        <v>31</v>
      </c>
      <c r="G9" s="1">
        <f t="shared" si="3"/>
        <v>50</v>
      </c>
      <c r="H9" s="15">
        <f t="shared" si="1"/>
        <v>94.339622641509436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2"/>
        <v>46</v>
      </c>
      <c r="E10" s="1">
        <v>23</v>
      </c>
      <c r="F10" s="1">
        <v>22</v>
      </c>
      <c r="G10" s="1">
        <f t="shared" si="3"/>
        <v>45</v>
      </c>
      <c r="H10" s="15">
        <f t="shared" si="1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2"/>
        <v>42</v>
      </c>
      <c r="E11" s="1">
        <v>17</v>
      </c>
      <c r="F11" s="1">
        <v>25</v>
      </c>
      <c r="G11" s="1">
        <f t="shared" si="3"/>
        <v>42</v>
      </c>
      <c r="H11" s="15">
        <f t="shared" si="1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2"/>
        <v>45</v>
      </c>
      <c r="E12" s="1">
        <v>25</v>
      </c>
      <c r="F12" s="1">
        <v>17</v>
      </c>
      <c r="G12" s="1">
        <f t="shared" si="3"/>
        <v>42</v>
      </c>
      <c r="H12" s="15">
        <f t="shared" si="1"/>
        <v>93.333333333333329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2"/>
        <v>42</v>
      </c>
      <c r="E13" s="1">
        <v>16</v>
      </c>
      <c r="F13" s="1">
        <v>20</v>
      </c>
      <c r="G13" s="1">
        <f t="shared" si="3"/>
        <v>36</v>
      </c>
      <c r="H13" s="15">
        <f t="shared" si="1"/>
        <v>85.714285714285708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2"/>
        <v>35</v>
      </c>
      <c r="E14" s="10">
        <v>10</v>
      </c>
      <c r="F14" s="10">
        <v>8</v>
      </c>
      <c r="G14" s="1">
        <f t="shared" si="3"/>
        <v>18</v>
      </c>
      <c r="H14" s="15">
        <f t="shared" si="1"/>
        <v>51.428571428571423</v>
      </c>
    </row>
    <row r="15" spans="1:8" ht="20.100000000000001" customHeight="1" thickBot="1" x14ac:dyDescent="0.3">
      <c r="A15" s="14" t="s">
        <v>3</v>
      </c>
      <c r="B15" s="11">
        <f>SUM(B5:B14)</f>
        <v>271</v>
      </c>
      <c r="C15" s="11">
        <f>SUM(C5:C14)</f>
        <v>261</v>
      </c>
      <c r="D15" s="11">
        <f>SUM(D5:D14)</f>
        <v>532</v>
      </c>
      <c r="E15" s="11">
        <f>SUM(E5:E14)</f>
        <v>237</v>
      </c>
      <c r="F15" s="11">
        <f>SUM(F5:F14)</f>
        <v>220</v>
      </c>
      <c r="G15" s="11">
        <f>SUM(G5:G14)</f>
        <v>457</v>
      </c>
      <c r="H15" s="22">
        <f t="shared" si="1"/>
        <v>85.902255639097746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6C6F-7346-4E3E-9D3A-7A332125E520}">
  <dimension ref="A1:H16"/>
  <sheetViews>
    <sheetView workbookViewId="0">
      <selection activeCell="H15" sqref="H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45629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55</v>
      </c>
      <c r="F5" s="4">
        <v>40</v>
      </c>
      <c r="G5" s="1">
        <f t="shared" ref="G5" si="0">E5+F5</f>
        <v>95</v>
      </c>
      <c r="H5" s="15">
        <f>G5/D5*100</f>
        <v>86.36363636363636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" si="1">B6+C6</f>
        <v>55</v>
      </c>
      <c r="E6" s="1">
        <v>31</v>
      </c>
      <c r="F6" s="1">
        <v>22</v>
      </c>
      <c r="G6" s="1">
        <f>E6+F6</f>
        <v>53</v>
      </c>
      <c r="H6" s="15">
        <f t="shared" ref="H6:H15" si="2">G6/D6*100</f>
        <v>96.36363636363636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ref="D7:D14" si="3">B7+C7</f>
        <v>52</v>
      </c>
      <c r="E7" s="1">
        <v>24</v>
      </c>
      <c r="F7" s="1">
        <v>23</v>
      </c>
      <c r="G7" s="1">
        <f t="shared" ref="G7:G14" si="4">E7+F7</f>
        <v>47</v>
      </c>
      <c r="H7" s="15">
        <f t="shared" si="2"/>
        <v>90.384615384615387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3"/>
        <v>52</v>
      </c>
      <c r="E8" s="1">
        <v>24</v>
      </c>
      <c r="F8" s="1">
        <v>23</v>
      </c>
      <c r="G8" s="1">
        <f t="shared" si="4"/>
        <v>47</v>
      </c>
      <c r="H8" s="15">
        <f t="shared" si="2"/>
        <v>90.384615384615387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3"/>
        <v>53</v>
      </c>
      <c r="E9" s="1">
        <v>19</v>
      </c>
      <c r="F9" s="1">
        <v>31</v>
      </c>
      <c r="G9" s="1">
        <f t="shared" si="4"/>
        <v>50</v>
      </c>
      <c r="H9" s="15">
        <f t="shared" si="2"/>
        <v>94.339622641509436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3"/>
        <v>46</v>
      </c>
      <c r="E10" s="1">
        <v>23</v>
      </c>
      <c r="F10" s="1">
        <v>22</v>
      </c>
      <c r="G10" s="1">
        <f t="shared" si="4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3"/>
        <v>42</v>
      </c>
      <c r="E11" s="1">
        <v>17</v>
      </c>
      <c r="F11" s="1">
        <v>25</v>
      </c>
      <c r="G11" s="1">
        <f t="shared" si="4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3"/>
        <v>45</v>
      </c>
      <c r="E12" s="1">
        <v>25</v>
      </c>
      <c r="F12" s="1">
        <v>17</v>
      </c>
      <c r="G12" s="1">
        <f t="shared" si="4"/>
        <v>42</v>
      </c>
      <c r="H12" s="15">
        <f t="shared" si="2"/>
        <v>93.333333333333329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3"/>
        <v>42</v>
      </c>
      <c r="E13" s="1">
        <v>16</v>
      </c>
      <c r="F13" s="1">
        <v>20</v>
      </c>
      <c r="G13" s="1">
        <f t="shared" si="4"/>
        <v>36</v>
      </c>
      <c r="H13" s="15">
        <f t="shared" si="2"/>
        <v>85.714285714285708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3"/>
        <v>35</v>
      </c>
      <c r="E14" s="10">
        <v>16</v>
      </c>
      <c r="F14" s="10">
        <v>15</v>
      </c>
      <c r="G14" s="1">
        <f t="shared" si="4"/>
        <v>31</v>
      </c>
      <c r="H14" s="15">
        <f t="shared" si="2"/>
        <v>88.571428571428569</v>
      </c>
    </row>
    <row r="15" spans="1:8" ht="20.100000000000001" customHeight="1" thickBot="1" x14ac:dyDescent="0.3">
      <c r="A15" s="14" t="s">
        <v>3</v>
      </c>
      <c r="B15" s="11">
        <f t="shared" ref="B15:G15" si="5">SUM(B5:B14)</f>
        <v>271</v>
      </c>
      <c r="C15" s="11">
        <f t="shared" si="5"/>
        <v>261</v>
      </c>
      <c r="D15" s="11">
        <f t="shared" si="5"/>
        <v>532</v>
      </c>
      <c r="E15" s="11">
        <f t="shared" si="5"/>
        <v>250</v>
      </c>
      <c r="F15" s="11">
        <f t="shared" si="5"/>
        <v>238</v>
      </c>
      <c r="G15" s="11">
        <f t="shared" si="5"/>
        <v>488</v>
      </c>
      <c r="H15" s="22">
        <f t="shared" si="2"/>
        <v>91.729323308270665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4986-70E4-4CC7-A180-52208B012F00}">
  <dimension ref="A1:H16"/>
  <sheetViews>
    <sheetView workbookViewId="0">
      <selection activeCell="H15" sqref="H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45630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57</v>
      </c>
      <c r="F5" s="4">
        <v>41</v>
      </c>
      <c r="G5" s="1">
        <f t="shared" ref="G5" si="0">E5+F5</f>
        <v>98</v>
      </c>
      <c r="H5" s="15">
        <f>G5/D5*100</f>
        <v>89.090909090909093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31</v>
      </c>
      <c r="F6" s="1">
        <v>20</v>
      </c>
      <c r="G6" s="1">
        <f>E6+F6</f>
        <v>51</v>
      </c>
      <c r="H6" s="15">
        <f t="shared" ref="H6:H15" si="2">G6/D6*100</f>
        <v>92.72727272727272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24</v>
      </c>
      <c r="F7" s="1">
        <v>23</v>
      </c>
      <c r="G7" s="1">
        <f t="shared" ref="G7:G14" si="3">E7+F7</f>
        <v>47</v>
      </c>
      <c r="H7" s="15">
        <f t="shared" si="2"/>
        <v>90.384615384615387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25</v>
      </c>
      <c r="F8" s="1">
        <v>23</v>
      </c>
      <c r="G8" s="1">
        <f t="shared" si="3"/>
        <v>48</v>
      </c>
      <c r="H8" s="15">
        <f t="shared" si="2"/>
        <v>92.307692307692307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31</v>
      </c>
      <c r="G9" s="1">
        <f t="shared" si="3"/>
        <v>50</v>
      </c>
      <c r="H9" s="15">
        <f t="shared" si="2"/>
        <v>94.339622641509436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24</v>
      </c>
      <c r="G11" s="1">
        <f t="shared" si="3"/>
        <v>41</v>
      </c>
      <c r="H11" s="15">
        <f t="shared" si="2"/>
        <v>97.61904761904762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26</v>
      </c>
      <c r="F12" s="1">
        <v>16</v>
      </c>
      <c r="G12" s="1">
        <f t="shared" si="3"/>
        <v>42</v>
      </c>
      <c r="H12" s="15">
        <f t="shared" si="2"/>
        <v>93.333333333333329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20</v>
      </c>
      <c r="G13" s="1">
        <f t="shared" si="3"/>
        <v>36</v>
      </c>
      <c r="H13" s="15">
        <f t="shared" si="2"/>
        <v>85.714285714285708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4</v>
      </c>
      <c r="F14" s="10">
        <v>7</v>
      </c>
      <c r="G14" s="1">
        <f t="shared" si="3"/>
        <v>11</v>
      </c>
      <c r="H14" s="15">
        <f t="shared" si="2"/>
        <v>31.428571428571427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242</v>
      </c>
      <c r="F15" s="11">
        <f t="shared" si="4"/>
        <v>227</v>
      </c>
      <c r="G15" s="11">
        <f t="shared" si="4"/>
        <v>469</v>
      </c>
      <c r="H15" s="22">
        <f t="shared" si="2"/>
        <v>88.157894736842096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A89E-912D-48EC-B0C6-0C6843B2EE85}">
  <dimension ref="A1:H16"/>
  <sheetViews>
    <sheetView workbookViewId="0">
      <selection activeCell="H15" sqref="H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45631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57</v>
      </c>
      <c r="F5" s="4">
        <v>38</v>
      </c>
      <c r="G5" s="1">
        <f t="shared" ref="G5" si="0">E5+F5</f>
        <v>95</v>
      </c>
      <c r="H5" s="15">
        <f>G5/D5*100</f>
        <v>86.36363636363636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30</v>
      </c>
      <c r="F6" s="1">
        <v>21</v>
      </c>
      <c r="G6" s="1">
        <f>E6+F6</f>
        <v>51</v>
      </c>
      <c r="H6" s="15">
        <f t="shared" ref="H6:H15" si="2">G6/D6*100</f>
        <v>92.72727272727272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24</v>
      </c>
      <c r="F7" s="1">
        <v>23</v>
      </c>
      <c r="G7" s="1">
        <f t="shared" ref="G7:G14" si="3">E7+F7</f>
        <v>47</v>
      </c>
      <c r="H7" s="15">
        <f t="shared" si="2"/>
        <v>90.384615384615387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23</v>
      </c>
      <c r="G8" s="1">
        <f t="shared" si="3"/>
        <v>49</v>
      </c>
      <c r="H8" s="15">
        <f t="shared" si="2"/>
        <v>94.230769230769226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31</v>
      </c>
      <c r="G9" s="1">
        <f t="shared" si="3"/>
        <v>50</v>
      </c>
      <c r="H9" s="15">
        <f t="shared" si="2"/>
        <v>94.339622641509436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23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26</v>
      </c>
      <c r="F12" s="1">
        <v>17</v>
      </c>
      <c r="G12" s="1">
        <f t="shared" si="3"/>
        <v>43</v>
      </c>
      <c r="H12" s="15">
        <f t="shared" si="2"/>
        <v>95.555555555555557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21</v>
      </c>
      <c r="G13" s="1">
        <f t="shared" si="3"/>
        <v>37</v>
      </c>
      <c r="H13" s="15">
        <f t="shared" si="2"/>
        <v>88.095238095238088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15</v>
      </c>
      <c r="F14" s="10">
        <v>14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252</v>
      </c>
      <c r="F15" s="11">
        <f t="shared" si="4"/>
        <v>236</v>
      </c>
      <c r="G15" s="11">
        <f t="shared" si="4"/>
        <v>488</v>
      </c>
      <c r="H15" s="22">
        <f t="shared" si="2"/>
        <v>91.729323308270665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D1D2-18FC-4FA4-A9C0-DA69DB8B27FA}">
  <dimension ref="A1:H16"/>
  <sheetViews>
    <sheetView workbookViewId="0">
      <selection activeCell="B6" sqref="B6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45632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53</v>
      </c>
      <c r="F5" s="4">
        <v>42</v>
      </c>
      <c r="G5" s="1">
        <f t="shared" ref="G5" si="0">E5+F5</f>
        <v>95</v>
      </c>
      <c r="H5" s="15">
        <f>G5/D5*100</f>
        <v>86.36363636363636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26</v>
      </c>
      <c r="F6" s="1">
        <v>19</v>
      </c>
      <c r="G6" s="1">
        <f>E6+F6</f>
        <v>45</v>
      </c>
      <c r="H6" s="15">
        <f t="shared" ref="H6:H15" si="2">G6/D6*100</f>
        <v>81.818181818181827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21</v>
      </c>
      <c r="F7" s="1">
        <v>21</v>
      </c>
      <c r="G7" s="1">
        <f t="shared" ref="G7:G14" si="3">E7+F7</f>
        <v>42</v>
      </c>
      <c r="H7" s="15">
        <f t="shared" si="2"/>
        <v>80.769230769230774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20</v>
      </c>
      <c r="F8" s="1">
        <v>18</v>
      </c>
      <c r="G8" s="1">
        <f t="shared" si="3"/>
        <v>38</v>
      </c>
      <c r="H8" s="15">
        <f t="shared" si="2"/>
        <v>73.076923076923066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31</v>
      </c>
      <c r="G9" s="1">
        <f t="shared" si="3"/>
        <v>50</v>
      </c>
      <c r="H9" s="15">
        <f t="shared" si="2"/>
        <v>94.339622641509436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24</v>
      </c>
      <c r="G11" s="1">
        <f t="shared" si="3"/>
        <v>41</v>
      </c>
      <c r="H11" s="15">
        <f t="shared" si="2"/>
        <v>97.61904761904762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26</v>
      </c>
      <c r="F12" s="1">
        <v>18</v>
      </c>
      <c r="G12" s="1">
        <f t="shared" si="3"/>
        <v>44</v>
      </c>
      <c r="H12" s="15">
        <f t="shared" si="2"/>
        <v>97.777777777777771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20</v>
      </c>
      <c r="G13" s="1">
        <f t="shared" si="3"/>
        <v>36</v>
      </c>
      <c r="H13" s="15">
        <f t="shared" si="2"/>
        <v>85.714285714285708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15</v>
      </c>
      <c r="G14" s="1">
        <f t="shared" si="3"/>
        <v>31</v>
      </c>
      <c r="H14" s="15">
        <f t="shared" si="2"/>
        <v>88.571428571428569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237</v>
      </c>
      <c r="F15" s="11">
        <f t="shared" si="4"/>
        <v>230</v>
      </c>
      <c r="G15" s="11">
        <f t="shared" si="4"/>
        <v>467</v>
      </c>
      <c r="H15" s="22">
        <f t="shared" si="2"/>
        <v>87.781954887218049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336C-E06B-4D73-8A5C-C0760207CD41}">
  <dimension ref="A1:H16"/>
  <sheetViews>
    <sheetView topLeftCell="A4" workbookViewId="0">
      <selection activeCell="B6" sqref="B6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45633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/>
      <c r="F5" s="4"/>
      <c r="G5" s="1">
        <f t="shared" ref="G5" si="0">E5+F5</f>
        <v>0</v>
      </c>
      <c r="H5" s="15">
        <f>G5/D5*100</f>
        <v>0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/>
      <c r="F6" s="1"/>
      <c r="G6" s="1">
        <f>E6+F6</f>
        <v>0</v>
      </c>
      <c r="H6" s="15">
        <f t="shared" ref="H6:H15" si="2">G6/D6*100</f>
        <v>0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/>
      <c r="F7" s="1"/>
      <c r="G7" s="1">
        <f t="shared" ref="G7:G14" si="3">E7+F7</f>
        <v>0</v>
      </c>
      <c r="H7" s="15">
        <f t="shared" si="2"/>
        <v>0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/>
      <c r="F8" s="1"/>
      <c r="G8" s="1">
        <f t="shared" si="3"/>
        <v>0</v>
      </c>
      <c r="H8" s="15">
        <f t="shared" si="2"/>
        <v>0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31</v>
      </c>
      <c r="G9" s="1">
        <f t="shared" si="3"/>
        <v>50</v>
      </c>
      <c r="H9" s="15">
        <f t="shared" si="2"/>
        <v>94.339622641509436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23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25</v>
      </c>
      <c r="F12" s="1">
        <v>16</v>
      </c>
      <c r="G12" s="1">
        <f t="shared" si="3"/>
        <v>41</v>
      </c>
      <c r="H12" s="15">
        <f t="shared" si="2"/>
        <v>91.111111111111114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21</v>
      </c>
      <c r="G13" s="1">
        <f t="shared" si="3"/>
        <v>37</v>
      </c>
      <c r="H13" s="15">
        <f t="shared" si="2"/>
        <v>88.095238095238088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13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115</v>
      </c>
      <c r="F15" s="11">
        <f t="shared" si="4"/>
        <v>129</v>
      </c>
      <c r="G15" s="11">
        <f t="shared" si="4"/>
        <v>244</v>
      </c>
      <c r="H15" s="22">
        <f t="shared" si="2"/>
        <v>45.864661654135332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9B47-9133-46CB-AE22-B6B085C3869D}">
  <dimension ref="A1:H16"/>
  <sheetViews>
    <sheetView topLeftCell="A2" workbookViewId="0">
      <selection activeCell="B6" sqref="B6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45635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50</v>
      </c>
      <c r="F5" s="4">
        <v>42</v>
      </c>
      <c r="G5" s="1">
        <f t="shared" ref="G5" si="0">E5+F5</f>
        <v>92</v>
      </c>
      <c r="H5" s="15">
        <f>G5/D5*100</f>
        <v>83.636363636363626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/>
      <c r="F6" s="1"/>
      <c r="G6" s="1">
        <f>E6+F6</f>
        <v>0</v>
      </c>
      <c r="H6" s="15">
        <f t="shared" ref="H6:H15" si="2">G6/D6*100</f>
        <v>0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21</v>
      </c>
      <c r="F8" s="1">
        <v>21</v>
      </c>
      <c r="G8" s="1">
        <f t="shared" si="3"/>
        <v>42</v>
      </c>
      <c r="H8" s="15">
        <f t="shared" si="2"/>
        <v>80.769230769230774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31</v>
      </c>
      <c r="G9" s="1">
        <f t="shared" si="3"/>
        <v>50</v>
      </c>
      <c r="H9" s="15">
        <f t="shared" si="2"/>
        <v>94.339622641509436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24</v>
      </c>
      <c r="G11" s="1">
        <f t="shared" si="3"/>
        <v>41</v>
      </c>
      <c r="H11" s="15">
        <f t="shared" si="2"/>
        <v>97.61904761904762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27</v>
      </c>
      <c r="F12" s="1">
        <v>17</v>
      </c>
      <c r="G12" s="1">
        <f t="shared" si="3"/>
        <v>44</v>
      </c>
      <c r="H12" s="15">
        <f t="shared" si="2"/>
        <v>97.777777777777771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21</v>
      </c>
      <c r="G13" s="1">
        <f t="shared" si="3"/>
        <v>37</v>
      </c>
      <c r="H13" s="15">
        <f t="shared" si="2"/>
        <v>88.095238095238088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13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212</v>
      </c>
      <c r="F15" s="11">
        <f t="shared" si="4"/>
        <v>214</v>
      </c>
      <c r="G15" s="11">
        <f t="shared" si="4"/>
        <v>426</v>
      </c>
      <c r="H15" s="22">
        <f t="shared" si="2"/>
        <v>80.075187969924812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5D2C-DEFD-4844-8E3F-2AE012A487F3}">
  <dimension ref="A1:H16"/>
  <sheetViews>
    <sheetView topLeftCell="A2" workbookViewId="0">
      <selection activeCell="B6" sqref="B6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45636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52</v>
      </c>
      <c r="F5" s="4">
        <v>36</v>
      </c>
      <c r="G5" s="1">
        <f t="shared" ref="G5" si="0">E5+F5</f>
        <v>88</v>
      </c>
      <c r="H5" s="15">
        <f>G5/D5*100</f>
        <v>80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30</v>
      </c>
      <c r="F6" s="1">
        <v>20</v>
      </c>
      <c r="G6" s="1">
        <f>E6+F6</f>
        <v>50</v>
      </c>
      <c r="H6" s="15">
        <f t="shared" ref="H6:H15" si="2">G6/D6*100</f>
        <v>90.909090909090907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21</v>
      </c>
      <c r="G8" s="1">
        <f t="shared" si="3"/>
        <v>47</v>
      </c>
      <c r="H8" s="15">
        <f t="shared" si="2"/>
        <v>90.384615384615387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30</v>
      </c>
      <c r="G9" s="1">
        <f t="shared" si="3"/>
        <v>49</v>
      </c>
      <c r="H9" s="15">
        <f t="shared" si="2"/>
        <v>92.452830188679243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21</v>
      </c>
      <c r="F10" s="1">
        <v>23</v>
      </c>
      <c r="G10" s="1">
        <f t="shared" si="3"/>
        <v>44</v>
      </c>
      <c r="H10" s="15">
        <f t="shared" si="2"/>
        <v>95.652173913043484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24</v>
      </c>
      <c r="F12" s="1">
        <v>16</v>
      </c>
      <c r="G12" s="1">
        <f t="shared" si="3"/>
        <v>40</v>
      </c>
      <c r="H12" s="15">
        <f t="shared" si="2"/>
        <v>88.888888888888886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20</v>
      </c>
      <c r="G13" s="1">
        <f t="shared" si="3"/>
        <v>36</v>
      </c>
      <c r="H13" s="15">
        <f t="shared" si="2"/>
        <v>85.714285714285708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16</v>
      </c>
      <c r="G14" s="1">
        <f t="shared" si="3"/>
        <v>32</v>
      </c>
      <c r="H14" s="15">
        <f t="shared" si="2"/>
        <v>91.428571428571431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244</v>
      </c>
      <c r="F15" s="11">
        <f t="shared" si="4"/>
        <v>230</v>
      </c>
      <c r="G15" s="11">
        <f t="shared" si="4"/>
        <v>474</v>
      </c>
      <c r="H15" s="22">
        <f t="shared" si="2"/>
        <v>89.097744360902254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A117-A767-479A-BBFC-0F13EE24E76E}">
  <dimension ref="A1:H16"/>
  <sheetViews>
    <sheetView topLeftCell="A2"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45637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55</v>
      </c>
      <c r="F5" s="4">
        <v>42</v>
      </c>
      <c r="G5" s="1">
        <f t="shared" ref="G5" si="0">E5+F5</f>
        <v>97</v>
      </c>
      <c r="H5" s="15">
        <f>G5/D5*100</f>
        <v>88.181818181818187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30</v>
      </c>
      <c r="F6" s="1">
        <v>22</v>
      </c>
      <c r="G6" s="1">
        <f>E6+F6</f>
        <v>52</v>
      </c>
      <c r="H6" s="15">
        <f t="shared" ref="H6:H15" si="2">G6/D6*100</f>
        <v>94.545454545454547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21</v>
      </c>
      <c r="G8" s="1">
        <f t="shared" si="3"/>
        <v>47</v>
      </c>
      <c r="H8" s="15">
        <f t="shared" si="2"/>
        <v>90.384615384615387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30</v>
      </c>
      <c r="G9" s="1">
        <f t="shared" si="3"/>
        <v>49</v>
      </c>
      <c r="H9" s="15">
        <f t="shared" si="2"/>
        <v>92.452830188679243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22</v>
      </c>
      <c r="G10" s="1">
        <f t="shared" si="3"/>
        <v>44</v>
      </c>
      <c r="H10" s="15">
        <f t="shared" si="2"/>
        <v>95.652173913043484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24</v>
      </c>
      <c r="G11" s="1">
        <f t="shared" si="3"/>
        <v>41</v>
      </c>
      <c r="H11" s="15">
        <f t="shared" si="2"/>
        <v>97.61904761904762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24</v>
      </c>
      <c r="F12" s="1">
        <v>18</v>
      </c>
      <c r="G12" s="1">
        <f t="shared" si="3"/>
        <v>42</v>
      </c>
      <c r="H12" s="15">
        <f t="shared" si="2"/>
        <v>93.333333333333329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21</v>
      </c>
      <c r="G13" s="1">
        <f t="shared" si="3"/>
        <v>37</v>
      </c>
      <c r="H13" s="15">
        <f t="shared" si="2"/>
        <v>88.095238095238088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13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248</v>
      </c>
      <c r="F15" s="11">
        <f t="shared" si="4"/>
        <v>236</v>
      </c>
      <c r="G15" s="11">
        <f t="shared" si="4"/>
        <v>484</v>
      </c>
      <c r="H15" s="22">
        <f t="shared" si="2"/>
        <v>90.977443609022558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198F-B51C-4F16-87A1-55D5DF97A163}">
  <dimension ref="A1:H16"/>
  <sheetViews>
    <sheetView topLeftCell="A2"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45638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50</v>
      </c>
      <c r="F5" s="4">
        <v>40</v>
      </c>
      <c r="G5" s="1">
        <f t="shared" ref="G5" si="0">E5+F5</f>
        <v>90</v>
      </c>
      <c r="H5" s="15">
        <f>G5/D5*100</f>
        <v>81.818181818181827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28</v>
      </c>
      <c r="F6" s="1">
        <v>22</v>
      </c>
      <c r="G6" s="1">
        <f>E6+F6</f>
        <v>50</v>
      </c>
      <c r="H6" s="15">
        <f t="shared" ref="H6:H15" si="2">G6/D6*100</f>
        <v>90.909090909090907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21</v>
      </c>
      <c r="G8" s="1">
        <f t="shared" si="3"/>
        <v>47</v>
      </c>
      <c r="H8" s="15">
        <f t="shared" si="2"/>
        <v>90.384615384615387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30</v>
      </c>
      <c r="G9" s="1">
        <f t="shared" si="3"/>
        <v>49</v>
      </c>
      <c r="H9" s="15">
        <f t="shared" si="2"/>
        <v>92.452830188679243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23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24</v>
      </c>
      <c r="F12" s="1">
        <v>17</v>
      </c>
      <c r="G12" s="1">
        <f t="shared" si="3"/>
        <v>41</v>
      </c>
      <c r="H12" s="15">
        <f t="shared" si="2"/>
        <v>91.111111111111114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21</v>
      </c>
      <c r="G13" s="1">
        <f t="shared" si="3"/>
        <v>37</v>
      </c>
      <c r="H13" s="15">
        <f t="shared" si="2"/>
        <v>88.095238095238088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12</v>
      </c>
      <c r="G14" s="1">
        <f t="shared" si="3"/>
        <v>28</v>
      </c>
      <c r="H14" s="15">
        <f t="shared" si="2"/>
        <v>80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241</v>
      </c>
      <c r="F15" s="11">
        <f t="shared" si="4"/>
        <v>234</v>
      </c>
      <c r="G15" s="11">
        <f t="shared" si="4"/>
        <v>475</v>
      </c>
      <c r="H15" s="22">
        <f t="shared" si="2"/>
        <v>89.285714285714292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67A5-BD47-4788-ADCC-DD0BE7491D0F}">
  <dimension ref="A1:H16"/>
  <sheetViews>
    <sheetView topLeftCell="A2" workbookViewId="0">
      <selection activeCell="F15" sqref="F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45639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48</v>
      </c>
      <c r="F5" s="4">
        <v>39</v>
      </c>
      <c r="G5" s="1">
        <f t="shared" ref="G5" si="0">E5+F5</f>
        <v>87</v>
      </c>
      <c r="H5" s="15">
        <f>G5/D5*100</f>
        <v>79.090909090909093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28</v>
      </c>
      <c r="F6" s="1">
        <v>21</v>
      </c>
      <c r="G6" s="1">
        <f>E6+F6</f>
        <v>49</v>
      </c>
      <c r="H6" s="15">
        <f t="shared" ref="H6:H15" si="2">G6/D6*100</f>
        <v>89.090909090909093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22</v>
      </c>
      <c r="G8" s="1">
        <f t="shared" si="3"/>
        <v>48</v>
      </c>
      <c r="H8" s="15">
        <f t="shared" si="2"/>
        <v>92.307692307692307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30</v>
      </c>
      <c r="G9" s="1">
        <f t="shared" si="3"/>
        <v>49</v>
      </c>
      <c r="H9" s="15">
        <f t="shared" si="2"/>
        <v>92.452830188679243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23</v>
      </c>
      <c r="G11" s="1">
        <f t="shared" si="3"/>
        <v>40</v>
      </c>
      <c r="H11" s="15">
        <f t="shared" si="2"/>
        <v>95.238095238095227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17</v>
      </c>
      <c r="F12" s="1">
        <v>23</v>
      </c>
      <c r="G12" s="1">
        <f t="shared" si="3"/>
        <v>40</v>
      </c>
      <c r="H12" s="15">
        <f t="shared" si="2"/>
        <v>88.888888888888886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21</v>
      </c>
      <c r="G13" s="1">
        <f t="shared" si="3"/>
        <v>37</v>
      </c>
      <c r="H13" s="15">
        <f t="shared" si="2"/>
        <v>88.095238095238088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12</v>
      </c>
      <c r="G14" s="1">
        <f t="shared" si="3"/>
        <v>28</v>
      </c>
      <c r="H14" s="15">
        <f t="shared" si="2"/>
        <v>80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233</v>
      </c>
      <c r="F15" s="11">
        <f t="shared" si="4"/>
        <v>236</v>
      </c>
      <c r="G15" s="11">
        <f t="shared" si="4"/>
        <v>469</v>
      </c>
      <c r="H15" s="22">
        <f t="shared" si="2"/>
        <v>88.157894736842096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3759-61A8-4A26-A6E7-0B100CFCDE1A}">
  <dimension ref="A1:H16"/>
  <sheetViews>
    <sheetView topLeftCell="A2"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45640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45</v>
      </c>
      <c r="F5" s="4">
        <v>31</v>
      </c>
      <c r="G5" s="1">
        <f t="shared" ref="G5" si="0">E5+F5</f>
        <v>76</v>
      </c>
      <c r="H5" s="15">
        <f>G5/D5*100</f>
        <v>69.090909090909093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30</v>
      </c>
      <c r="F6" s="1">
        <v>22</v>
      </c>
      <c r="G6" s="1">
        <f>E6+F6</f>
        <v>52</v>
      </c>
      <c r="H6" s="15">
        <f t="shared" ref="H6:H15" si="2">G6/D6*100</f>
        <v>94.545454545454547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22</v>
      </c>
      <c r="G8" s="1">
        <f t="shared" si="3"/>
        <v>48</v>
      </c>
      <c r="H8" s="15">
        <f t="shared" si="2"/>
        <v>92.307692307692307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20</v>
      </c>
      <c r="F9" s="1">
        <v>31</v>
      </c>
      <c r="G9" s="1">
        <f t="shared" si="3"/>
        <v>51</v>
      </c>
      <c r="H9" s="15">
        <f t="shared" si="2"/>
        <v>96.226415094339629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24</v>
      </c>
      <c r="F12" s="1">
        <v>17</v>
      </c>
      <c r="G12" s="1">
        <f t="shared" si="3"/>
        <v>41</v>
      </c>
      <c r="H12" s="15">
        <f t="shared" si="2"/>
        <v>91.111111111111114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19</v>
      </c>
      <c r="G13" s="1">
        <f t="shared" si="3"/>
        <v>35</v>
      </c>
      <c r="H13" s="15">
        <f t="shared" si="2"/>
        <v>83.333333333333343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13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240</v>
      </c>
      <c r="F15" s="11">
        <f t="shared" si="4"/>
        <v>225</v>
      </c>
      <c r="G15" s="11">
        <f t="shared" si="4"/>
        <v>465</v>
      </c>
      <c r="H15" s="22">
        <f t="shared" si="2"/>
        <v>87.406015037593988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9095-C1C9-463D-B097-1C62E0CBFDE0}">
  <dimension ref="A1:H16"/>
  <sheetViews>
    <sheetView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45642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45</v>
      </c>
      <c r="F5" s="4">
        <v>31</v>
      </c>
      <c r="G5" s="1">
        <f t="shared" ref="G5" si="0">E5+F5</f>
        <v>76</v>
      </c>
      <c r="H5" s="15">
        <f>G5/D5*100</f>
        <v>69.090909090909093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30</v>
      </c>
      <c r="F6" s="1">
        <v>22</v>
      </c>
      <c r="G6" s="1">
        <f>E6+F6</f>
        <v>52</v>
      </c>
      <c r="H6" s="15">
        <f t="shared" ref="H6:H15" si="2">G6/D6*100</f>
        <v>94.545454545454547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22</v>
      </c>
      <c r="G8" s="1">
        <f t="shared" si="3"/>
        <v>48</v>
      </c>
      <c r="H8" s="15">
        <f t="shared" si="2"/>
        <v>92.307692307692307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20</v>
      </c>
      <c r="F9" s="1">
        <v>31</v>
      </c>
      <c r="G9" s="1">
        <f t="shared" si="3"/>
        <v>51</v>
      </c>
      <c r="H9" s="15">
        <f t="shared" si="2"/>
        <v>96.226415094339629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24</v>
      </c>
      <c r="F12" s="1">
        <v>17</v>
      </c>
      <c r="G12" s="1">
        <f t="shared" si="3"/>
        <v>41</v>
      </c>
      <c r="H12" s="15">
        <f t="shared" si="2"/>
        <v>91.111111111111114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19</v>
      </c>
      <c r="G13" s="1">
        <f t="shared" si="3"/>
        <v>35</v>
      </c>
      <c r="H13" s="15">
        <f t="shared" si="2"/>
        <v>83.333333333333343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13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240</v>
      </c>
      <c r="F15" s="11">
        <f t="shared" si="4"/>
        <v>225</v>
      </c>
      <c r="G15" s="11">
        <f t="shared" si="4"/>
        <v>465</v>
      </c>
      <c r="H15" s="22">
        <f t="shared" si="2"/>
        <v>87.406015037593988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5A6F-5729-4E0F-8E67-A61D0D66A16D}">
  <dimension ref="A1:H16"/>
  <sheetViews>
    <sheetView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45643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45</v>
      </c>
      <c r="F5" s="4">
        <v>31</v>
      </c>
      <c r="G5" s="1">
        <f t="shared" ref="G5" si="0">E5+F5</f>
        <v>76</v>
      </c>
      <c r="H5" s="15">
        <f>G5/D5*100</f>
        <v>69.090909090909093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30</v>
      </c>
      <c r="F6" s="1">
        <v>22</v>
      </c>
      <c r="G6" s="1">
        <f>E6+F6</f>
        <v>52</v>
      </c>
      <c r="H6" s="15">
        <f t="shared" ref="H6:H15" si="2">G6/D6*100</f>
        <v>94.545454545454547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22</v>
      </c>
      <c r="G8" s="1">
        <f t="shared" si="3"/>
        <v>48</v>
      </c>
      <c r="H8" s="15">
        <f t="shared" si="2"/>
        <v>92.307692307692307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20</v>
      </c>
      <c r="F9" s="1">
        <v>31</v>
      </c>
      <c r="G9" s="1">
        <f t="shared" si="3"/>
        <v>51</v>
      </c>
      <c r="H9" s="15">
        <f t="shared" si="2"/>
        <v>96.226415094339629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24</v>
      </c>
      <c r="F12" s="1">
        <v>17</v>
      </c>
      <c r="G12" s="1">
        <f t="shared" si="3"/>
        <v>41</v>
      </c>
      <c r="H12" s="15">
        <f t="shared" si="2"/>
        <v>91.111111111111114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19</v>
      </c>
      <c r="G13" s="1">
        <f t="shared" si="3"/>
        <v>35</v>
      </c>
      <c r="H13" s="15">
        <f t="shared" si="2"/>
        <v>83.333333333333343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13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240</v>
      </c>
      <c r="F15" s="11">
        <f t="shared" si="4"/>
        <v>225</v>
      </c>
      <c r="G15" s="11">
        <f t="shared" si="4"/>
        <v>465</v>
      </c>
      <c r="H15" s="22">
        <f t="shared" si="2"/>
        <v>87.406015037593988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C284-E1B0-4B70-80A0-31DD7AE12418}">
  <dimension ref="A1:H16"/>
  <sheetViews>
    <sheetView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45644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45</v>
      </c>
      <c r="F5" s="4">
        <v>31</v>
      </c>
      <c r="G5" s="1">
        <f t="shared" ref="G5" si="0">E5+F5</f>
        <v>76</v>
      </c>
      <c r="H5" s="15">
        <f>G5/D5*100</f>
        <v>69.090909090909093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30</v>
      </c>
      <c r="F6" s="1">
        <v>22</v>
      </c>
      <c r="G6" s="1">
        <f>E6+F6</f>
        <v>52</v>
      </c>
      <c r="H6" s="15">
        <f t="shared" ref="H6:H15" si="2">G6/D6*100</f>
        <v>94.545454545454547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22</v>
      </c>
      <c r="G8" s="1">
        <f t="shared" si="3"/>
        <v>48</v>
      </c>
      <c r="H8" s="15">
        <f t="shared" si="2"/>
        <v>92.307692307692307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29</v>
      </c>
      <c r="G9" s="1">
        <f t="shared" si="3"/>
        <v>48</v>
      </c>
      <c r="H9" s="15">
        <f t="shared" si="2"/>
        <v>90.566037735849065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25</v>
      </c>
      <c r="F12" s="1">
        <v>16</v>
      </c>
      <c r="G12" s="1">
        <f t="shared" si="3"/>
        <v>41</v>
      </c>
      <c r="H12" s="15">
        <f t="shared" si="2"/>
        <v>91.111111111111114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19</v>
      </c>
      <c r="G13" s="1">
        <f t="shared" si="3"/>
        <v>35</v>
      </c>
      <c r="H13" s="15">
        <f t="shared" si="2"/>
        <v>83.333333333333343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13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240</v>
      </c>
      <c r="F15" s="11">
        <f t="shared" si="4"/>
        <v>222</v>
      </c>
      <c r="G15" s="11">
        <f t="shared" si="4"/>
        <v>462</v>
      </c>
      <c r="H15" s="22">
        <f t="shared" si="2"/>
        <v>86.842105263157904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7C93-AF4B-471B-889C-D38B4C42BA31}">
  <dimension ref="A1:H16"/>
  <sheetViews>
    <sheetView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45645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52</v>
      </c>
      <c r="F5" s="4">
        <v>36</v>
      </c>
      <c r="G5" s="1">
        <f t="shared" ref="G5" si="0">E5+F5</f>
        <v>88</v>
      </c>
      <c r="H5" s="15">
        <f>G5/D5*100</f>
        <v>80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30</v>
      </c>
      <c r="F6" s="1">
        <v>20</v>
      </c>
      <c r="G6" s="1">
        <f>E6+F6</f>
        <v>50</v>
      </c>
      <c r="H6" s="15">
        <f t="shared" ref="H6:H15" si="2">G6/D6*100</f>
        <v>90.909090909090907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21</v>
      </c>
      <c r="G8" s="1">
        <f t="shared" si="3"/>
        <v>47</v>
      </c>
      <c r="H8" s="15">
        <f t="shared" si="2"/>
        <v>90.384615384615387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20</v>
      </c>
      <c r="G9" s="1">
        <f t="shared" si="3"/>
        <v>39</v>
      </c>
      <c r="H9" s="15">
        <f t="shared" si="2"/>
        <v>73.584905660377359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23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25</v>
      </c>
      <c r="F12" s="1">
        <v>16</v>
      </c>
      <c r="G12" s="1">
        <f t="shared" si="3"/>
        <v>41</v>
      </c>
      <c r="H12" s="15">
        <f t="shared" si="2"/>
        <v>91.111111111111114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19</v>
      </c>
      <c r="G13" s="1">
        <f t="shared" si="3"/>
        <v>35</v>
      </c>
      <c r="H13" s="15">
        <f t="shared" si="2"/>
        <v>83.333333333333343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13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246</v>
      </c>
      <c r="F15" s="11">
        <f t="shared" si="4"/>
        <v>216</v>
      </c>
      <c r="G15" s="11">
        <f t="shared" si="4"/>
        <v>462</v>
      </c>
      <c r="H15" s="22">
        <f t="shared" si="2"/>
        <v>86.842105263157904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2747-ACDC-4F37-9131-8F8BB00F48F2}">
  <dimension ref="A1:H16"/>
  <sheetViews>
    <sheetView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16" t="s">
        <v>16</v>
      </c>
      <c r="B1" s="17"/>
      <c r="C1" s="17"/>
      <c r="D1" s="17"/>
      <c r="E1" s="17"/>
      <c r="F1" s="17"/>
      <c r="G1" s="17"/>
      <c r="H1" s="18"/>
    </row>
    <row r="2" spans="1:8" ht="21" x14ac:dyDescent="0.35">
      <c r="A2" s="19" t="s">
        <v>17</v>
      </c>
      <c r="B2" s="20"/>
      <c r="C2" s="20"/>
      <c r="D2" s="20"/>
      <c r="E2" s="20"/>
      <c r="F2" s="20"/>
      <c r="G2" s="20"/>
      <c r="H2" s="21"/>
    </row>
    <row r="3" spans="1:8" ht="21.75" thickBot="1" x14ac:dyDescent="0.4">
      <c r="A3" s="23">
        <v>45646</v>
      </c>
      <c r="B3" s="24"/>
      <c r="C3" s="24"/>
      <c r="D3" s="24"/>
      <c r="E3" s="24"/>
      <c r="F3" s="24"/>
      <c r="G3" s="24"/>
      <c r="H3" s="2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61</v>
      </c>
      <c r="C5" s="4">
        <v>49</v>
      </c>
      <c r="D5" s="4">
        <f>B5+C5</f>
        <v>110</v>
      </c>
      <c r="E5" s="4">
        <v>52</v>
      </c>
      <c r="F5" s="4">
        <v>36</v>
      </c>
      <c r="G5" s="1">
        <f t="shared" ref="G5" si="0">E5+F5</f>
        <v>88</v>
      </c>
      <c r="H5" s="15">
        <f>G5/D5*100</f>
        <v>80</v>
      </c>
    </row>
    <row r="6" spans="1:8" ht="20.100000000000001" customHeight="1" x14ac:dyDescent="0.25">
      <c r="A6" s="2" t="s">
        <v>7</v>
      </c>
      <c r="B6" s="1">
        <v>32</v>
      </c>
      <c r="C6" s="1">
        <v>23</v>
      </c>
      <c r="D6" s="4">
        <f t="shared" ref="D6:D14" si="1">B6+C6</f>
        <v>55</v>
      </c>
      <c r="E6" s="1">
        <v>30</v>
      </c>
      <c r="F6" s="1">
        <v>20</v>
      </c>
      <c r="G6" s="1">
        <f>E6+F6</f>
        <v>50</v>
      </c>
      <c r="H6" s="15">
        <f t="shared" ref="H6:H15" si="2">G6/D6*100</f>
        <v>90.909090909090907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21</v>
      </c>
      <c r="G8" s="1">
        <f t="shared" si="3"/>
        <v>47</v>
      </c>
      <c r="H8" s="15">
        <f t="shared" si="2"/>
        <v>90.384615384615387</v>
      </c>
    </row>
    <row r="9" spans="1:8" ht="20.100000000000001" customHeight="1" x14ac:dyDescent="0.25">
      <c r="A9" s="2" t="s">
        <v>10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30</v>
      </c>
      <c r="G9" s="1">
        <f t="shared" si="3"/>
        <v>49</v>
      </c>
      <c r="H9" s="15">
        <f t="shared" si="2"/>
        <v>92.452830188679243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23</v>
      </c>
      <c r="G10" s="1">
        <f t="shared" si="3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3"/>
        <v>42</v>
      </c>
      <c r="H11" s="15">
        <f t="shared" si="2"/>
        <v>100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25</v>
      </c>
      <c r="F12" s="1">
        <v>16</v>
      </c>
      <c r="G12" s="1">
        <f t="shared" si="3"/>
        <v>41</v>
      </c>
      <c r="H12" s="15">
        <f t="shared" si="2"/>
        <v>91.111111111111114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19</v>
      </c>
      <c r="G13" s="1">
        <f t="shared" si="3"/>
        <v>35</v>
      </c>
      <c r="H13" s="15">
        <f t="shared" si="2"/>
        <v>83.333333333333343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16</v>
      </c>
      <c r="F14" s="10">
        <v>13</v>
      </c>
      <c r="G14" s="1">
        <f t="shared" si="3"/>
        <v>29</v>
      </c>
      <c r="H14" s="15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246</v>
      </c>
      <c r="F15" s="11">
        <f t="shared" si="4"/>
        <v>226</v>
      </c>
      <c r="G15" s="11">
        <f t="shared" si="4"/>
        <v>472</v>
      </c>
      <c r="H15" s="22">
        <f t="shared" si="2"/>
        <v>88.721804511278194</v>
      </c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EBC4-BDF1-4C6B-9347-FDCDC6DA353E}">
  <dimension ref="A1:P3"/>
  <sheetViews>
    <sheetView tabSelected="1" workbookViewId="0">
      <selection activeCell="I6" sqref="I6"/>
    </sheetView>
  </sheetViews>
  <sheetFormatPr defaultRowHeight="15" x14ac:dyDescent="0.25"/>
  <sheetData>
    <row r="1" spans="1:16" ht="92.25" x14ac:dyDescent="1.35">
      <c r="A1" s="26" t="s">
        <v>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3" spans="1:16" ht="92.25" x14ac:dyDescent="1.35">
      <c r="A3" s="26" t="s">
        <v>19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</sheetData>
  <mergeCells count="2">
    <mergeCell ref="A1:P1"/>
    <mergeCell ref="A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02-12-2024</vt:lpstr>
      <vt:lpstr>03-12-2024</vt:lpstr>
      <vt:lpstr>04-12-2024</vt:lpstr>
      <vt:lpstr>05-12-2024</vt:lpstr>
      <vt:lpstr>06-12-2024</vt:lpstr>
      <vt:lpstr>07-12-2024</vt:lpstr>
      <vt:lpstr>09-12-2024</vt:lpstr>
      <vt:lpstr>10-12-2024</vt:lpstr>
      <vt:lpstr>11-12-2024</vt:lpstr>
      <vt:lpstr>12-12-2024</vt:lpstr>
      <vt:lpstr>13-12-2024</vt:lpstr>
      <vt:lpstr>14-12-2024</vt:lpstr>
      <vt:lpstr>16-12-2024</vt:lpstr>
      <vt:lpstr>17-12-2024</vt:lpstr>
      <vt:lpstr>18-12-2024</vt:lpstr>
      <vt:lpstr>19-12-2024</vt:lpstr>
      <vt:lpstr>20-12-2024</vt:lpstr>
      <vt:lpstr>Winter Vications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dcterms:created xsi:type="dcterms:W3CDTF">2015-06-05T18:17:20Z</dcterms:created>
  <dcterms:modified xsi:type="dcterms:W3CDTF">2025-01-15T05:10:42Z</dcterms:modified>
</cp:coreProperties>
</file>