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People Diary\"/>
    </mc:Choice>
  </mc:AlternateContent>
  <xr:revisionPtr revIDLastSave="0" documentId="13_ncr:1_{7CC01E75-9BE4-4DF3-83B7-0F5B45B781AD}" xr6:coauthVersionLast="47" xr6:coauthVersionMax="47" xr10:uidLastSave="{00000000-0000-0000-0000-000000000000}"/>
  <bookViews>
    <workbookView xWindow="-120" yWindow="-120" windowWidth="20730" windowHeight="11160" firstSheet="6" activeTab="11" xr2:uid="{00000000-000D-0000-FFFF-FFFF00000000}"/>
  </bookViews>
  <sheets>
    <sheet name="18-11-2024" sheetId="1" r:id="rId1"/>
    <sheet name="19-11-2024" sheetId="2" r:id="rId2"/>
    <sheet name="20-11-2024" sheetId="3" r:id="rId3"/>
    <sheet name="21-11-2024" sheetId="4" r:id="rId4"/>
    <sheet name="22-11-2024" sheetId="5" r:id="rId5"/>
    <sheet name="23-11-2024" sheetId="6" r:id="rId6"/>
    <sheet name="25-11-2024" sheetId="7" r:id="rId7"/>
    <sheet name="26-11-2024" sheetId="8" r:id="rId8"/>
    <sheet name="27-11-2024" sheetId="9" r:id="rId9"/>
    <sheet name="28-11-2024" sheetId="10" r:id="rId10"/>
    <sheet name="29-11-2024" sheetId="11" r:id="rId11"/>
    <sheet name="30-11-2024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12" l="1"/>
  <c r="E15" i="12"/>
  <c r="C15" i="12"/>
  <c r="B15" i="12"/>
  <c r="B16" i="12" s="1"/>
  <c r="G14" i="12"/>
  <c r="H14" i="12" s="1"/>
  <c r="D14" i="12"/>
  <c r="G13" i="12"/>
  <c r="H13" i="12" s="1"/>
  <c r="D13" i="12"/>
  <c r="G12" i="12"/>
  <c r="H12" i="12" s="1"/>
  <c r="D12" i="12"/>
  <c r="G11" i="12"/>
  <c r="H11" i="12" s="1"/>
  <c r="D11" i="12"/>
  <c r="G10" i="12"/>
  <c r="H10" i="12" s="1"/>
  <c r="D10" i="12"/>
  <c r="G9" i="12"/>
  <c r="H9" i="12" s="1"/>
  <c r="D9" i="12"/>
  <c r="G8" i="12"/>
  <c r="H8" i="12" s="1"/>
  <c r="D8" i="12"/>
  <c r="G7" i="12"/>
  <c r="D7" i="12"/>
  <c r="G6" i="12"/>
  <c r="H6" i="12" s="1"/>
  <c r="D6" i="12"/>
  <c r="G5" i="12"/>
  <c r="H5" i="12" s="1"/>
  <c r="D5" i="12"/>
  <c r="D15" i="12" s="1"/>
  <c r="F15" i="11"/>
  <c r="E15" i="11"/>
  <c r="C15" i="11"/>
  <c r="B15" i="11"/>
  <c r="B16" i="11" s="1"/>
  <c r="G14" i="11"/>
  <c r="D14" i="11"/>
  <c r="G13" i="11"/>
  <c r="H13" i="11" s="1"/>
  <c r="D13" i="11"/>
  <c r="G12" i="11"/>
  <c r="H12" i="11" s="1"/>
  <c r="D12" i="11"/>
  <c r="G11" i="11"/>
  <c r="H11" i="11" s="1"/>
  <c r="D11" i="11"/>
  <c r="G10" i="11"/>
  <c r="D10" i="11"/>
  <c r="G9" i="11"/>
  <c r="H9" i="11" s="1"/>
  <c r="D9" i="11"/>
  <c r="G8" i="11"/>
  <c r="H8" i="11" s="1"/>
  <c r="D8" i="11"/>
  <c r="G7" i="11"/>
  <c r="D7" i="11"/>
  <c r="G6" i="11"/>
  <c r="D6" i="11"/>
  <c r="H6" i="11" s="1"/>
  <c r="G5" i="11"/>
  <c r="H5" i="11" s="1"/>
  <c r="D5" i="11"/>
  <c r="D15" i="11" s="1"/>
  <c r="F15" i="10"/>
  <c r="E15" i="10"/>
  <c r="C15" i="10"/>
  <c r="B15" i="10"/>
  <c r="B16" i="10" s="1"/>
  <c r="G14" i="10"/>
  <c r="H14" i="10" s="1"/>
  <c r="D14" i="10"/>
  <c r="G13" i="10"/>
  <c r="D13" i="10"/>
  <c r="H13" i="10" s="1"/>
  <c r="G12" i="10"/>
  <c r="H12" i="10" s="1"/>
  <c r="D12" i="10"/>
  <c r="G11" i="10"/>
  <c r="H11" i="10" s="1"/>
  <c r="D11" i="10"/>
  <c r="G10" i="10"/>
  <c r="H10" i="10" s="1"/>
  <c r="D10" i="10"/>
  <c r="G9" i="10"/>
  <c r="H9" i="10" s="1"/>
  <c r="D9" i="10"/>
  <c r="G8" i="10"/>
  <c r="H8" i="10" s="1"/>
  <c r="D8" i="10"/>
  <c r="G7" i="10"/>
  <c r="H7" i="10" s="1"/>
  <c r="D7" i="10"/>
  <c r="G6" i="10"/>
  <c r="H6" i="10" s="1"/>
  <c r="D6" i="10"/>
  <c r="H5" i="10"/>
  <c r="G5" i="10"/>
  <c r="D5" i="10"/>
  <c r="D15" i="10" s="1"/>
  <c r="F15" i="9"/>
  <c r="E15" i="9"/>
  <c r="C15" i="9"/>
  <c r="B16" i="9" s="1"/>
  <c r="B15" i="9"/>
  <c r="G14" i="9"/>
  <c r="H14" i="9" s="1"/>
  <c r="D14" i="9"/>
  <c r="G13" i="9"/>
  <c r="H13" i="9" s="1"/>
  <c r="D13" i="9"/>
  <c r="G12" i="9"/>
  <c r="H12" i="9" s="1"/>
  <c r="D12" i="9"/>
  <c r="G11" i="9"/>
  <c r="H11" i="9" s="1"/>
  <c r="D11" i="9"/>
  <c r="G10" i="9"/>
  <c r="H10" i="9" s="1"/>
  <c r="D10" i="9"/>
  <c r="G9" i="9"/>
  <c r="H9" i="9" s="1"/>
  <c r="D9" i="9"/>
  <c r="G8" i="9"/>
  <c r="H8" i="9" s="1"/>
  <c r="D8" i="9"/>
  <c r="G7" i="9"/>
  <c r="H7" i="9" s="1"/>
  <c r="D7" i="9"/>
  <c r="G6" i="9"/>
  <c r="H6" i="9" s="1"/>
  <c r="D6" i="9"/>
  <c r="G5" i="9"/>
  <c r="H5" i="9" s="1"/>
  <c r="D5" i="9"/>
  <c r="D15" i="9" s="1"/>
  <c r="F15" i="8"/>
  <c r="E15" i="8"/>
  <c r="C15" i="8"/>
  <c r="B15" i="8"/>
  <c r="B16" i="8" s="1"/>
  <c r="G14" i="8"/>
  <c r="H14" i="8" s="1"/>
  <c r="D14" i="8"/>
  <c r="G13" i="8"/>
  <c r="H13" i="8" s="1"/>
  <c r="D13" i="8"/>
  <c r="G12" i="8"/>
  <c r="H12" i="8" s="1"/>
  <c r="D12" i="8"/>
  <c r="G11" i="8"/>
  <c r="H11" i="8" s="1"/>
  <c r="D11" i="8"/>
  <c r="G10" i="8"/>
  <c r="H10" i="8" s="1"/>
  <c r="D10" i="8"/>
  <c r="G9" i="8"/>
  <c r="H9" i="8" s="1"/>
  <c r="D9" i="8"/>
  <c r="G8" i="8"/>
  <c r="H8" i="8" s="1"/>
  <c r="D8" i="8"/>
  <c r="G7" i="8"/>
  <c r="H7" i="8" s="1"/>
  <c r="D7" i="8"/>
  <c r="G6" i="8"/>
  <c r="H6" i="8" s="1"/>
  <c r="D6" i="8"/>
  <c r="G5" i="8"/>
  <c r="H5" i="8" s="1"/>
  <c r="D5" i="8"/>
  <c r="D15" i="8" s="1"/>
  <c r="F15" i="7"/>
  <c r="E15" i="7"/>
  <c r="C15" i="7"/>
  <c r="B15" i="7"/>
  <c r="B16" i="7" s="1"/>
  <c r="G14" i="7"/>
  <c r="H14" i="7" s="1"/>
  <c r="D14" i="7"/>
  <c r="G13" i="7"/>
  <c r="H13" i="7" s="1"/>
  <c r="D13" i="7"/>
  <c r="G12" i="7"/>
  <c r="D12" i="7"/>
  <c r="G11" i="7"/>
  <c r="H11" i="7" s="1"/>
  <c r="D11" i="7"/>
  <c r="G10" i="7"/>
  <c r="H10" i="7" s="1"/>
  <c r="D10" i="7"/>
  <c r="G9" i="7"/>
  <c r="H9" i="7" s="1"/>
  <c r="D9" i="7"/>
  <c r="G8" i="7"/>
  <c r="D8" i="7"/>
  <c r="G7" i="7"/>
  <c r="H7" i="7" s="1"/>
  <c r="D7" i="7"/>
  <c r="G6" i="7"/>
  <c r="H6" i="7" s="1"/>
  <c r="D6" i="7"/>
  <c r="G5" i="7"/>
  <c r="H5" i="7" s="1"/>
  <c r="D5" i="7"/>
  <c r="D15" i="7" s="1"/>
  <c r="E16" i="6"/>
  <c r="B16" i="6"/>
  <c r="G15" i="6"/>
  <c r="H15" i="6" s="1"/>
  <c r="F15" i="6"/>
  <c r="E15" i="6"/>
  <c r="D15" i="6"/>
  <c r="C15" i="6"/>
  <c r="B15" i="6"/>
  <c r="G14" i="6"/>
  <c r="H14" i="6" s="1"/>
  <c r="D14" i="6"/>
  <c r="G13" i="6"/>
  <c r="H13" i="6" s="1"/>
  <c r="D13" i="6"/>
  <c r="G12" i="6"/>
  <c r="H12" i="6" s="1"/>
  <c r="D12" i="6"/>
  <c r="G11" i="6"/>
  <c r="H11" i="6" s="1"/>
  <c r="D11" i="6"/>
  <c r="G10" i="6"/>
  <c r="D10" i="6"/>
  <c r="G9" i="6"/>
  <c r="H9" i="6" s="1"/>
  <c r="D9" i="6"/>
  <c r="G8" i="6"/>
  <c r="H8" i="6" s="1"/>
  <c r="D8" i="6"/>
  <c r="G7" i="6"/>
  <c r="H7" i="6" s="1"/>
  <c r="D7" i="6"/>
  <c r="G6" i="6"/>
  <c r="D6" i="6"/>
  <c r="G5" i="6"/>
  <c r="H5" i="6" s="1"/>
  <c r="D5" i="6"/>
  <c r="G14" i="5"/>
  <c r="H14" i="5" s="1"/>
  <c r="D14" i="5"/>
  <c r="G13" i="5"/>
  <c r="H13" i="5" s="1"/>
  <c r="D13" i="5"/>
  <c r="G12" i="5"/>
  <c r="H12" i="5" s="1"/>
  <c r="D12" i="5"/>
  <c r="G11" i="5"/>
  <c r="H11" i="5" s="1"/>
  <c r="D11" i="5"/>
  <c r="G10" i="5"/>
  <c r="H10" i="5" s="1"/>
  <c r="D10" i="5"/>
  <c r="G9" i="5"/>
  <c r="H9" i="5" s="1"/>
  <c r="D9" i="5"/>
  <c r="G8" i="5"/>
  <c r="H8" i="5" s="1"/>
  <c r="D8" i="5"/>
  <c r="G7" i="5"/>
  <c r="H7" i="5" s="1"/>
  <c r="D7" i="5"/>
  <c r="G6" i="5"/>
  <c r="H6" i="5" s="1"/>
  <c r="D6" i="5"/>
  <c r="G5" i="5"/>
  <c r="H5" i="5" s="1"/>
  <c r="D5" i="5"/>
  <c r="G14" i="4"/>
  <c r="H14" i="4" s="1"/>
  <c r="D14" i="4"/>
  <c r="G13" i="4"/>
  <c r="H13" i="4" s="1"/>
  <c r="D13" i="4"/>
  <c r="G12" i="4"/>
  <c r="H12" i="4" s="1"/>
  <c r="D12" i="4"/>
  <c r="G11" i="4"/>
  <c r="H11" i="4" s="1"/>
  <c r="D11" i="4"/>
  <c r="G10" i="4"/>
  <c r="H10" i="4" s="1"/>
  <c r="D10" i="4"/>
  <c r="G9" i="4"/>
  <c r="H9" i="4" s="1"/>
  <c r="D9" i="4"/>
  <c r="G8" i="4"/>
  <c r="H8" i="4" s="1"/>
  <c r="D8" i="4"/>
  <c r="G7" i="4"/>
  <c r="H7" i="4" s="1"/>
  <c r="D7" i="4"/>
  <c r="G6" i="4"/>
  <c r="H6" i="4" s="1"/>
  <c r="D6" i="4"/>
  <c r="G5" i="4"/>
  <c r="H5" i="4" s="1"/>
  <c r="D5" i="4"/>
  <c r="G14" i="3"/>
  <c r="H14" i="3" s="1"/>
  <c r="D14" i="3"/>
  <c r="G13" i="3"/>
  <c r="H13" i="3" s="1"/>
  <c r="D13" i="3"/>
  <c r="G12" i="3"/>
  <c r="H12" i="3" s="1"/>
  <c r="D12" i="3"/>
  <c r="G11" i="3"/>
  <c r="H11" i="3" s="1"/>
  <c r="D11" i="3"/>
  <c r="G10" i="3"/>
  <c r="H10" i="3" s="1"/>
  <c r="D10" i="3"/>
  <c r="G9" i="3"/>
  <c r="H9" i="3" s="1"/>
  <c r="D9" i="3"/>
  <c r="G8" i="3"/>
  <c r="H8" i="3" s="1"/>
  <c r="D8" i="3"/>
  <c r="G7" i="3"/>
  <c r="H7" i="3" s="1"/>
  <c r="D7" i="3"/>
  <c r="G6" i="3"/>
  <c r="H6" i="3" s="1"/>
  <c r="D6" i="3"/>
  <c r="G5" i="3"/>
  <c r="H5" i="3" s="1"/>
  <c r="D5" i="3"/>
  <c r="G14" i="2"/>
  <c r="H14" i="2" s="1"/>
  <c r="D14" i="2"/>
  <c r="G13" i="2"/>
  <c r="H13" i="2" s="1"/>
  <c r="D13" i="2"/>
  <c r="G12" i="2"/>
  <c r="H12" i="2" s="1"/>
  <c r="D12" i="2"/>
  <c r="G11" i="2"/>
  <c r="H11" i="2" s="1"/>
  <c r="D11" i="2"/>
  <c r="G10" i="2"/>
  <c r="D10" i="2"/>
  <c r="H10" i="2" s="1"/>
  <c r="H9" i="2"/>
  <c r="G9" i="2"/>
  <c r="D9" i="2"/>
  <c r="G8" i="2"/>
  <c r="H8" i="2" s="1"/>
  <c r="D8" i="2"/>
  <c r="G7" i="2"/>
  <c r="H7" i="2" s="1"/>
  <c r="D7" i="2"/>
  <c r="G6" i="2"/>
  <c r="D6" i="2"/>
  <c r="G5" i="2"/>
  <c r="H5" i="2" s="1"/>
  <c r="D5" i="2"/>
  <c r="G6" i="1"/>
  <c r="G7" i="1"/>
  <c r="G8" i="1"/>
  <c r="G9" i="1"/>
  <c r="G10" i="1"/>
  <c r="G11" i="1"/>
  <c r="G12" i="1"/>
  <c r="G13" i="1"/>
  <c r="G14" i="1"/>
  <c r="G5" i="1"/>
  <c r="H5" i="1" s="1"/>
  <c r="D6" i="1"/>
  <c r="H6" i="1" s="1"/>
  <c r="D7" i="1"/>
  <c r="D8" i="1"/>
  <c r="D9" i="1"/>
  <c r="D10" i="1"/>
  <c r="D11" i="1"/>
  <c r="H11" i="1" s="1"/>
  <c r="D12" i="1"/>
  <c r="D13" i="1"/>
  <c r="D14" i="1"/>
  <c r="D5" i="1"/>
  <c r="E16" i="12" l="1"/>
  <c r="G15" i="12"/>
  <c r="H15" i="12" s="1"/>
  <c r="H7" i="12"/>
  <c r="H14" i="11"/>
  <c r="E16" i="11"/>
  <c r="H10" i="11"/>
  <c r="G15" i="11"/>
  <c r="H15" i="11" s="1"/>
  <c r="H7" i="11"/>
  <c r="E16" i="10"/>
  <c r="G15" i="10"/>
  <c r="H15" i="10" s="1"/>
  <c r="E16" i="9"/>
  <c r="G15" i="9"/>
  <c r="H15" i="9" s="1"/>
  <c r="E16" i="8"/>
  <c r="G15" i="8"/>
  <c r="H15" i="8" s="1"/>
  <c r="E16" i="7"/>
  <c r="H12" i="7"/>
  <c r="H8" i="7"/>
  <c r="G15" i="7"/>
  <c r="H15" i="7" s="1"/>
  <c r="H6" i="6"/>
  <c r="H10" i="6"/>
  <c r="H6" i="2"/>
  <c r="H14" i="1"/>
  <c r="H13" i="1"/>
  <c r="H12" i="1"/>
  <c r="H10" i="1"/>
  <c r="H9" i="1"/>
  <c r="H8" i="1"/>
  <c r="H7" i="1"/>
</calcChain>
</file>

<file path=xl/sharedStrings.xml><?xml version="1.0" encoding="utf-8"?>
<sst xmlns="http://schemas.openxmlformats.org/spreadsheetml/2006/main" count="262" uniqueCount="20">
  <si>
    <t>CLASS WISE ENROLLED SUMMARY</t>
  </si>
  <si>
    <t>BOYS</t>
  </si>
  <si>
    <t>GIRLS</t>
  </si>
  <si>
    <t>TOTAL</t>
  </si>
  <si>
    <t>PRESENT BOYS</t>
  </si>
  <si>
    <t>PRESENT GIRLS</t>
  </si>
  <si>
    <t>PERCENTAGE</t>
  </si>
  <si>
    <t>ECE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</si>
  <si>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</si>
  <si>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</si>
  <si>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</si>
  <si>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</si>
  <si>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</si>
  <si>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</si>
  <si>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</si>
  <si>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</si>
  <si>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</si>
  <si>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Monthly Attendance Summary of Student GHS</t>
  </si>
  <si>
    <t>SJCHS (November-2024)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</si>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</sst>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Enrollment&quot;\ \(dd\-mm\-yyyy\)\ \(dddd\)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3" fillId="0" borderId="2" xfId="0" applyFont="1" applyBorder="1"/>
    <xf numFmtId="0" fontId="3" fillId="0" borderId="3" xfId="0" applyFont="1" applyBorder="1"/>
    <xf numFmtId="0" fontId="0" fillId="0" borderId="4" xfId="0" applyBorder="1"/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/>
    </xf>
    <xf numFmtId="0" fontId="3" fillId="0" borderId="17" xfId="0" applyFont="1" applyBorder="1"/>
    <xf numFmtId="0" fontId="0" fillId="0" borderId="18" xfId="0" applyBorder="1"/>
    <xf numFmtId="0" fontId="0" fillId="0" borderId="15" xfId="0" applyBorder="1"/>
    <xf numFmtId="0" fontId="0" fillId="0" borderId="16" xfId="0" applyBorder="1"/>
    <xf numFmtId="0" fontId="0" fillId="0" borderId="14" xfId="0" applyBorder="1"/>
    <xf numFmtId="0" fontId="1" fillId="0" borderId="14" xfId="0" applyFont="1" applyBorder="1"/>
    <xf numFmtId="2" fontId="0" fillId="0" borderId="5" xfId="0" applyNumberFormat="1" applyBorder="1"/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/>
    </xf>
    <xf numFmtId="0" fontId="0" fillId="0" borderId="0" xfId="0" quotePrefix="1"/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/>
    </xf>
    <xf numFmtId="164" fontId="2" fillId="3" borderId="11" xfId="0" applyNumberFormat="1" applyFont="1" applyFill="1" applyBorder="1" applyAlignment="1">
      <alignment horizontal="center" vertical="center"/>
    </xf>
    <xf numFmtId="164" fontId="2" fillId="3" borderId="12" xfId="0" applyNumberFormat="1" applyFont="1" applyFill="1" applyBorder="1" applyAlignment="1">
      <alignment horizontal="center" vertical="center"/>
    </xf>
    <xf numFmtId="164" fontId="2" fillId="3" borderId="13" xfId="0" applyNumberFormat="1" applyFont="1" applyFill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workbookViewId="0">
      <selection activeCell="A3" sqref="A3:H3"/>
    </sheetView>
  </sheetViews>
  <sheetFormatPr defaultRowHeight="15" x14ac:dyDescent="0.25"/>
  <cols>
    <col min="1" max="1" width="13.7109375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7.28515625" bestFit="1" customWidth="1"/>
    <col min="8" max="8" width="13.85546875" bestFit="1" customWidth="1"/>
  </cols>
  <sheetData>
    <row r="1" spans="1:8" ht="21" x14ac:dyDescent="0.35">
      <c r="A1" s="21" t="s">
        <v>17</v>
      </c>
      <c r="B1" s="22"/>
      <c r="C1" s="22"/>
      <c r="D1" s="22"/>
      <c r="E1" s="22"/>
      <c r="F1" s="22"/>
      <c r="G1" s="22"/>
      <c r="H1" s="23"/>
    </row>
    <row r="2" spans="1:8" ht="21" x14ac:dyDescent="0.35">
      <c r="A2" s="24" t="s">
        <v>18</v>
      </c>
      <c r="B2" s="25"/>
      <c r="C2" s="25"/>
      <c r="D2" s="25"/>
      <c r="E2" s="25"/>
      <c r="F2" s="25"/>
      <c r="G2" s="25"/>
      <c r="H2" s="26"/>
    </row>
    <row r="3" spans="1:8" ht="21.75" thickBot="1" x14ac:dyDescent="0.3">
      <c r="A3" s="27">
        <v>45614</v>
      </c>
      <c r="B3" s="28"/>
      <c r="C3" s="28"/>
      <c r="D3" s="28"/>
      <c r="E3" s="28"/>
      <c r="F3" s="28"/>
      <c r="G3" s="28"/>
      <c r="H3" s="29"/>
    </row>
    <row r="4" spans="1:8" ht="48" thickBot="1" x14ac:dyDescent="0.3">
      <c r="A4" s="5" t="s">
        <v>0</v>
      </c>
      <c r="B4" s="6" t="s">
        <v>1</v>
      </c>
      <c r="C4" s="6" t="s">
        <v>2</v>
      </c>
      <c r="D4" s="6" t="s">
        <v>3</v>
      </c>
      <c r="E4" s="7" t="s">
        <v>4</v>
      </c>
      <c r="F4" s="7" t="s">
        <v>5</v>
      </c>
      <c r="G4" s="6" t="s">
        <v>3</v>
      </c>
      <c r="H4" s="8" t="s">
        <v>6</v>
      </c>
    </row>
    <row r="5" spans="1:8" ht="20.100000000000001" customHeight="1" x14ac:dyDescent="0.25">
      <c r="A5" s="3" t="s">
        <v>7</v>
      </c>
      <c r="B5" s="4">
        <v>61</v>
      </c>
      <c r="C5" s="4">
        <v>49</v>
      </c>
      <c r="D5" s="4">
        <f>B5+C5</f>
        <v>110</v>
      </c>
      <c r="E5" s="4">
        <v>51</v>
      </c>
      <c r="F5" s="4">
        <v>39</v>
      </c>
      <c r="G5" s="1">
        <f t="shared" ref="G5:G14" si="0">E5+F5</f>
        <v>90</v>
      </c>
      <c r="H5" s="15">
        <f>G5/D5*100</f>
        <v>81.818181818181827</v>
      </c>
    </row>
    <row r="6" spans="1:8" ht="20.100000000000001" customHeight="1" x14ac:dyDescent="0.25">
      <c r="A6" s="2" t="s">
        <v>8</v>
      </c>
      <c r="B6" s="1">
        <v>32</v>
      </c>
      <c r="C6" s="1">
        <v>24</v>
      </c>
      <c r="D6" s="4">
        <f t="shared" ref="D6:D14" si="1">B6+C6</f>
        <v>56</v>
      </c>
      <c r="E6" s="1">
        <v>28</v>
      </c>
      <c r="F6" s="1">
        <v>18</v>
      </c>
      <c r="G6" s="1">
        <f t="shared" si="0"/>
        <v>46</v>
      </c>
      <c r="H6" s="15">
        <f t="shared" ref="H6:H14" si="2">G6/D6*100</f>
        <v>82.142857142857139</v>
      </c>
    </row>
    <row r="7" spans="1:8" ht="20.100000000000001" customHeight="1" x14ac:dyDescent="0.25">
      <c r="A7" s="2" t="s">
        <v>9</v>
      </c>
      <c r="B7" s="1">
        <v>26</v>
      </c>
      <c r="C7" s="1">
        <v>26</v>
      </c>
      <c r="D7" s="4">
        <f t="shared" si="1"/>
        <v>52</v>
      </c>
      <c r="E7" s="1">
        <v>22</v>
      </c>
      <c r="F7" s="1">
        <v>20</v>
      </c>
      <c r="G7" s="1">
        <f t="shared" si="0"/>
        <v>42</v>
      </c>
      <c r="H7" s="15">
        <f t="shared" si="2"/>
        <v>80.769230769230774</v>
      </c>
    </row>
    <row r="8" spans="1:8" ht="20.100000000000001" customHeight="1" x14ac:dyDescent="0.25">
      <c r="A8" s="2" t="s">
        <v>10</v>
      </c>
      <c r="B8" s="1">
        <v>28</v>
      </c>
      <c r="C8" s="1">
        <v>24</v>
      </c>
      <c r="D8" s="4">
        <f t="shared" si="1"/>
        <v>52</v>
      </c>
      <c r="E8" s="1">
        <v>24</v>
      </c>
      <c r="F8" s="1">
        <v>19</v>
      </c>
      <c r="G8" s="1">
        <f t="shared" si="0"/>
        <v>43</v>
      </c>
      <c r="H8" s="15">
        <f t="shared" si="2"/>
        <v>82.692307692307693</v>
      </c>
    </row>
    <row r="9" spans="1:8" ht="20.100000000000001" customHeight="1" x14ac:dyDescent="0.25">
      <c r="A9" s="2" t="s">
        <v>11</v>
      </c>
      <c r="B9" s="1">
        <v>22</v>
      </c>
      <c r="C9" s="1">
        <v>31</v>
      </c>
      <c r="D9" s="4">
        <f t="shared" si="1"/>
        <v>53</v>
      </c>
      <c r="E9" s="1">
        <v>12</v>
      </c>
      <c r="F9" s="1">
        <v>25</v>
      </c>
      <c r="G9" s="1">
        <f t="shared" si="0"/>
        <v>37</v>
      </c>
      <c r="H9" s="15">
        <f t="shared" si="2"/>
        <v>69.811320754716974</v>
      </c>
    </row>
    <row r="10" spans="1:8" ht="20.100000000000001" customHeight="1" x14ac:dyDescent="0.25">
      <c r="A10" s="2" t="s">
        <v>12</v>
      </c>
      <c r="B10" s="1">
        <v>23</v>
      </c>
      <c r="C10" s="1">
        <v>23</v>
      </c>
      <c r="D10" s="4">
        <f t="shared" si="1"/>
        <v>46</v>
      </c>
      <c r="E10" s="1">
        <v>19</v>
      </c>
      <c r="F10" s="1">
        <v>17</v>
      </c>
      <c r="G10" s="1">
        <f t="shared" si="0"/>
        <v>36</v>
      </c>
      <c r="H10" s="15">
        <f t="shared" si="2"/>
        <v>78.260869565217391</v>
      </c>
    </row>
    <row r="11" spans="1:8" ht="20.100000000000001" customHeight="1" x14ac:dyDescent="0.25">
      <c r="A11" s="2" t="s">
        <v>13</v>
      </c>
      <c r="B11" s="1">
        <v>17</v>
      </c>
      <c r="C11" s="1">
        <v>25</v>
      </c>
      <c r="D11" s="4">
        <f t="shared" si="1"/>
        <v>42</v>
      </c>
      <c r="E11" s="1">
        <v>14</v>
      </c>
      <c r="F11" s="1">
        <v>22</v>
      </c>
      <c r="G11" s="1">
        <f t="shared" si="0"/>
        <v>36</v>
      </c>
      <c r="H11" s="15">
        <f t="shared" si="2"/>
        <v>85.714285714285708</v>
      </c>
    </row>
    <row r="12" spans="1:8" ht="20.100000000000001" customHeight="1" x14ac:dyDescent="0.25">
      <c r="A12" s="2" t="s">
        <v>14</v>
      </c>
      <c r="B12" s="1">
        <v>29</v>
      </c>
      <c r="C12" s="1">
        <v>19</v>
      </c>
      <c r="D12" s="4">
        <f t="shared" si="1"/>
        <v>48</v>
      </c>
      <c r="E12" s="1">
        <v>23</v>
      </c>
      <c r="F12" s="1">
        <v>13</v>
      </c>
      <c r="G12" s="1">
        <f t="shared" si="0"/>
        <v>36</v>
      </c>
      <c r="H12" s="15">
        <f t="shared" si="2"/>
        <v>75</v>
      </c>
    </row>
    <row r="13" spans="1:8" ht="20.100000000000001" customHeight="1" x14ac:dyDescent="0.25">
      <c r="A13" s="2" t="s">
        <v>15</v>
      </c>
      <c r="B13" s="1">
        <v>19</v>
      </c>
      <c r="C13" s="1">
        <v>23</v>
      </c>
      <c r="D13" s="4">
        <f t="shared" si="1"/>
        <v>42</v>
      </c>
      <c r="E13" s="1">
        <v>14</v>
      </c>
      <c r="F13" s="1">
        <v>19</v>
      </c>
      <c r="G13" s="1">
        <f t="shared" si="0"/>
        <v>33</v>
      </c>
      <c r="H13" s="15">
        <f t="shared" si="2"/>
        <v>78.571428571428569</v>
      </c>
    </row>
    <row r="14" spans="1:8" ht="20.100000000000001" customHeight="1" thickBot="1" x14ac:dyDescent="0.3">
      <c r="A14" s="9" t="s">
        <v>16</v>
      </c>
      <c r="B14" s="10">
        <v>17</v>
      </c>
      <c r="C14" s="10">
        <v>19</v>
      </c>
      <c r="D14" s="4">
        <f t="shared" si="1"/>
        <v>36</v>
      </c>
      <c r="E14" s="10">
        <v>13</v>
      </c>
      <c r="F14" s="10">
        <v>12</v>
      </c>
      <c r="G14" s="1">
        <f t="shared" si="0"/>
        <v>25</v>
      </c>
      <c r="H14" s="15">
        <f t="shared" si="2"/>
        <v>69.444444444444443</v>
      </c>
    </row>
    <row r="15" spans="1:8" ht="20.100000000000001" customHeight="1" thickBot="1" x14ac:dyDescent="0.3">
      <c r="A15" s="14" t="s">
        <v>3</v>
      </c>
      <c r="B15" s="11"/>
      <c r="C15" s="11"/>
      <c r="D15" s="11"/>
      <c r="E15" s="11"/>
      <c r="F15" s="11"/>
      <c r="G15" s="11"/>
      <c r="H15" s="12"/>
    </row>
    <row r="16" spans="1:8" ht="20.100000000000001" customHeight="1" thickBot="1" x14ac:dyDescent="0.3">
      <c r="E16" s="13"/>
      <c r="F16" s="12"/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BAB09-B73E-441F-87A3-331CC021A88A}">
  <dimension ref="A1:H16"/>
  <sheetViews>
    <sheetView workbookViewId="0">
      <selection activeCell="A4" sqref="A4"/>
    </sheetView>
  </sheetViews>
  <sheetFormatPr defaultRowHeight="15" x14ac:dyDescent="0.25"/>
  <cols>
    <col min="1" max="1" width="13.7109375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7.28515625" bestFit="1" customWidth="1"/>
    <col min="8" max="8" width="13.85546875" bestFit="1" customWidth="1"/>
  </cols>
  <sheetData>
    <row r="1" spans="1:8" ht="21" x14ac:dyDescent="0.35">
      <c r="A1" s="21" t="s">
        <v>17</v>
      </c>
      <c r="B1" s="22"/>
      <c r="C1" s="22"/>
      <c r="D1" s="22"/>
      <c r="E1" s="22"/>
      <c r="F1" s="22"/>
      <c r="G1" s="22"/>
      <c r="H1" s="23"/>
    </row>
    <row r="2" spans="1:8" ht="21" x14ac:dyDescent="0.35">
      <c r="A2" s="24" t="s">
        <v>18</v>
      </c>
      <c r="B2" s="25"/>
      <c r="C2" s="25"/>
      <c r="D2" s="25"/>
      <c r="E2" s="25"/>
      <c r="F2" s="25"/>
      <c r="G2" s="25"/>
      <c r="H2" s="26"/>
    </row>
    <row r="3" spans="1:8" ht="21.75" thickBot="1" x14ac:dyDescent="0.3">
      <c r="A3" s="27">
        <v>45615</v>
      </c>
      <c r="B3" s="28"/>
      <c r="C3" s="28"/>
      <c r="D3" s="28"/>
      <c r="E3" s="28"/>
      <c r="F3" s="28"/>
      <c r="G3" s="28"/>
      <c r="H3" s="29"/>
    </row>
    <row r="4" spans="1:8" ht="48" thickBot="1" x14ac:dyDescent="0.3">
      <c r="A4" s="5" t="s">
        <v>0</v>
      </c>
      <c r="B4" s="6" t="s">
        <v>1</v>
      </c>
      <c r="C4" s="6" t="s">
        <v>2</v>
      </c>
      <c r="D4" s="6" t="s">
        <v>3</v>
      </c>
      <c r="E4" s="7" t="s">
        <v>4</v>
      </c>
      <c r="F4" s="7" t="s">
        <v>5</v>
      </c>
      <c r="G4" s="6" t="s">
        <v>3</v>
      </c>
      <c r="H4" s="8" t="s">
        <v>6</v>
      </c>
    </row>
    <row r="5" spans="1:8" ht="20.100000000000001" customHeight="1" x14ac:dyDescent="0.25">
      <c r="A5" s="3" t="s">
        <v>7</v>
      </c>
      <c r="B5" s="4">
        <v>61</v>
      </c>
      <c r="C5" s="4">
        <v>49</v>
      </c>
      <c r="D5" s="4">
        <f>B5+C5</f>
        <v>110</v>
      </c>
      <c r="E5" s="4">
        <v>55</v>
      </c>
      <c r="F5" s="4">
        <v>43</v>
      </c>
      <c r="G5" s="1">
        <f t="shared" ref="G5:G14" si="0">E5+F5</f>
        <v>98</v>
      </c>
      <c r="H5" s="15">
        <f>G5/D5*100</f>
        <v>89.090909090909093</v>
      </c>
    </row>
    <row r="6" spans="1:8" ht="20.100000000000001" customHeight="1" x14ac:dyDescent="0.25">
      <c r="A6" s="2" t="s">
        <v>8</v>
      </c>
      <c r="B6" s="1">
        <v>32</v>
      </c>
      <c r="C6" s="1">
        <v>24</v>
      </c>
      <c r="D6" s="4">
        <f t="shared" ref="D6:D14" si="1">B6+C6</f>
        <v>56</v>
      </c>
      <c r="E6" s="1">
        <v>30</v>
      </c>
      <c r="F6" s="1">
        <v>17</v>
      </c>
      <c r="G6" s="1">
        <f t="shared" si="0"/>
        <v>47</v>
      </c>
      <c r="H6" s="15">
        <f t="shared" ref="H6:H14" si="2">G6/D6*100</f>
        <v>83.928571428571431</v>
      </c>
    </row>
    <row r="7" spans="1:8" ht="20.100000000000001" customHeight="1" x14ac:dyDescent="0.25">
      <c r="A7" s="2" t="s">
        <v>9</v>
      </c>
      <c r="B7" s="1">
        <v>26</v>
      </c>
      <c r="C7" s="1">
        <v>26</v>
      </c>
      <c r="D7" s="4">
        <f t="shared" si="1"/>
        <v>52</v>
      </c>
      <c r="E7" s="1">
        <v>23</v>
      </c>
      <c r="F7" s="1">
        <v>23</v>
      </c>
      <c r="G7" s="1">
        <f t="shared" si="0"/>
        <v>46</v>
      </c>
      <c r="H7" s="15">
        <f t="shared" si="2"/>
        <v>88.461538461538453</v>
      </c>
    </row>
    <row r="8" spans="1:8" ht="20.100000000000001" customHeight="1" x14ac:dyDescent="0.25">
      <c r="A8" s="2" t="s">
        <v>10</v>
      </c>
      <c r="B8" s="1">
        <v>28</v>
      </c>
      <c r="C8" s="1">
        <v>24</v>
      </c>
      <c r="D8" s="4">
        <f t="shared" si="1"/>
        <v>52</v>
      </c>
      <c r="E8" s="1">
        <v>22</v>
      </c>
      <c r="F8" s="1">
        <v>24</v>
      </c>
      <c r="G8" s="1">
        <f t="shared" si="0"/>
        <v>46</v>
      </c>
      <c r="H8" s="15">
        <f t="shared" si="2"/>
        <v>88.461538461538453</v>
      </c>
    </row>
    <row r="9" spans="1:8" ht="20.100000000000001" customHeight="1" x14ac:dyDescent="0.25">
      <c r="A9" s="2" t="s">
        <v>11</v>
      </c>
      <c r="B9" s="1">
        <v>22</v>
      </c>
      <c r="C9" s="1">
        <v>31</v>
      </c>
      <c r="D9" s="4">
        <f t="shared" si="1"/>
        <v>53</v>
      </c>
      <c r="E9" s="1">
        <v>14</v>
      </c>
      <c r="F9" s="1">
        <v>24</v>
      </c>
      <c r="G9" s="1">
        <f t="shared" si="0"/>
        <v>38</v>
      </c>
      <c r="H9" s="15">
        <f t="shared" si="2"/>
        <v>71.698113207547166</v>
      </c>
    </row>
    <row r="10" spans="1:8" ht="20.100000000000001" customHeight="1" x14ac:dyDescent="0.25">
      <c r="A10" s="2" t="s">
        <v>12</v>
      </c>
      <c r="B10" s="1">
        <v>23</v>
      </c>
      <c r="C10" s="1">
        <v>23</v>
      </c>
      <c r="D10" s="4">
        <f t="shared" si="1"/>
        <v>46</v>
      </c>
      <c r="E10" s="1">
        <v>21</v>
      </c>
      <c r="F10" s="1">
        <v>17</v>
      </c>
      <c r="G10" s="1">
        <f t="shared" si="0"/>
        <v>38</v>
      </c>
      <c r="H10" s="15">
        <f t="shared" si="2"/>
        <v>82.608695652173907</v>
      </c>
    </row>
    <row r="11" spans="1:8" ht="20.100000000000001" customHeight="1" x14ac:dyDescent="0.25">
      <c r="A11" s="2" t="s">
        <v>13</v>
      </c>
      <c r="B11" s="1">
        <v>17</v>
      </c>
      <c r="C11" s="1">
        <v>25</v>
      </c>
      <c r="D11" s="4">
        <f t="shared" si="1"/>
        <v>42</v>
      </c>
      <c r="E11" s="1">
        <v>13</v>
      </c>
      <c r="F11" s="1">
        <v>23</v>
      </c>
      <c r="G11" s="1">
        <f t="shared" si="0"/>
        <v>36</v>
      </c>
      <c r="H11" s="15">
        <f t="shared" si="2"/>
        <v>85.714285714285708</v>
      </c>
    </row>
    <row r="12" spans="1:8" ht="20.100000000000001" customHeight="1" x14ac:dyDescent="0.25">
      <c r="A12" s="2" t="s">
        <v>14</v>
      </c>
      <c r="B12" s="1">
        <v>29</v>
      </c>
      <c r="C12" s="1">
        <v>19</v>
      </c>
      <c r="D12" s="4">
        <f t="shared" si="1"/>
        <v>48</v>
      </c>
      <c r="E12" s="1">
        <v>23</v>
      </c>
      <c r="F12" s="1">
        <v>17</v>
      </c>
      <c r="G12" s="1">
        <f t="shared" si="0"/>
        <v>40</v>
      </c>
      <c r="H12" s="15">
        <f t="shared" si="2"/>
        <v>83.333333333333343</v>
      </c>
    </row>
    <row r="13" spans="1:8" ht="20.100000000000001" customHeight="1" x14ac:dyDescent="0.25">
      <c r="A13" s="2" t="s">
        <v>15</v>
      </c>
      <c r="B13" s="1">
        <v>19</v>
      </c>
      <c r="C13" s="1">
        <v>23</v>
      </c>
      <c r="D13" s="4">
        <f t="shared" si="1"/>
        <v>42</v>
      </c>
      <c r="E13" s="1">
        <v>12</v>
      </c>
      <c r="F13" s="1">
        <v>18</v>
      </c>
      <c r="G13" s="1">
        <f t="shared" si="0"/>
        <v>30</v>
      </c>
      <c r="H13" s="15">
        <f t="shared" si="2"/>
        <v>71.428571428571431</v>
      </c>
    </row>
    <row r="14" spans="1:8" ht="20.100000000000001" customHeight="1" thickBot="1" x14ac:dyDescent="0.3">
      <c r="A14" s="9" t="s">
        <v>16</v>
      </c>
      <c r="B14" s="10">
        <v>17</v>
      </c>
      <c r="C14" s="10">
        <v>19</v>
      </c>
      <c r="D14" s="4">
        <f t="shared" si="1"/>
        <v>36</v>
      </c>
      <c r="E14" s="10">
        <v>14</v>
      </c>
      <c r="F14" s="10">
        <v>13</v>
      </c>
      <c r="G14" s="1">
        <f t="shared" si="0"/>
        <v>27</v>
      </c>
      <c r="H14" s="15">
        <f t="shared" si="2"/>
        <v>75</v>
      </c>
    </row>
    <row r="15" spans="1:8" ht="20.100000000000001" customHeight="1" thickBot="1" x14ac:dyDescent="0.3">
      <c r="A15" s="14" t="s">
        <v>3</v>
      </c>
      <c r="B15" s="11"/>
      <c r="C15" s="11"/>
      <c r="D15" s="11"/>
      <c r="E15" s="11"/>
      <c r="F15" s="11"/>
      <c r="G15" s="11"/>
      <c r="H15" s="12"/>
    </row>
    <row r="16" spans="1:8" ht="20.100000000000001" customHeight="1" thickBot="1" x14ac:dyDescent="0.3">
      <c r="E16" s="13"/>
      <c r="F16" s="12"/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C47D1-D835-44C2-99AF-51928F0DE4C1}">
  <dimension ref="A1:H19"/>
  <sheetViews>
    <sheetView workbookViewId="0">
      <selection activeCell="E15" sqref="E15"/>
    </sheetView>
  </sheetViews>
  <sheetFormatPr defaultRowHeight="15" x14ac:dyDescent="0.25"/>
  <cols>
    <col min="1" max="1" width="13.7109375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7.28515625" bestFit="1" customWidth="1"/>
    <col min="8" max="8" width="13.85546875" bestFit="1" customWidth="1"/>
  </cols>
  <sheetData>
    <row r="1" spans="1:8" ht="21" x14ac:dyDescent="0.35">
      <c r="A1" s="21" t="s">
        <v>17</v>
      </c>
      <c r="B1" s="22"/>
      <c r="C1" s="22"/>
      <c r="D1" s="22"/>
      <c r="E1" s="22"/>
      <c r="F1" s="22"/>
      <c r="G1" s="22"/>
      <c r="H1" s="23"/>
    </row>
    <row r="2" spans="1:8" ht="21" x14ac:dyDescent="0.35">
      <c r="A2" s="24" t="s">
        <v>18</v>
      </c>
      <c r="B2" s="25"/>
      <c r="C2" s="25"/>
      <c r="D2" s="25"/>
      <c r="E2" s="25"/>
      <c r="F2" s="25"/>
      <c r="G2" s="25"/>
      <c r="H2" s="26"/>
    </row>
    <row r="3" spans="1:8" ht="21.75" thickBot="1" x14ac:dyDescent="0.3">
      <c r="A3" s="27">
        <v>45616</v>
      </c>
      <c r="B3" s="28"/>
      <c r="C3" s="28"/>
      <c r="D3" s="28"/>
      <c r="E3" s="28"/>
      <c r="F3" s="28"/>
      <c r="G3" s="28"/>
      <c r="H3" s="29"/>
    </row>
    <row r="4" spans="1:8" ht="48" thickBot="1" x14ac:dyDescent="0.3">
      <c r="A4" s="16" t="s">
        <v>0</v>
      </c>
      <c r="B4" s="17" t="s">
        <v>1</v>
      </c>
      <c r="C4" s="17" t="s">
        <v>2</v>
      </c>
      <c r="D4" s="17" t="s">
        <v>3</v>
      </c>
      <c r="E4" s="18" t="s">
        <v>4</v>
      </c>
      <c r="F4" s="18" t="s">
        <v>5</v>
      </c>
      <c r="G4" s="17" t="s">
        <v>3</v>
      </c>
      <c r="H4" s="19" t="s">
        <v>6</v>
      </c>
    </row>
    <row r="5" spans="1:8" ht="20.100000000000001" customHeight="1" x14ac:dyDescent="0.25">
      <c r="A5" s="3" t="s">
        <v>7</v>
      </c>
      <c r="B5" s="4">
        <v>61</v>
      </c>
      <c r="C5" s="4">
        <v>49</v>
      </c>
      <c r="D5" s="4">
        <f>B5+C5</f>
        <v>110</v>
      </c>
      <c r="E5" s="4">
        <v>54</v>
      </c>
      <c r="F5" s="4">
        <v>39</v>
      </c>
      <c r="G5" s="1">
        <f t="shared" ref="G5:G14" si="0">E5+F5</f>
        <v>93</v>
      </c>
      <c r="H5" s="15">
        <f>G5/D5*100</f>
        <v>84.545454545454547</v>
      </c>
    </row>
    <row r="6" spans="1:8" ht="20.100000000000001" customHeight="1" x14ac:dyDescent="0.25">
      <c r="A6" s="2" t="s">
        <v>8</v>
      </c>
      <c r="B6" s="1">
        <v>32</v>
      </c>
      <c r="C6" s="1">
        <v>24</v>
      </c>
      <c r="D6" s="4">
        <f t="shared" ref="D6:D14" si="1">B6+C6</f>
        <v>56</v>
      </c>
      <c r="E6" s="1">
        <v>27</v>
      </c>
      <c r="F6" s="1">
        <v>20</v>
      </c>
      <c r="G6" s="1">
        <f t="shared" si="0"/>
        <v>47</v>
      </c>
      <c r="H6" s="15">
        <f t="shared" ref="H6:H14" si="2">G6/D6*100</f>
        <v>83.928571428571431</v>
      </c>
    </row>
    <row r="7" spans="1:8" ht="20.100000000000001" customHeight="1" x14ac:dyDescent="0.25">
      <c r="A7" s="2" t="s">
        <v>9</v>
      </c>
      <c r="B7" s="1">
        <v>26</v>
      </c>
      <c r="C7" s="1">
        <v>26</v>
      </c>
      <c r="D7" s="4">
        <f t="shared" si="1"/>
        <v>52</v>
      </c>
      <c r="E7" s="1">
        <v>22</v>
      </c>
      <c r="F7" s="1">
        <v>21</v>
      </c>
      <c r="G7" s="1">
        <f t="shared" si="0"/>
        <v>43</v>
      </c>
      <c r="H7" s="15">
        <f t="shared" si="2"/>
        <v>82.692307692307693</v>
      </c>
    </row>
    <row r="8" spans="1:8" ht="20.100000000000001" customHeight="1" x14ac:dyDescent="0.25">
      <c r="A8" s="2" t="s">
        <v>10</v>
      </c>
      <c r="B8" s="1">
        <v>28</v>
      </c>
      <c r="C8" s="1">
        <v>24</v>
      </c>
      <c r="D8" s="4">
        <f t="shared" si="1"/>
        <v>52</v>
      </c>
      <c r="E8" s="1">
        <v>26</v>
      </c>
      <c r="F8" s="1">
        <v>21</v>
      </c>
      <c r="G8" s="1">
        <f t="shared" si="0"/>
        <v>47</v>
      </c>
      <c r="H8" s="15">
        <f t="shared" si="2"/>
        <v>90.384615384615387</v>
      </c>
    </row>
    <row r="9" spans="1:8" ht="20.100000000000001" customHeight="1" x14ac:dyDescent="0.25">
      <c r="A9" s="2" t="s">
        <v>11</v>
      </c>
      <c r="B9" s="1">
        <v>22</v>
      </c>
      <c r="C9" s="1">
        <v>31</v>
      </c>
      <c r="D9" s="4">
        <f t="shared" si="1"/>
        <v>53</v>
      </c>
      <c r="E9" s="1">
        <v>15</v>
      </c>
      <c r="F9" s="1">
        <v>18</v>
      </c>
      <c r="G9" s="1">
        <f t="shared" si="0"/>
        <v>33</v>
      </c>
      <c r="H9" s="15">
        <f t="shared" si="2"/>
        <v>62.264150943396224</v>
      </c>
    </row>
    <row r="10" spans="1:8" ht="20.100000000000001" customHeight="1" x14ac:dyDescent="0.25">
      <c r="A10" s="2" t="s">
        <v>12</v>
      </c>
      <c r="B10" s="1">
        <v>23</v>
      </c>
      <c r="C10" s="1">
        <v>23</v>
      </c>
      <c r="D10" s="4">
        <f t="shared" si="1"/>
        <v>46</v>
      </c>
      <c r="E10" s="1">
        <v>21</v>
      </c>
      <c r="F10" s="1">
        <v>18</v>
      </c>
      <c r="G10" s="1">
        <f t="shared" si="0"/>
        <v>39</v>
      </c>
      <c r="H10" s="15">
        <f t="shared" si="2"/>
        <v>84.782608695652172</v>
      </c>
    </row>
    <row r="11" spans="1:8" ht="20.100000000000001" customHeight="1" x14ac:dyDescent="0.25">
      <c r="A11" s="2" t="s">
        <v>13</v>
      </c>
      <c r="B11" s="1">
        <v>17</v>
      </c>
      <c r="C11" s="1">
        <v>25</v>
      </c>
      <c r="D11" s="4">
        <f t="shared" si="1"/>
        <v>42</v>
      </c>
      <c r="E11" s="1">
        <v>16</v>
      </c>
      <c r="F11" s="1">
        <v>24</v>
      </c>
      <c r="G11" s="1">
        <f t="shared" si="0"/>
        <v>40</v>
      </c>
      <c r="H11" s="15">
        <f t="shared" si="2"/>
        <v>95.238095238095227</v>
      </c>
    </row>
    <row r="12" spans="1:8" ht="20.100000000000001" customHeight="1" x14ac:dyDescent="0.25">
      <c r="A12" s="2" t="s">
        <v>14</v>
      </c>
      <c r="B12" s="1">
        <v>29</v>
      </c>
      <c r="C12" s="1">
        <v>19</v>
      </c>
      <c r="D12" s="4">
        <f t="shared" si="1"/>
        <v>48</v>
      </c>
      <c r="E12" s="1">
        <v>23</v>
      </c>
      <c r="F12" s="1">
        <v>17</v>
      </c>
      <c r="G12" s="1">
        <f t="shared" si="0"/>
        <v>40</v>
      </c>
      <c r="H12" s="15">
        <f t="shared" si="2"/>
        <v>83.333333333333343</v>
      </c>
    </row>
    <row r="13" spans="1:8" ht="20.100000000000001" customHeight="1" x14ac:dyDescent="0.25">
      <c r="A13" s="2" t="s">
        <v>15</v>
      </c>
      <c r="B13" s="1">
        <v>19</v>
      </c>
      <c r="C13" s="1">
        <v>23</v>
      </c>
      <c r="D13" s="4">
        <f t="shared" si="1"/>
        <v>42</v>
      </c>
      <c r="E13" s="1">
        <v>12</v>
      </c>
      <c r="F13" s="1">
        <v>21</v>
      </c>
      <c r="G13" s="1">
        <f t="shared" si="0"/>
        <v>33</v>
      </c>
      <c r="H13" s="15">
        <f t="shared" si="2"/>
        <v>78.571428571428569</v>
      </c>
    </row>
    <row r="14" spans="1:8" ht="20.100000000000001" customHeight="1" thickBot="1" x14ac:dyDescent="0.3">
      <c r="A14" s="9" t="s">
        <v>16</v>
      </c>
      <c r="B14" s="10">
        <v>17</v>
      </c>
      <c r="C14" s="10">
        <v>19</v>
      </c>
      <c r="D14" s="4">
        <f t="shared" si="1"/>
        <v>36</v>
      </c>
      <c r="E14" s="10">
        <v>12</v>
      </c>
      <c r="F14" s="10">
        <v>14</v>
      </c>
      <c r="G14" s="1">
        <f t="shared" si="0"/>
        <v>26</v>
      </c>
      <c r="H14" s="15">
        <f t="shared" si="2"/>
        <v>72.222222222222214</v>
      </c>
    </row>
    <row r="15" spans="1:8" ht="20.100000000000001" customHeight="1" thickBot="1" x14ac:dyDescent="0.3">
      <c r="A15" s="14" t="s">
        <v>3</v>
      </c>
      <c r="B15" s="11"/>
      <c r="C15" s="11"/>
      <c r="D15" s="11"/>
      <c r="E15" s="11"/>
      <c r="F15" s="11"/>
      <c r="G15" s="11"/>
      <c r="H15" s="12"/>
    </row>
    <row r="16" spans="1:8" ht="20.100000000000001" customHeight="1" thickBot="1" x14ac:dyDescent="0.3">
      <c r="E16" s="13"/>
      <c r="F16" s="12"/>
    </row>
    <row r="19" spans="4:4" x14ac:dyDescent="0.25">
      <c r="D19" s="20" t="s">
        <v>19</v>
      </c>
    </row>
  </sheetData>
  <mergeCells count="3">
    <mergeCell ref="A3:H3"/>
    <mergeCell ref="A1:H1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091D8-8F26-4346-86A2-6974D05A04BA}">
  <dimension ref="A1:H19"/>
  <sheetViews>
    <sheetView workbookViewId="0">
      <selection activeCell="E15" sqref="E15"/>
    </sheetView>
  </sheetViews>
  <sheetFormatPr defaultRowHeight="15" x14ac:dyDescent="0.25"/>
  <cols>
    <col min="1" max="1" width="13.7109375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7.28515625" bestFit="1" customWidth="1"/>
    <col min="8" max="8" width="13.85546875" bestFit="1" customWidth="1"/>
  </cols>
  <sheetData>
    <row r="1" spans="1:8" ht="21" x14ac:dyDescent="0.35">
      <c r="A1" s="21" t="s">
        <v>17</v>
      </c>
      <c r="B1" s="22"/>
      <c r="C1" s="22"/>
      <c r="D1" s="22"/>
      <c r="E1" s="22"/>
      <c r="F1" s="22"/>
      <c r="G1" s="22"/>
      <c r="H1" s="23"/>
    </row>
    <row r="2" spans="1:8" ht="21" x14ac:dyDescent="0.35">
      <c r="A2" s="24" t="s">
        <v>18</v>
      </c>
      <c r="B2" s="25"/>
      <c r="C2" s="25"/>
      <c r="D2" s="25"/>
      <c r="E2" s="25"/>
      <c r="F2" s="25"/>
      <c r="G2" s="25"/>
      <c r="H2" s="26"/>
    </row>
    <row r="3" spans="1:8" ht="21.75" thickBot="1" x14ac:dyDescent="0.3">
      <c r="A3" s="27">
        <v>45617</v>
      </c>
      <c r="B3" s="28"/>
      <c r="C3" s="28"/>
      <c r="D3" s="28"/>
      <c r="E3" s="28"/>
      <c r="F3" s="28"/>
      <c r="G3" s="28"/>
      <c r="H3" s="29"/>
    </row>
    <row r="4" spans="1:8" ht="48" thickBot="1" x14ac:dyDescent="0.3">
      <c r="A4" s="16" t="s">
        <v>0</v>
      </c>
      <c r="B4" s="17" t="s">
        <v>1</v>
      </c>
      <c r="C4" s="17" t="s">
        <v>2</v>
      </c>
      <c r="D4" s="17" t="s">
        <v>3</v>
      </c>
      <c r="E4" s="18" t="s">
        <v>4</v>
      </c>
      <c r="F4" s="18" t="s">
        <v>5</v>
      </c>
      <c r="G4" s="17" t="s">
        <v>3</v>
      </c>
      <c r="H4" s="19" t="s">
        <v>6</v>
      </c>
    </row>
    <row r="5" spans="1:8" ht="20.100000000000001" customHeight="1" x14ac:dyDescent="0.25">
      <c r="A5" s="3" t="s">
        <v>7</v>
      </c>
      <c r="B5" s="4">
        <v>61</v>
      </c>
      <c r="C5" s="4">
        <v>49</v>
      </c>
      <c r="D5" s="4">
        <f>B5+C5</f>
        <v>110</v>
      </c>
      <c r="E5" s="4">
        <v>53</v>
      </c>
      <c r="F5" s="4">
        <v>39</v>
      </c>
      <c r="G5" s="1">
        <f t="shared" ref="G5:G14" si="0">E5+F5</f>
        <v>92</v>
      </c>
      <c r="H5" s="15">
        <f>G5/D5*100</f>
        <v>83.636363636363626</v>
      </c>
    </row>
    <row r="6" spans="1:8" ht="20.100000000000001" customHeight="1" x14ac:dyDescent="0.25">
      <c r="A6" s="2" t="s">
        <v>8</v>
      </c>
      <c r="B6" s="1">
        <v>32</v>
      </c>
      <c r="C6" s="1">
        <v>24</v>
      </c>
      <c r="D6" s="4">
        <f t="shared" ref="D6:D14" si="1">B6+C6</f>
        <v>56</v>
      </c>
      <c r="E6" s="1">
        <v>30</v>
      </c>
      <c r="F6" s="1">
        <v>18</v>
      </c>
      <c r="G6" s="1">
        <f t="shared" si="0"/>
        <v>48</v>
      </c>
      <c r="H6" s="15">
        <f t="shared" ref="H6:H14" si="2">G6/D6*100</f>
        <v>85.714285714285708</v>
      </c>
    </row>
    <row r="7" spans="1:8" ht="20.100000000000001" customHeight="1" x14ac:dyDescent="0.25">
      <c r="A7" s="2" t="s">
        <v>9</v>
      </c>
      <c r="B7" s="1">
        <v>26</v>
      </c>
      <c r="C7" s="1">
        <v>26</v>
      </c>
      <c r="D7" s="4">
        <f t="shared" si="1"/>
        <v>52</v>
      </c>
      <c r="E7" s="1">
        <v>21</v>
      </c>
      <c r="F7" s="1">
        <v>21</v>
      </c>
      <c r="G7" s="1">
        <f t="shared" si="0"/>
        <v>42</v>
      </c>
      <c r="H7" s="15">
        <f t="shared" si="2"/>
        <v>80.769230769230774</v>
      </c>
    </row>
    <row r="8" spans="1:8" ht="20.100000000000001" customHeight="1" x14ac:dyDescent="0.25">
      <c r="A8" s="2" t="s">
        <v>10</v>
      </c>
      <c r="B8" s="1">
        <v>28</v>
      </c>
      <c r="C8" s="1">
        <v>24</v>
      </c>
      <c r="D8" s="4">
        <f t="shared" si="1"/>
        <v>52</v>
      </c>
      <c r="E8" s="1">
        <v>23</v>
      </c>
      <c r="F8" s="1">
        <v>21</v>
      </c>
      <c r="G8" s="1">
        <f t="shared" si="0"/>
        <v>44</v>
      </c>
      <c r="H8" s="15">
        <f t="shared" si="2"/>
        <v>84.615384615384613</v>
      </c>
    </row>
    <row r="9" spans="1:8" ht="20.100000000000001" customHeight="1" x14ac:dyDescent="0.25">
      <c r="A9" s="2" t="s">
        <v>11</v>
      </c>
      <c r="B9" s="1">
        <v>22</v>
      </c>
      <c r="C9" s="1">
        <v>31</v>
      </c>
      <c r="D9" s="4">
        <f t="shared" si="1"/>
        <v>53</v>
      </c>
      <c r="E9" s="1">
        <v>16</v>
      </c>
      <c r="F9" s="1">
        <v>28</v>
      </c>
      <c r="G9" s="1">
        <f t="shared" si="0"/>
        <v>44</v>
      </c>
      <c r="H9" s="15">
        <f t="shared" si="2"/>
        <v>83.018867924528308</v>
      </c>
    </row>
    <row r="10" spans="1:8" ht="20.100000000000001" customHeight="1" x14ac:dyDescent="0.25">
      <c r="A10" s="2" t="s">
        <v>12</v>
      </c>
      <c r="B10" s="1">
        <v>23</v>
      </c>
      <c r="C10" s="1">
        <v>23</v>
      </c>
      <c r="D10" s="4">
        <f t="shared" si="1"/>
        <v>46</v>
      </c>
      <c r="E10" s="1">
        <v>22</v>
      </c>
      <c r="F10" s="1">
        <v>20</v>
      </c>
      <c r="G10" s="1">
        <f t="shared" si="0"/>
        <v>42</v>
      </c>
      <c r="H10" s="15">
        <f t="shared" si="2"/>
        <v>91.304347826086953</v>
      </c>
    </row>
    <row r="11" spans="1:8" ht="20.100000000000001" customHeight="1" x14ac:dyDescent="0.25">
      <c r="A11" s="2" t="s">
        <v>13</v>
      </c>
      <c r="B11" s="1">
        <v>17</v>
      </c>
      <c r="C11" s="1">
        <v>25</v>
      </c>
      <c r="D11" s="4">
        <f t="shared" si="1"/>
        <v>42</v>
      </c>
      <c r="E11" s="1">
        <v>16</v>
      </c>
      <c r="F11" s="1">
        <v>22</v>
      </c>
      <c r="G11" s="1">
        <f t="shared" si="0"/>
        <v>38</v>
      </c>
      <c r="H11" s="15">
        <f t="shared" si="2"/>
        <v>90.476190476190482</v>
      </c>
    </row>
    <row r="12" spans="1:8" ht="20.100000000000001" customHeight="1" x14ac:dyDescent="0.25">
      <c r="A12" s="2" t="s">
        <v>14</v>
      </c>
      <c r="B12" s="1">
        <v>29</v>
      </c>
      <c r="C12" s="1">
        <v>19</v>
      </c>
      <c r="D12" s="4">
        <f t="shared" si="1"/>
        <v>48</v>
      </c>
      <c r="E12" s="1">
        <v>24</v>
      </c>
      <c r="F12" s="1">
        <v>16</v>
      </c>
      <c r="G12" s="1">
        <f t="shared" si="0"/>
        <v>40</v>
      </c>
      <c r="H12" s="15">
        <f t="shared" si="2"/>
        <v>83.333333333333343</v>
      </c>
    </row>
    <row r="13" spans="1:8" ht="20.100000000000001" customHeight="1" x14ac:dyDescent="0.25">
      <c r="A13" s="2" t="s">
        <v>15</v>
      </c>
      <c r="B13" s="1">
        <v>19</v>
      </c>
      <c r="C13" s="1">
        <v>23</v>
      </c>
      <c r="D13" s="4">
        <f t="shared" si="1"/>
        <v>42</v>
      </c>
      <c r="E13" s="1">
        <v>13</v>
      </c>
      <c r="F13" s="1">
        <v>21</v>
      </c>
      <c r="G13" s="1">
        <f t="shared" si="0"/>
        <v>34</v>
      </c>
      <c r="H13" s="15">
        <f t="shared" si="2"/>
        <v>80.952380952380949</v>
      </c>
    </row>
    <row r="14" spans="1:8" ht="20.100000000000001" customHeight="1" thickBot="1" x14ac:dyDescent="0.3">
      <c r="A14" s="9" t="s">
        <v>16</v>
      </c>
      <c r="B14" s="10">
        <v>17</v>
      </c>
      <c r="C14" s="10">
        <v>19</v>
      </c>
      <c r="D14" s="4">
        <f t="shared" si="1"/>
        <v>36</v>
      </c>
      <c r="E14" s="10">
        <v>13</v>
      </c>
      <c r="F14" s="10">
        <v>14</v>
      </c>
      <c r="G14" s="1">
        <f t="shared" si="0"/>
        <v>27</v>
      </c>
      <c r="H14" s="15">
        <f t="shared" si="2"/>
        <v>75</v>
      </c>
    </row>
    <row r="15" spans="1:8" ht="20.100000000000001" customHeight="1" thickBot="1" x14ac:dyDescent="0.3">
      <c r="A15" s="14" t="s">
        <v>3</v>
      </c>
      <c r="B15" s="11"/>
      <c r="C15" s="11"/>
      <c r="D15" s="11"/>
      <c r="E15" s="11"/>
      <c r="F15" s="11"/>
      <c r="G15" s="11"/>
      <c r="H15" s="12"/>
    </row>
    <row r="16" spans="1:8" ht="20.100000000000001" customHeight="1" thickBot="1" x14ac:dyDescent="0.3">
      <c r="E16" s="13"/>
      <c r="F16" s="12"/>
    </row>
    <row r="19" spans="4:4" x14ac:dyDescent="0.25">
      <c r="D19" s="20" t="s">
        <v>19</v>
      </c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026A7-A9F2-44D7-B0EC-8BEF01CDCA09}">
  <dimension ref="A1:H19"/>
  <sheetViews>
    <sheetView workbookViewId="0">
      <selection activeCell="E15" sqref="E15"/>
    </sheetView>
  </sheetViews>
  <sheetFormatPr defaultRowHeight="15" x14ac:dyDescent="0.25"/>
  <cols>
    <col min="1" max="1" width="13.7109375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7.28515625" bestFit="1" customWidth="1"/>
    <col min="8" max="8" width="13.85546875" bestFit="1" customWidth="1"/>
  </cols>
  <sheetData>
    <row r="1" spans="1:8" ht="21" x14ac:dyDescent="0.35">
      <c r="A1" s="21" t="s">
        <v>17</v>
      </c>
      <c r="B1" s="22"/>
      <c r="C1" s="22"/>
      <c r="D1" s="22"/>
      <c r="E1" s="22"/>
      <c r="F1" s="22"/>
      <c r="G1" s="22"/>
      <c r="H1" s="23"/>
    </row>
    <row r="2" spans="1:8" ht="21" x14ac:dyDescent="0.35">
      <c r="A2" s="24" t="s">
        <v>18</v>
      </c>
      <c r="B2" s="25"/>
      <c r="C2" s="25"/>
      <c r="D2" s="25"/>
      <c r="E2" s="25"/>
      <c r="F2" s="25"/>
      <c r="G2" s="25"/>
      <c r="H2" s="26"/>
    </row>
    <row r="3" spans="1:8" ht="21.75" thickBot="1" x14ac:dyDescent="0.3">
      <c r="A3" s="27">
        <v>45618</v>
      </c>
      <c r="B3" s="28"/>
      <c r="C3" s="28"/>
      <c r="D3" s="28"/>
      <c r="E3" s="28"/>
      <c r="F3" s="28"/>
      <c r="G3" s="28"/>
      <c r="H3" s="29"/>
    </row>
    <row r="4" spans="1:8" ht="48" thickBot="1" x14ac:dyDescent="0.3">
      <c r="A4" s="16" t="s">
        <v>0</v>
      </c>
      <c r="B4" s="17" t="s">
        <v>1</v>
      </c>
      <c r="C4" s="17" t="s">
        <v>2</v>
      </c>
      <c r="D4" s="17" t="s">
        <v>3</v>
      </c>
      <c r="E4" s="18" t="s">
        <v>4</v>
      </c>
      <c r="F4" s="18" t="s">
        <v>5</v>
      </c>
      <c r="G4" s="17" t="s">
        <v>3</v>
      </c>
      <c r="H4" s="19" t="s">
        <v>6</v>
      </c>
    </row>
    <row r="5" spans="1:8" ht="20.100000000000001" customHeight="1" x14ac:dyDescent="0.25">
      <c r="A5" s="3" t="s">
        <v>7</v>
      </c>
      <c r="B5" s="4">
        <v>61</v>
      </c>
      <c r="C5" s="4">
        <v>49</v>
      </c>
      <c r="D5" s="4">
        <f>B5+C5</f>
        <v>110</v>
      </c>
      <c r="E5" s="4">
        <v>54</v>
      </c>
      <c r="F5" s="4">
        <v>36</v>
      </c>
      <c r="G5" s="1">
        <f t="shared" ref="G5:G14" si="0">E5+F5</f>
        <v>90</v>
      </c>
      <c r="H5" s="15">
        <f>G5/D5*100</f>
        <v>81.818181818181827</v>
      </c>
    </row>
    <row r="6" spans="1:8" ht="20.100000000000001" customHeight="1" x14ac:dyDescent="0.25">
      <c r="A6" s="2" t="s">
        <v>8</v>
      </c>
      <c r="B6" s="1">
        <v>32</v>
      </c>
      <c r="C6" s="1">
        <v>24</v>
      </c>
      <c r="D6" s="4">
        <f t="shared" ref="D6:D14" si="1">B6+C6</f>
        <v>56</v>
      </c>
      <c r="E6" s="1">
        <v>16</v>
      </c>
      <c r="F6" s="1">
        <v>25</v>
      </c>
      <c r="G6" s="1">
        <f t="shared" si="0"/>
        <v>41</v>
      </c>
      <c r="H6" s="15">
        <f t="shared" ref="H6:H14" si="2">G6/D6*100</f>
        <v>73.214285714285708</v>
      </c>
    </row>
    <row r="7" spans="1:8" ht="20.100000000000001" customHeight="1" x14ac:dyDescent="0.25">
      <c r="A7" s="2" t="s">
        <v>9</v>
      </c>
      <c r="B7" s="1">
        <v>26</v>
      </c>
      <c r="C7" s="1">
        <v>26</v>
      </c>
      <c r="D7" s="4">
        <f t="shared" si="1"/>
        <v>52</v>
      </c>
      <c r="E7" s="1">
        <v>22</v>
      </c>
      <c r="F7" s="1">
        <v>19</v>
      </c>
      <c r="G7" s="1">
        <f t="shared" si="0"/>
        <v>41</v>
      </c>
      <c r="H7" s="15">
        <f t="shared" si="2"/>
        <v>78.84615384615384</v>
      </c>
    </row>
    <row r="8" spans="1:8" ht="20.100000000000001" customHeight="1" x14ac:dyDescent="0.25">
      <c r="A8" s="2" t="s">
        <v>10</v>
      </c>
      <c r="B8" s="1">
        <v>28</v>
      </c>
      <c r="C8" s="1">
        <v>24</v>
      </c>
      <c r="D8" s="4">
        <f t="shared" si="1"/>
        <v>52</v>
      </c>
      <c r="E8" s="1">
        <v>23</v>
      </c>
      <c r="F8" s="1">
        <v>21</v>
      </c>
      <c r="G8" s="1">
        <f t="shared" si="0"/>
        <v>44</v>
      </c>
      <c r="H8" s="15">
        <f t="shared" si="2"/>
        <v>84.615384615384613</v>
      </c>
    </row>
    <row r="9" spans="1:8" ht="20.100000000000001" customHeight="1" x14ac:dyDescent="0.25">
      <c r="A9" s="2" t="s">
        <v>11</v>
      </c>
      <c r="B9" s="1">
        <v>22</v>
      </c>
      <c r="C9" s="1">
        <v>31</v>
      </c>
      <c r="D9" s="4">
        <f t="shared" si="1"/>
        <v>53</v>
      </c>
      <c r="E9" s="1">
        <v>18</v>
      </c>
      <c r="F9" s="1">
        <v>25</v>
      </c>
      <c r="G9" s="1">
        <f t="shared" si="0"/>
        <v>43</v>
      </c>
      <c r="H9" s="15">
        <f t="shared" si="2"/>
        <v>81.132075471698116</v>
      </c>
    </row>
    <row r="10" spans="1:8" ht="20.100000000000001" customHeight="1" x14ac:dyDescent="0.25">
      <c r="A10" s="2" t="s">
        <v>12</v>
      </c>
      <c r="B10" s="1">
        <v>23</v>
      </c>
      <c r="C10" s="1">
        <v>23</v>
      </c>
      <c r="D10" s="4">
        <f t="shared" si="1"/>
        <v>46</v>
      </c>
      <c r="E10" s="1">
        <v>21</v>
      </c>
      <c r="F10" s="1">
        <v>20</v>
      </c>
      <c r="G10" s="1">
        <f t="shared" si="0"/>
        <v>41</v>
      </c>
      <c r="H10" s="15">
        <f t="shared" si="2"/>
        <v>89.130434782608688</v>
      </c>
    </row>
    <row r="11" spans="1:8" ht="20.100000000000001" customHeight="1" x14ac:dyDescent="0.25">
      <c r="A11" s="2" t="s">
        <v>13</v>
      </c>
      <c r="B11" s="1">
        <v>17</v>
      </c>
      <c r="C11" s="1">
        <v>25</v>
      </c>
      <c r="D11" s="4">
        <f t="shared" si="1"/>
        <v>42</v>
      </c>
      <c r="E11" s="1">
        <v>15</v>
      </c>
      <c r="F11" s="1">
        <v>25</v>
      </c>
      <c r="G11" s="1">
        <f t="shared" si="0"/>
        <v>40</v>
      </c>
      <c r="H11" s="15">
        <f t="shared" si="2"/>
        <v>95.238095238095227</v>
      </c>
    </row>
    <row r="12" spans="1:8" ht="20.100000000000001" customHeight="1" x14ac:dyDescent="0.25">
      <c r="A12" s="2" t="s">
        <v>14</v>
      </c>
      <c r="B12" s="1">
        <v>29</v>
      </c>
      <c r="C12" s="1">
        <v>19</v>
      </c>
      <c r="D12" s="4">
        <f t="shared" si="1"/>
        <v>48</v>
      </c>
      <c r="E12" s="1">
        <v>22</v>
      </c>
      <c r="F12" s="1">
        <v>17</v>
      </c>
      <c r="G12" s="1">
        <f t="shared" si="0"/>
        <v>39</v>
      </c>
      <c r="H12" s="15">
        <f t="shared" si="2"/>
        <v>81.25</v>
      </c>
    </row>
    <row r="13" spans="1:8" ht="20.100000000000001" customHeight="1" x14ac:dyDescent="0.25">
      <c r="A13" s="2" t="s">
        <v>15</v>
      </c>
      <c r="B13" s="1">
        <v>19</v>
      </c>
      <c r="C13" s="1">
        <v>23</v>
      </c>
      <c r="D13" s="4">
        <f t="shared" si="1"/>
        <v>42</v>
      </c>
      <c r="E13" s="1">
        <v>14</v>
      </c>
      <c r="F13" s="1">
        <v>19</v>
      </c>
      <c r="G13" s="1">
        <f t="shared" si="0"/>
        <v>33</v>
      </c>
      <c r="H13" s="15">
        <f t="shared" si="2"/>
        <v>78.571428571428569</v>
      </c>
    </row>
    <row r="14" spans="1:8" ht="20.100000000000001" customHeight="1" thickBot="1" x14ac:dyDescent="0.3">
      <c r="A14" s="9" t="s">
        <v>16</v>
      </c>
      <c r="B14" s="10">
        <v>17</v>
      </c>
      <c r="C14" s="10">
        <v>19</v>
      </c>
      <c r="D14" s="4">
        <f t="shared" si="1"/>
        <v>36</v>
      </c>
      <c r="E14" s="10">
        <v>13</v>
      </c>
      <c r="F14" s="10">
        <v>14</v>
      </c>
      <c r="G14" s="1">
        <f t="shared" si="0"/>
        <v>27</v>
      </c>
      <c r="H14" s="15">
        <f t="shared" si="2"/>
        <v>75</v>
      </c>
    </row>
    <row r="15" spans="1:8" ht="20.100000000000001" customHeight="1" thickBot="1" x14ac:dyDescent="0.3">
      <c r="A15" s="14" t="s">
        <v>3</v>
      </c>
      <c r="B15" s="11"/>
      <c r="C15" s="11"/>
      <c r="D15" s="11"/>
      <c r="E15" s="11"/>
      <c r="F15" s="11"/>
      <c r="G15" s="11"/>
      <c r="H15" s="12"/>
    </row>
    <row r="16" spans="1:8" ht="20.100000000000001" customHeight="1" thickBot="1" x14ac:dyDescent="0.3">
      <c r="E16" s="13"/>
      <c r="F16" s="12"/>
    </row>
    <row r="19" spans="4:4" x14ac:dyDescent="0.25">
      <c r="D19" s="20" t="s">
        <v>19</v>
      </c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950EC-B95A-497C-A39A-B2D69DDF4803}">
  <dimension ref="A1:H19"/>
  <sheetViews>
    <sheetView workbookViewId="0">
      <selection activeCell="A18" sqref="A18:H21"/>
    </sheetView>
  </sheetViews>
  <sheetFormatPr defaultRowHeight="15" x14ac:dyDescent="0.25"/>
  <cols>
    <col min="1" max="1" width="13.7109375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7.28515625" bestFit="1" customWidth="1"/>
    <col min="8" max="8" width="13.85546875" bestFit="1" customWidth="1"/>
  </cols>
  <sheetData>
    <row r="1" spans="1:8" ht="21" x14ac:dyDescent="0.35">
      <c r="A1" s="21" t="s">
        <v>17</v>
      </c>
      <c r="B1" s="22"/>
      <c r="C1" s="22"/>
      <c r="D1" s="22"/>
      <c r="E1" s="22"/>
      <c r="F1" s="22"/>
      <c r="G1" s="22"/>
      <c r="H1" s="23"/>
    </row>
    <row r="2" spans="1:8" ht="21" x14ac:dyDescent="0.35">
      <c r="A2" s="24" t="s">
        <v>18</v>
      </c>
      <c r="B2" s="25"/>
      <c r="C2" s="25"/>
      <c r="D2" s="25"/>
      <c r="E2" s="25"/>
      <c r="F2" s="25"/>
      <c r="G2" s="25"/>
      <c r="H2" s="26"/>
    </row>
    <row r="3" spans="1:8" ht="21.75" thickBot="1" x14ac:dyDescent="0.3">
      <c r="A3" s="27">
        <v>45619</v>
      </c>
      <c r="B3" s="28"/>
      <c r="C3" s="28"/>
      <c r="D3" s="28"/>
      <c r="E3" s="28"/>
      <c r="F3" s="28"/>
      <c r="G3" s="28"/>
      <c r="H3" s="29"/>
    </row>
    <row r="4" spans="1:8" ht="48" thickBot="1" x14ac:dyDescent="0.3">
      <c r="A4" s="16" t="s">
        <v>0</v>
      </c>
      <c r="B4" s="17" t="s">
        <v>1</v>
      </c>
      <c r="C4" s="17" t="s">
        <v>2</v>
      </c>
      <c r="D4" s="17" t="s">
        <v>3</v>
      </c>
      <c r="E4" s="18" t="s">
        <v>4</v>
      </c>
      <c r="F4" s="18" t="s">
        <v>5</v>
      </c>
      <c r="G4" s="17" t="s">
        <v>3</v>
      </c>
      <c r="H4" s="19" t="s">
        <v>6</v>
      </c>
    </row>
    <row r="5" spans="1:8" ht="20.100000000000001" customHeight="1" x14ac:dyDescent="0.25">
      <c r="A5" s="3" t="s">
        <v>7</v>
      </c>
      <c r="B5" s="4">
        <v>61</v>
      </c>
      <c r="C5" s="4">
        <v>49</v>
      </c>
      <c r="D5" s="4">
        <f>B5+C5</f>
        <v>110</v>
      </c>
      <c r="E5" s="4">
        <v>50</v>
      </c>
      <c r="F5" s="4">
        <v>46</v>
      </c>
      <c r="G5" s="1">
        <f t="shared" ref="G5:G14" si="0">E5+F5</f>
        <v>96</v>
      </c>
      <c r="H5" s="15">
        <f>G5/D5*100</f>
        <v>87.272727272727266</v>
      </c>
    </row>
    <row r="6" spans="1:8" ht="20.100000000000001" customHeight="1" x14ac:dyDescent="0.25">
      <c r="A6" s="2" t="s">
        <v>8</v>
      </c>
      <c r="B6" s="1">
        <v>32</v>
      </c>
      <c r="C6" s="1">
        <v>24</v>
      </c>
      <c r="D6" s="4">
        <f t="shared" ref="D6:D14" si="1">B6+C6</f>
        <v>56</v>
      </c>
      <c r="E6" s="1">
        <v>26</v>
      </c>
      <c r="F6" s="1">
        <v>17</v>
      </c>
      <c r="G6" s="1">
        <f t="shared" si="0"/>
        <v>43</v>
      </c>
      <c r="H6" s="15">
        <f t="shared" ref="H6:H15" si="2">G6/D6*100</f>
        <v>76.785714285714292</v>
      </c>
    </row>
    <row r="7" spans="1:8" ht="20.100000000000001" customHeight="1" x14ac:dyDescent="0.25">
      <c r="A7" s="2" t="s">
        <v>9</v>
      </c>
      <c r="B7" s="1">
        <v>26</v>
      </c>
      <c r="C7" s="1">
        <v>26</v>
      </c>
      <c r="D7" s="4">
        <f t="shared" si="1"/>
        <v>52</v>
      </c>
      <c r="E7" s="1">
        <v>23</v>
      </c>
      <c r="F7" s="1">
        <v>22</v>
      </c>
      <c r="G7" s="1">
        <f t="shared" si="0"/>
        <v>45</v>
      </c>
      <c r="H7" s="15">
        <f t="shared" si="2"/>
        <v>86.538461538461547</v>
      </c>
    </row>
    <row r="8" spans="1:8" ht="20.100000000000001" customHeight="1" x14ac:dyDescent="0.25">
      <c r="A8" s="2" t="s">
        <v>10</v>
      </c>
      <c r="B8" s="1">
        <v>28</v>
      </c>
      <c r="C8" s="1">
        <v>24</v>
      </c>
      <c r="D8" s="4">
        <f t="shared" si="1"/>
        <v>52</v>
      </c>
      <c r="E8" s="1">
        <v>23</v>
      </c>
      <c r="F8" s="1">
        <v>21</v>
      </c>
      <c r="G8" s="1">
        <f t="shared" si="0"/>
        <v>44</v>
      </c>
      <c r="H8" s="15">
        <f t="shared" si="2"/>
        <v>84.615384615384613</v>
      </c>
    </row>
    <row r="9" spans="1:8" ht="20.100000000000001" customHeight="1" x14ac:dyDescent="0.25">
      <c r="A9" s="2" t="s">
        <v>11</v>
      </c>
      <c r="B9" s="1">
        <v>22</v>
      </c>
      <c r="C9" s="1">
        <v>31</v>
      </c>
      <c r="D9" s="4">
        <f t="shared" si="1"/>
        <v>53</v>
      </c>
      <c r="E9" s="1">
        <v>11</v>
      </c>
      <c r="F9" s="1">
        <v>25</v>
      </c>
      <c r="G9" s="1">
        <f t="shared" si="0"/>
        <v>36</v>
      </c>
      <c r="H9" s="15">
        <f t="shared" si="2"/>
        <v>67.924528301886795</v>
      </c>
    </row>
    <row r="10" spans="1:8" ht="20.100000000000001" customHeight="1" x14ac:dyDescent="0.25">
      <c r="A10" s="2" t="s">
        <v>12</v>
      </c>
      <c r="B10" s="1">
        <v>23</v>
      </c>
      <c r="C10" s="1">
        <v>23</v>
      </c>
      <c r="D10" s="4">
        <f t="shared" si="1"/>
        <v>46</v>
      </c>
      <c r="E10" s="1">
        <v>22</v>
      </c>
      <c r="F10" s="1">
        <v>15</v>
      </c>
      <c r="G10" s="1">
        <f t="shared" si="0"/>
        <v>37</v>
      </c>
      <c r="H10" s="15">
        <f t="shared" si="2"/>
        <v>80.434782608695656</v>
      </c>
    </row>
    <row r="11" spans="1:8" ht="20.100000000000001" customHeight="1" x14ac:dyDescent="0.25">
      <c r="A11" s="2" t="s">
        <v>13</v>
      </c>
      <c r="B11" s="1">
        <v>17</v>
      </c>
      <c r="C11" s="1">
        <v>25</v>
      </c>
      <c r="D11" s="4">
        <f t="shared" si="1"/>
        <v>42</v>
      </c>
      <c r="E11" s="1">
        <v>12</v>
      </c>
      <c r="F11" s="1">
        <v>21</v>
      </c>
      <c r="G11" s="1">
        <f t="shared" si="0"/>
        <v>33</v>
      </c>
      <c r="H11" s="15">
        <f t="shared" si="2"/>
        <v>78.571428571428569</v>
      </c>
    </row>
    <row r="12" spans="1:8" ht="20.100000000000001" customHeight="1" x14ac:dyDescent="0.25">
      <c r="A12" s="2" t="s">
        <v>14</v>
      </c>
      <c r="B12" s="1">
        <v>29</v>
      </c>
      <c r="C12" s="1">
        <v>19</v>
      </c>
      <c r="D12" s="4">
        <f t="shared" si="1"/>
        <v>48</v>
      </c>
      <c r="E12" s="1">
        <v>20</v>
      </c>
      <c r="F12" s="1">
        <v>15</v>
      </c>
      <c r="G12" s="1">
        <f t="shared" si="0"/>
        <v>35</v>
      </c>
      <c r="H12" s="15">
        <f t="shared" si="2"/>
        <v>72.916666666666657</v>
      </c>
    </row>
    <row r="13" spans="1:8" ht="20.100000000000001" customHeight="1" x14ac:dyDescent="0.25">
      <c r="A13" s="2" t="s">
        <v>15</v>
      </c>
      <c r="B13" s="1">
        <v>19</v>
      </c>
      <c r="C13" s="1">
        <v>23</v>
      </c>
      <c r="D13" s="4">
        <f t="shared" si="1"/>
        <v>42</v>
      </c>
      <c r="E13" s="1">
        <v>14</v>
      </c>
      <c r="F13" s="1">
        <v>16</v>
      </c>
      <c r="G13" s="1">
        <f t="shared" si="0"/>
        <v>30</v>
      </c>
      <c r="H13" s="15">
        <f t="shared" si="2"/>
        <v>71.428571428571431</v>
      </c>
    </row>
    <row r="14" spans="1:8" ht="20.100000000000001" customHeight="1" thickBot="1" x14ac:dyDescent="0.3">
      <c r="A14" s="9" t="s">
        <v>16</v>
      </c>
      <c r="B14" s="10">
        <v>17</v>
      </c>
      <c r="C14" s="10">
        <v>19</v>
      </c>
      <c r="D14" s="4">
        <f t="shared" si="1"/>
        <v>36</v>
      </c>
      <c r="E14" s="10">
        <v>12</v>
      </c>
      <c r="F14" s="10">
        <v>14</v>
      </c>
      <c r="G14" s="1">
        <f t="shared" si="0"/>
        <v>26</v>
      </c>
      <c r="H14" s="15">
        <f t="shared" si="2"/>
        <v>72.222222222222214</v>
      </c>
    </row>
    <row r="15" spans="1:8" ht="20.100000000000001" customHeight="1" thickBot="1" x14ac:dyDescent="0.3">
      <c r="A15" s="14" t="s">
        <v>3</v>
      </c>
      <c r="B15" s="11">
        <f t="shared" ref="B15:G15" si="3">SUM(B5:B14)</f>
        <v>274</v>
      </c>
      <c r="C15" s="11">
        <f t="shared" si="3"/>
        <v>263</v>
      </c>
      <c r="D15" s="11">
        <f t="shared" si="3"/>
        <v>537</v>
      </c>
      <c r="E15" s="11">
        <f t="shared" si="3"/>
        <v>213</v>
      </c>
      <c r="F15" s="11">
        <f t="shared" si="3"/>
        <v>212</v>
      </c>
      <c r="G15" s="11">
        <f t="shared" si="3"/>
        <v>425</v>
      </c>
      <c r="H15" s="12">
        <f t="shared" si="2"/>
        <v>79.143389199255125</v>
      </c>
    </row>
    <row r="16" spans="1:8" ht="20.100000000000001" customHeight="1" thickBot="1" x14ac:dyDescent="0.3">
      <c r="B16" s="30">
        <f>B15+C15</f>
        <v>537</v>
      </c>
      <c r="C16" s="31"/>
      <c r="E16" s="30">
        <f>E15+F15</f>
        <v>425</v>
      </c>
      <c r="F16" s="31"/>
    </row>
    <row r="19" spans="4:4" x14ac:dyDescent="0.25">
      <c r="D19" s="20" t="s">
        <v>19</v>
      </c>
    </row>
  </sheetData>
  <mergeCells count="5">
    <mergeCell ref="A1:H1"/>
    <mergeCell ref="A2:H2"/>
    <mergeCell ref="A3:H3"/>
    <mergeCell ref="B16:C16"/>
    <mergeCell ref="E16:F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3D082-FFA1-46C5-B20A-2F3C74EA1F9F}">
  <dimension ref="A1:H19"/>
  <sheetViews>
    <sheetView workbookViewId="0">
      <selection activeCell="E15" sqref="E15"/>
    </sheetView>
  </sheetViews>
  <sheetFormatPr defaultRowHeight="15" x14ac:dyDescent="0.25"/>
  <cols>
    <col min="1" max="1" width="13.7109375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7.28515625" bestFit="1" customWidth="1"/>
    <col min="8" max="8" width="13.85546875" bestFit="1" customWidth="1"/>
  </cols>
  <sheetData>
    <row r="1" spans="1:8" ht="21" x14ac:dyDescent="0.35">
      <c r="A1" s="21" t="s">
        <v>17</v>
      </c>
      <c r="B1" s="22"/>
      <c r="C1" s="22"/>
      <c r="D1" s="22"/>
      <c r="E1" s="22"/>
      <c r="F1" s="22"/>
      <c r="G1" s="22"/>
      <c r="H1" s="23"/>
    </row>
    <row r="2" spans="1:8" ht="21" x14ac:dyDescent="0.35">
      <c r="A2" s="24" t="s">
        <v>18</v>
      </c>
      <c r="B2" s="25"/>
      <c r="C2" s="25"/>
      <c r="D2" s="25"/>
      <c r="E2" s="25"/>
      <c r="F2" s="25"/>
      <c r="G2" s="25"/>
      <c r="H2" s="26"/>
    </row>
    <row r="3" spans="1:8" ht="21.75" thickBot="1" x14ac:dyDescent="0.3">
      <c r="A3" s="27">
        <v>45621</v>
      </c>
      <c r="B3" s="28"/>
      <c r="C3" s="28"/>
      <c r="D3" s="28"/>
      <c r="E3" s="28"/>
      <c r="F3" s="28"/>
      <c r="G3" s="28"/>
      <c r="H3" s="29"/>
    </row>
    <row r="4" spans="1:8" ht="48" thickBot="1" x14ac:dyDescent="0.3">
      <c r="A4" s="16" t="s">
        <v>0</v>
      </c>
      <c r="B4" s="17" t="s">
        <v>1</v>
      </c>
      <c r="C4" s="17" t="s">
        <v>2</v>
      </c>
      <c r="D4" s="17" t="s">
        <v>3</v>
      </c>
      <c r="E4" s="18" t="s">
        <v>4</v>
      </c>
      <c r="F4" s="18" t="s">
        <v>5</v>
      </c>
      <c r="G4" s="17" t="s">
        <v>3</v>
      </c>
      <c r="H4" s="19" t="s">
        <v>6</v>
      </c>
    </row>
    <row r="5" spans="1:8" ht="20.100000000000001" customHeight="1" x14ac:dyDescent="0.25">
      <c r="A5" s="3" t="s">
        <v>7</v>
      </c>
      <c r="B5" s="4">
        <v>61</v>
      </c>
      <c r="C5" s="4">
        <v>49</v>
      </c>
      <c r="D5" s="4">
        <f>B5+C5</f>
        <v>110</v>
      </c>
      <c r="E5" s="4">
        <v>56</v>
      </c>
      <c r="F5" s="4">
        <v>40</v>
      </c>
      <c r="G5" s="1">
        <f t="shared" ref="G5:G14" si="0">E5+F5</f>
        <v>96</v>
      </c>
      <c r="H5" s="15">
        <f>G5/D5*100</f>
        <v>87.272727272727266</v>
      </c>
    </row>
    <row r="6" spans="1:8" ht="20.100000000000001" customHeight="1" x14ac:dyDescent="0.25">
      <c r="A6" s="2" t="s">
        <v>8</v>
      </c>
      <c r="B6" s="1">
        <v>32</v>
      </c>
      <c r="C6" s="1">
        <v>24</v>
      </c>
      <c r="D6" s="4">
        <f t="shared" ref="D6:D14" si="1">B6+C6</f>
        <v>56</v>
      </c>
      <c r="E6" s="1">
        <v>28</v>
      </c>
      <c r="F6" s="1">
        <v>18</v>
      </c>
      <c r="G6" s="1">
        <f t="shared" si="0"/>
        <v>46</v>
      </c>
      <c r="H6" s="15">
        <f t="shared" ref="H6:H15" si="2">G6/D6*100</f>
        <v>82.142857142857139</v>
      </c>
    </row>
    <row r="7" spans="1:8" ht="20.100000000000001" customHeight="1" x14ac:dyDescent="0.25">
      <c r="A7" s="2" t="s">
        <v>9</v>
      </c>
      <c r="B7" s="1">
        <v>26</v>
      </c>
      <c r="C7" s="1">
        <v>26</v>
      </c>
      <c r="D7" s="4">
        <f t="shared" si="1"/>
        <v>52</v>
      </c>
      <c r="E7" s="1">
        <v>19</v>
      </c>
      <c r="F7" s="1">
        <v>23</v>
      </c>
      <c r="G7" s="1">
        <f t="shared" si="0"/>
        <v>42</v>
      </c>
      <c r="H7" s="15">
        <f t="shared" si="2"/>
        <v>80.769230769230774</v>
      </c>
    </row>
    <row r="8" spans="1:8" ht="20.100000000000001" customHeight="1" x14ac:dyDescent="0.25">
      <c r="A8" s="2" t="s">
        <v>10</v>
      </c>
      <c r="B8" s="1">
        <v>28</v>
      </c>
      <c r="C8" s="1">
        <v>24</v>
      </c>
      <c r="D8" s="4">
        <f t="shared" si="1"/>
        <v>52</v>
      </c>
      <c r="E8" s="1">
        <v>21</v>
      </c>
      <c r="F8" s="1">
        <v>19</v>
      </c>
      <c r="G8" s="1">
        <f t="shared" si="0"/>
        <v>40</v>
      </c>
      <c r="H8" s="15">
        <f t="shared" si="2"/>
        <v>76.923076923076934</v>
      </c>
    </row>
    <row r="9" spans="1:8" ht="20.100000000000001" customHeight="1" x14ac:dyDescent="0.25">
      <c r="A9" s="2" t="s">
        <v>11</v>
      </c>
      <c r="B9" s="1">
        <v>22</v>
      </c>
      <c r="C9" s="1">
        <v>31</v>
      </c>
      <c r="D9" s="4">
        <f t="shared" si="1"/>
        <v>53</v>
      </c>
      <c r="E9" s="1">
        <v>16</v>
      </c>
      <c r="F9" s="1">
        <v>29</v>
      </c>
      <c r="G9" s="1">
        <f t="shared" si="0"/>
        <v>45</v>
      </c>
      <c r="H9" s="15">
        <f t="shared" si="2"/>
        <v>84.905660377358487</v>
      </c>
    </row>
    <row r="10" spans="1:8" ht="20.100000000000001" customHeight="1" x14ac:dyDescent="0.25">
      <c r="A10" s="2" t="s">
        <v>12</v>
      </c>
      <c r="B10" s="1">
        <v>23</v>
      </c>
      <c r="C10" s="1">
        <v>23</v>
      </c>
      <c r="D10" s="4">
        <f t="shared" si="1"/>
        <v>46</v>
      </c>
      <c r="E10" s="1">
        <v>22</v>
      </c>
      <c r="F10" s="1">
        <v>22</v>
      </c>
      <c r="G10" s="1">
        <f t="shared" si="0"/>
        <v>44</v>
      </c>
      <c r="H10" s="15">
        <f t="shared" si="2"/>
        <v>95.652173913043484</v>
      </c>
    </row>
    <row r="11" spans="1:8" ht="20.100000000000001" customHeight="1" x14ac:dyDescent="0.25">
      <c r="A11" s="2" t="s">
        <v>13</v>
      </c>
      <c r="B11" s="1">
        <v>17</v>
      </c>
      <c r="C11" s="1">
        <v>25</v>
      </c>
      <c r="D11" s="4">
        <f t="shared" si="1"/>
        <v>42</v>
      </c>
      <c r="E11" s="1">
        <v>15</v>
      </c>
      <c r="F11" s="1">
        <v>23</v>
      </c>
      <c r="G11" s="1">
        <f t="shared" si="0"/>
        <v>38</v>
      </c>
      <c r="H11" s="15">
        <f t="shared" si="2"/>
        <v>90.476190476190482</v>
      </c>
    </row>
    <row r="12" spans="1:8" ht="20.100000000000001" customHeight="1" x14ac:dyDescent="0.25">
      <c r="A12" s="2" t="s">
        <v>14</v>
      </c>
      <c r="B12" s="1">
        <v>29</v>
      </c>
      <c r="C12" s="1">
        <v>19</v>
      </c>
      <c r="D12" s="4">
        <f t="shared" si="1"/>
        <v>48</v>
      </c>
      <c r="E12" s="1">
        <v>17</v>
      </c>
      <c r="F12" s="1">
        <v>16</v>
      </c>
      <c r="G12" s="1">
        <f t="shared" si="0"/>
        <v>33</v>
      </c>
      <c r="H12" s="15">
        <f t="shared" si="2"/>
        <v>68.75</v>
      </c>
    </row>
    <row r="13" spans="1:8" ht="20.100000000000001" customHeight="1" x14ac:dyDescent="0.25">
      <c r="A13" s="2" t="s">
        <v>15</v>
      </c>
      <c r="B13" s="1">
        <v>19</v>
      </c>
      <c r="C13" s="1">
        <v>23</v>
      </c>
      <c r="D13" s="4">
        <f t="shared" si="1"/>
        <v>42</v>
      </c>
      <c r="E13" s="1">
        <v>16</v>
      </c>
      <c r="F13" s="1">
        <v>19</v>
      </c>
      <c r="G13" s="1">
        <f t="shared" si="0"/>
        <v>35</v>
      </c>
      <c r="H13" s="15">
        <f t="shared" si="2"/>
        <v>83.333333333333343</v>
      </c>
    </row>
    <row r="14" spans="1:8" ht="20.100000000000001" customHeight="1" thickBot="1" x14ac:dyDescent="0.3">
      <c r="A14" s="9" t="s">
        <v>16</v>
      </c>
      <c r="B14" s="10">
        <v>17</v>
      </c>
      <c r="C14" s="10">
        <v>19</v>
      </c>
      <c r="D14" s="4">
        <f t="shared" si="1"/>
        <v>36</v>
      </c>
      <c r="E14" s="10">
        <v>15</v>
      </c>
      <c r="F14" s="10">
        <v>14</v>
      </c>
      <c r="G14" s="1">
        <f t="shared" si="0"/>
        <v>29</v>
      </c>
      <c r="H14" s="15">
        <f t="shared" si="2"/>
        <v>80.555555555555557</v>
      </c>
    </row>
    <row r="15" spans="1:8" ht="20.100000000000001" customHeight="1" thickBot="1" x14ac:dyDescent="0.3">
      <c r="A15" s="14" t="s">
        <v>3</v>
      </c>
      <c r="B15" s="11">
        <f t="shared" ref="B15:G15" si="3">SUM(B5:B14)</f>
        <v>274</v>
      </c>
      <c r="C15" s="11">
        <f t="shared" si="3"/>
        <v>263</v>
      </c>
      <c r="D15" s="11">
        <f t="shared" si="3"/>
        <v>537</v>
      </c>
      <c r="E15" s="11">
        <f t="shared" si="3"/>
        <v>225</v>
      </c>
      <c r="F15" s="11">
        <f t="shared" si="3"/>
        <v>223</v>
      </c>
      <c r="G15" s="11">
        <f t="shared" si="3"/>
        <v>448</v>
      </c>
      <c r="H15" s="12">
        <f t="shared" si="2"/>
        <v>83.426443202979513</v>
      </c>
    </row>
    <row r="16" spans="1:8" ht="20.100000000000001" customHeight="1" thickBot="1" x14ac:dyDescent="0.3">
      <c r="B16" s="30">
        <f>B15+C15</f>
        <v>537</v>
      </c>
      <c r="C16" s="31"/>
      <c r="E16" s="30">
        <f>E15+F15</f>
        <v>448</v>
      </c>
      <c r="F16" s="31"/>
    </row>
    <row r="19" spans="4:4" x14ac:dyDescent="0.25">
      <c r="D19" s="20" t="s">
        <v>19</v>
      </c>
    </row>
  </sheetData>
  <mergeCells count="5">
    <mergeCell ref="A1:H1"/>
    <mergeCell ref="A2:H2"/>
    <mergeCell ref="A3:H3"/>
    <mergeCell ref="B16:C16"/>
    <mergeCell ref="E16:F1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5BEEF-B875-44F5-B3DC-56F66EF5C9E7}">
  <dimension ref="A1:H19"/>
  <sheetViews>
    <sheetView workbookViewId="0">
      <selection activeCell="E15" sqref="E15"/>
    </sheetView>
  </sheetViews>
  <sheetFormatPr defaultRowHeight="15" x14ac:dyDescent="0.25"/>
  <cols>
    <col min="1" max="1" width="13.7109375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7.28515625" bestFit="1" customWidth="1"/>
    <col min="8" max="8" width="13.85546875" bestFit="1" customWidth="1"/>
  </cols>
  <sheetData>
    <row r="1" spans="1:8" ht="21" x14ac:dyDescent="0.35">
      <c r="A1" s="21" t="s">
        <v>17</v>
      </c>
      <c r="B1" s="22"/>
      <c r="C1" s="22"/>
      <c r="D1" s="22"/>
      <c r="E1" s="22"/>
      <c r="F1" s="22"/>
      <c r="G1" s="22"/>
      <c r="H1" s="23"/>
    </row>
    <row r="2" spans="1:8" ht="21" x14ac:dyDescent="0.35">
      <c r="A2" s="24" t="s">
        <v>18</v>
      </c>
      <c r="B2" s="25"/>
      <c r="C2" s="25"/>
      <c r="D2" s="25"/>
      <c r="E2" s="25"/>
      <c r="F2" s="25"/>
      <c r="G2" s="25"/>
      <c r="H2" s="26"/>
    </row>
    <row r="3" spans="1:8" ht="21.75" thickBot="1" x14ac:dyDescent="0.3">
      <c r="A3" s="27">
        <v>45622</v>
      </c>
      <c r="B3" s="28"/>
      <c r="C3" s="28"/>
      <c r="D3" s="28"/>
      <c r="E3" s="28"/>
      <c r="F3" s="28"/>
      <c r="G3" s="28"/>
      <c r="H3" s="29"/>
    </row>
    <row r="4" spans="1:8" ht="48" thickBot="1" x14ac:dyDescent="0.3">
      <c r="A4" s="16" t="s">
        <v>0</v>
      </c>
      <c r="B4" s="17" t="s">
        <v>1</v>
      </c>
      <c r="C4" s="17" t="s">
        <v>2</v>
      </c>
      <c r="D4" s="17" t="s">
        <v>3</v>
      </c>
      <c r="E4" s="18" t="s">
        <v>4</v>
      </c>
      <c r="F4" s="18" t="s">
        <v>5</v>
      </c>
      <c r="G4" s="17" t="s">
        <v>3</v>
      </c>
      <c r="H4" s="19" t="s">
        <v>6</v>
      </c>
    </row>
    <row r="5" spans="1:8" ht="20.100000000000001" customHeight="1" x14ac:dyDescent="0.25">
      <c r="A5" s="3" t="s">
        <v>7</v>
      </c>
      <c r="B5" s="4">
        <v>61</v>
      </c>
      <c r="C5" s="4">
        <v>49</v>
      </c>
      <c r="D5" s="4">
        <f>B5+C5</f>
        <v>110</v>
      </c>
      <c r="E5" s="4">
        <v>57</v>
      </c>
      <c r="F5" s="4">
        <v>43</v>
      </c>
      <c r="G5" s="1">
        <f t="shared" ref="G5:G14" si="0">E5+F5</f>
        <v>100</v>
      </c>
      <c r="H5" s="15">
        <f>G5/D5*100</f>
        <v>90.909090909090907</v>
      </c>
    </row>
    <row r="6" spans="1:8" ht="20.100000000000001" customHeight="1" x14ac:dyDescent="0.25">
      <c r="A6" s="2" t="s">
        <v>8</v>
      </c>
      <c r="B6" s="1">
        <v>32</v>
      </c>
      <c r="C6" s="1">
        <v>24</v>
      </c>
      <c r="D6" s="4">
        <f t="shared" ref="D6:D14" si="1">B6+C6</f>
        <v>56</v>
      </c>
      <c r="E6" s="1">
        <v>29</v>
      </c>
      <c r="F6" s="1">
        <v>20</v>
      </c>
      <c r="G6" s="1">
        <f t="shared" si="0"/>
        <v>49</v>
      </c>
      <c r="H6" s="15">
        <f t="shared" ref="H6:H15" si="2">G6/D6*100</f>
        <v>87.5</v>
      </c>
    </row>
    <row r="7" spans="1:8" ht="20.100000000000001" customHeight="1" x14ac:dyDescent="0.25">
      <c r="A7" s="2" t="s">
        <v>9</v>
      </c>
      <c r="B7" s="1">
        <v>26</v>
      </c>
      <c r="C7" s="1">
        <v>26</v>
      </c>
      <c r="D7" s="4">
        <f t="shared" si="1"/>
        <v>52</v>
      </c>
      <c r="E7" s="1">
        <v>23</v>
      </c>
      <c r="F7" s="1">
        <v>21</v>
      </c>
      <c r="G7" s="1">
        <f t="shared" si="0"/>
        <v>44</v>
      </c>
      <c r="H7" s="15">
        <f t="shared" si="2"/>
        <v>84.615384615384613</v>
      </c>
    </row>
    <row r="8" spans="1:8" ht="20.100000000000001" customHeight="1" x14ac:dyDescent="0.25">
      <c r="A8" s="2" t="s">
        <v>10</v>
      </c>
      <c r="B8" s="1">
        <v>28</v>
      </c>
      <c r="C8" s="1">
        <v>24</v>
      </c>
      <c r="D8" s="4">
        <f t="shared" si="1"/>
        <v>52</v>
      </c>
      <c r="E8" s="1">
        <v>24</v>
      </c>
      <c r="F8" s="1">
        <v>21</v>
      </c>
      <c r="G8" s="1">
        <f t="shared" si="0"/>
        <v>45</v>
      </c>
      <c r="H8" s="15">
        <f t="shared" si="2"/>
        <v>86.538461538461547</v>
      </c>
    </row>
    <row r="9" spans="1:8" ht="20.100000000000001" customHeight="1" x14ac:dyDescent="0.25">
      <c r="A9" s="2" t="s">
        <v>11</v>
      </c>
      <c r="B9" s="1">
        <v>22</v>
      </c>
      <c r="C9" s="1">
        <v>31</v>
      </c>
      <c r="D9" s="4">
        <f t="shared" si="1"/>
        <v>53</v>
      </c>
      <c r="E9" s="1">
        <v>16</v>
      </c>
      <c r="F9" s="1">
        <v>27</v>
      </c>
      <c r="G9" s="1">
        <f t="shared" si="0"/>
        <v>43</v>
      </c>
      <c r="H9" s="15">
        <f t="shared" si="2"/>
        <v>81.132075471698116</v>
      </c>
    </row>
    <row r="10" spans="1:8" ht="20.100000000000001" customHeight="1" x14ac:dyDescent="0.25">
      <c r="A10" s="2" t="s">
        <v>12</v>
      </c>
      <c r="B10" s="1">
        <v>23</v>
      </c>
      <c r="C10" s="1">
        <v>23</v>
      </c>
      <c r="D10" s="4">
        <f t="shared" si="1"/>
        <v>46</v>
      </c>
      <c r="E10" s="1">
        <v>21</v>
      </c>
      <c r="F10" s="1">
        <v>21</v>
      </c>
      <c r="G10" s="1">
        <f t="shared" si="0"/>
        <v>42</v>
      </c>
      <c r="H10" s="15">
        <f t="shared" si="2"/>
        <v>91.304347826086953</v>
      </c>
    </row>
    <row r="11" spans="1:8" ht="20.100000000000001" customHeight="1" x14ac:dyDescent="0.25">
      <c r="A11" s="2" t="s">
        <v>13</v>
      </c>
      <c r="B11" s="1">
        <v>17</v>
      </c>
      <c r="C11" s="1">
        <v>25</v>
      </c>
      <c r="D11" s="4">
        <f t="shared" si="1"/>
        <v>42</v>
      </c>
      <c r="E11" s="1">
        <v>14</v>
      </c>
      <c r="F11" s="1">
        <v>22</v>
      </c>
      <c r="G11" s="1">
        <f t="shared" si="0"/>
        <v>36</v>
      </c>
      <c r="H11" s="15">
        <f t="shared" si="2"/>
        <v>85.714285714285708</v>
      </c>
    </row>
    <row r="12" spans="1:8" ht="20.100000000000001" customHeight="1" x14ac:dyDescent="0.25">
      <c r="A12" s="2" t="s">
        <v>14</v>
      </c>
      <c r="B12" s="1">
        <v>29</v>
      </c>
      <c r="C12" s="1">
        <v>19</v>
      </c>
      <c r="D12" s="4">
        <f t="shared" si="1"/>
        <v>48</v>
      </c>
      <c r="E12" s="1">
        <v>21</v>
      </c>
      <c r="F12" s="1">
        <v>17</v>
      </c>
      <c r="G12" s="1">
        <f t="shared" si="0"/>
        <v>38</v>
      </c>
      <c r="H12" s="15">
        <f t="shared" si="2"/>
        <v>79.166666666666657</v>
      </c>
    </row>
    <row r="13" spans="1:8" ht="20.100000000000001" customHeight="1" x14ac:dyDescent="0.25">
      <c r="A13" s="2" t="s">
        <v>15</v>
      </c>
      <c r="B13" s="1">
        <v>19</v>
      </c>
      <c r="C13" s="1">
        <v>23</v>
      </c>
      <c r="D13" s="4">
        <f t="shared" si="1"/>
        <v>42</v>
      </c>
      <c r="E13" s="1">
        <v>14</v>
      </c>
      <c r="F13" s="1">
        <v>16</v>
      </c>
      <c r="G13" s="1">
        <f t="shared" si="0"/>
        <v>30</v>
      </c>
      <c r="H13" s="15">
        <f t="shared" si="2"/>
        <v>71.428571428571431</v>
      </c>
    </row>
    <row r="14" spans="1:8" ht="20.100000000000001" customHeight="1" thickBot="1" x14ac:dyDescent="0.3">
      <c r="A14" s="9" t="s">
        <v>16</v>
      </c>
      <c r="B14" s="10">
        <v>17</v>
      </c>
      <c r="C14" s="10">
        <v>19</v>
      </c>
      <c r="D14" s="4">
        <f t="shared" si="1"/>
        <v>36</v>
      </c>
      <c r="E14" s="10">
        <v>15</v>
      </c>
      <c r="F14" s="10">
        <v>16</v>
      </c>
      <c r="G14" s="1">
        <f t="shared" si="0"/>
        <v>31</v>
      </c>
      <c r="H14" s="15">
        <f t="shared" si="2"/>
        <v>86.111111111111114</v>
      </c>
    </row>
    <row r="15" spans="1:8" ht="20.100000000000001" customHeight="1" thickBot="1" x14ac:dyDescent="0.3">
      <c r="A15" s="14" t="s">
        <v>3</v>
      </c>
      <c r="B15" s="11">
        <f t="shared" ref="B15:G15" si="3">SUM(B5:B14)</f>
        <v>274</v>
      </c>
      <c r="C15" s="11">
        <f t="shared" si="3"/>
        <v>263</v>
      </c>
      <c r="D15" s="11">
        <f t="shared" si="3"/>
        <v>537</v>
      </c>
      <c r="E15" s="11">
        <f t="shared" si="3"/>
        <v>234</v>
      </c>
      <c r="F15" s="11">
        <f t="shared" si="3"/>
        <v>224</v>
      </c>
      <c r="G15" s="11">
        <f t="shared" si="3"/>
        <v>458</v>
      </c>
      <c r="H15" s="12">
        <f t="shared" si="2"/>
        <v>85.288640595903161</v>
      </c>
    </row>
    <row r="16" spans="1:8" ht="20.100000000000001" customHeight="1" thickBot="1" x14ac:dyDescent="0.3">
      <c r="B16" s="30">
        <f>B15+C15</f>
        <v>537</v>
      </c>
      <c r="C16" s="31"/>
      <c r="E16" s="30">
        <f>E15+F15</f>
        <v>458</v>
      </c>
      <c r="F16" s="31"/>
    </row>
    <row r="19" spans="4:4" x14ac:dyDescent="0.25">
      <c r="D19" s="20" t="s">
        <v>19</v>
      </c>
    </row>
  </sheetData>
  <mergeCells count="5">
    <mergeCell ref="A1:H1"/>
    <mergeCell ref="A2:H2"/>
    <mergeCell ref="A3:H3"/>
    <mergeCell ref="B16:C16"/>
    <mergeCell ref="E16:F1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7A9D6-0BF7-4A66-A483-E3BCEAF3E4A2}">
  <dimension ref="A1:H19"/>
  <sheetViews>
    <sheetView workbookViewId="0">
      <selection activeCell="E15" sqref="E15"/>
    </sheetView>
  </sheetViews>
  <sheetFormatPr defaultRowHeight="15" x14ac:dyDescent="0.25"/>
  <cols>
    <col min="1" max="1" width="13.7109375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7.28515625" bestFit="1" customWidth="1"/>
    <col min="8" max="8" width="13.85546875" bestFit="1" customWidth="1"/>
  </cols>
  <sheetData>
    <row r="1" spans="1:8" ht="21" x14ac:dyDescent="0.35">
      <c r="A1" s="21" t="s">
        <v>17</v>
      </c>
      <c r="B1" s="22"/>
      <c r="C1" s="22"/>
      <c r="D1" s="22"/>
      <c r="E1" s="22"/>
      <c r="F1" s="22"/>
      <c r="G1" s="22"/>
      <c r="H1" s="23"/>
    </row>
    <row r="2" spans="1:8" ht="21" x14ac:dyDescent="0.35">
      <c r="A2" s="24" t="s">
        <v>18</v>
      </c>
      <c r="B2" s="25"/>
      <c r="C2" s="25"/>
      <c r="D2" s="25"/>
      <c r="E2" s="25"/>
      <c r="F2" s="25"/>
      <c r="G2" s="25"/>
      <c r="H2" s="26"/>
    </row>
    <row r="3" spans="1:8" ht="21.75" thickBot="1" x14ac:dyDescent="0.3">
      <c r="A3" s="27">
        <v>45623</v>
      </c>
      <c r="B3" s="28"/>
      <c r="C3" s="28"/>
      <c r="D3" s="28"/>
      <c r="E3" s="28"/>
      <c r="F3" s="28"/>
      <c r="G3" s="28"/>
      <c r="H3" s="29"/>
    </row>
    <row r="4" spans="1:8" ht="48" thickBot="1" x14ac:dyDescent="0.3">
      <c r="A4" s="16" t="s">
        <v>0</v>
      </c>
      <c r="B4" s="17" t="s">
        <v>1</v>
      </c>
      <c r="C4" s="17" t="s">
        <v>2</v>
      </c>
      <c r="D4" s="17" t="s">
        <v>3</v>
      </c>
      <c r="E4" s="18" t="s">
        <v>4</v>
      </c>
      <c r="F4" s="18" t="s">
        <v>5</v>
      </c>
      <c r="G4" s="17" t="s">
        <v>3</v>
      </c>
      <c r="H4" s="19" t="s">
        <v>6</v>
      </c>
    </row>
    <row r="5" spans="1:8" ht="20.100000000000001" customHeight="1" x14ac:dyDescent="0.25">
      <c r="A5" s="3" t="s">
        <v>7</v>
      </c>
      <c r="B5" s="4">
        <v>61</v>
      </c>
      <c r="C5" s="4">
        <v>49</v>
      </c>
      <c r="D5" s="4">
        <f>B5+C5</f>
        <v>110</v>
      </c>
      <c r="E5" s="4">
        <v>56</v>
      </c>
      <c r="F5" s="4">
        <v>40</v>
      </c>
      <c r="G5" s="1">
        <f t="shared" ref="G5:G14" si="0">E5+F5</f>
        <v>96</v>
      </c>
      <c r="H5" s="15">
        <f>G5/D5*100</f>
        <v>87.272727272727266</v>
      </c>
    </row>
    <row r="6" spans="1:8" ht="20.100000000000001" customHeight="1" x14ac:dyDescent="0.25">
      <c r="A6" s="2" t="s">
        <v>8</v>
      </c>
      <c r="B6" s="1">
        <v>32</v>
      </c>
      <c r="C6" s="1">
        <v>24</v>
      </c>
      <c r="D6" s="4">
        <f t="shared" ref="D6:D14" si="1">B6+C6</f>
        <v>56</v>
      </c>
      <c r="E6" s="1">
        <v>27</v>
      </c>
      <c r="F6" s="1">
        <v>22</v>
      </c>
      <c r="G6" s="1">
        <f t="shared" si="0"/>
        <v>49</v>
      </c>
      <c r="H6" s="15">
        <f t="shared" ref="H6:H15" si="2">G6/D6*100</f>
        <v>87.5</v>
      </c>
    </row>
    <row r="7" spans="1:8" ht="20.100000000000001" customHeight="1" x14ac:dyDescent="0.25">
      <c r="A7" s="2" t="s">
        <v>9</v>
      </c>
      <c r="B7" s="1">
        <v>26</v>
      </c>
      <c r="C7" s="1">
        <v>26</v>
      </c>
      <c r="D7" s="4">
        <f t="shared" si="1"/>
        <v>52</v>
      </c>
      <c r="E7" s="1">
        <v>23</v>
      </c>
      <c r="F7" s="1">
        <v>21</v>
      </c>
      <c r="G7" s="1">
        <f t="shared" si="0"/>
        <v>44</v>
      </c>
      <c r="H7" s="15">
        <f t="shared" si="2"/>
        <v>84.615384615384613</v>
      </c>
    </row>
    <row r="8" spans="1:8" ht="20.100000000000001" customHeight="1" x14ac:dyDescent="0.25">
      <c r="A8" s="2" t="s">
        <v>10</v>
      </c>
      <c r="B8" s="1">
        <v>28</v>
      </c>
      <c r="C8" s="1">
        <v>24</v>
      </c>
      <c r="D8" s="4">
        <f t="shared" si="1"/>
        <v>52</v>
      </c>
      <c r="E8" s="1">
        <v>24</v>
      </c>
      <c r="F8" s="1">
        <v>18</v>
      </c>
      <c r="G8" s="1">
        <f t="shared" si="0"/>
        <v>42</v>
      </c>
      <c r="H8" s="15">
        <f t="shared" si="2"/>
        <v>80.769230769230774</v>
      </c>
    </row>
    <row r="9" spans="1:8" ht="20.100000000000001" customHeight="1" x14ac:dyDescent="0.25">
      <c r="A9" s="2" t="s">
        <v>11</v>
      </c>
      <c r="B9" s="1">
        <v>22</v>
      </c>
      <c r="C9" s="1">
        <v>31</v>
      </c>
      <c r="D9" s="4">
        <f t="shared" si="1"/>
        <v>53</v>
      </c>
      <c r="E9" s="1">
        <v>19</v>
      </c>
      <c r="F9" s="1">
        <v>32</v>
      </c>
      <c r="G9" s="1">
        <f t="shared" si="0"/>
        <v>51</v>
      </c>
      <c r="H9" s="15">
        <f t="shared" si="2"/>
        <v>96.226415094339629</v>
      </c>
    </row>
    <row r="10" spans="1:8" ht="20.100000000000001" customHeight="1" x14ac:dyDescent="0.25">
      <c r="A10" s="2" t="s">
        <v>12</v>
      </c>
      <c r="B10" s="1">
        <v>23</v>
      </c>
      <c r="C10" s="1">
        <v>23</v>
      </c>
      <c r="D10" s="4">
        <f t="shared" si="1"/>
        <v>46</v>
      </c>
      <c r="E10" s="1">
        <v>22</v>
      </c>
      <c r="F10" s="1">
        <v>21</v>
      </c>
      <c r="G10" s="1">
        <f t="shared" si="0"/>
        <v>43</v>
      </c>
      <c r="H10" s="15">
        <f t="shared" si="2"/>
        <v>93.478260869565219</v>
      </c>
    </row>
    <row r="11" spans="1:8" ht="20.100000000000001" customHeight="1" x14ac:dyDescent="0.25">
      <c r="A11" s="2" t="s">
        <v>13</v>
      </c>
      <c r="B11" s="1">
        <v>17</v>
      </c>
      <c r="C11" s="1">
        <v>25</v>
      </c>
      <c r="D11" s="4">
        <f t="shared" si="1"/>
        <v>42</v>
      </c>
      <c r="E11" s="1">
        <v>17</v>
      </c>
      <c r="F11" s="1">
        <v>22</v>
      </c>
      <c r="G11" s="1">
        <f t="shared" si="0"/>
        <v>39</v>
      </c>
      <c r="H11" s="15">
        <f t="shared" si="2"/>
        <v>92.857142857142861</v>
      </c>
    </row>
    <row r="12" spans="1:8" ht="20.100000000000001" customHeight="1" x14ac:dyDescent="0.25">
      <c r="A12" s="2" t="s">
        <v>14</v>
      </c>
      <c r="B12" s="1">
        <v>29</v>
      </c>
      <c r="C12" s="1">
        <v>19</v>
      </c>
      <c r="D12" s="4">
        <f t="shared" si="1"/>
        <v>48</v>
      </c>
      <c r="E12" s="1">
        <v>25</v>
      </c>
      <c r="F12" s="1">
        <v>17</v>
      </c>
      <c r="G12" s="1">
        <f t="shared" si="0"/>
        <v>42</v>
      </c>
      <c r="H12" s="15">
        <f t="shared" si="2"/>
        <v>87.5</v>
      </c>
    </row>
    <row r="13" spans="1:8" ht="20.100000000000001" customHeight="1" x14ac:dyDescent="0.25">
      <c r="A13" s="2" t="s">
        <v>15</v>
      </c>
      <c r="B13" s="1">
        <v>19</v>
      </c>
      <c r="C13" s="1">
        <v>23</v>
      </c>
      <c r="D13" s="4">
        <f t="shared" si="1"/>
        <v>42</v>
      </c>
      <c r="E13" s="1">
        <v>16</v>
      </c>
      <c r="F13" s="1">
        <v>18</v>
      </c>
      <c r="G13" s="1">
        <f t="shared" si="0"/>
        <v>34</v>
      </c>
      <c r="H13" s="15">
        <f t="shared" si="2"/>
        <v>80.952380952380949</v>
      </c>
    </row>
    <row r="14" spans="1:8" ht="20.100000000000001" customHeight="1" thickBot="1" x14ac:dyDescent="0.3">
      <c r="A14" s="9" t="s">
        <v>16</v>
      </c>
      <c r="B14" s="10">
        <v>17</v>
      </c>
      <c r="C14" s="10">
        <v>19</v>
      </c>
      <c r="D14" s="4">
        <f t="shared" si="1"/>
        <v>36</v>
      </c>
      <c r="E14" s="10">
        <v>13</v>
      </c>
      <c r="F14" s="10">
        <v>16</v>
      </c>
      <c r="G14" s="1">
        <f t="shared" si="0"/>
        <v>29</v>
      </c>
      <c r="H14" s="15">
        <f t="shared" si="2"/>
        <v>80.555555555555557</v>
      </c>
    </row>
    <row r="15" spans="1:8" ht="20.100000000000001" customHeight="1" thickBot="1" x14ac:dyDescent="0.3">
      <c r="A15" s="14" t="s">
        <v>3</v>
      </c>
      <c r="B15" s="11">
        <f t="shared" ref="B15:G15" si="3">SUM(B5:B14)</f>
        <v>274</v>
      </c>
      <c r="C15" s="11">
        <f t="shared" si="3"/>
        <v>263</v>
      </c>
      <c r="D15" s="11">
        <f t="shared" si="3"/>
        <v>537</v>
      </c>
      <c r="E15" s="11">
        <f t="shared" si="3"/>
        <v>242</v>
      </c>
      <c r="F15" s="11">
        <f t="shared" si="3"/>
        <v>227</v>
      </c>
      <c r="G15" s="11">
        <f t="shared" si="3"/>
        <v>469</v>
      </c>
      <c r="H15" s="12">
        <f t="shared" si="2"/>
        <v>87.337057728119177</v>
      </c>
    </row>
    <row r="16" spans="1:8" ht="20.100000000000001" customHeight="1" thickBot="1" x14ac:dyDescent="0.3">
      <c r="B16" s="30">
        <f>B15+C15</f>
        <v>537</v>
      </c>
      <c r="C16" s="31"/>
      <c r="E16" s="30">
        <f>E15+F15</f>
        <v>469</v>
      </c>
      <c r="F16" s="31"/>
    </row>
    <row r="19" spans="4:4" x14ac:dyDescent="0.25">
      <c r="D19" s="20" t="s">
        <v>19</v>
      </c>
    </row>
  </sheetData>
  <mergeCells count="5">
    <mergeCell ref="A1:H1"/>
    <mergeCell ref="A2:H2"/>
    <mergeCell ref="A3:H3"/>
    <mergeCell ref="B16:C16"/>
    <mergeCell ref="E16:F1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A699E-33E5-4225-A8ED-1B2B58BF56AD}">
  <dimension ref="A1:H19"/>
  <sheetViews>
    <sheetView workbookViewId="0">
      <selection activeCell="E15" sqref="E15"/>
    </sheetView>
  </sheetViews>
  <sheetFormatPr defaultRowHeight="15" x14ac:dyDescent="0.25"/>
  <cols>
    <col min="1" max="1" width="13.7109375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7.28515625" bestFit="1" customWidth="1"/>
    <col min="8" max="8" width="13.85546875" bestFit="1" customWidth="1"/>
  </cols>
  <sheetData>
    <row r="1" spans="1:8" ht="21" x14ac:dyDescent="0.35">
      <c r="A1" s="21" t="s">
        <v>17</v>
      </c>
      <c r="B1" s="22"/>
      <c r="C1" s="22"/>
      <c r="D1" s="22"/>
      <c r="E1" s="22"/>
      <c r="F1" s="22"/>
      <c r="G1" s="22"/>
      <c r="H1" s="23"/>
    </row>
    <row r="2" spans="1:8" ht="21" x14ac:dyDescent="0.35">
      <c r="A2" s="24" t="s">
        <v>18</v>
      </c>
      <c r="B2" s="25"/>
      <c r="C2" s="25"/>
      <c r="D2" s="25"/>
      <c r="E2" s="25"/>
      <c r="F2" s="25"/>
      <c r="G2" s="25"/>
      <c r="H2" s="26"/>
    </row>
    <row r="3" spans="1:8" ht="21.75" thickBot="1" x14ac:dyDescent="0.3">
      <c r="A3" s="27">
        <v>45624</v>
      </c>
      <c r="B3" s="28"/>
      <c r="C3" s="28"/>
      <c r="D3" s="28"/>
      <c r="E3" s="28"/>
      <c r="F3" s="28"/>
      <c r="G3" s="28"/>
      <c r="H3" s="29"/>
    </row>
    <row r="4" spans="1:8" ht="48" thickBot="1" x14ac:dyDescent="0.3">
      <c r="A4" s="16" t="s">
        <v>0</v>
      </c>
      <c r="B4" s="17" t="s">
        <v>1</v>
      </c>
      <c r="C4" s="17" t="s">
        <v>2</v>
      </c>
      <c r="D4" s="17" t="s">
        <v>3</v>
      </c>
      <c r="E4" s="18" t="s">
        <v>4</v>
      </c>
      <c r="F4" s="18" t="s">
        <v>5</v>
      </c>
      <c r="G4" s="17" t="s">
        <v>3</v>
      </c>
      <c r="H4" s="19" t="s">
        <v>6</v>
      </c>
    </row>
    <row r="5" spans="1:8" ht="20.100000000000001" customHeight="1" x14ac:dyDescent="0.25">
      <c r="A5" s="3" t="s">
        <v>7</v>
      </c>
      <c r="B5" s="4">
        <v>61</v>
      </c>
      <c r="C5" s="4">
        <v>49</v>
      </c>
      <c r="D5" s="4">
        <f>B5+C5</f>
        <v>110</v>
      </c>
      <c r="E5" s="4">
        <v>50</v>
      </c>
      <c r="F5" s="4">
        <v>43</v>
      </c>
      <c r="G5" s="1">
        <f t="shared" ref="G5:G14" si="0">E5+F5</f>
        <v>93</v>
      </c>
      <c r="H5" s="15">
        <f>G5/D5*100</f>
        <v>84.545454545454547</v>
      </c>
    </row>
    <row r="6" spans="1:8" ht="20.100000000000001" customHeight="1" x14ac:dyDescent="0.25">
      <c r="A6" s="2" t="s">
        <v>8</v>
      </c>
      <c r="B6" s="1">
        <v>32</v>
      </c>
      <c r="C6" s="1">
        <v>24</v>
      </c>
      <c r="D6" s="4">
        <f t="shared" ref="D6:D14" si="1">B6+C6</f>
        <v>56</v>
      </c>
      <c r="E6" s="1">
        <v>29</v>
      </c>
      <c r="F6" s="1">
        <v>22</v>
      </c>
      <c r="G6" s="1">
        <f t="shared" si="0"/>
        <v>51</v>
      </c>
      <c r="H6" s="15">
        <f t="shared" ref="H6:H15" si="2">G6/D6*100</f>
        <v>91.071428571428569</v>
      </c>
    </row>
    <row r="7" spans="1:8" ht="20.100000000000001" customHeight="1" x14ac:dyDescent="0.25">
      <c r="A7" s="2" t="s">
        <v>9</v>
      </c>
      <c r="B7" s="1">
        <v>26</v>
      </c>
      <c r="C7" s="1">
        <v>26</v>
      </c>
      <c r="D7" s="4">
        <f t="shared" si="1"/>
        <v>52</v>
      </c>
      <c r="E7" s="1">
        <v>19</v>
      </c>
      <c r="F7" s="1">
        <v>22</v>
      </c>
      <c r="G7" s="1">
        <f t="shared" si="0"/>
        <v>41</v>
      </c>
      <c r="H7" s="15">
        <f t="shared" si="2"/>
        <v>78.84615384615384</v>
      </c>
    </row>
    <row r="8" spans="1:8" ht="20.100000000000001" customHeight="1" x14ac:dyDescent="0.25">
      <c r="A8" s="2" t="s">
        <v>10</v>
      </c>
      <c r="B8" s="1">
        <v>28</v>
      </c>
      <c r="C8" s="1">
        <v>24</v>
      </c>
      <c r="D8" s="4">
        <f t="shared" si="1"/>
        <v>52</v>
      </c>
      <c r="E8" s="1">
        <v>24</v>
      </c>
      <c r="F8" s="1">
        <v>18</v>
      </c>
      <c r="G8" s="1">
        <f t="shared" si="0"/>
        <v>42</v>
      </c>
      <c r="H8" s="15">
        <f t="shared" si="2"/>
        <v>80.769230769230774</v>
      </c>
    </row>
    <row r="9" spans="1:8" ht="20.100000000000001" customHeight="1" x14ac:dyDescent="0.25">
      <c r="A9" s="2" t="s">
        <v>11</v>
      </c>
      <c r="B9" s="1">
        <v>22</v>
      </c>
      <c r="C9" s="1">
        <v>31</v>
      </c>
      <c r="D9" s="4">
        <f t="shared" si="1"/>
        <v>53</v>
      </c>
      <c r="E9" s="1">
        <v>19</v>
      </c>
      <c r="F9" s="1">
        <v>31</v>
      </c>
      <c r="G9" s="1">
        <f t="shared" si="0"/>
        <v>50</v>
      </c>
      <c r="H9" s="15">
        <f t="shared" si="2"/>
        <v>94.339622641509436</v>
      </c>
    </row>
    <row r="10" spans="1:8" ht="20.100000000000001" customHeight="1" x14ac:dyDescent="0.25">
      <c r="A10" s="2" t="s">
        <v>12</v>
      </c>
      <c r="B10" s="1">
        <v>23</v>
      </c>
      <c r="C10" s="1">
        <v>23</v>
      </c>
      <c r="D10" s="4">
        <f t="shared" si="1"/>
        <v>46</v>
      </c>
      <c r="E10" s="1">
        <v>23</v>
      </c>
      <c r="F10" s="1">
        <v>22</v>
      </c>
      <c r="G10" s="1">
        <f t="shared" si="0"/>
        <v>45</v>
      </c>
      <c r="H10" s="15">
        <f t="shared" si="2"/>
        <v>97.826086956521735</v>
      </c>
    </row>
    <row r="11" spans="1:8" ht="20.100000000000001" customHeight="1" x14ac:dyDescent="0.25">
      <c r="A11" s="2" t="s">
        <v>13</v>
      </c>
      <c r="B11" s="1">
        <v>17</v>
      </c>
      <c r="C11" s="1">
        <v>25</v>
      </c>
      <c r="D11" s="4">
        <f t="shared" si="1"/>
        <v>42</v>
      </c>
      <c r="E11" s="1">
        <v>17</v>
      </c>
      <c r="F11" s="1">
        <v>25</v>
      </c>
      <c r="G11" s="1">
        <f t="shared" si="0"/>
        <v>42</v>
      </c>
      <c r="H11" s="15">
        <f t="shared" si="2"/>
        <v>100</v>
      </c>
    </row>
    <row r="12" spans="1:8" ht="20.100000000000001" customHeight="1" x14ac:dyDescent="0.25">
      <c r="A12" s="2" t="s">
        <v>14</v>
      </c>
      <c r="B12" s="1">
        <v>29</v>
      </c>
      <c r="C12" s="1">
        <v>19</v>
      </c>
      <c r="D12" s="4">
        <f t="shared" si="1"/>
        <v>48</v>
      </c>
      <c r="E12" s="1">
        <v>26</v>
      </c>
      <c r="F12" s="1">
        <v>17</v>
      </c>
      <c r="G12" s="1">
        <f t="shared" si="0"/>
        <v>43</v>
      </c>
      <c r="H12" s="15">
        <f t="shared" si="2"/>
        <v>89.583333333333343</v>
      </c>
    </row>
    <row r="13" spans="1:8" ht="20.100000000000001" customHeight="1" x14ac:dyDescent="0.25">
      <c r="A13" s="2" t="s">
        <v>15</v>
      </c>
      <c r="B13" s="1">
        <v>19</v>
      </c>
      <c r="C13" s="1">
        <v>23</v>
      </c>
      <c r="D13" s="4">
        <f t="shared" si="1"/>
        <v>42</v>
      </c>
      <c r="E13" s="1">
        <v>16</v>
      </c>
      <c r="F13" s="1">
        <v>22</v>
      </c>
      <c r="G13" s="1">
        <f t="shared" si="0"/>
        <v>38</v>
      </c>
      <c r="H13" s="15">
        <f t="shared" si="2"/>
        <v>90.476190476190482</v>
      </c>
    </row>
    <row r="14" spans="1:8" ht="20.100000000000001" customHeight="1" thickBot="1" x14ac:dyDescent="0.3">
      <c r="A14" s="9" t="s">
        <v>16</v>
      </c>
      <c r="B14" s="10">
        <v>17</v>
      </c>
      <c r="C14" s="10">
        <v>19</v>
      </c>
      <c r="D14" s="4">
        <f t="shared" si="1"/>
        <v>36</v>
      </c>
      <c r="E14" s="10">
        <v>15</v>
      </c>
      <c r="F14" s="10">
        <v>15</v>
      </c>
      <c r="G14" s="1">
        <f t="shared" si="0"/>
        <v>30</v>
      </c>
      <c r="H14" s="15">
        <f t="shared" si="2"/>
        <v>83.333333333333343</v>
      </c>
    </row>
    <row r="15" spans="1:8" ht="20.100000000000001" customHeight="1" thickBot="1" x14ac:dyDescent="0.3">
      <c r="A15" s="14" t="s">
        <v>3</v>
      </c>
      <c r="B15" s="11">
        <f t="shared" ref="B15:G15" si="3">SUM(B5:B14)</f>
        <v>274</v>
      </c>
      <c r="C15" s="11">
        <f t="shared" si="3"/>
        <v>263</v>
      </c>
      <c r="D15" s="11">
        <f t="shared" si="3"/>
        <v>537</v>
      </c>
      <c r="E15" s="11">
        <f t="shared" si="3"/>
        <v>238</v>
      </c>
      <c r="F15" s="11">
        <f t="shared" si="3"/>
        <v>237</v>
      </c>
      <c r="G15" s="11">
        <f t="shared" si="3"/>
        <v>475</v>
      </c>
      <c r="H15" s="12">
        <f t="shared" si="2"/>
        <v>88.454376163873377</v>
      </c>
    </row>
    <row r="16" spans="1:8" ht="20.100000000000001" customHeight="1" thickBot="1" x14ac:dyDescent="0.3">
      <c r="B16" s="30">
        <f>B15+C15</f>
        <v>537</v>
      </c>
      <c r="C16" s="31"/>
      <c r="E16" s="30">
        <f>E15+F15</f>
        <v>475</v>
      </c>
      <c r="F16" s="31"/>
    </row>
    <row r="19" spans="4:4" x14ac:dyDescent="0.25">
      <c r="D19" s="20" t="s">
        <v>19</v>
      </c>
    </row>
  </sheetData>
  <mergeCells count="5">
    <mergeCell ref="A1:H1"/>
    <mergeCell ref="A2:H2"/>
    <mergeCell ref="A3:H3"/>
    <mergeCell ref="B16:C16"/>
    <mergeCell ref="E16:F1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7CE49-6986-45D2-B613-75968A4EB1F2}">
  <dimension ref="A1:H19"/>
  <sheetViews>
    <sheetView workbookViewId="0">
      <selection activeCell="E15" sqref="E15"/>
    </sheetView>
  </sheetViews>
  <sheetFormatPr defaultRowHeight="15" x14ac:dyDescent="0.25"/>
  <cols>
    <col min="1" max="1" width="13.7109375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7.28515625" bestFit="1" customWidth="1"/>
    <col min="8" max="8" width="13.85546875" bestFit="1" customWidth="1"/>
  </cols>
  <sheetData>
    <row r="1" spans="1:8" ht="21" x14ac:dyDescent="0.35">
      <c r="A1" s="21" t="s">
        <v>17</v>
      </c>
      <c r="B1" s="22"/>
      <c r="C1" s="22"/>
      <c r="D1" s="22"/>
      <c r="E1" s="22"/>
      <c r="F1" s="22"/>
      <c r="G1" s="22"/>
      <c r="H1" s="23"/>
    </row>
    <row r="2" spans="1:8" ht="21" x14ac:dyDescent="0.35">
      <c r="A2" s="24" t="s">
        <v>18</v>
      </c>
      <c r="B2" s="25"/>
      <c r="C2" s="25"/>
      <c r="D2" s="25"/>
      <c r="E2" s="25"/>
      <c r="F2" s="25"/>
      <c r="G2" s="25"/>
      <c r="H2" s="26"/>
    </row>
    <row r="3" spans="1:8" ht="21.75" thickBot="1" x14ac:dyDescent="0.3">
      <c r="A3" s="27">
        <v>45625</v>
      </c>
      <c r="B3" s="28"/>
      <c r="C3" s="28"/>
      <c r="D3" s="28"/>
      <c r="E3" s="28"/>
      <c r="F3" s="28"/>
      <c r="G3" s="28"/>
      <c r="H3" s="29"/>
    </row>
    <row r="4" spans="1:8" ht="48" thickBot="1" x14ac:dyDescent="0.3">
      <c r="A4" s="16" t="s">
        <v>0</v>
      </c>
      <c r="B4" s="17" t="s">
        <v>1</v>
      </c>
      <c r="C4" s="17" t="s">
        <v>2</v>
      </c>
      <c r="D4" s="17" t="s">
        <v>3</v>
      </c>
      <c r="E4" s="18" t="s">
        <v>4</v>
      </c>
      <c r="F4" s="18" t="s">
        <v>5</v>
      </c>
      <c r="G4" s="17" t="s">
        <v>3</v>
      </c>
      <c r="H4" s="19" t="s">
        <v>6</v>
      </c>
    </row>
    <row r="5" spans="1:8" ht="20.100000000000001" customHeight="1" x14ac:dyDescent="0.25">
      <c r="A5" s="3" t="s">
        <v>7</v>
      </c>
      <c r="B5" s="4">
        <v>61</v>
      </c>
      <c r="C5" s="4">
        <v>49</v>
      </c>
      <c r="D5" s="4">
        <f>B5+C5</f>
        <v>110</v>
      </c>
      <c r="E5" s="4">
        <v>58</v>
      </c>
      <c r="F5" s="4">
        <v>40</v>
      </c>
      <c r="G5" s="1">
        <f t="shared" ref="G5:G14" si="0">E5+F5</f>
        <v>98</v>
      </c>
      <c r="H5" s="15">
        <f>G5/D5*100</f>
        <v>89.090909090909093</v>
      </c>
    </row>
    <row r="6" spans="1:8" ht="20.100000000000001" customHeight="1" x14ac:dyDescent="0.25">
      <c r="A6" s="2" t="s">
        <v>8</v>
      </c>
      <c r="B6" s="1">
        <v>32</v>
      </c>
      <c r="C6" s="1">
        <v>24</v>
      </c>
      <c r="D6" s="4">
        <f t="shared" ref="D6:D14" si="1">B6+C6</f>
        <v>56</v>
      </c>
      <c r="E6" s="1">
        <v>31</v>
      </c>
      <c r="F6" s="1">
        <v>19</v>
      </c>
      <c r="G6" s="1">
        <f t="shared" si="0"/>
        <v>50</v>
      </c>
      <c r="H6" s="15">
        <f t="shared" ref="H6:H15" si="2">G6/D6*100</f>
        <v>89.285714285714292</v>
      </c>
    </row>
    <row r="7" spans="1:8" ht="20.100000000000001" customHeight="1" x14ac:dyDescent="0.25">
      <c r="A7" s="2" t="s">
        <v>9</v>
      </c>
      <c r="B7" s="1">
        <v>26</v>
      </c>
      <c r="C7" s="1">
        <v>26</v>
      </c>
      <c r="D7" s="4">
        <f t="shared" si="1"/>
        <v>52</v>
      </c>
      <c r="E7" s="1">
        <v>22</v>
      </c>
      <c r="F7" s="1">
        <v>22</v>
      </c>
      <c r="G7" s="1">
        <f t="shared" si="0"/>
        <v>44</v>
      </c>
      <c r="H7" s="15">
        <f t="shared" si="2"/>
        <v>84.615384615384613</v>
      </c>
    </row>
    <row r="8" spans="1:8" ht="20.100000000000001" customHeight="1" x14ac:dyDescent="0.25">
      <c r="A8" s="2" t="s">
        <v>10</v>
      </c>
      <c r="B8" s="1">
        <v>28</v>
      </c>
      <c r="C8" s="1">
        <v>24</v>
      </c>
      <c r="D8" s="4">
        <f t="shared" si="1"/>
        <v>52</v>
      </c>
      <c r="E8" s="1">
        <v>24</v>
      </c>
      <c r="F8" s="1">
        <v>21</v>
      </c>
      <c r="G8" s="1">
        <f t="shared" si="0"/>
        <v>45</v>
      </c>
      <c r="H8" s="15">
        <f t="shared" si="2"/>
        <v>86.538461538461547</v>
      </c>
    </row>
    <row r="9" spans="1:8" ht="20.100000000000001" customHeight="1" x14ac:dyDescent="0.25">
      <c r="A9" s="2" t="s">
        <v>11</v>
      </c>
      <c r="B9" s="1">
        <v>22</v>
      </c>
      <c r="C9" s="1">
        <v>31</v>
      </c>
      <c r="D9" s="4">
        <f t="shared" si="1"/>
        <v>53</v>
      </c>
      <c r="E9" s="1">
        <v>19</v>
      </c>
      <c r="F9" s="1">
        <v>31</v>
      </c>
      <c r="G9" s="1">
        <f t="shared" si="0"/>
        <v>50</v>
      </c>
      <c r="H9" s="15">
        <f t="shared" si="2"/>
        <v>94.339622641509436</v>
      </c>
    </row>
    <row r="10" spans="1:8" ht="20.100000000000001" customHeight="1" x14ac:dyDescent="0.25">
      <c r="A10" s="2" t="s">
        <v>12</v>
      </c>
      <c r="B10" s="1">
        <v>23</v>
      </c>
      <c r="C10" s="1">
        <v>23</v>
      </c>
      <c r="D10" s="4">
        <f t="shared" si="1"/>
        <v>46</v>
      </c>
      <c r="E10" s="1">
        <v>23</v>
      </c>
      <c r="F10" s="1">
        <v>22</v>
      </c>
      <c r="G10" s="1">
        <f t="shared" si="0"/>
        <v>45</v>
      </c>
      <c r="H10" s="15">
        <f t="shared" si="2"/>
        <v>97.826086956521735</v>
      </c>
    </row>
    <row r="11" spans="1:8" ht="20.100000000000001" customHeight="1" x14ac:dyDescent="0.25">
      <c r="A11" s="2" t="s">
        <v>13</v>
      </c>
      <c r="B11" s="1">
        <v>17</v>
      </c>
      <c r="C11" s="1">
        <v>25</v>
      </c>
      <c r="D11" s="4">
        <f t="shared" si="1"/>
        <v>42</v>
      </c>
      <c r="E11" s="1">
        <v>17</v>
      </c>
      <c r="F11" s="1">
        <v>25</v>
      </c>
      <c r="G11" s="1">
        <f t="shared" si="0"/>
        <v>42</v>
      </c>
      <c r="H11" s="15">
        <f t="shared" si="2"/>
        <v>100</v>
      </c>
    </row>
    <row r="12" spans="1:8" ht="20.100000000000001" customHeight="1" x14ac:dyDescent="0.25">
      <c r="A12" s="2" t="s">
        <v>14</v>
      </c>
      <c r="B12" s="1">
        <v>29</v>
      </c>
      <c r="C12" s="1">
        <v>19</v>
      </c>
      <c r="D12" s="4">
        <f t="shared" si="1"/>
        <v>48</v>
      </c>
      <c r="E12" s="1">
        <v>26</v>
      </c>
      <c r="F12" s="1">
        <v>17</v>
      </c>
      <c r="G12" s="1">
        <f t="shared" si="0"/>
        <v>43</v>
      </c>
      <c r="H12" s="15">
        <f t="shared" si="2"/>
        <v>89.583333333333343</v>
      </c>
    </row>
    <row r="13" spans="1:8" ht="20.100000000000001" customHeight="1" x14ac:dyDescent="0.25">
      <c r="A13" s="2" t="s">
        <v>15</v>
      </c>
      <c r="B13" s="1">
        <v>19</v>
      </c>
      <c r="C13" s="1">
        <v>23</v>
      </c>
      <c r="D13" s="4">
        <f t="shared" si="1"/>
        <v>42</v>
      </c>
      <c r="E13" s="1">
        <v>16</v>
      </c>
      <c r="F13" s="1">
        <v>20</v>
      </c>
      <c r="G13" s="1">
        <f t="shared" si="0"/>
        <v>36</v>
      </c>
      <c r="H13" s="15">
        <f t="shared" si="2"/>
        <v>85.714285714285708</v>
      </c>
    </row>
    <row r="14" spans="1:8" ht="20.100000000000001" customHeight="1" thickBot="1" x14ac:dyDescent="0.3">
      <c r="A14" s="9" t="s">
        <v>16</v>
      </c>
      <c r="B14" s="10">
        <v>17</v>
      </c>
      <c r="C14" s="10">
        <v>19</v>
      </c>
      <c r="D14" s="4">
        <f t="shared" si="1"/>
        <v>36</v>
      </c>
      <c r="E14" s="10">
        <v>12</v>
      </c>
      <c r="F14" s="10">
        <v>14</v>
      </c>
      <c r="G14" s="1">
        <f t="shared" si="0"/>
        <v>26</v>
      </c>
      <c r="H14" s="15">
        <f t="shared" si="2"/>
        <v>72.222222222222214</v>
      </c>
    </row>
    <row r="15" spans="1:8" ht="20.100000000000001" customHeight="1" thickBot="1" x14ac:dyDescent="0.3">
      <c r="A15" s="14" t="s">
        <v>3</v>
      </c>
      <c r="B15" s="11">
        <f t="shared" ref="B15:G15" si="3">SUM(B5:B14)</f>
        <v>274</v>
      </c>
      <c r="C15" s="11">
        <f t="shared" si="3"/>
        <v>263</v>
      </c>
      <c r="D15" s="11">
        <f t="shared" si="3"/>
        <v>537</v>
      </c>
      <c r="E15" s="11">
        <f t="shared" si="3"/>
        <v>248</v>
      </c>
      <c r="F15" s="11">
        <f t="shared" si="3"/>
        <v>231</v>
      </c>
      <c r="G15" s="11">
        <f t="shared" si="3"/>
        <v>479</v>
      </c>
      <c r="H15" s="12">
        <f t="shared" si="2"/>
        <v>89.199255121042825</v>
      </c>
    </row>
    <row r="16" spans="1:8" ht="20.100000000000001" customHeight="1" thickBot="1" x14ac:dyDescent="0.3">
      <c r="B16" s="30">
        <f>B15+C15</f>
        <v>537</v>
      </c>
      <c r="C16" s="31"/>
      <c r="E16" s="30">
        <f>E15+F15</f>
        <v>479</v>
      </c>
      <c r="F16" s="31"/>
    </row>
    <row r="19" spans="4:4" x14ac:dyDescent="0.25">
      <c r="D19" s="20" t="s">
        <v>19</v>
      </c>
    </row>
  </sheetData>
  <mergeCells count="5">
    <mergeCell ref="A1:H1"/>
    <mergeCell ref="A2:H2"/>
    <mergeCell ref="A3:H3"/>
    <mergeCell ref="B16:C16"/>
    <mergeCell ref="E16:F1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DC861-FCD9-4768-B31A-8B054EEC9DC3}">
  <dimension ref="A1:H19"/>
  <sheetViews>
    <sheetView tabSelected="1" workbookViewId="0">
      <selection activeCell="E15" sqref="E15"/>
    </sheetView>
  </sheetViews>
  <sheetFormatPr defaultRowHeight="15" x14ac:dyDescent="0.25"/>
  <cols>
    <col min="1" max="1" width="13.7109375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7.28515625" bestFit="1" customWidth="1"/>
    <col min="8" max="8" width="13.85546875" bestFit="1" customWidth="1"/>
  </cols>
  <sheetData>
    <row r="1" spans="1:8" ht="21" x14ac:dyDescent="0.35">
      <c r="A1" s="21" t="s">
        <v>17</v>
      </c>
      <c r="B1" s="22"/>
      <c r="C1" s="22"/>
      <c r="D1" s="22"/>
      <c r="E1" s="22"/>
      <c r="F1" s="22"/>
      <c r="G1" s="22"/>
      <c r="H1" s="23"/>
    </row>
    <row r="2" spans="1:8" ht="21" x14ac:dyDescent="0.35">
      <c r="A2" s="24" t="s">
        <v>18</v>
      </c>
      <c r="B2" s="25"/>
      <c r="C2" s="25"/>
      <c r="D2" s="25"/>
      <c r="E2" s="25"/>
      <c r="F2" s="25"/>
      <c r="G2" s="25"/>
      <c r="H2" s="26"/>
    </row>
    <row r="3" spans="1:8" ht="21.75" thickBot="1" x14ac:dyDescent="0.3">
      <c r="A3" s="27">
        <v>45626</v>
      </c>
      <c r="B3" s="28"/>
      <c r="C3" s="28"/>
      <c r="D3" s="28"/>
      <c r="E3" s="28"/>
      <c r="F3" s="28"/>
      <c r="G3" s="28"/>
      <c r="H3" s="29"/>
    </row>
    <row r="4" spans="1:8" ht="48" thickBot="1" x14ac:dyDescent="0.3">
      <c r="A4" s="16" t="s">
        <v>0</v>
      </c>
      <c r="B4" s="17" t="s">
        <v>1</v>
      </c>
      <c r="C4" s="17" t="s">
        <v>2</v>
      </c>
      <c r="D4" s="17" t="s">
        <v>3</v>
      </c>
      <c r="E4" s="18" t="s">
        <v>4</v>
      </c>
      <c r="F4" s="18" t="s">
        <v>5</v>
      </c>
      <c r="G4" s="17" t="s">
        <v>3</v>
      </c>
      <c r="H4" s="19" t="s">
        <v>6</v>
      </c>
    </row>
    <row r="5" spans="1:8" ht="20.100000000000001" customHeight="1" x14ac:dyDescent="0.25">
      <c r="A5" s="3" t="s">
        <v>7</v>
      </c>
      <c r="B5" s="4">
        <v>61</v>
      </c>
      <c r="C5" s="4">
        <v>49</v>
      </c>
      <c r="D5" s="4">
        <f>B5+C5</f>
        <v>110</v>
      </c>
      <c r="E5" s="4">
        <v>44</v>
      </c>
      <c r="F5" s="4">
        <v>35</v>
      </c>
      <c r="G5" s="1">
        <f t="shared" ref="G5:G14" si="0">E5+F5</f>
        <v>79</v>
      </c>
      <c r="H5" s="15">
        <f>G5/D5*100</f>
        <v>71.818181818181813</v>
      </c>
    </row>
    <row r="6" spans="1:8" ht="20.100000000000001" customHeight="1" x14ac:dyDescent="0.25">
      <c r="A6" s="2" t="s">
        <v>8</v>
      </c>
      <c r="B6" s="1">
        <v>32</v>
      </c>
      <c r="C6" s="1">
        <v>24</v>
      </c>
      <c r="D6" s="4">
        <f t="shared" ref="D6:D14" si="1">B6+C6</f>
        <v>56</v>
      </c>
      <c r="E6" s="1">
        <v>28</v>
      </c>
      <c r="F6" s="1">
        <v>18</v>
      </c>
      <c r="G6" s="1">
        <f t="shared" si="0"/>
        <v>46</v>
      </c>
      <c r="H6" s="15">
        <f t="shared" ref="H6:H15" si="2">G6/D6*100</f>
        <v>82.142857142857139</v>
      </c>
    </row>
    <row r="7" spans="1:8" ht="20.100000000000001" customHeight="1" x14ac:dyDescent="0.25">
      <c r="A7" s="2" t="s">
        <v>9</v>
      </c>
      <c r="B7" s="1">
        <v>26</v>
      </c>
      <c r="C7" s="1">
        <v>26</v>
      </c>
      <c r="D7" s="4">
        <f t="shared" si="1"/>
        <v>52</v>
      </c>
      <c r="E7" s="1">
        <v>19</v>
      </c>
      <c r="F7" s="1">
        <v>18</v>
      </c>
      <c r="G7" s="1">
        <f t="shared" si="0"/>
        <v>37</v>
      </c>
      <c r="H7" s="15">
        <f t="shared" si="2"/>
        <v>71.15384615384616</v>
      </c>
    </row>
    <row r="8" spans="1:8" ht="20.100000000000001" customHeight="1" x14ac:dyDescent="0.25">
      <c r="A8" s="2" t="s">
        <v>10</v>
      </c>
      <c r="B8" s="1">
        <v>28</v>
      </c>
      <c r="C8" s="1">
        <v>24</v>
      </c>
      <c r="D8" s="4">
        <f t="shared" si="1"/>
        <v>52</v>
      </c>
      <c r="E8" s="1">
        <v>20</v>
      </c>
      <c r="F8" s="1">
        <v>19</v>
      </c>
      <c r="G8" s="1">
        <f t="shared" si="0"/>
        <v>39</v>
      </c>
      <c r="H8" s="15">
        <f t="shared" si="2"/>
        <v>75</v>
      </c>
    </row>
    <row r="9" spans="1:8" ht="20.100000000000001" customHeight="1" x14ac:dyDescent="0.25">
      <c r="A9" s="2" t="s">
        <v>11</v>
      </c>
      <c r="B9" s="1">
        <v>22</v>
      </c>
      <c r="C9" s="1">
        <v>31</v>
      </c>
      <c r="D9" s="4">
        <f t="shared" si="1"/>
        <v>53</v>
      </c>
      <c r="E9" s="1">
        <v>22</v>
      </c>
      <c r="F9" s="1">
        <v>31</v>
      </c>
      <c r="G9" s="1">
        <f t="shared" si="0"/>
        <v>53</v>
      </c>
      <c r="H9" s="15">
        <f t="shared" si="2"/>
        <v>100</v>
      </c>
    </row>
    <row r="10" spans="1:8" ht="20.100000000000001" customHeight="1" x14ac:dyDescent="0.25">
      <c r="A10" s="2" t="s">
        <v>12</v>
      </c>
      <c r="B10" s="1">
        <v>23</v>
      </c>
      <c r="C10" s="1">
        <v>23</v>
      </c>
      <c r="D10" s="4">
        <f t="shared" si="1"/>
        <v>46</v>
      </c>
      <c r="E10" s="1">
        <v>23</v>
      </c>
      <c r="F10" s="1">
        <v>22</v>
      </c>
      <c r="G10" s="1">
        <f t="shared" si="0"/>
        <v>45</v>
      </c>
      <c r="H10" s="15">
        <f t="shared" si="2"/>
        <v>97.826086956521735</v>
      </c>
    </row>
    <row r="11" spans="1:8" ht="20.100000000000001" customHeight="1" x14ac:dyDescent="0.25">
      <c r="A11" s="2" t="s">
        <v>13</v>
      </c>
      <c r="B11" s="1">
        <v>17</v>
      </c>
      <c r="C11" s="1">
        <v>25</v>
      </c>
      <c r="D11" s="4">
        <f t="shared" si="1"/>
        <v>42</v>
      </c>
      <c r="E11" s="1">
        <v>17</v>
      </c>
      <c r="F11" s="1">
        <v>25</v>
      </c>
      <c r="G11" s="1">
        <f t="shared" si="0"/>
        <v>42</v>
      </c>
      <c r="H11" s="15">
        <f t="shared" si="2"/>
        <v>100</v>
      </c>
    </row>
    <row r="12" spans="1:8" ht="20.100000000000001" customHeight="1" x14ac:dyDescent="0.25">
      <c r="A12" s="2" t="s">
        <v>14</v>
      </c>
      <c r="B12" s="1">
        <v>29</v>
      </c>
      <c r="C12" s="1">
        <v>19</v>
      </c>
      <c r="D12" s="4">
        <f t="shared" si="1"/>
        <v>48</v>
      </c>
      <c r="E12" s="1">
        <v>26</v>
      </c>
      <c r="F12" s="1">
        <v>17</v>
      </c>
      <c r="G12" s="1">
        <f t="shared" si="0"/>
        <v>43</v>
      </c>
      <c r="H12" s="15">
        <f t="shared" si="2"/>
        <v>89.583333333333343</v>
      </c>
    </row>
    <row r="13" spans="1:8" ht="20.100000000000001" customHeight="1" x14ac:dyDescent="0.25">
      <c r="A13" s="2" t="s">
        <v>15</v>
      </c>
      <c r="B13" s="1">
        <v>19</v>
      </c>
      <c r="C13" s="1">
        <v>23</v>
      </c>
      <c r="D13" s="4">
        <f t="shared" si="1"/>
        <v>42</v>
      </c>
      <c r="E13" s="1">
        <v>16</v>
      </c>
      <c r="F13" s="1">
        <v>20</v>
      </c>
      <c r="G13" s="1">
        <f t="shared" si="0"/>
        <v>36</v>
      </c>
      <c r="H13" s="15">
        <f t="shared" si="2"/>
        <v>85.714285714285708</v>
      </c>
    </row>
    <row r="14" spans="1:8" ht="20.100000000000001" customHeight="1" thickBot="1" x14ac:dyDescent="0.3">
      <c r="A14" s="9" t="s">
        <v>16</v>
      </c>
      <c r="B14" s="10">
        <v>17</v>
      </c>
      <c r="C14" s="10">
        <v>19</v>
      </c>
      <c r="D14" s="4">
        <f t="shared" si="1"/>
        <v>36</v>
      </c>
      <c r="E14" s="10">
        <v>15</v>
      </c>
      <c r="F14" s="10">
        <v>18</v>
      </c>
      <c r="G14" s="1">
        <f t="shared" si="0"/>
        <v>33</v>
      </c>
      <c r="H14" s="15">
        <f t="shared" si="2"/>
        <v>91.666666666666657</v>
      </c>
    </row>
    <row r="15" spans="1:8" ht="20.100000000000001" customHeight="1" thickBot="1" x14ac:dyDescent="0.3">
      <c r="A15" s="14" t="s">
        <v>3</v>
      </c>
      <c r="B15" s="11">
        <f t="shared" ref="B15:G15" si="3">SUM(B5:B14)</f>
        <v>274</v>
      </c>
      <c r="C15" s="11">
        <f t="shared" si="3"/>
        <v>263</v>
      </c>
      <c r="D15" s="11">
        <f t="shared" si="3"/>
        <v>537</v>
      </c>
      <c r="E15" s="11">
        <f t="shared" si="3"/>
        <v>230</v>
      </c>
      <c r="F15" s="11">
        <f t="shared" si="3"/>
        <v>223</v>
      </c>
      <c r="G15" s="11">
        <f t="shared" si="3"/>
        <v>453</v>
      </c>
      <c r="H15" s="12">
        <f t="shared" si="2"/>
        <v>84.357541899441344</v>
      </c>
    </row>
    <row r="16" spans="1:8" ht="20.100000000000001" customHeight="1" thickBot="1" x14ac:dyDescent="0.3">
      <c r="B16" s="30">
        <f>B15+C15</f>
        <v>537</v>
      </c>
      <c r="C16" s="31"/>
      <c r="E16" s="30">
        <f>E15+F15</f>
        <v>453</v>
      </c>
      <c r="F16" s="31"/>
    </row>
    <row r="19" spans="4:4" x14ac:dyDescent="0.25">
      <c r="D19" s="20" t="s">
        <v>19</v>
      </c>
    </row>
  </sheetData>
  <mergeCells count="5">
    <mergeCell ref="A1:H1"/>
    <mergeCell ref="A2:H2"/>
    <mergeCell ref="A3:H3"/>
    <mergeCell ref="B16:C16"/>
    <mergeCell ref="E16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18-11-2024</vt:lpstr>
      <vt:lpstr>19-11-2024</vt:lpstr>
      <vt:lpstr>20-11-2024</vt:lpstr>
      <vt:lpstr>21-11-2024</vt:lpstr>
      <vt:lpstr>22-11-2024</vt:lpstr>
      <vt:lpstr>23-11-2024</vt:lpstr>
      <vt:lpstr>25-11-2024</vt:lpstr>
      <vt:lpstr>26-11-2024</vt:lpstr>
      <vt:lpstr>27-11-2024</vt:lpstr>
      <vt:lpstr>28-11-2024</vt:lpstr>
      <vt:lpstr>29-11-2024</vt:lpstr>
      <vt:lpstr>30-11-2024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</dc:creator>
  <cp:lastModifiedBy>Fayyaz Mohammad</cp:lastModifiedBy>
  <dcterms:created xsi:type="dcterms:W3CDTF">2015-06-05T18:17:20Z</dcterms:created>
  <dcterms:modified xsi:type="dcterms:W3CDTF">2025-01-14T06:51:08Z</dcterms:modified>
</cp:coreProperties>
</file>