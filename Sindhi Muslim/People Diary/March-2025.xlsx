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People Diary\"/>
    </mc:Choice>
  </mc:AlternateContent>
  <xr:revisionPtr revIDLastSave="0" documentId="13_ncr:1_{1E5D6033-9738-480E-B0F0-BF61B5C65567}" xr6:coauthVersionLast="47" xr6:coauthVersionMax="47" xr10:uidLastSave="{00000000-0000-0000-0000-000000000000}"/>
  <bookViews>
    <workbookView xWindow="-120" yWindow="-120" windowWidth="20730" windowHeight="11160" xr2:uid="{CC8C79AA-A885-4B45-93E1-9511BBAB4246}"/>
  </bookViews>
  <sheets>
    <sheet name="01-03-2025" sheetId="2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21" l="1"/>
  <c r="E15" i="21"/>
  <c r="C15" i="21"/>
  <c r="B15" i="21"/>
  <c r="G14" i="21"/>
  <c r="H14" i="21" s="1"/>
  <c r="D14" i="21"/>
  <c r="G13" i="21"/>
  <c r="H13" i="21" s="1"/>
  <c r="D13" i="21"/>
  <c r="G12" i="21"/>
  <c r="H12" i="21" s="1"/>
  <c r="D12" i="21"/>
  <c r="G11" i="21"/>
  <c r="H11" i="21" s="1"/>
  <c r="D11" i="21"/>
  <c r="G10" i="21"/>
  <c r="H10" i="21" s="1"/>
  <c r="D10" i="21"/>
  <c r="G9" i="21"/>
  <c r="H9" i="21" s="1"/>
  <c r="D9" i="21"/>
  <c r="G8" i="21"/>
  <c r="H8" i="21" s="1"/>
  <c r="D8" i="21"/>
  <c r="G7" i="21"/>
  <c r="H7" i="21" s="1"/>
  <c r="D7" i="21"/>
  <c r="G6" i="21"/>
  <c r="H6" i="21" s="1"/>
  <c r="D6" i="21"/>
  <c r="G5" i="21"/>
  <c r="H5" i="21" s="1"/>
  <c r="D5" i="21"/>
  <c r="D15" i="21" s="1"/>
  <c r="G15" i="21" l="1"/>
  <c r="H15" i="21" s="1"/>
</calcChain>
</file>

<file path=xl/sharedStrings.xml><?xml version="1.0" encoding="utf-8"?>
<sst xmlns="http://schemas.openxmlformats.org/spreadsheetml/2006/main" count="21" uniqueCount="19">
  <si>
    <t>Monthly Attendance Summary of Student GHS</t>
  </si>
  <si>
    <t>CLASS WISE ENROLLED SUMMARY</t>
  </si>
  <si>
    <t>BOYS</t>
  </si>
  <si>
    <t>GIRLS</t>
  </si>
  <si>
    <t>TOTAL</t>
  </si>
  <si>
    <t>PRESENT BOYS</t>
  </si>
  <si>
    <t>PRESENT GIRLS</t>
  </si>
  <si>
    <t>PERCENTAGE</t>
  </si>
  <si>
    <t>ECE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</si>
  <si>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</si>
  <si>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</si>
  <si>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</si>
  <si>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</si>
  <si>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</si>
  <si>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</si>
  <si>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</si>
  <si>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</si>
  <si>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</si>
  <si>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SJCHS (March-2025)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</si>
</sst>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Enrollment&quot;\ \(dd\-mm\-yyyy\)\ \(dddd\)"/>
  </numFmts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3" fillId="0" borderId="12" xfId="0" applyFont="1" applyBorder="1"/>
    <xf numFmtId="0" fontId="0" fillId="0" borderId="13" xfId="0" applyBorder="1"/>
    <xf numFmtId="2" fontId="0" fillId="0" borderId="14" xfId="0" applyNumberFormat="1" applyBorder="1"/>
    <xf numFmtId="0" fontId="3" fillId="0" borderId="15" xfId="0" applyFont="1" applyBorder="1"/>
    <xf numFmtId="0" fontId="0" fillId="0" borderId="16" xfId="0" applyBorder="1"/>
    <xf numFmtId="0" fontId="0" fillId="0" borderId="17" xfId="0" applyBorder="1"/>
    <xf numFmtId="2" fontId="0" fillId="0" borderId="18" xfId="0" applyNumberFormat="1" applyBorder="1"/>
    <xf numFmtId="0" fontId="3" fillId="0" borderId="19" xfId="0" applyFont="1" applyBorder="1"/>
    <xf numFmtId="0" fontId="0" fillId="0" borderId="20" xfId="0" applyBorder="1"/>
    <xf numFmtId="0" fontId="0" fillId="0" borderId="21" xfId="0" applyBorder="1"/>
    <xf numFmtId="2" fontId="0" fillId="0" borderId="22" xfId="0" applyNumberFormat="1" applyBorder="1"/>
    <xf numFmtId="0" fontId="4" fillId="0" borderId="9" xfId="0" applyFont="1" applyBorder="1"/>
    <xf numFmtId="0" fontId="0" fillId="0" borderId="10" xfId="0" applyBorder="1"/>
    <xf numFmtId="2" fontId="0" fillId="0" borderId="11" xfId="0" applyNumberFormat="1" applyBorder="1"/>
    <xf numFmtId="0" fontId="0" fillId="0" borderId="23" xfId="0" applyBorder="1"/>
    <xf numFmtId="0" fontId="0" fillId="0" borderId="22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2BB9D-E7F3-47F7-8E22-4CF7AE46B339}">
  <dimension ref="A1:H16"/>
  <sheetViews>
    <sheetView tabSelected="1" workbookViewId="0">
      <selection activeCell="A3" sqref="A3:H3"/>
    </sheetView>
  </sheetViews>
  <sheetFormatPr defaultRowHeight="15" x14ac:dyDescent="0.25"/>
  <cols>
    <col min="1" max="1" width="12.7109375" customWidth="1"/>
    <col min="2" max="2" width="6.140625" bestFit="1" customWidth="1"/>
    <col min="3" max="3" width="6.42578125" bestFit="1" customWidth="1"/>
    <col min="4" max="4" width="7.28515625" bestFit="1" customWidth="1"/>
    <col min="5" max="6" width="9.7109375" customWidth="1"/>
    <col min="7" max="7" width="7.28515625" bestFit="1" customWidth="1"/>
    <col min="8" max="8" width="13.85546875" bestFit="1" customWidth="1"/>
  </cols>
  <sheetData>
    <row r="1" spans="1:8" ht="21" x14ac:dyDescent="0.35">
      <c r="A1" s="21" t="s">
        <v>0</v>
      </c>
      <c r="B1" s="22"/>
      <c r="C1" s="22"/>
      <c r="D1" s="22"/>
      <c r="E1" s="22"/>
      <c r="F1" s="22"/>
      <c r="G1" s="22"/>
      <c r="H1" s="23"/>
    </row>
    <row r="2" spans="1:8" ht="21" x14ac:dyDescent="0.35">
      <c r="A2" s="24" t="s">
        <v>18</v>
      </c>
      <c r="B2" s="25"/>
      <c r="C2" s="25"/>
      <c r="D2" s="25"/>
      <c r="E2" s="25"/>
      <c r="F2" s="25"/>
      <c r="G2" s="25"/>
      <c r="H2" s="26"/>
    </row>
    <row r="3" spans="1:8" ht="21.75" thickBot="1" x14ac:dyDescent="0.3">
      <c r="A3" s="27">
        <v>45689</v>
      </c>
      <c r="B3" s="28"/>
      <c r="C3" s="28"/>
      <c r="D3" s="28"/>
      <c r="E3" s="28"/>
      <c r="F3" s="28"/>
      <c r="G3" s="28"/>
      <c r="H3" s="29"/>
    </row>
    <row r="4" spans="1:8" ht="48" thickBot="1" x14ac:dyDescent="0.3">
      <c r="A4" s="1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3" t="s">
        <v>6</v>
      </c>
      <c r="G4" s="2" t="s">
        <v>4</v>
      </c>
      <c r="H4" s="4" t="s">
        <v>7</v>
      </c>
    </row>
    <row r="5" spans="1:8" ht="15.75" x14ac:dyDescent="0.25">
      <c r="A5" s="5" t="s">
        <v>8</v>
      </c>
      <c r="B5" s="6">
        <v>61</v>
      </c>
      <c r="C5" s="6">
        <v>49</v>
      </c>
      <c r="D5" s="6">
        <f>B5+C5</f>
        <v>110</v>
      </c>
      <c r="E5" s="6">
        <v>57</v>
      </c>
      <c r="F5" s="6">
        <v>44</v>
      </c>
      <c r="G5" s="6">
        <f t="shared" ref="G5" si="0">E5+F5</f>
        <v>101</v>
      </c>
      <c r="H5" s="7">
        <f>G5/D5*100</f>
        <v>91.818181818181827</v>
      </c>
    </row>
    <row r="6" spans="1:8" ht="15.75" x14ac:dyDescent="0.25">
      <c r="A6" s="8" t="s">
        <v>9</v>
      </c>
      <c r="B6" s="9">
        <v>32</v>
      </c>
      <c r="C6" s="9">
        <v>24</v>
      </c>
      <c r="D6" s="10">
        <f t="shared" ref="D6:D14" si="1">B6+C6</f>
        <v>56</v>
      </c>
      <c r="E6" s="10">
        <v>30</v>
      </c>
      <c r="F6" s="10">
        <v>22</v>
      </c>
      <c r="G6" s="9">
        <f>E6+F6</f>
        <v>52</v>
      </c>
      <c r="H6" s="11">
        <f t="shared" ref="H6:H15" si="2">G6/D6*100</f>
        <v>92.857142857142861</v>
      </c>
    </row>
    <row r="7" spans="1:8" ht="15.75" x14ac:dyDescent="0.25">
      <c r="A7" s="8" t="s">
        <v>10</v>
      </c>
      <c r="B7" s="9">
        <v>24</v>
      </c>
      <c r="C7" s="9">
        <v>23</v>
      </c>
      <c r="D7" s="10">
        <f t="shared" si="1"/>
        <v>47</v>
      </c>
      <c r="E7" s="10">
        <v>23</v>
      </c>
      <c r="F7" s="10">
        <v>23</v>
      </c>
      <c r="G7" s="9">
        <f t="shared" ref="G7:G14" si="3">E7+F7</f>
        <v>46</v>
      </c>
      <c r="H7" s="11">
        <f t="shared" si="2"/>
        <v>97.872340425531917</v>
      </c>
    </row>
    <row r="8" spans="1:8" ht="15.75" x14ac:dyDescent="0.25">
      <c r="A8" s="8" t="s">
        <v>11</v>
      </c>
      <c r="B8" s="9">
        <v>26</v>
      </c>
      <c r="C8" s="9">
        <v>24</v>
      </c>
      <c r="D8" s="10">
        <f t="shared" si="1"/>
        <v>50</v>
      </c>
      <c r="E8" s="10">
        <v>25</v>
      </c>
      <c r="F8" s="10">
        <v>24</v>
      </c>
      <c r="G8" s="9">
        <f t="shared" si="3"/>
        <v>49</v>
      </c>
      <c r="H8" s="11">
        <f t="shared" si="2"/>
        <v>98</v>
      </c>
    </row>
    <row r="9" spans="1:8" ht="15.75" x14ac:dyDescent="0.25">
      <c r="A9" s="8" t="s">
        <v>12</v>
      </c>
      <c r="B9" s="9">
        <v>22</v>
      </c>
      <c r="C9" s="9">
        <v>30</v>
      </c>
      <c r="D9" s="10">
        <f t="shared" si="1"/>
        <v>52</v>
      </c>
      <c r="E9" s="10">
        <v>17</v>
      </c>
      <c r="F9" s="10">
        <v>23</v>
      </c>
      <c r="G9" s="9">
        <f t="shared" si="3"/>
        <v>40</v>
      </c>
      <c r="H9" s="11">
        <f t="shared" si="2"/>
        <v>76.923076923076934</v>
      </c>
    </row>
    <row r="10" spans="1:8" ht="15.75" x14ac:dyDescent="0.25">
      <c r="A10" s="8" t="s">
        <v>13</v>
      </c>
      <c r="B10" s="9">
        <v>23</v>
      </c>
      <c r="C10" s="9">
        <v>23</v>
      </c>
      <c r="D10" s="10">
        <f t="shared" si="1"/>
        <v>46</v>
      </c>
      <c r="E10" s="10">
        <v>22</v>
      </c>
      <c r="F10" s="10">
        <v>18</v>
      </c>
      <c r="G10" s="9">
        <f t="shared" si="3"/>
        <v>40</v>
      </c>
      <c r="H10" s="11">
        <f t="shared" si="2"/>
        <v>86.956521739130437</v>
      </c>
    </row>
    <row r="11" spans="1:8" ht="15.75" x14ac:dyDescent="0.25">
      <c r="A11" s="8" t="s">
        <v>14</v>
      </c>
      <c r="B11" s="9">
        <v>17</v>
      </c>
      <c r="C11" s="9">
        <v>25</v>
      </c>
      <c r="D11" s="10">
        <f t="shared" si="1"/>
        <v>42</v>
      </c>
      <c r="E11" s="10">
        <v>13</v>
      </c>
      <c r="F11" s="10">
        <v>22</v>
      </c>
      <c r="G11" s="9">
        <f t="shared" si="3"/>
        <v>35</v>
      </c>
      <c r="H11" s="11">
        <f t="shared" si="2"/>
        <v>83.333333333333343</v>
      </c>
    </row>
    <row r="12" spans="1:8" ht="15.75" x14ac:dyDescent="0.25">
      <c r="A12" s="8" t="s">
        <v>15</v>
      </c>
      <c r="B12" s="9">
        <v>27</v>
      </c>
      <c r="C12" s="9">
        <v>18</v>
      </c>
      <c r="D12" s="10">
        <f t="shared" si="1"/>
        <v>45</v>
      </c>
      <c r="E12" s="10">
        <v>20</v>
      </c>
      <c r="F12" s="10">
        <v>14</v>
      </c>
      <c r="G12" s="9">
        <f t="shared" si="3"/>
        <v>34</v>
      </c>
      <c r="H12" s="11">
        <f t="shared" si="2"/>
        <v>75.555555555555557</v>
      </c>
    </row>
    <row r="13" spans="1:8" ht="15.75" x14ac:dyDescent="0.25">
      <c r="A13" s="8" t="s">
        <v>16</v>
      </c>
      <c r="B13" s="9">
        <v>19</v>
      </c>
      <c r="C13" s="9">
        <v>23</v>
      </c>
      <c r="D13" s="10">
        <f t="shared" si="1"/>
        <v>42</v>
      </c>
      <c r="E13" s="10">
        <v>14</v>
      </c>
      <c r="F13" s="10">
        <v>14</v>
      </c>
      <c r="G13" s="9">
        <f t="shared" si="3"/>
        <v>28</v>
      </c>
      <c r="H13" s="11">
        <f t="shared" si="2"/>
        <v>66.666666666666657</v>
      </c>
    </row>
    <row r="14" spans="1:8" ht="16.5" thickBot="1" x14ac:dyDescent="0.3">
      <c r="A14" s="12" t="s">
        <v>17</v>
      </c>
      <c r="B14" s="13">
        <v>16</v>
      </c>
      <c r="C14" s="13">
        <v>19</v>
      </c>
      <c r="D14" s="14">
        <f t="shared" si="1"/>
        <v>35</v>
      </c>
      <c r="E14" s="13">
        <v>11</v>
      </c>
      <c r="F14" s="14">
        <v>13</v>
      </c>
      <c r="G14" s="13">
        <f t="shared" si="3"/>
        <v>24</v>
      </c>
      <c r="H14" s="15">
        <f t="shared" si="2"/>
        <v>68.571428571428569</v>
      </c>
    </row>
    <row r="15" spans="1:8" ht="16.5" thickBot="1" x14ac:dyDescent="0.3">
      <c r="A15" s="16" t="s">
        <v>4</v>
      </c>
      <c r="B15" s="17">
        <f t="shared" ref="B15:G15" si="4">SUM(B5:B14)</f>
        <v>267</v>
      </c>
      <c r="C15" s="17">
        <f t="shared" si="4"/>
        <v>258</v>
      </c>
      <c r="D15" s="17">
        <f t="shared" si="4"/>
        <v>525</v>
      </c>
      <c r="E15" s="17">
        <f t="shared" si="4"/>
        <v>232</v>
      </c>
      <c r="F15" s="17">
        <f t="shared" si="4"/>
        <v>217</v>
      </c>
      <c r="G15" s="17">
        <f t="shared" si="4"/>
        <v>449</v>
      </c>
      <c r="H15" s="18">
        <f t="shared" si="2"/>
        <v>85.523809523809518</v>
      </c>
    </row>
    <row r="16" spans="1:8" ht="15.75" thickBot="1" x14ac:dyDescent="0.3">
      <c r="E16" s="19"/>
      <c r="F16" s="20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Boys" sqref="E5:E13" xr:uid="{C099923D-4619-498F-9C82-7B4F354C86AE}">
      <formula1>B5&gt;=E5</formula1>
    </dataValidation>
    <dataValidation type="custom" allowBlank="1" showInputMessage="1" showErrorMessage="1" errorTitle="Wrong Entry" error="Kindly Enter Value Less then Available Girls" sqref="F5:F14" xr:uid="{40FF336A-F706-4A96-817F-E20925566019}">
      <formula1>C5&gt;=F5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01-03-2025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dcterms:created xsi:type="dcterms:W3CDTF">2025-03-15T05:17:56Z</dcterms:created>
  <dcterms:modified xsi:type="dcterms:W3CDTF">2025-04-07T06:42:13Z</dcterms:modified>
</cp:coreProperties>
</file>