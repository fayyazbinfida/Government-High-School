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People Diary\"/>
    </mc:Choice>
  </mc:AlternateContent>
  <xr:revisionPtr revIDLastSave="0" documentId="13_ncr:1_{2457D430-3A24-4F5C-A0B6-CF7F4E65B2C5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02-12-2024" sheetId="1" r:id="rId1"/>
    <sheet name="03-12-2024" sheetId="2" r:id="rId2"/>
    <sheet name="04-12-2024" sheetId="3" r:id="rId3"/>
    <sheet name="05-12-2024" sheetId="6" r:id="rId4"/>
    <sheet name="06-12-2024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7" l="1"/>
  <c r="G15" i="7"/>
  <c r="H15" i="7" s="1"/>
  <c r="D15" i="7"/>
  <c r="H14" i="7"/>
  <c r="G14" i="7"/>
  <c r="D14" i="7"/>
  <c r="G13" i="7"/>
  <c r="H13" i="7" s="1"/>
  <c r="D13" i="7"/>
  <c r="G12" i="7"/>
  <c r="H12" i="7" s="1"/>
  <c r="D12" i="7"/>
  <c r="G11" i="7"/>
  <c r="H11" i="7" s="1"/>
  <c r="D11" i="7"/>
  <c r="H10" i="7"/>
  <c r="G10" i="7"/>
  <c r="D10" i="7"/>
  <c r="G9" i="7"/>
  <c r="H9" i="7" s="1"/>
  <c r="D9" i="7"/>
  <c r="G8" i="7"/>
  <c r="H8" i="7" s="1"/>
  <c r="D8" i="7"/>
  <c r="G7" i="7"/>
  <c r="H7" i="7" s="1"/>
  <c r="D7" i="7"/>
  <c r="G6" i="7"/>
  <c r="H6" i="7" s="1"/>
  <c r="D6" i="7"/>
  <c r="G5" i="7"/>
  <c r="H5" i="7" s="1"/>
  <c r="D5" i="7"/>
  <c r="G15" i="6"/>
  <c r="H15" i="6" s="1"/>
  <c r="D15" i="6"/>
  <c r="H14" i="6"/>
  <c r="G14" i="6"/>
  <c r="D14" i="6"/>
  <c r="G13" i="6"/>
  <c r="H13" i="6" s="1"/>
  <c r="D13" i="6"/>
  <c r="G12" i="6"/>
  <c r="H12" i="6" s="1"/>
  <c r="D12" i="6"/>
  <c r="G11" i="6"/>
  <c r="H11" i="6" s="1"/>
  <c r="D11" i="6"/>
  <c r="H10" i="6"/>
  <c r="G10" i="6"/>
  <c r="D10" i="6"/>
  <c r="G9" i="6"/>
  <c r="H9" i="6" s="1"/>
  <c r="D9" i="6"/>
  <c r="G8" i="6"/>
  <c r="H8" i="6" s="1"/>
  <c r="D8" i="6"/>
  <c r="G7" i="6"/>
  <c r="H7" i="6" s="1"/>
  <c r="D7" i="6"/>
  <c r="G6" i="6"/>
  <c r="H6" i="6" s="1"/>
  <c r="D6" i="6"/>
  <c r="G5" i="6"/>
  <c r="H5" i="6" s="1"/>
  <c r="D5" i="6"/>
  <c r="H12" i="3"/>
  <c r="G6" i="2"/>
  <c r="H6" i="2" s="1"/>
  <c r="D6" i="2"/>
  <c r="G15" i="3"/>
  <c r="H15" i="3" s="1"/>
  <c r="D15" i="3"/>
  <c r="G14" i="3"/>
  <c r="H14" i="3" s="1"/>
  <c r="D14" i="3"/>
  <c r="G13" i="3"/>
  <c r="H13" i="3" s="1"/>
  <c r="D13" i="3"/>
  <c r="G12" i="3"/>
  <c r="D12" i="3"/>
  <c r="G11" i="3"/>
  <c r="H11" i="3" s="1"/>
  <c r="D11" i="3"/>
  <c r="G10" i="3"/>
  <c r="H10" i="3" s="1"/>
  <c r="D10" i="3"/>
  <c r="G9" i="3"/>
  <c r="H9" i="3" s="1"/>
  <c r="D9" i="3"/>
  <c r="G8" i="3"/>
  <c r="H8" i="3" s="1"/>
  <c r="D8" i="3"/>
  <c r="G7" i="3"/>
  <c r="H7" i="3" s="1"/>
  <c r="D7" i="3"/>
  <c r="G6" i="3"/>
  <c r="H6" i="3" s="1"/>
  <c r="D6" i="3"/>
  <c r="G5" i="3"/>
  <c r="H5" i="3" s="1"/>
  <c r="D5" i="3"/>
  <c r="G5" i="2"/>
  <c r="H5" i="2" s="1"/>
  <c r="D7" i="2"/>
  <c r="G5" i="1"/>
  <c r="H5" i="1" s="1"/>
  <c r="G6" i="1"/>
  <c r="D6" i="1"/>
  <c r="G15" i="2"/>
  <c r="H15" i="2" s="1"/>
  <c r="D15" i="2"/>
  <c r="G14" i="2"/>
  <c r="H14" i="2" s="1"/>
  <c r="D14" i="2"/>
  <c r="G13" i="2"/>
  <c r="H13" i="2" s="1"/>
  <c r="D13" i="2"/>
  <c r="G12" i="2"/>
  <c r="H12" i="2" s="1"/>
  <c r="D12" i="2"/>
  <c r="G11" i="2"/>
  <c r="H11" i="2" s="1"/>
  <c r="D11" i="2"/>
  <c r="G10" i="2"/>
  <c r="H10" i="2" s="1"/>
  <c r="D10" i="2"/>
  <c r="G9" i="2"/>
  <c r="H9" i="2" s="1"/>
  <c r="D9" i="2"/>
  <c r="G8" i="2"/>
  <c r="H8" i="2" s="1"/>
  <c r="D8" i="2"/>
  <c r="G7" i="2"/>
  <c r="H7" i="2" s="1"/>
  <c r="D5" i="2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7" i="1"/>
  <c r="H7" i="1" s="1"/>
  <c r="D7" i="1"/>
  <c r="D8" i="1"/>
  <c r="D9" i="1"/>
  <c r="D10" i="1"/>
  <c r="D11" i="1"/>
  <c r="D12" i="1"/>
  <c r="D13" i="1"/>
  <c r="D14" i="1"/>
  <c r="D15" i="1"/>
  <c r="D5" i="1"/>
  <c r="H6" i="1" l="1"/>
</calcChain>
</file>

<file path=xl/sharedStrings.xml><?xml version="1.0" encoding="utf-8"?>
<sst xmlns="http://schemas.openxmlformats.org/spreadsheetml/2006/main" count="115" uniqueCount="26">
  <si>
    <t>CLASS WISE ENROLLED SUMMARY</t>
  </si>
  <si>
    <t>BOYS</t>
  </si>
  <si>
    <t>GIRLS</t>
  </si>
  <si>
    <t>TOTAL</t>
  </si>
  <si>
    <t>PRESENT BOYS</t>
  </si>
  <si>
    <t>PRESENT GIRLS</t>
  </si>
  <si>
    <t>PERCENTAGE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</si>
  <si>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</si>
  <si>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</si>
  <si>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</si>
  <si>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</si>
  <si>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</si>
  <si>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</si>
  <si>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</si>
  <si>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</si>
  <si>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</si>
  <si>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Monthly Attendance Summary of Student GHS</t>
  </si>
  <si>
    <t>ECE (ROSE)</t>
  </si>
  <si>
    <t>ECE (Daffodils)</t>
  </si>
  <si>
    <t>SJCHS (December-2024)</t>
  </si>
  <si>
    <t>Enrollment (02-12-2024) (Monday)</t>
  </si>
  <si>
    <t>SJCHS (Decenber-2024)</t>
  </si>
  <si>
    <t>Enrollment (03-12-2024) (Tuesday)</t>
  </si>
  <si>
    <t>Enrollment (04-12-2024) (Wednesday)</t>
  </si>
  <si>
    <t>Enrollment (05-12-2024) (Thursday)</t>
  </si>
  <si>
    <t>Enrollment (06-12-2024) (Friday)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</si>
</sst>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/>
    </xf>
    <xf numFmtId="0" fontId="3" fillId="0" borderId="17" xfId="0" applyFont="1" applyBorder="1"/>
    <xf numFmtId="0" fontId="0" fillId="0" borderId="18" xfId="0" applyBorder="1"/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1" fillId="0" borderId="14" xfId="0" applyFont="1" applyBorder="1"/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2" fontId="0" fillId="0" borderId="5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E10" sqref="E10:F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15" t="s">
        <v>16</v>
      </c>
      <c r="B1" s="16"/>
      <c r="C1" s="16"/>
      <c r="D1" s="16"/>
      <c r="E1" s="16"/>
      <c r="F1" s="16"/>
      <c r="G1" s="16"/>
      <c r="H1" s="17"/>
    </row>
    <row r="2" spans="1:8" ht="21" x14ac:dyDescent="0.35">
      <c r="A2" s="18" t="s">
        <v>19</v>
      </c>
      <c r="B2" s="19"/>
      <c r="C2" s="19"/>
      <c r="D2" s="19"/>
      <c r="E2" s="19"/>
      <c r="F2" s="19"/>
      <c r="G2" s="19"/>
      <c r="H2" s="20"/>
    </row>
    <row r="3" spans="1:8" ht="21.75" thickBot="1" x14ac:dyDescent="0.4">
      <c r="A3" s="21" t="s">
        <v>20</v>
      </c>
      <c r="B3" s="22"/>
      <c r="C3" s="22"/>
      <c r="D3" s="22"/>
      <c r="E3" s="22"/>
      <c r="F3" s="22"/>
      <c r="G3" s="22"/>
      <c r="H3" s="23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17</v>
      </c>
      <c r="B5" s="4">
        <v>30</v>
      </c>
      <c r="C5" s="4">
        <v>24</v>
      </c>
      <c r="D5" s="4">
        <f>B5+C5</f>
        <v>54</v>
      </c>
      <c r="E5" s="4">
        <v>26</v>
      </c>
      <c r="F5" s="4">
        <v>17</v>
      </c>
      <c r="G5" s="1">
        <f t="shared" ref="G5:G6" si="0">E5+F5</f>
        <v>43</v>
      </c>
      <c r="H5" s="24">
        <f t="shared" ref="H5:H15" si="1">G5/D5*100</f>
        <v>79.629629629629633</v>
      </c>
    </row>
    <row r="6" spans="1:8" ht="20.100000000000001" customHeight="1" x14ac:dyDescent="0.25">
      <c r="A6" s="3" t="s">
        <v>18</v>
      </c>
      <c r="B6" s="4">
        <v>31</v>
      </c>
      <c r="C6" s="4">
        <v>25</v>
      </c>
      <c r="D6" s="4">
        <f>B6+C6</f>
        <v>56</v>
      </c>
      <c r="E6" s="4">
        <v>29</v>
      </c>
      <c r="F6" s="4">
        <v>23</v>
      </c>
      <c r="G6" s="1">
        <f t="shared" si="0"/>
        <v>52</v>
      </c>
      <c r="H6" s="24">
        <f t="shared" si="1"/>
        <v>92.857142857142861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ref="D7:D15" si="2">B7+C7</f>
        <v>55</v>
      </c>
      <c r="E7" s="1">
        <v>29</v>
      </c>
      <c r="F7" s="1">
        <v>17</v>
      </c>
      <c r="G7" s="1">
        <f>E7+F7</f>
        <v>46</v>
      </c>
      <c r="H7" s="24">
        <f t="shared" si="1"/>
        <v>83.636363636363626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2"/>
        <v>52</v>
      </c>
      <c r="E8" s="1">
        <v>23</v>
      </c>
      <c r="F8" s="1">
        <v>22</v>
      </c>
      <c r="G8" s="1">
        <f t="shared" ref="G8:G15" si="3">E8+F8</f>
        <v>45</v>
      </c>
      <c r="H8" s="24">
        <f t="shared" si="1"/>
        <v>86.538461538461547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2"/>
        <v>52</v>
      </c>
      <c r="E9" s="1">
        <v>22</v>
      </c>
      <c r="F9" s="1">
        <v>18</v>
      </c>
      <c r="G9" s="1">
        <f t="shared" si="3"/>
        <v>40</v>
      </c>
      <c r="H9" s="24">
        <f t="shared" si="1"/>
        <v>76.923076923076934</v>
      </c>
    </row>
    <row r="10" spans="1:8" ht="20.100000000000001" customHeight="1" x14ac:dyDescent="0.25">
      <c r="A10" s="2" t="s">
        <v>10</v>
      </c>
      <c r="B10" s="1">
        <v>22</v>
      </c>
      <c r="C10" s="1">
        <v>31</v>
      </c>
      <c r="D10" s="4">
        <f t="shared" si="2"/>
        <v>53</v>
      </c>
      <c r="E10" s="1"/>
      <c r="F10" s="1"/>
      <c r="G10" s="1">
        <f t="shared" si="3"/>
        <v>0</v>
      </c>
      <c r="H10" s="24">
        <f t="shared" si="1"/>
        <v>0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2"/>
        <v>46</v>
      </c>
      <c r="E11" s="1"/>
      <c r="F11" s="1"/>
      <c r="G11" s="1">
        <f t="shared" si="3"/>
        <v>0</v>
      </c>
      <c r="H11" s="24">
        <f t="shared" si="1"/>
        <v>0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2"/>
        <v>42</v>
      </c>
      <c r="E12" s="1"/>
      <c r="F12" s="1"/>
      <c r="G12" s="1">
        <f t="shared" si="3"/>
        <v>0</v>
      </c>
      <c r="H12" s="24">
        <f t="shared" si="1"/>
        <v>0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2"/>
        <v>45</v>
      </c>
      <c r="E13" s="1"/>
      <c r="F13" s="1"/>
      <c r="G13" s="1">
        <f t="shared" si="3"/>
        <v>0</v>
      </c>
      <c r="H13" s="24">
        <f t="shared" si="1"/>
        <v>0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2"/>
        <v>42</v>
      </c>
      <c r="E14" s="1"/>
      <c r="F14" s="1"/>
      <c r="G14" s="1">
        <f t="shared" si="3"/>
        <v>0</v>
      </c>
      <c r="H14" s="24">
        <f t="shared" si="1"/>
        <v>0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2"/>
        <v>35</v>
      </c>
      <c r="E15" s="10"/>
      <c r="F15" s="10"/>
      <c r="G15" s="1">
        <f t="shared" si="3"/>
        <v>0</v>
      </c>
      <c r="H15" s="24">
        <f t="shared" si="1"/>
        <v>0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6C6F-7346-4E3E-9D3A-7A332125E520}">
  <dimension ref="A1:H17"/>
  <sheetViews>
    <sheetView workbookViewId="0">
      <selection activeCell="E10" sqref="E10:F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15" t="s">
        <v>16</v>
      </c>
      <c r="B1" s="16"/>
      <c r="C1" s="16"/>
      <c r="D1" s="16"/>
      <c r="E1" s="16"/>
      <c r="F1" s="16"/>
      <c r="G1" s="16"/>
      <c r="H1" s="17"/>
    </row>
    <row r="2" spans="1:8" ht="21" x14ac:dyDescent="0.35">
      <c r="A2" s="18" t="s">
        <v>21</v>
      </c>
      <c r="B2" s="19"/>
      <c r="C2" s="19"/>
      <c r="D2" s="19"/>
      <c r="E2" s="19"/>
      <c r="F2" s="19"/>
      <c r="G2" s="19"/>
      <c r="H2" s="20"/>
    </row>
    <row r="3" spans="1:8" ht="21.75" thickBot="1" x14ac:dyDescent="0.4">
      <c r="A3" s="21" t="s">
        <v>22</v>
      </c>
      <c r="B3" s="22"/>
      <c r="C3" s="22"/>
      <c r="D3" s="22"/>
      <c r="E3" s="22"/>
      <c r="F3" s="22"/>
      <c r="G3" s="22"/>
      <c r="H3" s="23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17</v>
      </c>
      <c r="B5" s="4">
        <v>30</v>
      </c>
      <c r="C5" s="4">
        <v>24</v>
      </c>
      <c r="D5" s="4">
        <f>B5+C5</f>
        <v>54</v>
      </c>
      <c r="E5" s="4">
        <v>26</v>
      </c>
      <c r="F5" s="4">
        <v>17</v>
      </c>
      <c r="G5" s="1">
        <f t="shared" ref="G5:G6" si="0">E5+F5</f>
        <v>43</v>
      </c>
      <c r="H5" s="24">
        <f>G5/D5*100</f>
        <v>79.629629629629633</v>
      </c>
    </row>
    <row r="6" spans="1:8" ht="20.100000000000001" customHeight="1" x14ac:dyDescent="0.25">
      <c r="A6" s="3" t="s">
        <v>18</v>
      </c>
      <c r="B6" s="4">
        <v>31</v>
      </c>
      <c r="C6" s="4">
        <v>25</v>
      </c>
      <c r="D6" s="4">
        <f>B6+C6</f>
        <v>56</v>
      </c>
      <c r="E6" s="4">
        <v>29</v>
      </c>
      <c r="F6" s="4">
        <v>23</v>
      </c>
      <c r="G6" s="1">
        <f t="shared" si="0"/>
        <v>52</v>
      </c>
      <c r="H6" s="24">
        <f t="shared" ref="H6:H15" si="1">G6/D6*100</f>
        <v>92.857142857142861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ref="D6:D7" si="2">B7+C7</f>
        <v>55</v>
      </c>
      <c r="E7" s="1">
        <v>32</v>
      </c>
      <c r="F7" s="1">
        <v>21</v>
      </c>
      <c r="G7" s="1">
        <f>E7+F7</f>
        <v>53</v>
      </c>
      <c r="H7" s="24">
        <f t="shared" si="1"/>
        <v>96.36363636363636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ref="D8:D15" si="3">B8+C8</f>
        <v>52</v>
      </c>
      <c r="E8" s="1">
        <v>24</v>
      </c>
      <c r="F8" s="1">
        <v>23</v>
      </c>
      <c r="G8" s="1">
        <f t="shared" ref="G8:G15" si="4">E8+F8</f>
        <v>47</v>
      </c>
      <c r="H8" s="24">
        <f t="shared" si="1"/>
        <v>90.384615384615387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3"/>
        <v>52</v>
      </c>
      <c r="E9" s="1">
        <v>24</v>
      </c>
      <c r="F9" s="1">
        <v>23</v>
      </c>
      <c r="G9" s="1">
        <f t="shared" si="4"/>
        <v>47</v>
      </c>
      <c r="H9" s="24">
        <f t="shared" si="1"/>
        <v>90.384615384615387</v>
      </c>
    </row>
    <row r="10" spans="1:8" ht="20.100000000000001" customHeight="1" x14ac:dyDescent="0.25">
      <c r="A10" s="2" t="s">
        <v>10</v>
      </c>
      <c r="B10" s="1">
        <v>22</v>
      </c>
      <c r="C10" s="1">
        <v>31</v>
      </c>
      <c r="D10" s="4">
        <f t="shared" si="3"/>
        <v>53</v>
      </c>
      <c r="E10" s="1"/>
      <c r="F10" s="1"/>
      <c r="G10" s="1">
        <f t="shared" si="4"/>
        <v>0</v>
      </c>
      <c r="H10" s="24">
        <f t="shared" si="1"/>
        <v>0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3"/>
        <v>46</v>
      </c>
      <c r="E11" s="1"/>
      <c r="F11" s="1"/>
      <c r="G11" s="1">
        <f t="shared" si="4"/>
        <v>0</v>
      </c>
      <c r="H11" s="24">
        <f t="shared" si="1"/>
        <v>0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3"/>
        <v>42</v>
      </c>
      <c r="E12" s="1"/>
      <c r="F12" s="1"/>
      <c r="G12" s="1">
        <f t="shared" si="4"/>
        <v>0</v>
      </c>
      <c r="H12" s="24">
        <f t="shared" si="1"/>
        <v>0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3"/>
        <v>45</v>
      </c>
      <c r="E13" s="1"/>
      <c r="F13" s="1"/>
      <c r="G13" s="1">
        <f t="shared" si="4"/>
        <v>0</v>
      </c>
      <c r="H13" s="24">
        <f t="shared" si="1"/>
        <v>0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3"/>
        <v>42</v>
      </c>
      <c r="E14" s="1"/>
      <c r="F14" s="1"/>
      <c r="G14" s="1">
        <f t="shared" si="4"/>
        <v>0</v>
      </c>
      <c r="H14" s="24">
        <f t="shared" si="1"/>
        <v>0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3"/>
        <v>35</v>
      </c>
      <c r="E15" s="10"/>
      <c r="F15" s="10"/>
      <c r="G15" s="1">
        <f t="shared" si="4"/>
        <v>0</v>
      </c>
      <c r="H15" s="24">
        <f t="shared" si="1"/>
        <v>0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B4986-70E4-4CC7-A180-52208B012F00}">
  <dimension ref="A1:H17"/>
  <sheetViews>
    <sheetView workbookViewId="0">
      <selection activeCell="E10" sqref="E10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15" t="s">
        <v>16</v>
      </c>
      <c r="B1" s="16"/>
      <c r="C1" s="16"/>
      <c r="D1" s="16"/>
      <c r="E1" s="16"/>
      <c r="F1" s="16"/>
      <c r="G1" s="16"/>
      <c r="H1" s="17"/>
    </row>
    <row r="2" spans="1:8" ht="21" x14ac:dyDescent="0.35">
      <c r="A2" s="18" t="s">
        <v>21</v>
      </c>
      <c r="B2" s="19"/>
      <c r="C2" s="19"/>
      <c r="D2" s="19"/>
      <c r="E2" s="19"/>
      <c r="F2" s="19"/>
      <c r="G2" s="19"/>
      <c r="H2" s="20"/>
    </row>
    <row r="3" spans="1:8" ht="21.75" thickBot="1" x14ac:dyDescent="0.4">
      <c r="A3" s="21" t="s">
        <v>23</v>
      </c>
      <c r="B3" s="22"/>
      <c r="C3" s="22"/>
      <c r="D3" s="22"/>
      <c r="E3" s="22"/>
      <c r="F3" s="22"/>
      <c r="G3" s="22"/>
      <c r="H3" s="23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17</v>
      </c>
      <c r="B5" s="4">
        <v>30</v>
      </c>
      <c r="C5" s="4">
        <v>24</v>
      </c>
      <c r="D5" s="4">
        <f>B5+C5</f>
        <v>54</v>
      </c>
      <c r="E5" s="4">
        <v>27</v>
      </c>
      <c r="F5" s="4">
        <v>18</v>
      </c>
      <c r="G5" s="1">
        <f t="shared" ref="G5:G6" si="0">E5+F5</f>
        <v>45</v>
      </c>
      <c r="H5" s="24">
        <f>G5/D5*100</f>
        <v>83.333333333333343</v>
      </c>
    </row>
    <row r="6" spans="1:8" ht="20.100000000000001" customHeight="1" x14ac:dyDescent="0.25">
      <c r="A6" s="3" t="s">
        <v>18</v>
      </c>
      <c r="B6" s="4">
        <v>31</v>
      </c>
      <c r="C6" s="4">
        <v>25</v>
      </c>
      <c r="D6" s="4">
        <f t="shared" ref="D6:D15" si="1">B6+C6</f>
        <v>56</v>
      </c>
      <c r="E6" s="4">
        <v>30</v>
      </c>
      <c r="F6" s="4">
        <v>23</v>
      </c>
      <c r="G6" s="1">
        <f t="shared" si="0"/>
        <v>53</v>
      </c>
      <c r="H6" s="24">
        <f t="shared" ref="H6:H15" si="2">G6/D6*100</f>
        <v>94.642857142857139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31</v>
      </c>
      <c r="F7" s="1">
        <v>21</v>
      </c>
      <c r="G7" s="1">
        <f>E7+F7</f>
        <v>52</v>
      </c>
      <c r="H7" s="24">
        <f t="shared" si="2"/>
        <v>94.545454545454547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24</v>
      </c>
      <c r="F8" s="1">
        <v>23</v>
      </c>
      <c r="G8" s="1">
        <f t="shared" ref="G8:G15" si="3">E8+F8</f>
        <v>47</v>
      </c>
      <c r="H8" s="24">
        <f t="shared" si="2"/>
        <v>90.384615384615387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25</v>
      </c>
      <c r="F9" s="1">
        <v>23</v>
      </c>
      <c r="G9" s="1">
        <f t="shared" si="3"/>
        <v>48</v>
      </c>
      <c r="H9" s="24">
        <f t="shared" si="2"/>
        <v>92.307692307692307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/>
      <c r="F10" s="1"/>
      <c r="G10" s="1">
        <f t="shared" si="3"/>
        <v>0</v>
      </c>
      <c r="H10" s="24">
        <f t="shared" si="2"/>
        <v>0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/>
      <c r="F11" s="1"/>
      <c r="G11" s="1">
        <f t="shared" si="3"/>
        <v>0</v>
      </c>
      <c r="H11" s="24">
        <f t="shared" si="2"/>
        <v>0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/>
      <c r="F12" s="1"/>
      <c r="G12" s="1">
        <f t="shared" si="3"/>
        <v>0</v>
      </c>
      <c r="H12" s="24">
        <f t="shared" si="2"/>
        <v>0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/>
      <c r="F13" s="1"/>
      <c r="G13" s="1">
        <f t="shared" si="3"/>
        <v>0</v>
      </c>
      <c r="H13" s="24">
        <f t="shared" si="2"/>
        <v>0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/>
      <c r="F14" s="1"/>
      <c r="G14" s="1">
        <f t="shared" si="3"/>
        <v>0</v>
      </c>
      <c r="H14" s="24">
        <f t="shared" si="2"/>
        <v>0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/>
      <c r="F15" s="10"/>
      <c r="G15" s="1">
        <f t="shared" si="3"/>
        <v>0</v>
      </c>
      <c r="H15" s="24">
        <f t="shared" si="2"/>
        <v>0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9A89E-912D-48EC-B0C6-0C6843B2EE85}">
  <dimension ref="A1:H17"/>
  <sheetViews>
    <sheetView workbookViewId="0">
      <selection activeCell="E10" sqref="E10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15" t="s">
        <v>16</v>
      </c>
      <c r="B1" s="16"/>
      <c r="C1" s="16"/>
      <c r="D1" s="16"/>
      <c r="E1" s="16"/>
      <c r="F1" s="16"/>
      <c r="G1" s="16"/>
      <c r="H1" s="17"/>
    </row>
    <row r="2" spans="1:8" ht="21" x14ac:dyDescent="0.35">
      <c r="A2" s="18" t="s">
        <v>21</v>
      </c>
      <c r="B2" s="19"/>
      <c r="C2" s="19"/>
      <c r="D2" s="19"/>
      <c r="E2" s="19"/>
      <c r="F2" s="19"/>
      <c r="G2" s="19"/>
      <c r="H2" s="20"/>
    </row>
    <row r="3" spans="1:8" ht="21.75" thickBot="1" x14ac:dyDescent="0.4">
      <c r="A3" s="21" t="s">
        <v>24</v>
      </c>
      <c r="B3" s="22"/>
      <c r="C3" s="22"/>
      <c r="D3" s="22"/>
      <c r="E3" s="22"/>
      <c r="F3" s="22"/>
      <c r="G3" s="22"/>
      <c r="H3" s="23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17</v>
      </c>
      <c r="B5" s="4">
        <v>30</v>
      </c>
      <c r="C5" s="4">
        <v>24</v>
      </c>
      <c r="D5" s="4">
        <f>B5+C5</f>
        <v>54</v>
      </c>
      <c r="E5" s="4">
        <v>27</v>
      </c>
      <c r="F5" s="4">
        <v>18</v>
      </c>
      <c r="G5" s="1">
        <f t="shared" ref="G5:G6" si="0">E5+F5</f>
        <v>45</v>
      </c>
      <c r="H5" s="24">
        <f>G5/D5*100</f>
        <v>83.333333333333343</v>
      </c>
    </row>
    <row r="6" spans="1:8" ht="20.100000000000001" customHeight="1" x14ac:dyDescent="0.25">
      <c r="A6" s="3" t="s">
        <v>18</v>
      </c>
      <c r="B6" s="4">
        <v>31</v>
      </c>
      <c r="C6" s="4">
        <v>25</v>
      </c>
      <c r="D6" s="4">
        <f t="shared" ref="D6:D15" si="1">B6+C6</f>
        <v>56</v>
      </c>
      <c r="E6" s="4">
        <v>30</v>
      </c>
      <c r="F6" s="4">
        <v>20</v>
      </c>
      <c r="G6" s="1">
        <f t="shared" si="0"/>
        <v>50</v>
      </c>
      <c r="H6" s="24">
        <f t="shared" ref="H6:H15" si="2">G6/D6*100</f>
        <v>89.285714285714292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30</v>
      </c>
      <c r="F7" s="1">
        <v>22</v>
      </c>
      <c r="G7" s="1">
        <f>E7+F7</f>
        <v>52</v>
      </c>
      <c r="H7" s="24">
        <f t="shared" si="2"/>
        <v>94.545454545454547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23</v>
      </c>
      <c r="F8" s="1">
        <v>23</v>
      </c>
      <c r="G8" s="1">
        <f t="shared" ref="G8:G15" si="3">E8+F8</f>
        <v>46</v>
      </c>
      <c r="H8" s="24">
        <f t="shared" si="2"/>
        <v>88.461538461538453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24</v>
      </c>
      <c r="F9" s="1">
        <v>23</v>
      </c>
      <c r="G9" s="1">
        <f t="shared" si="3"/>
        <v>47</v>
      </c>
      <c r="H9" s="24">
        <f t="shared" si="2"/>
        <v>90.384615384615387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/>
      <c r="F10" s="1"/>
      <c r="G10" s="1">
        <f t="shared" si="3"/>
        <v>0</v>
      </c>
      <c r="H10" s="24">
        <f t="shared" si="2"/>
        <v>0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/>
      <c r="F11" s="1"/>
      <c r="G11" s="1">
        <f t="shared" si="3"/>
        <v>0</v>
      </c>
      <c r="H11" s="24">
        <f t="shared" si="2"/>
        <v>0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/>
      <c r="F12" s="1"/>
      <c r="G12" s="1">
        <f t="shared" si="3"/>
        <v>0</v>
      </c>
      <c r="H12" s="24">
        <f t="shared" si="2"/>
        <v>0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/>
      <c r="F13" s="1"/>
      <c r="G13" s="1">
        <f t="shared" si="3"/>
        <v>0</v>
      </c>
      <c r="H13" s="24">
        <f t="shared" si="2"/>
        <v>0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/>
      <c r="F14" s="1"/>
      <c r="G14" s="1">
        <f t="shared" si="3"/>
        <v>0</v>
      </c>
      <c r="H14" s="24">
        <f t="shared" si="2"/>
        <v>0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/>
      <c r="F15" s="10"/>
      <c r="G15" s="1">
        <f t="shared" si="3"/>
        <v>0</v>
      </c>
      <c r="H15" s="24">
        <f t="shared" si="2"/>
        <v>0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4D1D2-18FC-4FA4-A9C0-DA69DB8B27FA}">
  <dimension ref="A1:H17"/>
  <sheetViews>
    <sheetView tabSelected="1" topLeftCell="A4" workbookViewId="0">
      <selection activeCell="D17" sqref="D1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15" t="s">
        <v>16</v>
      </c>
      <c r="B1" s="16"/>
      <c r="C1" s="16"/>
      <c r="D1" s="16"/>
      <c r="E1" s="16"/>
      <c r="F1" s="16"/>
      <c r="G1" s="16"/>
      <c r="H1" s="17"/>
    </row>
    <row r="2" spans="1:8" ht="21" x14ac:dyDescent="0.35">
      <c r="A2" s="18" t="s">
        <v>21</v>
      </c>
      <c r="B2" s="19"/>
      <c r="C2" s="19"/>
      <c r="D2" s="19"/>
      <c r="E2" s="19"/>
      <c r="F2" s="19"/>
      <c r="G2" s="19"/>
      <c r="H2" s="20"/>
    </row>
    <row r="3" spans="1:8" ht="21.75" thickBot="1" x14ac:dyDescent="0.4">
      <c r="A3" s="21" t="s">
        <v>25</v>
      </c>
      <c r="B3" s="22"/>
      <c r="C3" s="22"/>
      <c r="D3" s="22"/>
      <c r="E3" s="22"/>
      <c r="F3" s="22"/>
      <c r="G3" s="22"/>
      <c r="H3" s="23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17</v>
      </c>
      <c r="B5" s="4">
        <v>30</v>
      </c>
      <c r="C5" s="4">
        <v>24</v>
      </c>
      <c r="D5" s="4">
        <f>B5+C5</f>
        <v>54</v>
      </c>
      <c r="E5" s="4">
        <v>26</v>
      </c>
      <c r="F5" s="4">
        <v>19</v>
      </c>
      <c r="G5" s="1">
        <f t="shared" ref="G5:G6" si="0">E5+F5</f>
        <v>45</v>
      </c>
      <c r="H5" s="24">
        <f>G5/D5*100</f>
        <v>83.333333333333343</v>
      </c>
    </row>
    <row r="6" spans="1:8" ht="20.100000000000001" customHeight="1" x14ac:dyDescent="0.25">
      <c r="A6" s="3" t="s">
        <v>18</v>
      </c>
      <c r="B6" s="4">
        <v>31</v>
      </c>
      <c r="C6" s="4">
        <v>25</v>
      </c>
      <c r="D6" s="4">
        <f t="shared" ref="D6:D15" si="1">B6+C6</f>
        <v>56</v>
      </c>
      <c r="E6" s="4">
        <v>27</v>
      </c>
      <c r="F6" s="4">
        <v>23</v>
      </c>
      <c r="G6" s="1">
        <f t="shared" si="0"/>
        <v>50</v>
      </c>
      <c r="H6" s="24">
        <f t="shared" ref="H6:H15" si="2">G6/D6*100</f>
        <v>89.285714285714292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26</v>
      </c>
      <c r="F7" s="1">
        <v>19</v>
      </c>
      <c r="G7" s="1">
        <f>E7+F7</f>
        <v>45</v>
      </c>
      <c r="H7" s="24">
        <f t="shared" si="2"/>
        <v>81.818181818181827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21</v>
      </c>
      <c r="F8" s="1">
        <v>21</v>
      </c>
      <c r="G8" s="1">
        <f t="shared" ref="G8:G15" si="3">E8+F8</f>
        <v>42</v>
      </c>
      <c r="H8" s="24">
        <f t="shared" si="2"/>
        <v>80.769230769230774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20</v>
      </c>
      <c r="F9" s="1">
        <v>18</v>
      </c>
      <c r="G9" s="1">
        <f t="shared" si="3"/>
        <v>38</v>
      </c>
      <c r="H9" s="24">
        <f t="shared" si="2"/>
        <v>73.076923076923066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/>
      <c r="F10" s="1"/>
      <c r="G10" s="1">
        <f t="shared" si="3"/>
        <v>0</v>
      </c>
      <c r="H10" s="24">
        <f t="shared" si="2"/>
        <v>0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/>
      <c r="F11" s="1"/>
      <c r="G11" s="1">
        <f t="shared" si="3"/>
        <v>0</v>
      </c>
      <c r="H11" s="24">
        <f t="shared" si="2"/>
        <v>0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/>
      <c r="F12" s="1"/>
      <c r="G12" s="1">
        <f t="shared" si="3"/>
        <v>0</v>
      </c>
      <c r="H12" s="24">
        <f t="shared" si="2"/>
        <v>0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/>
      <c r="F13" s="1"/>
      <c r="G13" s="1">
        <f t="shared" si="3"/>
        <v>0</v>
      </c>
      <c r="H13" s="24">
        <f t="shared" si="2"/>
        <v>0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/>
      <c r="F14" s="1"/>
      <c r="G14" s="1">
        <f t="shared" si="3"/>
        <v>0</v>
      </c>
      <c r="H14" s="24">
        <f t="shared" si="2"/>
        <v>0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/>
      <c r="F15" s="10"/>
      <c r="G15" s="1">
        <f t="shared" si="3"/>
        <v>0</v>
      </c>
      <c r="H15" s="24">
        <f t="shared" si="2"/>
        <v>0</v>
      </c>
    </row>
    <row r="16" spans="1:8" ht="20.100000000000001" customHeight="1" thickBot="1" x14ac:dyDescent="0.3">
      <c r="A16" s="14" t="s">
        <v>3</v>
      </c>
      <c r="B16" s="11"/>
      <c r="C16" s="11"/>
      <c r="D16" s="11">
        <f>SUM(D5:D15)</f>
        <v>531</v>
      </c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02-12-2024</vt:lpstr>
      <vt:lpstr>03-12-2024</vt:lpstr>
      <vt:lpstr>04-12-2024</vt:lpstr>
      <vt:lpstr>05-12-2024</vt:lpstr>
      <vt:lpstr>06-12-2024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dcterms:created xsi:type="dcterms:W3CDTF">2015-06-05T18:17:20Z</dcterms:created>
  <dcterms:modified xsi:type="dcterms:W3CDTF">2025-01-06T06:05:08Z</dcterms:modified>
</cp:coreProperties>
</file>