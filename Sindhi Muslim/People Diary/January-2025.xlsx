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eople Diary\"/>
    </mc:Choice>
  </mc:AlternateContent>
  <xr:revisionPtr revIDLastSave="0" documentId="13_ncr:1_{1811AD4C-918E-49DB-BF86-72747619CC1D}" xr6:coauthVersionLast="47" xr6:coauthVersionMax="47" xr10:uidLastSave="{00000000-0000-0000-0000-000000000000}"/>
  <bookViews>
    <workbookView xWindow="-120" yWindow="-120" windowWidth="20730" windowHeight="11160" firstSheet="14" activeTab="19" xr2:uid="{00000000-000D-0000-FFFF-FFFF00000000}"/>
  </bookViews>
  <sheets>
    <sheet name="01-01-2025" sheetId="1" r:id="rId1"/>
    <sheet name="02-01-2025" sheetId="2" r:id="rId2"/>
    <sheet name="03-01-2025" sheetId="3" r:id="rId3"/>
    <sheet name="04-01-2025" sheetId="4" r:id="rId4"/>
    <sheet name="06-01-2025" sheetId="5" r:id="rId5"/>
    <sheet name="07-01-2025" sheetId="6" r:id="rId6"/>
    <sheet name="08-01-2025" sheetId="7" r:id="rId7"/>
    <sheet name="09-01-2025" sheetId="8" r:id="rId8"/>
    <sheet name="10-01-2025" sheetId="9" r:id="rId9"/>
    <sheet name="11-01-2025" sheetId="10" r:id="rId10"/>
    <sheet name="13-01-2025" sheetId="11" r:id="rId11"/>
    <sheet name="14-01-2025" sheetId="12" r:id="rId12"/>
    <sheet name="15-01-2025" sheetId="13" r:id="rId13"/>
    <sheet name="16-01-2025" sheetId="14" r:id="rId14"/>
    <sheet name="17-01-2025" sheetId="15" r:id="rId15"/>
    <sheet name="18-01-2025" sheetId="16" r:id="rId16"/>
    <sheet name="20-01-2025" sheetId="17" r:id="rId17"/>
    <sheet name="21-01-2025" sheetId="18" r:id="rId18"/>
    <sheet name="22-01-2025" sheetId="19" r:id="rId19"/>
    <sheet name="23-01-2025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0" l="1"/>
  <c r="E15" i="20"/>
  <c r="C15" i="20"/>
  <c r="B15" i="20"/>
  <c r="G14" i="20"/>
  <c r="H14" i="20" s="1"/>
  <c r="D14" i="20"/>
  <c r="G13" i="20"/>
  <c r="H13" i="20" s="1"/>
  <c r="D13" i="20"/>
  <c r="G12" i="20"/>
  <c r="H12" i="20" s="1"/>
  <c r="D12" i="20"/>
  <c r="G11" i="20"/>
  <c r="H11" i="20" s="1"/>
  <c r="D11" i="20"/>
  <c r="H10" i="20"/>
  <c r="G10" i="20"/>
  <c r="D10" i="20"/>
  <c r="G9" i="20"/>
  <c r="H9" i="20" s="1"/>
  <c r="D9" i="20"/>
  <c r="G8" i="20"/>
  <c r="H8" i="20" s="1"/>
  <c r="D8" i="20"/>
  <c r="G7" i="20"/>
  <c r="H7" i="20" s="1"/>
  <c r="D7" i="20"/>
  <c r="G6" i="20"/>
  <c r="H6" i="20" s="1"/>
  <c r="D6" i="20"/>
  <c r="G5" i="20"/>
  <c r="D5" i="20"/>
  <c r="D15" i="20" s="1"/>
  <c r="F15" i="19"/>
  <c r="E15" i="19"/>
  <c r="C15" i="19"/>
  <c r="B15" i="19"/>
  <c r="G14" i="19"/>
  <c r="H14" i="19" s="1"/>
  <c r="D14" i="19"/>
  <c r="G13" i="19"/>
  <c r="H13" i="19" s="1"/>
  <c r="D13" i="19"/>
  <c r="G12" i="19"/>
  <c r="H12" i="19" s="1"/>
  <c r="D12" i="19"/>
  <c r="G11" i="19"/>
  <c r="D11" i="19"/>
  <c r="G10" i="19"/>
  <c r="H10" i="19" s="1"/>
  <c r="D10" i="19"/>
  <c r="G9" i="19"/>
  <c r="H9" i="19" s="1"/>
  <c r="D9" i="19"/>
  <c r="G8" i="19"/>
  <c r="H8" i="19" s="1"/>
  <c r="D8" i="19"/>
  <c r="G7" i="19"/>
  <c r="D7" i="19"/>
  <c r="G6" i="19"/>
  <c r="H6" i="19" s="1"/>
  <c r="D6" i="19"/>
  <c r="G5" i="19"/>
  <c r="D5" i="19"/>
  <c r="D15" i="19" s="1"/>
  <c r="F15" i="18"/>
  <c r="E15" i="18"/>
  <c r="C15" i="18"/>
  <c r="B15" i="18"/>
  <c r="G14" i="18"/>
  <c r="H14" i="18" s="1"/>
  <c r="D14" i="18"/>
  <c r="G13" i="18"/>
  <c r="H13" i="18" s="1"/>
  <c r="D13" i="18"/>
  <c r="G12" i="18"/>
  <c r="H12" i="18" s="1"/>
  <c r="D12" i="18"/>
  <c r="G11" i="18"/>
  <c r="H11" i="18" s="1"/>
  <c r="D11" i="18"/>
  <c r="G10" i="18"/>
  <c r="H10" i="18" s="1"/>
  <c r="D10" i="18"/>
  <c r="G9" i="18"/>
  <c r="H9" i="18" s="1"/>
  <c r="D9" i="18"/>
  <c r="G8" i="18"/>
  <c r="H8" i="18" s="1"/>
  <c r="D8" i="18"/>
  <c r="G7" i="18"/>
  <c r="H7" i="18" s="1"/>
  <c r="D7" i="18"/>
  <c r="G6" i="18"/>
  <c r="H6" i="18" s="1"/>
  <c r="D6" i="18"/>
  <c r="G5" i="18"/>
  <c r="D5" i="18"/>
  <c r="D15" i="18" s="1"/>
  <c r="F15" i="17"/>
  <c r="E15" i="17"/>
  <c r="C15" i="17"/>
  <c r="B15" i="17"/>
  <c r="G14" i="17"/>
  <c r="H14" i="17" s="1"/>
  <c r="D14" i="17"/>
  <c r="G13" i="17"/>
  <c r="H13" i="17" s="1"/>
  <c r="D13" i="17"/>
  <c r="G12" i="17"/>
  <c r="H12" i="17" s="1"/>
  <c r="D12" i="17"/>
  <c r="G11" i="17"/>
  <c r="H11" i="17" s="1"/>
  <c r="D11" i="17"/>
  <c r="G10" i="17"/>
  <c r="H10" i="17" s="1"/>
  <c r="D10" i="17"/>
  <c r="G9" i="17"/>
  <c r="H9" i="17" s="1"/>
  <c r="D9" i="17"/>
  <c r="G8" i="17"/>
  <c r="H8" i="17" s="1"/>
  <c r="D8" i="17"/>
  <c r="G7" i="17"/>
  <c r="H7" i="17" s="1"/>
  <c r="D7" i="17"/>
  <c r="G6" i="17"/>
  <c r="H6" i="17" s="1"/>
  <c r="D6" i="17"/>
  <c r="G5" i="17"/>
  <c r="H5" i="17" s="1"/>
  <c r="D5" i="17"/>
  <c r="D15" i="17" s="1"/>
  <c r="F15" i="16"/>
  <c r="E15" i="16"/>
  <c r="C15" i="16"/>
  <c r="B15" i="16"/>
  <c r="G14" i="16"/>
  <c r="H14" i="16" s="1"/>
  <c r="D14" i="16"/>
  <c r="G13" i="16"/>
  <c r="H13" i="16" s="1"/>
  <c r="D13" i="16"/>
  <c r="G12" i="16"/>
  <c r="H12" i="16" s="1"/>
  <c r="D12" i="16"/>
  <c r="G11" i="16"/>
  <c r="H11" i="16" s="1"/>
  <c r="D11" i="16"/>
  <c r="G10" i="16"/>
  <c r="H10" i="16" s="1"/>
  <c r="D10" i="16"/>
  <c r="G9" i="16"/>
  <c r="H9" i="16" s="1"/>
  <c r="D9" i="16"/>
  <c r="G8" i="16"/>
  <c r="H8" i="16" s="1"/>
  <c r="D8" i="16"/>
  <c r="G7" i="16"/>
  <c r="H7" i="16" s="1"/>
  <c r="D7" i="16"/>
  <c r="G6" i="16"/>
  <c r="H6" i="16" s="1"/>
  <c r="D6" i="16"/>
  <c r="G5" i="16"/>
  <c r="D5" i="16"/>
  <c r="D15" i="16" s="1"/>
  <c r="G6" i="15"/>
  <c r="H6" i="15" s="1"/>
  <c r="E15" i="15"/>
  <c r="F15" i="15"/>
  <c r="C15" i="15"/>
  <c r="B15" i="15"/>
  <c r="G14" i="15"/>
  <c r="H14" i="15" s="1"/>
  <c r="D14" i="15"/>
  <c r="G13" i="15"/>
  <c r="H13" i="15" s="1"/>
  <c r="D13" i="15"/>
  <c r="G12" i="15"/>
  <c r="H12" i="15" s="1"/>
  <c r="D12" i="15"/>
  <c r="G11" i="15"/>
  <c r="H11" i="15" s="1"/>
  <c r="D11" i="15"/>
  <c r="H10" i="15"/>
  <c r="G10" i="15"/>
  <c r="D10" i="15"/>
  <c r="G9" i="15"/>
  <c r="H9" i="15" s="1"/>
  <c r="D9" i="15"/>
  <c r="G8" i="15"/>
  <c r="H8" i="15" s="1"/>
  <c r="D8" i="15"/>
  <c r="G7" i="15"/>
  <c r="H7" i="15" s="1"/>
  <c r="D7" i="15"/>
  <c r="D6" i="15"/>
  <c r="G5" i="15"/>
  <c r="D5" i="15"/>
  <c r="D15" i="15" s="1"/>
  <c r="F15" i="14"/>
  <c r="E15" i="14"/>
  <c r="C15" i="14"/>
  <c r="B15" i="14"/>
  <c r="G14" i="14"/>
  <c r="H14" i="14" s="1"/>
  <c r="D14" i="14"/>
  <c r="G13" i="14"/>
  <c r="H13" i="14" s="1"/>
  <c r="D13" i="14"/>
  <c r="G12" i="14"/>
  <c r="H12" i="14" s="1"/>
  <c r="D12" i="14"/>
  <c r="G11" i="14"/>
  <c r="H11" i="14" s="1"/>
  <c r="D11" i="14"/>
  <c r="G10" i="14"/>
  <c r="H10" i="14" s="1"/>
  <c r="D10" i="14"/>
  <c r="G9" i="14"/>
  <c r="H9" i="14" s="1"/>
  <c r="D9" i="14"/>
  <c r="G8" i="14"/>
  <c r="H8" i="14" s="1"/>
  <c r="D8" i="14"/>
  <c r="G7" i="14"/>
  <c r="H7" i="14" s="1"/>
  <c r="D7" i="14"/>
  <c r="G6" i="14"/>
  <c r="H6" i="14" s="1"/>
  <c r="D6" i="14"/>
  <c r="G5" i="14"/>
  <c r="H5" i="14" s="1"/>
  <c r="D5" i="14"/>
  <c r="D15" i="14" s="1"/>
  <c r="H15" i="13"/>
  <c r="B15" i="13"/>
  <c r="C15" i="13"/>
  <c r="D15" i="13"/>
  <c r="E15" i="13"/>
  <c r="F15" i="13"/>
  <c r="B15" i="12"/>
  <c r="C15" i="12"/>
  <c r="D15" i="12"/>
  <c r="E15" i="12"/>
  <c r="F15" i="12"/>
  <c r="G15" i="12"/>
  <c r="G14" i="13"/>
  <c r="H14" i="13" s="1"/>
  <c r="D14" i="13"/>
  <c r="G13" i="13"/>
  <c r="H13" i="13" s="1"/>
  <c r="D13" i="13"/>
  <c r="G12" i="13"/>
  <c r="H12" i="13" s="1"/>
  <c r="D12" i="13"/>
  <c r="G11" i="13"/>
  <c r="D11" i="13"/>
  <c r="G10" i="13"/>
  <c r="H10" i="13" s="1"/>
  <c r="D10" i="13"/>
  <c r="G9" i="13"/>
  <c r="H9" i="13" s="1"/>
  <c r="D9" i="13"/>
  <c r="G8" i="13"/>
  <c r="H8" i="13" s="1"/>
  <c r="D8" i="13"/>
  <c r="G7" i="13"/>
  <c r="D7" i="13"/>
  <c r="G6" i="13"/>
  <c r="H6" i="13" s="1"/>
  <c r="D6" i="13"/>
  <c r="G5" i="13"/>
  <c r="D5" i="13"/>
  <c r="G14" i="12"/>
  <c r="H14" i="12" s="1"/>
  <c r="D14" i="12"/>
  <c r="G13" i="12"/>
  <c r="H13" i="12" s="1"/>
  <c r="D13" i="12"/>
  <c r="G12" i="12"/>
  <c r="H12" i="12" s="1"/>
  <c r="D12" i="12"/>
  <c r="G11" i="12"/>
  <c r="D11" i="12"/>
  <c r="G10" i="12"/>
  <c r="H10" i="12" s="1"/>
  <c r="D10" i="12"/>
  <c r="G9" i="12"/>
  <c r="H9" i="12" s="1"/>
  <c r="D9" i="12"/>
  <c r="G8" i="12"/>
  <c r="H8" i="12" s="1"/>
  <c r="D8" i="12"/>
  <c r="G7" i="12"/>
  <c r="D7" i="12"/>
  <c r="G6" i="12"/>
  <c r="H6" i="12" s="1"/>
  <c r="D6" i="12"/>
  <c r="G5" i="12"/>
  <c r="H5" i="12" s="1"/>
  <c r="D5" i="12"/>
  <c r="G14" i="11"/>
  <c r="H14" i="11" s="1"/>
  <c r="D14" i="11"/>
  <c r="G13" i="11"/>
  <c r="H13" i="11" s="1"/>
  <c r="D13" i="11"/>
  <c r="G12" i="11"/>
  <c r="H12" i="11" s="1"/>
  <c r="D12" i="11"/>
  <c r="G11" i="11"/>
  <c r="H11" i="11" s="1"/>
  <c r="D11" i="11"/>
  <c r="G10" i="11"/>
  <c r="H10" i="11" s="1"/>
  <c r="D10" i="11"/>
  <c r="G9" i="11"/>
  <c r="H9" i="11" s="1"/>
  <c r="D9" i="11"/>
  <c r="G8" i="11"/>
  <c r="H8" i="11" s="1"/>
  <c r="D8" i="11"/>
  <c r="G7" i="11"/>
  <c r="D7" i="11"/>
  <c r="G6" i="11"/>
  <c r="H6" i="11" s="1"/>
  <c r="D6" i="11"/>
  <c r="G5" i="11"/>
  <c r="H5" i="11" s="1"/>
  <c r="D5" i="11"/>
  <c r="G14" i="10"/>
  <c r="H14" i="10" s="1"/>
  <c r="D14" i="10"/>
  <c r="G13" i="10"/>
  <c r="H13" i="10" s="1"/>
  <c r="D13" i="10"/>
  <c r="G12" i="10"/>
  <c r="H12" i="10" s="1"/>
  <c r="D12" i="10"/>
  <c r="G11" i="10"/>
  <c r="H11" i="10" s="1"/>
  <c r="D11" i="10"/>
  <c r="G10" i="10"/>
  <c r="H10" i="10" s="1"/>
  <c r="D10" i="10"/>
  <c r="G9" i="10"/>
  <c r="H9" i="10" s="1"/>
  <c r="D9" i="10"/>
  <c r="G8" i="10"/>
  <c r="H8" i="10" s="1"/>
  <c r="D8" i="10"/>
  <c r="G7" i="10"/>
  <c r="H7" i="10" s="1"/>
  <c r="D7" i="10"/>
  <c r="G6" i="10"/>
  <c r="H6" i="10" s="1"/>
  <c r="D6" i="10"/>
  <c r="G5" i="10"/>
  <c r="H5" i="10" s="1"/>
  <c r="D5" i="10"/>
  <c r="G14" i="9"/>
  <c r="H14" i="9" s="1"/>
  <c r="D14" i="9"/>
  <c r="G13" i="9"/>
  <c r="H13" i="9" s="1"/>
  <c r="D13" i="9"/>
  <c r="G12" i="9"/>
  <c r="H12" i="9" s="1"/>
  <c r="D12" i="9"/>
  <c r="G11" i="9"/>
  <c r="H11" i="9" s="1"/>
  <c r="D11" i="9"/>
  <c r="G10" i="9"/>
  <c r="H10" i="9" s="1"/>
  <c r="D10" i="9"/>
  <c r="G9" i="9"/>
  <c r="H9" i="9" s="1"/>
  <c r="D9" i="9"/>
  <c r="G8" i="9"/>
  <c r="H8" i="9" s="1"/>
  <c r="D8" i="9"/>
  <c r="G7" i="9"/>
  <c r="H7" i="9" s="1"/>
  <c r="D7" i="9"/>
  <c r="G6" i="9"/>
  <c r="H6" i="9" s="1"/>
  <c r="D6" i="9"/>
  <c r="G5" i="9"/>
  <c r="H5" i="9" s="1"/>
  <c r="D5" i="9"/>
  <c r="G15" i="20" l="1"/>
  <c r="H15" i="20" s="1"/>
  <c r="H5" i="20"/>
  <c r="G15" i="19"/>
  <c r="H15" i="19" s="1"/>
  <c r="H7" i="19"/>
  <c r="H11" i="19"/>
  <c r="H5" i="19"/>
  <c r="G15" i="18"/>
  <c r="H15" i="18" s="1"/>
  <c r="H5" i="18"/>
  <c r="G15" i="17"/>
  <c r="H15" i="17" s="1"/>
  <c r="G15" i="16"/>
  <c r="H15" i="16" s="1"/>
  <c r="H5" i="16"/>
  <c r="G15" i="15"/>
  <c r="H15" i="15" s="1"/>
  <c r="H5" i="15"/>
  <c r="G15" i="14"/>
  <c r="H15" i="14" s="1"/>
  <c r="G15" i="13"/>
  <c r="H5" i="13"/>
  <c r="H7" i="13"/>
  <c r="H11" i="13"/>
  <c r="H7" i="12"/>
  <c r="H11" i="12"/>
  <c r="H7" i="11"/>
  <c r="G14" i="8"/>
  <c r="H14" i="8" s="1"/>
  <c r="D14" i="8"/>
  <c r="G13" i="8"/>
  <c r="H13" i="8" s="1"/>
  <c r="D13" i="8"/>
  <c r="G12" i="8"/>
  <c r="H12" i="8" s="1"/>
  <c r="D12" i="8"/>
  <c r="G11" i="8"/>
  <c r="H11" i="8" s="1"/>
  <c r="D11" i="8"/>
  <c r="G10" i="8"/>
  <c r="H10" i="8" s="1"/>
  <c r="D10" i="8"/>
  <c r="G9" i="8"/>
  <c r="H9" i="8" s="1"/>
  <c r="D9" i="8"/>
  <c r="G8" i="8"/>
  <c r="D8" i="8"/>
  <c r="G7" i="8"/>
  <c r="H7" i="8" s="1"/>
  <c r="D7" i="8"/>
  <c r="G6" i="8"/>
  <c r="H6" i="8" s="1"/>
  <c r="D6" i="8"/>
  <c r="G5" i="8"/>
  <c r="H5" i="8" s="1"/>
  <c r="D5" i="8"/>
  <c r="G15" i="7"/>
  <c r="H15" i="7" s="1"/>
  <c r="D15" i="7"/>
  <c r="G14" i="7"/>
  <c r="H14" i="7" s="1"/>
  <c r="D14" i="7"/>
  <c r="G13" i="7"/>
  <c r="H13" i="7" s="1"/>
  <c r="D13" i="7"/>
  <c r="G12" i="7"/>
  <c r="H12" i="7" s="1"/>
  <c r="D12" i="7"/>
  <c r="G11" i="7"/>
  <c r="H11" i="7" s="1"/>
  <c r="D11" i="7"/>
  <c r="H10" i="7"/>
  <c r="G10" i="7"/>
  <c r="D10" i="7"/>
  <c r="G9" i="7"/>
  <c r="H9" i="7" s="1"/>
  <c r="D9" i="7"/>
  <c r="G8" i="7"/>
  <c r="D8" i="7"/>
  <c r="G7" i="7"/>
  <c r="H7" i="7" s="1"/>
  <c r="D7" i="7"/>
  <c r="G6" i="7"/>
  <c r="H6" i="7" s="1"/>
  <c r="D6" i="7"/>
  <c r="G5" i="7"/>
  <c r="H5" i="7" s="1"/>
  <c r="D5" i="7"/>
  <c r="G15" i="6"/>
  <c r="H15" i="6" s="1"/>
  <c r="D15" i="6"/>
  <c r="G14" i="6"/>
  <c r="H14" i="6" s="1"/>
  <c r="D14" i="6"/>
  <c r="G13" i="6"/>
  <c r="H13" i="6" s="1"/>
  <c r="D13" i="6"/>
  <c r="G12" i="6"/>
  <c r="H12" i="6" s="1"/>
  <c r="D12" i="6"/>
  <c r="G11" i="6"/>
  <c r="H11" i="6" s="1"/>
  <c r="D11" i="6"/>
  <c r="G10" i="6"/>
  <c r="H10" i="6" s="1"/>
  <c r="D10" i="6"/>
  <c r="G9" i="6"/>
  <c r="D9" i="6"/>
  <c r="G8" i="6"/>
  <c r="D8" i="6"/>
  <c r="G7" i="6"/>
  <c r="D7" i="6"/>
  <c r="G6" i="6"/>
  <c r="D6" i="6"/>
  <c r="G5" i="6"/>
  <c r="H5" i="6" s="1"/>
  <c r="D5" i="6"/>
  <c r="H13" i="5"/>
  <c r="H9" i="4"/>
  <c r="H10" i="4"/>
  <c r="H11" i="4"/>
  <c r="H12" i="4"/>
  <c r="H13" i="4"/>
  <c r="H14" i="4"/>
  <c r="H15" i="4"/>
  <c r="H8" i="3"/>
  <c r="H9" i="3"/>
  <c r="H10" i="3"/>
  <c r="H11" i="3"/>
  <c r="H12" i="3"/>
  <c r="H13" i="3"/>
  <c r="H14" i="3"/>
  <c r="H15" i="3"/>
  <c r="H7" i="1"/>
  <c r="H8" i="1"/>
  <c r="H9" i="1"/>
  <c r="H10" i="1"/>
  <c r="H11" i="1"/>
  <c r="H12" i="1"/>
  <c r="H13" i="1"/>
  <c r="H14" i="1"/>
  <c r="H15" i="1"/>
  <c r="H7" i="2"/>
  <c r="H8" i="2"/>
  <c r="H9" i="2"/>
  <c r="H10" i="2"/>
  <c r="H11" i="2"/>
  <c r="H12" i="2"/>
  <c r="H13" i="2"/>
  <c r="H14" i="2"/>
  <c r="H15" i="2"/>
  <c r="G6" i="2"/>
  <c r="H6" i="2" s="1"/>
  <c r="D6" i="2"/>
  <c r="G15" i="5"/>
  <c r="H15" i="5" s="1"/>
  <c r="D15" i="5"/>
  <c r="G14" i="5"/>
  <c r="H14" i="5" s="1"/>
  <c r="D14" i="5"/>
  <c r="G13" i="5"/>
  <c r="D13" i="5"/>
  <c r="G12" i="5"/>
  <c r="H12" i="5" s="1"/>
  <c r="D12" i="5"/>
  <c r="G11" i="5"/>
  <c r="H11" i="5" s="1"/>
  <c r="D11" i="5"/>
  <c r="G10" i="5"/>
  <c r="H10" i="5" s="1"/>
  <c r="D10" i="5"/>
  <c r="G9" i="5"/>
  <c r="D9" i="5"/>
  <c r="G8" i="5"/>
  <c r="H8" i="5" s="1"/>
  <c r="D8" i="5"/>
  <c r="G7" i="5"/>
  <c r="D7" i="5"/>
  <c r="G6" i="5"/>
  <c r="D6" i="5"/>
  <c r="G5" i="5"/>
  <c r="D5" i="5"/>
  <c r="G15" i="4"/>
  <c r="D15" i="4"/>
  <c r="G14" i="4"/>
  <c r="D14" i="4"/>
  <c r="G13" i="4"/>
  <c r="D13" i="4"/>
  <c r="G12" i="4"/>
  <c r="D12" i="4"/>
  <c r="G11" i="4"/>
  <c r="D11" i="4"/>
  <c r="G10" i="4"/>
  <c r="D10" i="4"/>
  <c r="G9" i="4"/>
  <c r="D9" i="4"/>
  <c r="G8" i="4"/>
  <c r="D8" i="4"/>
  <c r="H8" i="4" s="1"/>
  <c r="G7" i="4"/>
  <c r="D7" i="4"/>
  <c r="H7" i="4" s="1"/>
  <c r="G6" i="4"/>
  <c r="D6" i="4"/>
  <c r="G5" i="4"/>
  <c r="D5" i="4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H6" i="3" s="1"/>
  <c r="G5" i="3"/>
  <c r="D5" i="3"/>
  <c r="H5" i="3" s="1"/>
  <c r="G5" i="2"/>
  <c r="H5" i="2" s="1"/>
  <c r="D7" i="2"/>
  <c r="G5" i="1"/>
  <c r="H5" i="1" s="1"/>
  <c r="G6" i="1"/>
  <c r="D6" i="1"/>
  <c r="G15" i="2"/>
  <c r="D15" i="2"/>
  <c r="G14" i="2"/>
  <c r="D14" i="2"/>
  <c r="G13" i="2"/>
  <c r="D13" i="2"/>
  <c r="G12" i="2"/>
  <c r="D12" i="2"/>
  <c r="G11" i="2"/>
  <c r="D11" i="2"/>
  <c r="G10" i="2"/>
  <c r="D10" i="2"/>
  <c r="G9" i="2"/>
  <c r="D9" i="2"/>
  <c r="G8" i="2"/>
  <c r="D8" i="2"/>
  <c r="G7" i="2"/>
  <c r="D5" i="2"/>
  <c r="G8" i="1"/>
  <c r="G9" i="1"/>
  <c r="G10" i="1"/>
  <c r="G11" i="1"/>
  <c r="G12" i="1"/>
  <c r="G13" i="1"/>
  <c r="G14" i="1"/>
  <c r="G15" i="1"/>
  <c r="G7" i="1"/>
  <c r="D7" i="1"/>
  <c r="D8" i="1"/>
  <c r="D9" i="1"/>
  <c r="D10" i="1"/>
  <c r="D11" i="1"/>
  <c r="D12" i="1"/>
  <c r="D13" i="1"/>
  <c r="D14" i="1"/>
  <c r="D15" i="1"/>
  <c r="D5" i="1"/>
  <c r="H8" i="8" l="1"/>
  <c r="H7" i="3"/>
  <c r="H8" i="7"/>
  <c r="H6" i="4"/>
  <c r="H5" i="4"/>
  <c r="H6" i="1"/>
  <c r="H8" i="6"/>
  <c r="H9" i="6"/>
  <c r="H5" i="5"/>
  <c r="H7" i="5"/>
  <c r="H9" i="5"/>
  <c r="H7" i="6"/>
  <c r="H6" i="6"/>
  <c r="H6" i="5"/>
</calcChain>
</file>

<file path=xl/sharedStrings.xml><?xml version="1.0" encoding="utf-8"?>
<sst xmlns="http://schemas.openxmlformats.org/spreadsheetml/2006/main" count="427" uniqueCount="21">
  <si>
    <t>CLASS WISE ENROLLED SUMMARY</t>
  </si>
  <si>
    <t>BOYS</t>
  </si>
  <si>
    <t>GIRLS</t>
  </si>
  <si>
    <t>TOTAL</t>
  </si>
  <si>
    <t>PRESENT BOYS</t>
  </si>
  <si>
    <t>PRESENT GIRLS</t>
  </si>
  <si>
    <t>PERCENTAGE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</si>
  <si>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</si>
  <si>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</si>
  <si>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</si>
  <si>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</si>
  <si>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</si>
  <si>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</si>
  <si>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</si>
  <si>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</si>
  <si>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</si>
  <si>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Monthly Attendance Summary of Student GHS</t>
  </si>
  <si>
    <t>SJCHS (January-2025)</t>
  </si>
  <si>
    <t>ECE (ROSE)</t>
  </si>
  <si>
    <t>ECE (Daffodils)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</si>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</sst>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Enrollment&quot;\ \(dd\-mm\-yyyy\)\ \(dddd\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0" fillId="0" borderId="18" xfId="0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1" fillId="0" borderId="14" xfId="0" applyFont="1" applyBorder="1"/>
    <xf numFmtId="2" fontId="0" fillId="0" borderId="5" xfId="0" applyNumberFormat="1" applyBorder="1"/>
    <xf numFmtId="0" fontId="0" fillId="0" borderId="23" xfId="0" applyBorder="1"/>
    <xf numFmtId="0" fontId="3" fillId="0" borderId="24" xfId="0" applyFont="1" applyBorder="1"/>
    <xf numFmtId="0" fontId="0" fillId="0" borderId="25" xfId="0" applyBorder="1"/>
    <xf numFmtId="2" fontId="0" fillId="0" borderId="26" xfId="0" applyNumberFormat="1" applyBorder="1"/>
    <xf numFmtId="0" fontId="3" fillId="0" borderId="27" xfId="0" applyFont="1" applyBorder="1"/>
    <xf numFmtId="0" fontId="0" fillId="0" borderId="28" xfId="0" applyBorder="1"/>
    <xf numFmtId="2" fontId="0" fillId="0" borderId="29" xfId="0" applyNumberFormat="1" applyBorder="1"/>
    <xf numFmtId="0" fontId="0" fillId="0" borderId="22" xfId="0" applyBorder="1"/>
    <xf numFmtId="0" fontId="0" fillId="0" borderId="29" xfId="0" applyBorder="1"/>
    <xf numFmtId="2" fontId="0" fillId="0" borderId="16" xfId="0" applyNumberFormat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/>
    </xf>
    <xf numFmtId="164" fontId="2" fillId="3" borderId="11" xfId="0" applyNumberFormat="1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164" fontId="2" fillId="3" borderId="13" xfId="0" applyNumberFormat="1" applyFont="1" applyFill="1" applyBorder="1" applyAlignment="1">
      <alignment horizontal="center" vertical="center"/>
    </xf>
    <xf numFmtId="164" fontId="2" fillId="3" borderId="19" xfId="0" applyNumberFormat="1" applyFont="1" applyFill="1" applyBorder="1" applyAlignment="1">
      <alignment horizontal="center" vertical="center"/>
    </xf>
    <xf numFmtId="164" fontId="2" fillId="3" borderId="20" xfId="0" applyNumberFormat="1" applyFont="1" applyFill="1" applyBorder="1" applyAlignment="1">
      <alignment horizontal="center" vertical="center"/>
    </xf>
    <xf numFmtId="164" fontId="2" fillId="3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3</v>
      </c>
      <c r="F5" s="4">
        <v>2</v>
      </c>
      <c r="G5" s="1">
        <f t="shared" ref="G5:G6" si="0">E5+F5</f>
        <v>5</v>
      </c>
      <c r="H5" s="15">
        <f t="shared" ref="H5:H15" si="1">G5/D5*100</f>
        <v>9.2592592592592595</v>
      </c>
    </row>
    <row r="6" spans="1:8" ht="20.100000000000001" customHeight="1" x14ac:dyDescent="0.25">
      <c r="A6" s="3" t="s">
        <v>19</v>
      </c>
      <c r="B6" s="4">
        <v>32</v>
      </c>
      <c r="C6" s="4">
        <v>24</v>
      </c>
      <c r="D6" s="4">
        <f>B6+C6</f>
        <v>56</v>
      </c>
      <c r="E6" s="4">
        <v>16</v>
      </c>
      <c r="F6" s="4">
        <v>12</v>
      </c>
      <c r="G6" s="1">
        <f t="shared" si="0"/>
        <v>28</v>
      </c>
      <c r="H6" s="15">
        <f t="shared" si="1"/>
        <v>50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:D15" si="2">B7+C7</f>
        <v>55</v>
      </c>
      <c r="E7" s="1">
        <v>4</v>
      </c>
      <c r="F7" s="1">
        <v>2</v>
      </c>
      <c r="G7" s="1">
        <f>E7+F7</f>
        <v>6</v>
      </c>
      <c r="H7" s="15">
        <f t="shared" si="1"/>
        <v>10.909090909090908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2"/>
        <v>52</v>
      </c>
      <c r="E8" s="1">
        <v>3</v>
      </c>
      <c r="F8" s="1">
        <v>1</v>
      </c>
      <c r="G8" s="1">
        <f t="shared" ref="G8:G15" si="3">E8+F8</f>
        <v>4</v>
      </c>
      <c r="H8" s="15">
        <f t="shared" si="1"/>
        <v>7.6923076923076925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2"/>
        <v>52</v>
      </c>
      <c r="E9" s="1">
        <v>4</v>
      </c>
      <c r="F9" s="1">
        <v>6</v>
      </c>
      <c r="G9" s="1">
        <f t="shared" si="3"/>
        <v>10</v>
      </c>
      <c r="H9" s="15">
        <f t="shared" si="1"/>
        <v>19.230769230769234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2"/>
        <v>53</v>
      </c>
      <c r="E10" s="1">
        <v>1</v>
      </c>
      <c r="F10" s="1">
        <v>5</v>
      </c>
      <c r="G10" s="1">
        <f t="shared" si="3"/>
        <v>6</v>
      </c>
      <c r="H10" s="15">
        <f t="shared" si="1"/>
        <v>11.320754716981133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2"/>
        <v>46</v>
      </c>
      <c r="E11" s="1">
        <v>5</v>
      </c>
      <c r="F11" s="1">
        <v>2</v>
      </c>
      <c r="G11" s="1">
        <f t="shared" si="3"/>
        <v>7</v>
      </c>
      <c r="H11" s="15">
        <f t="shared" si="1"/>
        <v>15.217391304347828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2"/>
        <v>42</v>
      </c>
      <c r="E12" s="1">
        <v>10</v>
      </c>
      <c r="F12" s="1">
        <v>7</v>
      </c>
      <c r="G12" s="1">
        <f t="shared" si="3"/>
        <v>17</v>
      </c>
      <c r="H12" s="15">
        <f t="shared" si="1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2"/>
        <v>45</v>
      </c>
      <c r="E13" s="1">
        <v>3</v>
      </c>
      <c r="F13" s="1">
        <v>2</v>
      </c>
      <c r="G13" s="1">
        <f t="shared" si="3"/>
        <v>5</v>
      </c>
      <c r="H13" s="15">
        <f t="shared" si="1"/>
        <v>11.111111111111111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2"/>
        <v>42</v>
      </c>
      <c r="E14" s="1">
        <v>4</v>
      </c>
      <c r="F14" s="1">
        <v>5</v>
      </c>
      <c r="G14" s="1">
        <f t="shared" si="3"/>
        <v>9</v>
      </c>
      <c r="H14" s="15">
        <f t="shared" si="1"/>
        <v>21.428571428571427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2"/>
        <v>35</v>
      </c>
      <c r="E15" s="10">
        <v>3</v>
      </c>
      <c r="F15" s="10">
        <v>0</v>
      </c>
      <c r="G15" s="1">
        <f t="shared" si="3"/>
        <v>3</v>
      </c>
      <c r="H15" s="15">
        <f t="shared" si="1"/>
        <v>8.5714285714285712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6C6F-7346-4E3E-9D3A-7A332125E52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8</v>
      </c>
      <c r="F5" s="4">
        <v>11</v>
      </c>
      <c r="G5" s="1">
        <f t="shared" ref="G5:G6" si="0">E5+F5</f>
        <v>19</v>
      </c>
      <c r="H5" s="15">
        <f>G5/D5*100</f>
        <v>35.185185185185183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>B6+C6</f>
        <v>56</v>
      </c>
      <c r="E6" s="4">
        <v>17</v>
      </c>
      <c r="F6" s="4">
        <v>12</v>
      </c>
      <c r="G6" s="1">
        <f t="shared" si="0"/>
        <v>29</v>
      </c>
      <c r="H6" s="15">
        <f t="shared" ref="H6:H15" si="1">G6/D6*100</f>
        <v>51.785714285714292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" si="2">B7+C7</f>
        <v>55</v>
      </c>
      <c r="E7" s="1">
        <v>17</v>
      </c>
      <c r="F7" s="1">
        <v>14</v>
      </c>
      <c r="G7" s="1">
        <f>E7+F7</f>
        <v>31</v>
      </c>
      <c r="H7" s="15">
        <f t="shared" si="1"/>
        <v>56.36363636363636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ref="D8:D15" si="3">B8+C8</f>
        <v>52</v>
      </c>
      <c r="E8" s="1">
        <v>11</v>
      </c>
      <c r="F8" s="1">
        <v>14</v>
      </c>
      <c r="G8" s="1">
        <f t="shared" ref="G8:G15" si="4">E8+F8</f>
        <v>25</v>
      </c>
      <c r="H8" s="15">
        <f t="shared" si="1"/>
        <v>48.07692307692308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3"/>
        <v>52</v>
      </c>
      <c r="E9" s="1">
        <v>16</v>
      </c>
      <c r="F9" s="1">
        <v>13</v>
      </c>
      <c r="G9" s="1">
        <f t="shared" si="4"/>
        <v>29</v>
      </c>
      <c r="H9" s="15">
        <f t="shared" si="1"/>
        <v>55.769230769230774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3"/>
        <v>53</v>
      </c>
      <c r="E10" s="1">
        <v>5</v>
      </c>
      <c r="F10" s="1">
        <v>12</v>
      </c>
      <c r="G10" s="1">
        <f t="shared" si="4"/>
        <v>17</v>
      </c>
      <c r="H10" s="15">
        <f t="shared" si="1"/>
        <v>32.075471698113205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3"/>
        <v>46</v>
      </c>
      <c r="E11" s="1">
        <v>9</v>
      </c>
      <c r="F11" s="1">
        <v>7</v>
      </c>
      <c r="G11" s="1">
        <f t="shared" si="4"/>
        <v>16</v>
      </c>
      <c r="H11" s="15">
        <f t="shared" si="1"/>
        <v>34.782608695652172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3"/>
        <v>42</v>
      </c>
      <c r="E12" s="1">
        <v>2</v>
      </c>
      <c r="F12" s="1">
        <v>10</v>
      </c>
      <c r="G12" s="1">
        <f t="shared" si="4"/>
        <v>12</v>
      </c>
      <c r="H12" s="15">
        <f t="shared" si="1"/>
        <v>28.571428571428569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3"/>
        <v>45</v>
      </c>
      <c r="E13" s="1">
        <v>12</v>
      </c>
      <c r="F13" s="1">
        <v>11</v>
      </c>
      <c r="G13" s="1">
        <f t="shared" si="4"/>
        <v>23</v>
      </c>
      <c r="H13" s="15">
        <f t="shared" si="1"/>
        <v>51.111111111111107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3"/>
        <v>42</v>
      </c>
      <c r="E14" s="1">
        <v>8</v>
      </c>
      <c r="F14" s="1">
        <v>10</v>
      </c>
      <c r="G14" s="1">
        <f t="shared" si="4"/>
        <v>18</v>
      </c>
      <c r="H14" s="15">
        <f t="shared" si="1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3"/>
        <v>35</v>
      </c>
      <c r="E15" s="10">
        <v>9</v>
      </c>
      <c r="F15" s="10">
        <v>9</v>
      </c>
      <c r="G15" s="1">
        <f t="shared" si="4"/>
        <v>18</v>
      </c>
      <c r="H15" s="15">
        <f t="shared" si="1"/>
        <v>51.428571428571423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4986-70E4-4CC7-A180-52208B012F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13</v>
      </c>
      <c r="F5" s="4">
        <v>10</v>
      </c>
      <c r="G5" s="1">
        <f t="shared" ref="G5:G6" si="0">E5+F5</f>
        <v>23</v>
      </c>
      <c r="H5" s="15">
        <f>G5/D5*100</f>
        <v>42.592592592592595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13</v>
      </c>
      <c r="F6" s="4">
        <v>10</v>
      </c>
      <c r="G6" s="1">
        <f t="shared" si="0"/>
        <v>23</v>
      </c>
      <c r="H6" s="15">
        <f t="shared" ref="H6:H15" si="2">G6/D6*100</f>
        <v>41.071428571428569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15</v>
      </c>
      <c r="F7" s="1">
        <v>13</v>
      </c>
      <c r="G7" s="1">
        <f>E7+F7</f>
        <v>28</v>
      </c>
      <c r="H7" s="15">
        <f t="shared" si="2"/>
        <v>50.909090909090907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12</v>
      </c>
      <c r="F9" s="1">
        <v>13</v>
      </c>
      <c r="G9" s="1">
        <f t="shared" si="3"/>
        <v>25</v>
      </c>
      <c r="H9" s="15">
        <f t="shared" si="2"/>
        <v>48.07692307692308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5</v>
      </c>
      <c r="F10" s="1">
        <v>10</v>
      </c>
      <c r="G10" s="1">
        <f t="shared" si="3"/>
        <v>15</v>
      </c>
      <c r="H10" s="15">
        <f t="shared" si="2"/>
        <v>28.846153846153843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3</v>
      </c>
      <c r="F12" s="1">
        <v>12</v>
      </c>
      <c r="G12" s="1">
        <f t="shared" si="3"/>
        <v>15</v>
      </c>
      <c r="H12" s="15">
        <f t="shared" si="2"/>
        <v>35.714285714285715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10</v>
      </c>
      <c r="F13" s="1">
        <v>11</v>
      </c>
      <c r="G13" s="1">
        <f t="shared" si="3"/>
        <v>21</v>
      </c>
      <c r="H13" s="15">
        <f t="shared" si="2"/>
        <v>46.666666666666664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12</v>
      </c>
      <c r="G14" s="1">
        <f t="shared" si="3"/>
        <v>20</v>
      </c>
      <c r="H14" s="15">
        <f t="shared" si="2"/>
        <v>47.619047619047613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11</v>
      </c>
      <c r="G15" s="1">
        <f t="shared" si="3"/>
        <v>17</v>
      </c>
      <c r="H15" s="15">
        <f t="shared" si="2"/>
        <v>48.571428571428569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B8D0-8AE0-4062-BC18-81E850C3EF3A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10</v>
      </c>
      <c r="F5" s="4">
        <v>11</v>
      </c>
      <c r="G5" s="1">
        <f t="shared" ref="G5:G6" si="0">E5+F5</f>
        <v>21</v>
      </c>
      <c r="H5" s="15">
        <f>G5/D5*100</f>
        <v>38.888888888888893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10</v>
      </c>
      <c r="F6" s="4">
        <v>4</v>
      </c>
      <c r="G6" s="1">
        <f t="shared" si="0"/>
        <v>14</v>
      </c>
      <c r="H6" s="15">
        <f t="shared" ref="H6:H15" si="2">G6/D6*100</f>
        <v>25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10</v>
      </c>
      <c r="F7" s="1">
        <v>10</v>
      </c>
      <c r="G7" s="1">
        <f>E7+F7</f>
        <v>20</v>
      </c>
      <c r="H7" s="15">
        <f t="shared" si="2"/>
        <v>36.363636363636367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11</v>
      </c>
      <c r="F9" s="1">
        <v>5</v>
      </c>
      <c r="G9" s="1">
        <f t="shared" si="3"/>
        <v>16</v>
      </c>
      <c r="H9" s="15">
        <f t="shared" si="2"/>
        <v>30.76923076923077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4</v>
      </c>
      <c r="F10" s="1">
        <v>14</v>
      </c>
      <c r="G10" s="1">
        <f t="shared" si="3"/>
        <v>18</v>
      </c>
      <c r="H10" s="15">
        <f t="shared" si="2"/>
        <v>34.615384615384613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2</v>
      </c>
      <c r="F12" s="1">
        <v>15</v>
      </c>
      <c r="G12" s="1">
        <f t="shared" si="3"/>
        <v>17</v>
      </c>
      <c r="H12" s="15">
        <f t="shared" si="2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9</v>
      </c>
      <c r="F13" s="1">
        <v>13</v>
      </c>
      <c r="G13" s="1">
        <f t="shared" si="3"/>
        <v>22</v>
      </c>
      <c r="H13" s="15">
        <f t="shared" si="2"/>
        <v>48.888888888888886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10</v>
      </c>
      <c r="G14" s="1">
        <f t="shared" si="3"/>
        <v>18</v>
      </c>
      <c r="H14" s="15">
        <f t="shared" si="2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10</v>
      </c>
      <c r="G15" s="1">
        <f t="shared" si="3"/>
        <v>16</v>
      </c>
      <c r="H15" s="15">
        <f t="shared" si="2"/>
        <v>45.714285714285715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3D76-7268-4299-A57C-4EF0186DE3DE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15</v>
      </c>
      <c r="F5" s="4">
        <v>16</v>
      </c>
      <c r="G5" s="1">
        <f t="shared" ref="G5:G6" si="0">E5+F5</f>
        <v>31</v>
      </c>
      <c r="H5" s="15">
        <f>G5/D5*100</f>
        <v>57.407407407407405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24</v>
      </c>
      <c r="F6" s="4">
        <v>17</v>
      </c>
      <c r="G6" s="1">
        <f t="shared" si="0"/>
        <v>41</v>
      </c>
      <c r="H6" s="15">
        <f t="shared" ref="H6:H15" si="2">G6/D6*100</f>
        <v>73.214285714285708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22</v>
      </c>
      <c r="F7" s="1">
        <v>18</v>
      </c>
      <c r="G7" s="1">
        <f>E7+F7</f>
        <v>40</v>
      </c>
      <c r="H7" s="15">
        <f t="shared" si="2"/>
        <v>72.727272727272734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18</v>
      </c>
      <c r="F8" s="1">
        <v>15</v>
      </c>
      <c r="G8" s="1">
        <f t="shared" ref="G8:G15" si="3">E8+F8</f>
        <v>33</v>
      </c>
      <c r="H8" s="15">
        <f t="shared" si="2"/>
        <v>63.46153846153846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18</v>
      </c>
      <c r="F9" s="1">
        <v>16</v>
      </c>
      <c r="G9" s="1">
        <f t="shared" si="3"/>
        <v>34</v>
      </c>
      <c r="H9" s="15">
        <f t="shared" si="2"/>
        <v>65.384615384615387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22</v>
      </c>
      <c r="F10" s="1">
        <v>18</v>
      </c>
      <c r="G10" s="1">
        <f t="shared" si="3"/>
        <v>40</v>
      </c>
      <c r="H10" s="15">
        <f t="shared" si="2"/>
        <v>76.923076923076934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20</v>
      </c>
      <c r="F11" s="1">
        <v>19</v>
      </c>
      <c r="G11" s="1">
        <f t="shared" si="3"/>
        <v>39</v>
      </c>
      <c r="H11" s="15">
        <f t="shared" si="2"/>
        <v>84.782608695652172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17</v>
      </c>
      <c r="F12" s="1">
        <v>25</v>
      </c>
      <c r="G12" s="1">
        <f t="shared" si="3"/>
        <v>42</v>
      </c>
      <c r="H12" s="15">
        <f t="shared" si="2"/>
        <v>100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20</v>
      </c>
      <c r="F13" s="1">
        <v>18</v>
      </c>
      <c r="G13" s="1">
        <f t="shared" si="3"/>
        <v>38</v>
      </c>
      <c r="H13" s="15">
        <f t="shared" si="2"/>
        <v>84.444444444444443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7B287-C9E0-4469-9DE4-3F2FF0653019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18</v>
      </c>
      <c r="F5" s="4">
        <v>16</v>
      </c>
      <c r="G5" s="1">
        <f t="shared" ref="G5:G6" si="0">E5+F5</f>
        <v>34</v>
      </c>
      <c r="H5" s="15">
        <f>G5/D5*100</f>
        <v>62.962962962962962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25</v>
      </c>
      <c r="F6" s="4">
        <v>20</v>
      </c>
      <c r="G6" s="1">
        <f t="shared" si="0"/>
        <v>45</v>
      </c>
      <c r="H6" s="15">
        <f t="shared" ref="H6:H15" si="2">G6/D6*100</f>
        <v>80.357142857142861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24</v>
      </c>
      <c r="F7" s="1">
        <v>22</v>
      </c>
      <c r="G7" s="1">
        <f>E7+F7</f>
        <v>46</v>
      </c>
      <c r="H7" s="15">
        <f t="shared" si="2"/>
        <v>83.636363636363626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19</v>
      </c>
      <c r="F8" s="1">
        <v>20</v>
      </c>
      <c r="G8" s="1">
        <f t="shared" ref="G8:G15" si="3">E8+F8</f>
        <v>39</v>
      </c>
      <c r="H8" s="15">
        <f t="shared" si="2"/>
        <v>75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23</v>
      </c>
      <c r="F9" s="1">
        <v>20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16</v>
      </c>
      <c r="F10" s="1">
        <v>20</v>
      </c>
      <c r="G10" s="1">
        <f t="shared" si="3"/>
        <v>36</v>
      </c>
      <c r="H10" s="15">
        <f t="shared" si="2"/>
        <v>69.230769230769226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15</v>
      </c>
      <c r="F11" s="1">
        <v>16</v>
      </c>
      <c r="G11" s="1">
        <f t="shared" si="3"/>
        <v>31</v>
      </c>
      <c r="H11" s="15">
        <f t="shared" si="2"/>
        <v>67.391304347826093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14</v>
      </c>
      <c r="F12" s="1">
        <v>21</v>
      </c>
      <c r="G12" s="1">
        <f t="shared" si="3"/>
        <v>35</v>
      </c>
      <c r="H12" s="15">
        <f t="shared" si="2"/>
        <v>83.333333333333343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14</v>
      </c>
      <c r="G13" s="1">
        <f t="shared" si="3"/>
        <v>32</v>
      </c>
      <c r="H13" s="15">
        <f t="shared" si="2"/>
        <v>71.111111111111114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56D8-62E1-4356-891E-D5AE7846088B}">
  <dimension ref="A1:H17"/>
  <sheetViews>
    <sheetView workbookViewId="0">
      <selection activeCell="B5" sqref="B5:C6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24</v>
      </c>
      <c r="F5" s="4">
        <v>17</v>
      </c>
      <c r="G5" s="1">
        <f t="shared" ref="G5:G6" si="0">E5+F5</f>
        <v>41</v>
      </c>
      <c r="H5" s="15">
        <f>G5/D5*100</f>
        <v>75.925925925925924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27</v>
      </c>
      <c r="F6" s="4">
        <v>20</v>
      </c>
      <c r="G6" s="1">
        <f t="shared" si="0"/>
        <v>47</v>
      </c>
      <c r="H6" s="15">
        <f t="shared" ref="H6:H15" si="2">G6/D6*100</f>
        <v>83.928571428571431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24</v>
      </c>
      <c r="F7" s="1">
        <v>21</v>
      </c>
      <c r="G7" s="1">
        <f>E7+F7</f>
        <v>45</v>
      </c>
      <c r="H7" s="15">
        <f t="shared" si="2"/>
        <v>81.818181818181827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20</v>
      </c>
      <c r="F8" s="1">
        <v>20</v>
      </c>
      <c r="G8" s="1">
        <f t="shared" ref="G8:G15" si="3">E8+F8</f>
        <v>40</v>
      </c>
      <c r="H8" s="15">
        <f t="shared" si="2"/>
        <v>76.923076923076934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22</v>
      </c>
      <c r="F9" s="1">
        <v>22</v>
      </c>
      <c r="G9" s="1">
        <f t="shared" si="3"/>
        <v>44</v>
      </c>
      <c r="H9" s="15">
        <f t="shared" si="2"/>
        <v>84.615384615384613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17</v>
      </c>
      <c r="F10" s="1">
        <v>24</v>
      </c>
      <c r="G10" s="1">
        <f t="shared" si="3"/>
        <v>41</v>
      </c>
      <c r="H10" s="15">
        <f t="shared" si="2"/>
        <v>78.84615384615384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17</v>
      </c>
      <c r="F11" s="1">
        <v>16</v>
      </c>
      <c r="G11" s="1">
        <f t="shared" si="3"/>
        <v>33</v>
      </c>
      <c r="H11" s="15">
        <f t="shared" si="2"/>
        <v>71.739130434782609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15</v>
      </c>
      <c r="F12" s="1">
        <v>23</v>
      </c>
      <c r="G12" s="1">
        <f t="shared" si="3"/>
        <v>38</v>
      </c>
      <c r="H12" s="15">
        <f t="shared" si="2"/>
        <v>90.476190476190482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16</v>
      </c>
      <c r="G13" s="1">
        <f t="shared" si="3"/>
        <v>34</v>
      </c>
      <c r="H13" s="15">
        <f t="shared" si="2"/>
        <v>75.555555555555557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13</v>
      </c>
      <c r="F14" s="1">
        <v>17</v>
      </c>
      <c r="G14" s="1">
        <f t="shared" si="3"/>
        <v>30</v>
      </c>
      <c r="H14" s="15">
        <f t="shared" si="2"/>
        <v>71.428571428571431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12</v>
      </c>
      <c r="G15" s="1">
        <f t="shared" si="3"/>
        <v>23</v>
      </c>
      <c r="H15" s="15">
        <f t="shared" si="2"/>
        <v>65.714285714285708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4744-380C-41E1-B4E7-06F9E909A80F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45666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48</v>
      </c>
      <c r="F5" s="4">
        <v>39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1">
        <v>25</v>
      </c>
      <c r="F6" s="1">
        <v>20</v>
      </c>
      <c r="G6" s="1">
        <f>E6+F6</f>
        <v>45</v>
      </c>
      <c r="H6" s="15">
        <f t="shared" ref="H6:H14" si="2">G6/D6*100</f>
        <v>81.818181818181827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1">
        <v>23</v>
      </c>
      <c r="F7" s="1">
        <v>23</v>
      </c>
      <c r="G7" s="1">
        <f t="shared" ref="G7:G14" si="3">E7+F7</f>
        <v>46</v>
      </c>
      <c r="H7" s="15">
        <f t="shared" si="2"/>
        <v>88.461538461538453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1">
        <v>22</v>
      </c>
      <c r="F8" s="1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1">
        <v>17</v>
      </c>
      <c r="F9" s="1">
        <v>24</v>
      </c>
      <c r="G9" s="1">
        <f t="shared" si="3"/>
        <v>41</v>
      </c>
      <c r="H9" s="15">
        <f t="shared" si="2"/>
        <v>78.84615384615384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1">
        <v>19</v>
      </c>
      <c r="F10" s="1">
        <v>15</v>
      </c>
      <c r="G10" s="1">
        <f t="shared" si="3"/>
        <v>34</v>
      </c>
      <c r="H10" s="15">
        <f t="shared" si="2"/>
        <v>73.91304347826086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1">
        <v>17</v>
      </c>
      <c r="F11" s="1">
        <v>24</v>
      </c>
      <c r="G11" s="1">
        <f t="shared" si="3"/>
        <v>41</v>
      </c>
      <c r="H11" s="15">
        <f t="shared" si="2"/>
        <v>97.61904761904762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1">
        <v>23</v>
      </c>
      <c r="F12" s="1">
        <v>17</v>
      </c>
      <c r="G12" s="1">
        <f t="shared" si="3"/>
        <v>40</v>
      </c>
      <c r="H12" s="15">
        <f t="shared" si="2"/>
        <v>88.888888888888886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1">
        <v>13</v>
      </c>
      <c r="F13" s="1">
        <v>18</v>
      </c>
      <c r="G13" s="1">
        <f t="shared" si="3"/>
        <v>31</v>
      </c>
      <c r="H13" s="15">
        <f t="shared" si="2"/>
        <v>73.80952380952381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13</v>
      </c>
      <c r="F14" s="10">
        <v>14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81787-08BF-4906-B428-E34906478566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37</v>
      </c>
      <c r="G5" s="1">
        <f t="shared" ref="G5" si="0">E5+F5</f>
        <v>86</v>
      </c>
      <c r="H5" s="15">
        <f>G5/D5*100</f>
        <v>78.181818181818187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29</v>
      </c>
      <c r="F6" s="4">
        <v>20</v>
      </c>
      <c r="G6" s="1">
        <f>E6+F6</f>
        <v>49</v>
      </c>
      <c r="H6" s="15">
        <f t="shared" ref="H6:H14" si="2">G6/D6*100</f>
        <v>89.090909090909093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18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25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13</v>
      </c>
      <c r="G10" s="1">
        <f t="shared" si="3"/>
        <v>32</v>
      </c>
      <c r="H10" s="15">
        <f t="shared" si="2"/>
        <v>69.565217391304344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24</v>
      </c>
      <c r="G11" s="1">
        <f t="shared" si="3"/>
        <v>40</v>
      </c>
      <c r="H11" s="15">
        <f t="shared" si="2"/>
        <v>95.238095238095227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22</v>
      </c>
      <c r="F12" s="4">
        <v>16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11</v>
      </c>
      <c r="F13" s="4">
        <v>19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12</v>
      </c>
      <c r="G14" s="1">
        <f t="shared" si="3"/>
        <v>24</v>
      </c>
      <c r="H14" s="15">
        <f t="shared" si="2"/>
        <v>68.571428571428569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0AB10B49-8139-4815-9B7F-6640BD3A34C9}">
      <formula1>B5&gt;=E5</formula1>
    </dataValidation>
    <dataValidation type="custom" allowBlank="1" showInputMessage="1" showErrorMessage="1" errorTitle="Wrong Entry" error="Kindly Enter Value Less then Available Girls" sqref="F5:F14" xr:uid="{1EC647D2-6BD9-4328-B540-9B521665E48B}">
      <formula1>C5&gt;=F5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2AA-DBE0-4B5E-8008-056C9A949320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/>
      <c r="F5" s="4"/>
      <c r="G5" s="1">
        <f t="shared" ref="G5" si="0">E5+F5</f>
        <v>0</v>
      </c>
      <c r="H5" s="15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/>
      <c r="F6" s="4"/>
      <c r="G6" s="1">
        <f>E6+F6</f>
        <v>0</v>
      </c>
      <c r="H6" s="15">
        <f t="shared" ref="H6:H14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12</v>
      </c>
      <c r="F7" s="4">
        <v>19</v>
      </c>
      <c r="G7" s="1">
        <f t="shared" ref="G7:G14" si="3">E7+F7</f>
        <v>31</v>
      </c>
      <c r="H7" s="15">
        <f t="shared" si="2"/>
        <v>59.615384615384613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17</v>
      </c>
      <c r="F8" s="4">
        <v>21</v>
      </c>
      <c r="G8" s="1">
        <f t="shared" si="3"/>
        <v>38</v>
      </c>
      <c r="H8" s="15">
        <f t="shared" si="2"/>
        <v>73.076923076923066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23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16</v>
      </c>
      <c r="F10" s="4">
        <v>15</v>
      </c>
      <c r="G10" s="1">
        <f t="shared" si="3"/>
        <v>31</v>
      </c>
      <c r="H10" s="15">
        <f t="shared" si="2"/>
        <v>67.391304347826093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19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16</v>
      </c>
      <c r="G12" s="1">
        <f t="shared" si="3"/>
        <v>34</v>
      </c>
      <c r="H12" s="15">
        <f t="shared" si="2"/>
        <v>75.555555555555557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13</v>
      </c>
      <c r="G13" s="1">
        <f t="shared" si="3"/>
        <v>23</v>
      </c>
      <c r="H13" s="15">
        <f t="shared" si="2"/>
        <v>54.761904761904766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13</v>
      </c>
      <c r="G14" s="1">
        <f t="shared" si="3"/>
        <v>25</v>
      </c>
      <c r="H14" s="15">
        <f t="shared" si="2"/>
        <v>71.428571428571431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39A5BFC-3292-4CAA-B430-3E5DA09579C2}">
      <formula1>C5&gt;=F5</formula1>
    </dataValidation>
    <dataValidation type="custom" allowBlank="1" showInputMessage="1" showErrorMessage="1" errorTitle="Wrong Entry" error="Kindly Enter Value Less then Available Boys" sqref="E5:E13" xr:uid="{AF026129-D8F3-475A-9F36-F0D18A879EB5}">
      <formula1>B5&gt;=E5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096B-ABC2-4A0E-90BC-9F43D6EF51F0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41</v>
      </c>
      <c r="G5" s="1">
        <f t="shared" ref="G5" si="0">E5+F5</f>
        <v>90</v>
      </c>
      <c r="H5" s="15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22</v>
      </c>
      <c r="G6" s="1">
        <f>E6+F6</f>
        <v>49</v>
      </c>
      <c r="H6" s="15">
        <f t="shared" ref="H6:H14" si="2">G6/D6*100</f>
        <v>89.090909090909093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17</v>
      </c>
      <c r="G7" s="1">
        <f t="shared" ref="G7:G14" si="3">E7+F7</f>
        <v>35</v>
      </c>
      <c r="H7" s="15">
        <f t="shared" si="2"/>
        <v>67.307692307692307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22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27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14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20</v>
      </c>
      <c r="G11" s="1">
        <f t="shared" si="3"/>
        <v>35</v>
      </c>
      <c r="H11" s="15">
        <f t="shared" si="2"/>
        <v>83.333333333333343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19</v>
      </c>
      <c r="F12" s="4">
        <v>14</v>
      </c>
      <c r="G12" s="1">
        <f t="shared" si="3"/>
        <v>33</v>
      </c>
      <c r="H12" s="15">
        <f t="shared" si="2"/>
        <v>73.333333333333329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16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15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BB6E8EE-AABD-495B-B619-1054BFCC8476}">
      <formula1>B5&gt;=E5</formula1>
    </dataValidation>
    <dataValidation type="custom" allowBlank="1" showInputMessage="1" showErrorMessage="1" errorTitle="Wrong Entry" error="Kindly Enter Value Less then Available Girls" sqref="F5:F14" xr:uid="{DDA77982-76D0-4970-83DD-A476B5A7D23F}">
      <formula1>C5&gt;=F5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88A8-1E09-42C3-8B8A-4FE4BC82BF49}">
  <dimension ref="A1:H16"/>
  <sheetViews>
    <sheetView workbookViewId="0">
      <selection activeCell="B15" sqref="B15:G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50</v>
      </c>
      <c r="F5" s="4">
        <v>37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17</v>
      </c>
      <c r="G6" s="1">
        <f>E6+F6</f>
        <v>44</v>
      </c>
      <c r="H6" s="15">
        <f t="shared" ref="H6:H14" si="2">G6/D6*100</f>
        <v>80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19</v>
      </c>
      <c r="G8" s="1">
        <f t="shared" si="3"/>
        <v>41</v>
      </c>
      <c r="H8" s="15">
        <f t="shared" si="2"/>
        <v>78.84615384615384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23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23</v>
      </c>
      <c r="G10" s="1">
        <f t="shared" si="3"/>
        <v>42</v>
      </c>
      <c r="H10" s="15">
        <f t="shared" si="2"/>
        <v>91.304347826086953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14</v>
      </c>
      <c r="G12" s="1">
        <f t="shared" si="3"/>
        <v>32</v>
      </c>
      <c r="H12" s="15">
        <f t="shared" si="2"/>
        <v>71.111111111111114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18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11</v>
      </c>
      <c r="G14" s="1">
        <f t="shared" si="3"/>
        <v>23</v>
      </c>
      <c r="H14" s="15">
        <f t="shared" si="2"/>
        <v>65.714285714285708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213</v>
      </c>
      <c r="F15" s="11">
        <f t="shared" si="4"/>
        <v>203</v>
      </c>
      <c r="G15" s="11">
        <f t="shared" si="4"/>
        <v>416</v>
      </c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67886D9-B5F0-44F3-985B-ADCEE61ED2FA}">
      <formula1>C5&gt;=F5</formula1>
    </dataValidation>
    <dataValidation type="custom" allowBlank="1" showInputMessage="1" showErrorMessage="1" errorTitle="Wrong Entry" error="Kindly Enter Value Less then Available Boys" sqref="E5:E13" xr:uid="{85749E5F-7F8F-4350-A35D-C9368103AB8D}">
      <formula1>B5&gt;=E5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DE1C3-55C0-4FDB-BF17-C2192DFF87BC}">
  <dimension ref="A1:H16"/>
  <sheetViews>
    <sheetView topLeftCell="A3" workbookViewId="0">
      <selection activeCell="L13" sqref="L13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.75" thickBot="1" x14ac:dyDescent="0.4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5">
        <v>45672</v>
      </c>
      <c r="B3" s="36"/>
      <c r="C3" s="36"/>
      <c r="D3" s="36"/>
      <c r="E3" s="36"/>
      <c r="F3" s="36"/>
      <c r="G3" s="36"/>
      <c r="H3" s="37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50</v>
      </c>
      <c r="F5" s="18">
        <v>39</v>
      </c>
      <c r="G5" s="18">
        <f t="shared" ref="G5" si="0">E5+F5</f>
        <v>89</v>
      </c>
      <c r="H5" s="19">
        <f>G5/D5*100</f>
        <v>80.909090909090907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31</v>
      </c>
      <c r="F6" s="4">
        <v>19</v>
      </c>
      <c r="G6" s="1">
        <f>E6+F6</f>
        <v>50</v>
      </c>
      <c r="H6" s="15">
        <f t="shared" ref="H6:H15" si="2">G6/D6*100</f>
        <v>90.909090909090907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22</v>
      </c>
      <c r="F7" s="4">
        <v>20</v>
      </c>
      <c r="G7" s="1">
        <f t="shared" ref="G7:G14" si="3">E7+F7</f>
        <v>42</v>
      </c>
      <c r="H7" s="15">
        <f t="shared" si="2"/>
        <v>80.769230769230774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13</v>
      </c>
      <c r="F9" s="4">
        <v>27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18</v>
      </c>
      <c r="F10" s="4">
        <v>18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17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16</v>
      </c>
      <c r="F14" s="16">
        <v>14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227</v>
      </c>
      <c r="F15" s="11">
        <f t="shared" si="4"/>
        <v>214</v>
      </c>
      <c r="G15" s="11">
        <f t="shared" si="4"/>
        <v>441</v>
      </c>
      <c r="H15" s="25">
        <f t="shared" si="2"/>
        <v>83.050847457627114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C815BFC9-054B-43BA-8839-22FFD8FB1453}">
      <formula1>B5&gt;=E5</formula1>
    </dataValidation>
    <dataValidation type="custom" allowBlank="1" showInputMessage="1" showErrorMessage="1" errorTitle="Wrong Entry" error="Kindly Enter Value Less then Available Girls" sqref="F5:F14" xr:uid="{78751C2D-94A3-4402-B4F5-53A62629A15F}">
      <formula1>C5&gt;=F5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68BF-B3A4-4B5B-A723-43A6C4FB05FE}">
  <dimension ref="A1:H16"/>
  <sheetViews>
    <sheetView topLeftCell="A4" workbookViewId="0">
      <selection activeCell="J11" sqref="J11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51</v>
      </c>
      <c r="F5" s="18">
        <v>44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30</v>
      </c>
      <c r="F6" s="4">
        <v>18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21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22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16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23</v>
      </c>
      <c r="G11" s="1">
        <f t="shared" si="3"/>
        <v>39</v>
      </c>
      <c r="H11" s="15">
        <f t="shared" si="2"/>
        <v>92.857142857142861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16</v>
      </c>
      <c r="F13" s="4">
        <v>18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14</v>
      </c>
      <c r="G14" s="21">
        <f t="shared" si="3"/>
        <v>29</v>
      </c>
      <c r="H14" s="22">
        <f t="shared" si="2"/>
        <v>82.857142857142861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232</v>
      </c>
      <c r="F15" s="11">
        <f t="shared" si="4"/>
        <v>213</v>
      </c>
      <c r="G15" s="11">
        <f t="shared" si="4"/>
        <v>445</v>
      </c>
      <c r="H15" s="25">
        <f t="shared" si="2"/>
        <v>83.804143126177024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5420EF7-1555-4EF0-8F32-860E291D9460}">
      <formula1>C5&gt;=F5</formula1>
    </dataValidation>
    <dataValidation type="custom" allowBlank="1" showInputMessage="1" showErrorMessage="1" errorTitle="Wrong Entry" error="Kindly Enter Value Less then Available Boys" sqref="E5:E13" xr:uid="{13D1A81B-0ECB-42C6-9A23-073C4D6F4F11}">
      <formula1>B5&gt;=E5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376B-DBA3-42C7-BF5C-7993F5324B10}">
  <dimension ref="A1:H16"/>
  <sheetViews>
    <sheetView topLeftCell="A4"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43</v>
      </c>
      <c r="F5" s="18">
        <v>37</v>
      </c>
      <c r="G5" s="18">
        <f t="shared" ref="G5" si="0">E5+F5</f>
        <v>80</v>
      </c>
      <c r="H5" s="19">
        <f>G5/D5*100</f>
        <v>72.727272727272734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26</v>
      </c>
      <c r="F6" s="4">
        <v>21</v>
      </c>
      <c r="G6" s="1">
        <f>E6+F6</f>
        <v>47</v>
      </c>
      <c r="H6" s="15">
        <f t="shared" ref="H6:H15" si="2">G6/D6*100</f>
        <v>85.454545454545453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17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23</v>
      </c>
      <c r="F8" s="4">
        <v>23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21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17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14</v>
      </c>
      <c r="F11" s="4">
        <v>23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16</v>
      </c>
      <c r="G12" s="1">
        <f t="shared" si="3"/>
        <v>39</v>
      </c>
      <c r="H12" s="15">
        <f t="shared" si="2"/>
        <v>86.666666666666671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20</v>
      </c>
      <c r="G13" s="1">
        <f t="shared" si="3"/>
        <v>33</v>
      </c>
      <c r="H13" s="15">
        <f t="shared" si="2"/>
        <v>78.571428571428569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15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212</v>
      </c>
      <c r="F15" s="11">
        <f t="shared" si="4"/>
        <v>210</v>
      </c>
      <c r="G15" s="11">
        <f t="shared" si="4"/>
        <v>422</v>
      </c>
      <c r="H15" s="25">
        <f t="shared" si="2"/>
        <v>79.472693032015059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3781A471-CF14-47B9-BDD9-53B6B48BE11E}">
      <formula1>B5&gt;=E5</formula1>
    </dataValidation>
    <dataValidation type="custom" allowBlank="1" showInputMessage="1" showErrorMessage="1" errorTitle="Wrong Entry" error="Kindly Enter Value Less then Available Girls" sqref="F5:F14" xr:uid="{2919C1E8-20DF-4C2A-BE4A-D74445B425CF}">
      <formula1>C5&gt;=F5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B64E-9213-43F5-8CBD-944011632933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38</v>
      </c>
      <c r="F5" s="18">
        <v>30</v>
      </c>
      <c r="G5" s="18">
        <f t="shared" ref="G5" si="0">E5+F5</f>
        <v>68</v>
      </c>
      <c r="H5" s="19">
        <f>G5/D5*100</f>
        <v>61.818181818181813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28</v>
      </c>
      <c r="F6" s="4">
        <v>16</v>
      </c>
      <c r="G6" s="1">
        <f>E6+F6</f>
        <v>44</v>
      </c>
      <c r="H6" s="15">
        <f t="shared" ref="H6:H15" si="2">G6/D6*100</f>
        <v>80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13</v>
      </c>
      <c r="G7" s="1">
        <f t="shared" ref="G7:G14" si="3">E7+F7</f>
        <v>34</v>
      </c>
      <c r="H7" s="15">
        <f t="shared" si="2"/>
        <v>65.384615384615387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18</v>
      </c>
      <c r="F8" s="4">
        <v>19</v>
      </c>
      <c r="G8" s="1">
        <f t="shared" si="3"/>
        <v>37</v>
      </c>
      <c r="H8" s="15">
        <f t="shared" si="2"/>
        <v>71.15384615384616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25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15</v>
      </c>
      <c r="F10" s="4">
        <v>12</v>
      </c>
      <c r="G10" s="1">
        <f t="shared" si="3"/>
        <v>27</v>
      </c>
      <c r="H10" s="15">
        <f t="shared" si="2"/>
        <v>58.695652173913047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20</v>
      </c>
      <c r="G11" s="1">
        <f t="shared" si="3"/>
        <v>33</v>
      </c>
      <c r="H11" s="15">
        <f t="shared" si="2"/>
        <v>78.571428571428569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20</v>
      </c>
      <c r="F12" s="4">
        <v>17</v>
      </c>
      <c r="G12" s="1">
        <f t="shared" si="3"/>
        <v>37</v>
      </c>
      <c r="H12" s="15">
        <f t="shared" si="2"/>
        <v>82.222222222222214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18</v>
      </c>
      <c r="G13" s="1">
        <f t="shared" si="3"/>
        <v>28</v>
      </c>
      <c r="H13" s="15">
        <f t="shared" si="2"/>
        <v>66.666666666666657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15</v>
      </c>
      <c r="G14" s="21">
        <f t="shared" si="3"/>
        <v>28</v>
      </c>
      <c r="H14" s="22">
        <f t="shared" si="2"/>
        <v>80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190</v>
      </c>
      <c r="F15" s="11">
        <f t="shared" si="4"/>
        <v>185</v>
      </c>
      <c r="G15" s="11">
        <f t="shared" si="4"/>
        <v>375</v>
      </c>
      <c r="H15" s="25">
        <f t="shared" si="2"/>
        <v>70.621468926553675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8AC3E3B0-7C58-4C54-8854-E2CA1502B08D}">
      <formula1>C5&gt;=F5</formula1>
    </dataValidation>
    <dataValidation type="custom" allowBlank="1" showInputMessage="1" showErrorMessage="1" errorTitle="Wrong Entry" error="Kindly Enter Value Less then Available Boys" sqref="E5:E13" xr:uid="{99A256D8-BD22-4A76-8B5B-7FF135762345}">
      <formula1>B5&gt;=E5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1A89-C5CF-4E31-B22F-18746ACB2762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54</v>
      </c>
      <c r="F5" s="18">
        <v>36</v>
      </c>
      <c r="G5" s="18">
        <f t="shared" ref="G5" si="0">E5+F5</f>
        <v>90</v>
      </c>
      <c r="H5" s="19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29</v>
      </c>
      <c r="F6" s="4">
        <v>19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21</v>
      </c>
      <c r="G7" s="1">
        <f t="shared" ref="G7:G14" si="3">E7+F7</f>
        <v>41</v>
      </c>
      <c r="H7" s="15">
        <f t="shared" si="2"/>
        <v>78.84615384615384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21</v>
      </c>
      <c r="G8" s="1">
        <f t="shared" si="3"/>
        <v>45</v>
      </c>
      <c r="H8" s="15">
        <f t="shared" si="2"/>
        <v>86.538461538461547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25</v>
      </c>
      <c r="G9" s="1">
        <f t="shared" si="3"/>
        <v>42</v>
      </c>
      <c r="H9" s="15">
        <f t="shared" si="2"/>
        <v>80.769230769230774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18</v>
      </c>
      <c r="G10" s="1">
        <f t="shared" si="3"/>
        <v>37</v>
      </c>
      <c r="H10" s="15">
        <f t="shared" si="2"/>
        <v>80.434782608695656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23</v>
      </c>
      <c r="G11" s="1">
        <f t="shared" si="3"/>
        <v>38</v>
      </c>
      <c r="H11" s="15">
        <f t="shared" si="2"/>
        <v>90.476190476190482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24</v>
      </c>
      <c r="F12" s="4">
        <v>12</v>
      </c>
      <c r="G12" s="1">
        <f t="shared" si="3"/>
        <v>36</v>
      </c>
      <c r="H12" s="15">
        <f t="shared" si="2"/>
        <v>80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17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12</v>
      </c>
      <c r="G14" s="21">
        <f t="shared" si="3"/>
        <v>25</v>
      </c>
      <c r="H14" s="22">
        <f t="shared" si="2"/>
        <v>71.428571428571431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228</v>
      </c>
      <c r="F15" s="11">
        <f t="shared" si="4"/>
        <v>204</v>
      </c>
      <c r="G15" s="11">
        <f t="shared" si="4"/>
        <v>432</v>
      </c>
      <c r="H15" s="25">
        <f t="shared" si="2"/>
        <v>81.355932203389841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DB0E171C-EAC3-488E-9157-C504CB013FD0}">
      <formula1>B5&gt;=E5</formula1>
    </dataValidation>
    <dataValidation type="custom" allowBlank="1" showInputMessage="1" showErrorMessage="1" errorTitle="Wrong Entry" error="Kindly Enter Value Less then Available Girls" sqref="F5:F14" xr:uid="{8FAC761B-992B-4432-8D3F-26C50059D06A}">
      <formula1>C5&gt;=F5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BB496-C281-4984-BD3F-567E649AB8E8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55</v>
      </c>
      <c r="F5" s="18">
        <v>37</v>
      </c>
      <c r="G5" s="18">
        <f t="shared" ref="G5" si="0">E5+F5</f>
        <v>92</v>
      </c>
      <c r="H5" s="19">
        <f>G5/D5*100</f>
        <v>83.636363636363626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31</v>
      </c>
      <c r="F6" s="4">
        <v>17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24</v>
      </c>
      <c r="F7" s="4">
        <v>20</v>
      </c>
      <c r="G7" s="1">
        <f t="shared" ref="G7:G14" si="3">E7+F7</f>
        <v>44</v>
      </c>
      <c r="H7" s="15">
        <f t="shared" si="2"/>
        <v>84.615384615384613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22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22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17</v>
      </c>
      <c r="G10" s="1">
        <f t="shared" si="3"/>
        <v>38</v>
      </c>
      <c r="H10" s="15">
        <f t="shared" si="2"/>
        <v>82.608695652173907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15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238</v>
      </c>
      <c r="F15" s="11">
        <f t="shared" si="4"/>
        <v>201</v>
      </c>
      <c r="G15" s="11">
        <f t="shared" si="4"/>
        <v>439</v>
      </c>
      <c r="H15" s="25">
        <f t="shared" si="2"/>
        <v>82.674199623352166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E496C8E-0EEB-4717-AD70-80F7BC185D53}">
      <formula1>C5&gt;=F5</formula1>
    </dataValidation>
    <dataValidation type="custom" allowBlank="1" showInputMessage="1" showErrorMessage="1" errorTitle="Wrong Entry" error="Kindly Enter Value Less then Available Boys" sqref="E5:E13" xr:uid="{10E35FE1-520E-4F29-AC5F-56406469EE1B}">
      <formula1>B5&gt;=E5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C576-0B5E-43DA-BB22-C576A882224D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52</v>
      </c>
      <c r="F5" s="18">
        <v>43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32</v>
      </c>
      <c r="F6" s="4">
        <v>18</v>
      </c>
      <c r="G6" s="1">
        <f>E6+F6</f>
        <v>50</v>
      </c>
      <c r="H6" s="15">
        <f t="shared" ref="H6:H15" si="2">G6/D6*100</f>
        <v>90.909090909090907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19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15</v>
      </c>
      <c r="F9" s="4">
        <v>22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16</v>
      </c>
      <c r="G10" s="1">
        <f t="shared" si="3"/>
        <v>33</v>
      </c>
      <c r="H10" s="15">
        <f t="shared" si="2"/>
        <v>71.739130434782609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21</v>
      </c>
      <c r="G13" s="1">
        <f t="shared" si="3"/>
        <v>35</v>
      </c>
      <c r="H13" s="15">
        <f t="shared" si="2"/>
        <v>83.333333333333343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222</v>
      </c>
      <c r="F15" s="11">
        <f t="shared" si="4"/>
        <v>209</v>
      </c>
      <c r="G15" s="11">
        <f t="shared" si="4"/>
        <v>431</v>
      </c>
      <c r="H15" s="25">
        <f t="shared" si="2"/>
        <v>81.16760828625236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01954EA-E377-4B4F-8EBB-D393D27D0487}">
      <formula1>B5&gt;=E5</formula1>
    </dataValidation>
    <dataValidation type="custom" allowBlank="1" showInputMessage="1" showErrorMessage="1" errorTitle="Wrong Entry" error="Kindly Enter Value Less then Available Girls" sqref="F5:F14" xr:uid="{1076A0DF-0026-4ACD-85A5-70C8F3EC414E}">
      <formula1>C5&gt;=F5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A9552-ED84-4E5C-9EFC-73F68637F4A8}">
  <dimension ref="A1:H16"/>
  <sheetViews>
    <sheetView tabSelected="1" workbookViewId="0">
      <selection activeCell="E5" sqref="E5:F1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/>
      <c r="F5" s="18"/>
      <c r="G5" s="18">
        <f t="shared" ref="G5" si="0">E5+F5</f>
        <v>0</v>
      </c>
      <c r="H5" s="19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/>
      <c r="F6" s="4"/>
      <c r="G6" s="1">
        <f>E6+F6</f>
        <v>0</v>
      </c>
      <c r="H6" s="15">
        <f t="shared" ref="H6:H15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/>
      <c r="F7" s="4"/>
      <c r="G7" s="1">
        <f t="shared" ref="G7:G14" si="3">E7+F7</f>
        <v>0</v>
      </c>
      <c r="H7" s="15">
        <f t="shared" si="2"/>
        <v>0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/>
      <c r="F8" s="4"/>
      <c r="G8" s="1">
        <f t="shared" si="3"/>
        <v>0</v>
      </c>
      <c r="H8" s="15">
        <f t="shared" si="2"/>
        <v>0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/>
      <c r="F9" s="4"/>
      <c r="G9" s="1">
        <f t="shared" si="3"/>
        <v>0</v>
      </c>
      <c r="H9" s="15">
        <f t="shared" si="2"/>
        <v>0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/>
      <c r="F10" s="4"/>
      <c r="G10" s="1">
        <f t="shared" si="3"/>
        <v>0</v>
      </c>
      <c r="H10" s="15">
        <f t="shared" si="2"/>
        <v>0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/>
      <c r="F11" s="4"/>
      <c r="G11" s="1">
        <f t="shared" si="3"/>
        <v>0</v>
      </c>
      <c r="H11" s="15">
        <f t="shared" si="2"/>
        <v>0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/>
      <c r="F12" s="4"/>
      <c r="G12" s="1">
        <f t="shared" si="3"/>
        <v>0</v>
      </c>
      <c r="H12" s="15">
        <f t="shared" si="2"/>
        <v>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/>
      <c r="F13" s="4"/>
      <c r="G13" s="1">
        <f t="shared" si="3"/>
        <v>0</v>
      </c>
      <c r="H13" s="15">
        <f t="shared" si="2"/>
        <v>0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/>
      <c r="F14" s="16"/>
      <c r="G14" s="21">
        <f t="shared" si="3"/>
        <v>0</v>
      </c>
      <c r="H14" s="22">
        <f t="shared" si="2"/>
        <v>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0</v>
      </c>
      <c r="F15" s="11">
        <f t="shared" si="4"/>
        <v>0</v>
      </c>
      <c r="G15" s="11">
        <f t="shared" si="4"/>
        <v>0</v>
      </c>
      <c r="H15" s="25">
        <f t="shared" si="2"/>
        <v>0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5C3FE259-7004-4823-BDB5-7FCF503B66E7}">
      <formula1>C5&gt;=F5</formula1>
    </dataValidation>
    <dataValidation type="custom" allowBlank="1" showInputMessage="1" showErrorMessage="1" errorTitle="Wrong Entry" error="Kindly Enter Value Less then Available Boys" sqref="E5:E13" xr:uid="{44B33FB1-88C8-4CEE-9374-1BD3AADD558E}">
      <formula1>B5&gt;=E5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01-01-2025</vt:lpstr>
      <vt:lpstr>02-01-2025</vt:lpstr>
      <vt:lpstr>03-01-2025</vt:lpstr>
      <vt:lpstr>04-01-2025</vt:lpstr>
      <vt:lpstr>06-01-2025</vt:lpstr>
      <vt:lpstr>07-01-2025</vt:lpstr>
      <vt:lpstr>08-01-2025</vt:lpstr>
      <vt:lpstr>09-01-2025</vt:lpstr>
      <vt:lpstr>10-01-2025</vt:lpstr>
      <vt:lpstr>11-01-2025</vt:lpstr>
      <vt:lpstr>13-01-2025</vt:lpstr>
      <vt:lpstr>14-01-2025</vt:lpstr>
      <vt:lpstr>15-01-2025</vt:lpstr>
      <vt:lpstr>16-01-2025</vt:lpstr>
      <vt:lpstr>17-01-2025</vt:lpstr>
      <vt:lpstr>18-01-2025</vt:lpstr>
      <vt:lpstr>20-01-2025</vt:lpstr>
      <vt:lpstr>21-01-2025</vt:lpstr>
      <vt:lpstr>22-01-2025</vt:lpstr>
      <vt:lpstr>23-01-2025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2015-06-05T18:17:20Z</dcterms:created>
  <dcterms:modified xsi:type="dcterms:W3CDTF">2025-01-22T05:41:23Z</dcterms:modified>
</cp:coreProperties>
</file>