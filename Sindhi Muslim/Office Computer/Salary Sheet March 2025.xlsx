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2695" windowHeight="11445"/>
  </bookViews>
  <sheets>
    <sheet name="Sheet1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L31" i="1" l="1"/>
  <c r="K31" i="1"/>
  <c r="K30" i="1"/>
  <c r="L29" i="1"/>
  <c r="K29" i="1"/>
  <c r="L27" i="1"/>
  <c r="K27" i="1"/>
  <c r="L26" i="1"/>
  <c r="K26" i="1"/>
  <c r="L9" i="1"/>
</calcChain>
</file>

<file path=xl/sharedStrings.xml><?xml version="1.0" encoding="utf-8"?>
<sst xmlns="http://schemas.openxmlformats.org/spreadsheetml/2006/main" count="132" uniqueCount="86">
  <si>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</si>
  <si>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</si>
  <si>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</si>
  <si>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</si>
  <si>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</si>
  <si>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</si>
  <si>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</si>
  <si>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</si>
  <si>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</si>
  <si>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</si>
  <si>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</si>
  <si>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</si>
  <si>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</si>
  <si>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</si>
  <si>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</si>
  <si>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</si>
  <si>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</si>
  <si>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</si>
  <si>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</si>
  <si>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</si>
  <si>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</si>
  <si>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</si>
  <si>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</si>
  <si>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Tooba</t>
  </si>
  <si>
    <t>Mir Muhammad</t>
  </si>
  <si>
    <t>42501-8210999-2</t>
  </si>
  <si>
    <t>0003636572792701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</si>
  <si>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</si>
  <si>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</si>
  <si>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</si>
  <si>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</si>
  <si>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</si>
  <si>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</si>
  <si>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</si>
  <si>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</si>
  <si>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</si>
  <si>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</si>
  <si>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</si>
  <si>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</si>
  <si>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</si>
  <si>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</si>
  <si>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</si>
  <si>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</si>
  <si>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</si>
  <si>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</si>
  <si>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</si>
  <si>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</si>
  <si>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</si>
  <si>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</si>
  <si>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</si>
  <si>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</si>
  <si>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</si>
  <si>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</si>
  <si>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</si>
  <si>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</si>
  <si>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</si>
  <si>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</si>
  <si>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</si>
  <si>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</si>
  <si>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</si>
  <si>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</si>
  <si>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</si>
  <si>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</si>
  <si>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</si>
  <si>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</si>
  <si>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</si>
  <si>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</si>
  <si>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</si>
  <si>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</si>
  <si>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</si>
  <si>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</si>
  <si>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</si>
  <si>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</si>
  <si>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</si>
  <si>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</si>
  <si>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</si>
  <si>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</si>
  <si>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</si>
  <si>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</si>
  <si>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31201 2460819 2</t>
  </si>
  <si>
    <t>LHV</t>
  </si>
  <si>
    <t>Tasneem Waqar</t>
  </si>
  <si>
    <t>Lakha dino</t>
  </si>
  <si>
    <t>42201-1906774-2</t>
  </si>
  <si>
    <t>Salary Sheet for the Month March 2025</t>
  </si>
  <si>
    <t>Receiving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</si>
</sst>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>
      <alignment horizontal="left"/>
    </xf>
    <xf numFmtId="165" fontId="0" fillId="0" borderId="0" xfId="0" applyNumberFormat="1" applyFont="1" applyAlignment="1"/>
    <xf numFmtId="43" fontId="6" fillId="0" borderId="1" xfId="0" applyNumberFormat="1" applyFont="1" applyBorder="1"/>
    <xf numFmtId="0" fontId="2" fillId="0" borderId="1" xfId="0" applyFont="1" applyBorder="1"/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49" fontId="8" fillId="8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/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/>
    </xf>
    <xf numFmtId="0" fontId="2" fillId="0" borderId="4" xfId="0" applyFont="1" applyBorder="1"/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6" fillId="0" borderId="11" xfId="0" applyFont="1" applyBorder="1" applyAlignment="1">
      <alignment horizontal="center" vertical="center"/>
    </xf>
    <xf numFmtId="43" fontId="6" fillId="0" borderId="12" xfId="0" applyNumberFormat="1" applyFont="1" applyBorder="1"/>
    <xf numFmtId="0" fontId="6" fillId="0" borderId="6" xfId="0" applyFont="1" applyBorder="1" applyAlignment="1">
      <alignment horizontal="center" vertical="center"/>
    </xf>
    <xf numFmtId="43" fontId="6" fillId="0" borderId="7" xfId="0" applyNumberFormat="1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left" vertical="center"/>
    </xf>
    <xf numFmtId="0" fontId="7" fillId="8" borderId="9" xfId="0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43" fontId="6" fillId="0" borderId="9" xfId="0" applyNumberFormat="1" applyFont="1" applyBorder="1"/>
    <xf numFmtId="43" fontId="6" fillId="0" borderId="10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9" xfId="0" applyFont="1" applyBorder="1"/>
    <xf numFmtId="0" fontId="0" fillId="0" borderId="10" xfId="0" applyFont="1" applyBorder="1" applyAlignment="1"/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andance"/>
      <sheetName val="Salary Shee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tabSelected="1" workbookViewId="0">
      <selection activeCell="O22" sqref="O22:O24"/>
    </sheetView>
  </sheetViews>
  <sheetFormatPr defaultColWidth="14.42578125" defaultRowHeight="15" customHeight="1"/>
  <cols>
    <col min="1" max="1" width="18.28515625" customWidth="1"/>
    <col min="2" max="2" width="20.7109375" customWidth="1"/>
    <col min="3" max="3" width="17.5703125" customWidth="1"/>
    <col min="4" max="4" width="8.140625" customWidth="1"/>
    <col min="5" max="5" width="13.140625" customWidth="1"/>
    <col min="6" max="6" width="18" customWidth="1"/>
    <col min="7" max="7" width="19.5703125" customWidth="1"/>
    <col min="8" max="8" width="8.42578125" customWidth="1"/>
    <col min="9" max="9" width="5.7109375" customWidth="1"/>
    <col min="10" max="10" width="4.85546875" customWidth="1"/>
    <col min="11" max="12" width="5.85546875" customWidth="1"/>
    <col min="13" max="14" width="11.140625" customWidth="1"/>
    <col min="15" max="15" width="10.5703125" customWidth="1"/>
  </cols>
  <sheetData>
    <row r="1" spans="1:15" ht="21">
      <c r="A1" s="54" t="s">
        <v>84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</row>
    <row r="2" spans="1:15" ht="21.75" thickBot="1">
      <c r="A2" s="57" t="s">
        <v>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15" ht="15" customHeight="1" thickBot="1"/>
    <row r="4" spans="1:15" ht="27" thickBot="1">
      <c r="A4" s="51" t="s">
        <v>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3"/>
    </row>
    <row r="5" spans="1:15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5">
      <c r="A6" s="20" t="s">
        <v>2</v>
      </c>
      <c r="B6" s="21" t="s">
        <v>3</v>
      </c>
      <c r="C6" s="21" t="s">
        <v>4</v>
      </c>
      <c r="D6" s="21" t="s">
        <v>5</v>
      </c>
      <c r="E6" s="22" t="s">
        <v>6</v>
      </c>
      <c r="F6" s="22" t="s">
        <v>7</v>
      </c>
      <c r="G6" s="22" t="s">
        <v>8</v>
      </c>
      <c r="H6" s="22" t="s">
        <v>9</v>
      </c>
      <c r="I6" s="47" t="s">
        <v>10</v>
      </c>
      <c r="J6" s="24"/>
      <c r="K6" s="24"/>
      <c r="L6" s="24"/>
      <c r="M6" s="25" t="s">
        <v>11</v>
      </c>
      <c r="N6" s="26" t="s">
        <v>12</v>
      </c>
      <c r="O6" s="27" t="s">
        <v>85</v>
      </c>
    </row>
    <row r="7" spans="1:15">
      <c r="A7" s="28"/>
      <c r="B7" s="5"/>
      <c r="C7" s="5"/>
      <c r="D7" s="5"/>
      <c r="E7" s="5"/>
      <c r="F7" s="5"/>
      <c r="G7" s="5"/>
      <c r="H7" s="5"/>
      <c r="I7" s="6" t="s">
        <v>13</v>
      </c>
      <c r="J7" s="6" t="s">
        <v>14</v>
      </c>
      <c r="K7" s="6" t="s">
        <v>15</v>
      </c>
      <c r="L7" s="7" t="s">
        <v>16</v>
      </c>
      <c r="M7" s="5"/>
      <c r="N7" s="5"/>
      <c r="O7" s="29"/>
    </row>
    <row r="8" spans="1:15" ht="15.75" thickBot="1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2"/>
    </row>
    <row r="9" spans="1:15">
      <c r="A9" s="33" t="s">
        <v>17</v>
      </c>
      <c r="B9" s="13" t="s">
        <v>18</v>
      </c>
      <c r="C9" s="13" t="s">
        <v>19</v>
      </c>
      <c r="D9" s="13" t="s">
        <v>20</v>
      </c>
      <c r="E9" s="14">
        <v>44774</v>
      </c>
      <c r="F9" s="15" t="s">
        <v>21</v>
      </c>
      <c r="G9" s="16" t="s">
        <v>22</v>
      </c>
      <c r="H9" s="17">
        <v>24500</v>
      </c>
      <c r="I9" s="13">
        <v>31</v>
      </c>
      <c r="J9" s="13">
        <v>31</v>
      </c>
      <c r="K9" s="13">
        <v>0</v>
      </c>
      <c r="L9" s="13">
        <f>[1]Attandance!AK5</f>
        <v>0</v>
      </c>
      <c r="M9" s="13"/>
      <c r="N9" s="19">
        <v>24500</v>
      </c>
      <c r="O9" s="34"/>
    </row>
    <row r="10" spans="1:15">
      <c r="A10" s="35" t="s">
        <v>23</v>
      </c>
      <c r="B10" s="8" t="s">
        <v>24</v>
      </c>
      <c r="C10" s="8" t="s">
        <v>19</v>
      </c>
      <c r="D10" s="8" t="s">
        <v>20</v>
      </c>
      <c r="E10" s="9">
        <v>44774</v>
      </c>
      <c r="F10" s="10" t="s">
        <v>25</v>
      </c>
      <c r="G10" s="11" t="s">
        <v>26</v>
      </c>
      <c r="H10" s="12">
        <v>16500</v>
      </c>
      <c r="I10" s="8">
        <v>31</v>
      </c>
      <c r="J10" s="8">
        <v>31</v>
      </c>
      <c r="K10" s="8">
        <v>0</v>
      </c>
      <c r="L10" s="8">
        <v>0</v>
      </c>
      <c r="M10" s="8"/>
      <c r="N10" s="4">
        <v>16500</v>
      </c>
      <c r="O10" s="36"/>
    </row>
    <row r="11" spans="1:15">
      <c r="A11" s="35" t="s">
        <v>27</v>
      </c>
      <c r="B11" s="8" t="s">
        <v>28</v>
      </c>
      <c r="C11" s="8" t="s">
        <v>19</v>
      </c>
      <c r="D11" s="8" t="s">
        <v>20</v>
      </c>
      <c r="E11" s="9">
        <v>45198</v>
      </c>
      <c r="F11" s="10" t="s">
        <v>29</v>
      </c>
      <c r="G11" s="11" t="s">
        <v>30</v>
      </c>
      <c r="H11" s="12">
        <v>16500</v>
      </c>
      <c r="I11" s="8">
        <v>31</v>
      </c>
      <c r="J11" s="8">
        <v>31</v>
      </c>
      <c r="K11" s="8">
        <v>0</v>
      </c>
      <c r="L11" s="8">
        <v>0</v>
      </c>
      <c r="M11" s="8"/>
      <c r="N11" s="4">
        <v>16500</v>
      </c>
      <c r="O11" s="36"/>
    </row>
    <row r="12" spans="1:15">
      <c r="A12" s="35" t="s">
        <v>31</v>
      </c>
      <c r="B12" s="8" t="s">
        <v>32</v>
      </c>
      <c r="C12" s="8" t="s">
        <v>19</v>
      </c>
      <c r="D12" s="8" t="s">
        <v>20</v>
      </c>
      <c r="E12" s="9">
        <v>45323</v>
      </c>
      <c r="F12" s="10" t="s">
        <v>33</v>
      </c>
      <c r="G12" s="11" t="s">
        <v>34</v>
      </c>
      <c r="H12" s="12">
        <v>25000</v>
      </c>
      <c r="I12" s="8">
        <v>31</v>
      </c>
      <c r="J12" s="8">
        <v>31</v>
      </c>
      <c r="K12" s="8">
        <v>0</v>
      </c>
      <c r="L12" s="8">
        <v>0</v>
      </c>
      <c r="M12" s="8"/>
      <c r="N12" s="4">
        <v>25000</v>
      </c>
      <c r="O12" s="36"/>
    </row>
    <row r="13" spans="1:15">
      <c r="A13" s="35" t="s">
        <v>35</v>
      </c>
      <c r="B13" s="8" t="s">
        <v>36</v>
      </c>
      <c r="C13" s="8" t="s">
        <v>19</v>
      </c>
      <c r="D13" s="8" t="s">
        <v>20</v>
      </c>
      <c r="E13" s="9">
        <v>45536</v>
      </c>
      <c r="F13" s="10" t="s">
        <v>37</v>
      </c>
      <c r="G13" s="11" t="s">
        <v>38</v>
      </c>
      <c r="H13" s="12">
        <v>20000</v>
      </c>
      <c r="I13" s="8">
        <v>31</v>
      </c>
      <c r="J13" s="8">
        <v>31</v>
      </c>
      <c r="K13" s="8">
        <v>0</v>
      </c>
      <c r="L13" s="8">
        <v>0</v>
      </c>
      <c r="M13" s="8"/>
      <c r="N13" s="4">
        <v>20000</v>
      </c>
      <c r="O13" s="36"/>
    </row>
    <row r="14" spans="1:15">
      <c r="A14" s="35" t="s">
        <v>39</v>
      </c>
      <c r="B14" s="8" t="s">
        <v>40</v>
      </c>
      <c r="C14" s="8" t="s">
        <v>41</v>
      </c>
      <c r="D14" s="8" t="s">
        <v>20</v>
      </c>
      <c r="E14" s="9">
        <v>45566</v>
      </c>
      <c r="F14" s="10" t="s">
        <v>42</v>
      </c>
      <c r="G14" s="11" t="s">
        <v>38</v>
      </c>
      <c r="H14" s="12">
        <v>30000</v>
      </c>
      <c r="I14" s="8">
        <v>31</v>
      </c>
      <c r="J14" s="8">
        <v>31</v>
      </c>
      <c r="K14" s="8">
        <v>0</v>
      </c>
      <c r="L14" s="8">
        <v>0</v>
      </c>
      <c r="M14" s="8"/>
      <c r="N14" s="4">
        <v>30000</v>
      </c>
      <c r="O14" s="36"/>
    </row>
    <row r="15" spans="1:15">
      <c r="A15" s="35" t="s">
        <v>43</v>
      </c>
      <c r="B15" s="8" t="s">
        <v>44</v>
      </c>
      <c r="C15" s="45" t="s">
        <v>80</v>
      </c>
      <c r="D15" s="8" t="s">
        <v>20</v>
      </c>
      <c r="E15" s="9">
        <v>45597</v>
      </c>
      <c r="F15" s="10" t="s">
        <v>45</v>
      </c>
      <c r="G15" s="11" t="s">
        <v>46</v>
      </c>
      <c r="H15" s="12">
        <v>30000</v>
      </c>
      <c r="I15" s="8">
        <v>31</v>
      </c>
      <c r="J15" s="8">
        <v>31</v>
      </c>
      <c r="K15" s="8">
        <v>0</v>
      </c>
      <c r="L15" s="8">
        <v>0</v>
      </c>
      <c r="M15" s="8"/>
      <c r="N15" s="4">
        <v>30000</v>
      </c>
      <c r="O15" s="36"/>
    </row>
    <row r="16" spans="1:15">
      <c r="A16" s="48" t="s">
        <v>81</v>
      </c>
      <c r="B16" s="45" t="s">
        <v>82</v>
      </c>
      <c r="C16" s="45" t="s">
        <v>19</v>
      </c>
      <c r="D16" s="45" t="s">
        <v>20</v>
      </c>
      <c r="E16" s="9">
        <v>45712</v>
      </c>
      <c r="F16" s="46" t="s">
        <v>83</v>
      </c>
      <c r="G16" s="11" t="s">
        <v>38</v>
      </c>
      <c r="H16" s="12">
        <v>18000</v>
      </c>
      <c r="I16" s="8">
        <v>31</v>
      </c>
      <c r="J16" s="8">
        <v>31</v>
      </c>
      <c r="K16" s="8">
        <v>0</v>
      </c>
      <c r="L16" s="8">
        <v>0</v>
      </c>
      <c r="M16" s="8"/>
      <c r="N16" s="4">
        <v>18000</v>
      </c>
      <c r="O16" s="36"/>
    </row>
    <row r="17" spans="1:16" ht="15.75" thickBot="1">
      <c r="A17" s="37" t="s">
        <v>47</v>
      </c>
      <c r="B17" s="38" t="s">
        <v>48</v>
      </c>
      <c r="C17" s="38" t="s">
        <v>49</v>
      </c>
      <c r="D17" s="38" t="s">
        <v>20</v>
      </c>
      <c r="E17" s="39">
        <v>45559</v>
      </c>
      <c r="F17" s="40" t="s">
        <v>50</v>
      </c>
      <c r="G17" s="41" t="s">
        <v>38</v>
      </c>
      <c r="H17" s="42">
        <v>28000</v>
      </c>
      <c r="I17" s="38">
        <v>31</v>
      </c>
      <c r="J17" s="38">
        <v>31</v>
      </c>
      <c r="K17" s="38">
        <v>0</v>
      </c>
      <c r="L17" s="38">
        <v>0</v>
      </c>
      <c r="M17" s="49"/>
      <c r="N17" s="43">
        <v>28000</v>
      </c>
      <c r="O17" s="50"/>
      <c r="P17" s="3"/>
    </row>
    <row r="18" spans="1:16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6" ht="15.75" thickBot="1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 ht="27" thickBot="1">
      <c r="A20" s="51" t="s">
        <v>51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3"/>
    </row>
    <row r="21" spans="1:16" ht="15.75" customHeight="1" thickBo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6" ht="15.75" customHeight="1">
      <c r="A22" s="20" t="s">
        <v>2</v>
      </c>
      <c r="B22" s="21" t="s">
        <v>3</v>
      </c>
      <c r="C22" s="21" t="s">
        <v>4</v>
      </c>
      <c r="D22" s="21" t="s">
        <v>5</v>
      </c>
      <c r="E22" s="22" t="s">
        <v>6</v>
      </c>
      <c r="F22" s="22" t="s">
        <v>7</v>
      </c>
      <c r="G22" s="22" t="s">
        <v>8</v>
      </c>
      <c r="H22" s="22" t="s">
        <v>9</v>
      </c>
      <c r="I22" s="23" t="s">
        <v>10</v>
      </c>
      <c r="J22" s="24"/>
      <c r="K22" s="24"/>
      <c r="L22" s="24"/>
      <c r="M22" s="25" t="s">
        <v>11</v>
      </c>
      <c r="N22" s="26" t="s">
        <v>12</v>
      </c>
      <c r="O22" s="27" t="s">
        <v>85</v>
      </c>
    </row>
    <row r="23" spans="1:16" ht="15.75" customHeight="1">
      <c r="A23" s="28"/>
      <c r="B23" s="5"/>
      <c r="C23" s="5"/>
      <c r="D23" s="5"/>
      <c r="E23" s="5"/>
      <c r="F23" s="5"/>
      <c r="G23" s="5"/>
      <c r="H23" s="5"/>
      <c r="I23" s="6" t="s">
        <v>13</v>
      </c>
      <c r="J23" s="6" t="s">
        <v>14</v>
      </c>
      <c r="K23" s="6" t="s">
        <v>15</v>
      </c>
      <c r="L23" s="7" t="s">
        <v>16</v>
      </c>
      <c r="M23" s="5"/>
      <c r="N23" s="5"/>
      <c r="O23" s="29"/>
    </row>
    <row r="24" spans="1:16" ht="15.75" customHeight="1" thickBot="1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</row>
    <row r="25" spans="1:16" ht="15.75" customHeight="1">
      <c r="A25" s="33" t="s">
        <v>52</v>
      </c>
      <c r="B25" s="13" t="s">
        <v>53</v>
      </c>
      <c r="C25" s="13" t="s">
        <v>54</v>
      </c>
      <c r="D25" s="13" t="s">
        <v>20</v>
      </c>
      <c r="E25" s="14">
        <v>44475</v>
      </c>
      <c r="F25" s="15" t="s">
        <v>55</v>
      </c>
      <c r="G25" s="16" t="s">
        <v>56</v>
      </c>
      <c r="H25" s="17">
        <v>66000</v>
      </c>
      <c r="I25" s="13">
        <v>31</v>
      </c>
      <c r="J25" s="13">
        <v>31</v>
      </c>
      <c r="K25" s="13">
        <v>0</v>
      </c>
      <c r="L25" s="13">
        <v>0</v>
      </c>
      <c r="M25" s="18">
        <v>25000</v>
      </c>
      <c r="N25" s="19">
        <v>91000</v>
      </c>
      <c r="O25" s="34"/>
    </row>
    <row r="26" spans="1:16" ht="15.75" customHeight="1">
      <c r="A26" s="35" t="s">
        <v>57</v>
      </c>
      <c r="B26" s="8" t="s">
        <v>58</v>
      </c>
      <c r="C26" s="8" t="s">
        <v>59</v>
      </c>
      <c r="D26" s="8" t="s">
        <v>20</v>
      </c>
      <c r="E26" s="9">
        <v>45468</v>
      </c>
      <c r="F26" s="10" t="s">
        <v>60</v>
      </c>
      <c r="G26" s="11" t="s">
        <v>61</v>
      </c>
      <c r="H26" s="12">
        <v>24000</v>
      </c>
      <c r="I26" s="8">
        <v>31</v>
      </c>
      <c r="J26" s="8">
        <v>31</v>
      </c>
      <c r="K26" s="8">
        <f>[1]Attandance!AJ20</f>
        <v>0</v>
      </c>
      <c r="L26" s="8">
        <f>[1]Attandance!AK20</f>
        <v>0</v>
      </c>
      <c r="M26" s="8"/>
      <c r="N26" s="4">
        <v>24000</v>
      </c>
      <c r="O26" s="36"/>
    </row>
    <row r="27" spans="1:16" ht="15.75" customHeight="1">
      <c r="A27" s="35" t="s">
        <v>62</v>
      </c>
      <c r="B27" s="8" t="s">
        <v>63</v>
      </c>
      <c r="C27" s="8" t="s">
        <v>64</v>
      </c>
      <c r="D27" s="8" t="s">
        <v>20</v>
      </c>
      <c r="E27" s="9">
        <v>45505</v>
      </c>
      <c r="F27" s="10" t="s">
        <v>65</v>
      </c>
      <c r="G27" s="11" t="s">
        <v>66</v>
      </c>
      <c r="H27" s="12">
        <v>8000</v>
      </c>
      <c r="I27" s="8">
        <v>31</v>
      </c>
      <c r="J27" s="8">
        <v>31</v>
      </c>
      <c r="K27" s="8">
        <f>[1]Attandance!AJ21</f>
        <v>0</v>
      </c>
      <c r="L27" s="8">
        <f>[1]Attandance!AK21</f>
        <v>0</v>
      </c>
      <c r="M27" s="8"/>
      <c r="N27" s="4">
        <v>8000</v>
      </c>
      <c r="O27" s="36"/>
    </row>
    <row r="28" spans="1:16" ht="15.75" customHeight="1">
      <c r="A28" s="35" t="s">
        <v>67</v>
      </c>
      <c r="B28" s="8" t="s">
        <v>68</v>
      </c>
      <c r="C28" s="8" t="s">
        <v>69</v>
      </c>
      <c r="D28" s="8" t="s">
        <v>20</v>
      </c>
      <c r="E28" s="9">
        <v>45597</v>
      </c>
      <c r="F28" s="10" t="s">
        <v>70</v>
      </c>
      <c r="G28" s="11" t="s">
        <v>38</v>
      </c>
      <c r="H28" s="12">
        <v>15000</v>
      </c>
      <c r="I28" s="8">
        <v>31</v>
      </c>
      <c r="J28" s="8">
        <v>31</v>
      </c>
      <c r="K28" s="8">
        <v>0</v>
      </c>
      <c r="L28" s="8">
        <v>1</v>
      </c>
      <c r="M28" s="8"/>
      <c r="N28" s="4">
        <v>15000</v>
      </c>
      <c r="O28" s="36"/>
    </row>
    <row r="29" spans="1:16" ht="15.75" customHeight="1">
      <c r="A29" s="35" t="s">
        <v>71</v>
      </c>
      <c r="B29" s="8" t="s">
        <v>72</v>
      </c>
      <c r="C29" s="8" t="s">
        <v>73</v>
      </c>
      <c r="D29" s="8" t="s">
        <v>20</v>
      </c>
      <c r="E29" s="9">
        <v>44967</v>
      </c>
      <c r="F29" s="10" t="s">
        <v>74</v>
      </c>
      <c r="G29" s="11" t="s">
        <v>38</v>
      </c>
      <c r="H29" s="12">
        <v>16500</v>
      </c>
      <c r="I29" s="8">
        <v>31</v>
      </c>
      <c r="J29" s="8">
        <v>31</v>
      </c>
      <c r="K29" s="8">
        <f>[1]Attandance!AJ23</f>
        <v>0</v>
      </c>
      <c r="L29" s="8">
        <f>[1]Attandance!AK23</f>
        <v>0</v>
      </c>
      <c r="M29" s="8"/>
      <c r="N29" s="4">
        <v>16500</v>
      </c>
      <c r="O29" s="36"/>
    </row>
    <row r="30" spans="1:16" ht="15.75" customHeight="1">
      <c r="A30" s="35" t="s">
        <v>75</v>
      </c>
      <c r="B30" s="8" t="s">
        <v>76</v>
      </c>
      <c r="C30" s="8" t="s">
        <v>73</v>
      </c>
      <c r="D30" s="8" t="s">
        <v>20</v>
      </c>
      <c r="E30" s="9">
        <v>45587</v>
      </c>
      <c r="F30" s="10" t="s">
        <v>77</v>
      </c>
      <c r="G30" s="11" t="s">
        <v>38</v>
      </c>
      <c r="H30" s="12">
        <v>15000</v>
      </c>
      <c r="I30" s="8">
        <v>31</v>
      </c>
      <c r="J30" s="8">
        <v>31</v>
      </c>
      <c r="K30" s="8">
        <f>[1]Attandance!AJ24</f>
        <v>0</v>
      </c>
      <c r="L30" s="8">
        <v>0</v>
      </c>
      <c r="M30" s="8"/>
      <c r="N30" s="4">
        <v>15000</v>
      </c>
      <c r="O30" s="36"/>
    </row>
    <row r="31" spans="1:16" ht="15.75" customHeight="1" thickBot="1">
      <c r="A31" s="37" t="s">
        <v>78</v>
      </c>
      <c r="B31" s="38" t="s">
        <v>72</v>
      </c>
      <c r="C31" s="38" t="s">
        <v>69</v>
      </c>
      <c r="D31" s="38" t="s">
        <v>20</v>
      </c>
      <c r="E31" s="39">
        <v>44959</v>
      </c>
      <c r="F31" s="40" t="s">
        <v>79</v>
      </c>
      <c r="G31" s="41" t="s">
        <v>38</v>
      </c>
      <c r="H31" s="42">
        <v>16500</v>
      </c>
      <c r="I31" s="38">
        <v>31</v>
      </c>
      <c r="J31" s="38">
        <v>31</v>
      </c>
      <c r="K31" s="38">
        <f>[1]Attandance!AJ25</f>
        <v>0</v>
      </c>
      <c r="L31" s="38">
        <f>[1]Attandance!AK25</f>
        <v>0</v>
      </c>
      <c r="M31" s="38"/>
      <c r="N31" s="43">
        <v>16500</v>
      </c>
      <c r="O31" s="44"/>
    </row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36">
    <mergeCell ref="I23:I24"/>
    <mergeCell ref="J23:J24"/>
    <mergeCell ref="O6:O8"/>
    <mergeCell ref="O22:O24"/>
    <mergeCell ref="A1:O1"/>
    <mergeCell ref="A2:O2"/>
    <mergeCell ref="A4:O4"/>
    <mergeCell ref="A20:O20"/>
    <mergeCell ref="B6:B8"/>
    <mergeCell ref="C6:C8"/>
    <mergeCell ref="A22:A24"/>
    <mergeCell ref="B22:B24"/>
    <mergeCell ref="I22:L22"/>
    <mergeCell ref="N22:N24"/>
    <mergeCell ref="C22:C24"/>
    <mergeCell ref="D22:D24"/>
    <mergeCell ref="E22:E24"/>
    <mergeCell ref="F22:F24"/>
    <mergeCell ref="G22:G24"/>
    <mergeCell ref="H22:H24"/>
    <mergeCell ref="L23:L24"/>
    <mergeCell ref="M22:M24"/>
    <mergeCell ref="K23:K24"/>
    <mergeCell ref="H6:H8"/>
    <mergeCell ref="I6:L6"/>
    <mergeCell ref="F6:F8"/>
    <mergeCell ref="G6:G8"/>
    <mergeCell ref="M6:M8"/>
    <mergeCell ref="N6:N8"/>
    <mergeCell ref="I7:I8"/>
    <mergeCell ref="J7:J8"/>
    <mergeCell ref="K7:K8"/>
    <mergeCell ref="L7:L8"/>
    <mergeCell ref="A6:A8"/>
    <mergeCell ref="D6:D8"/>
    <mergeCell ref="E6:E8"/>
  </mergeCells>
  <conditionalFormatting sqref="B9:M9 B10:C11 D26:E31 F25:F31 G31:J31 K26:M31 G26:I30 C12:C16 M10:M16 D10:L17">
    <cfRule type="expression" dxfId="3" priority="1">
      <formula>$C9=#REF!</formula>
    </cfRule>
  </conditionalFormatting>
  <conditionalFormatting sqref="C25:C31">
    <cfRule type="expression" dxfId="2" priority="2">
      <formula>$C25=#REF!</formula>
    </cfRule>
  </conditionalFormatting>
  <conditionalFormatting sqref="B25:B30 D25:E25 H25:M25 J26:J30">
    <cfRule type="expression" dxfId="1" priority="3">
      <formula>$C25=#REF!</formula>
    </cfRule>
  </conditionalFormatting>
  <conditionalFormatting sqref="G25">
    <cfRule type="expression" dxfId="0" priority="4">
      <formula>$C25=#REF!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Admin</cp:lastModifiedBy>
  <dcterms:created xsi:type="dcterms:W3CDTF">2024-11-08T06:08:06Z</dcterms:created>
  <dcterms:modified xsi:type="dcterms:W3CDTF">2025-03-25T04:47:31Z</dcterms:modified>
</cp:coreProperties>
</file>