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overnment-High-School\Student Attendance\"/>
    </mc:Choice>
  </mc:AlternateContent>
  <xr:revisionPtr revIDLastSave="0" documentId="13_ncr:1_{C96C0ACD-7939-479D-BB13-ACBE958B5283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Compile Sheet-2024" sheetId="3" r:id="rId1"/>
    <sheet name="ECE (ROSE)" sheetId="2" r:id="rId2"/>
    <sheet name="ECE (Daffodil)" sheetId="17" r:id="rId3"/>
    <sheet name="Class-I" sheetId="4" r:id="rId4"/>
    <sheet name="Class-II" sheetId="5" r:id="rId5"/>
    <sheet name="Class-III" sheetId="7" r:id="rId6"/>
    <sheet name="Class-IV" sheetId="8" r:id="rId7"/>
    <sheet name="Class-V" sheetId="9" r:id="rId8"/>
    <sheet name="Class-VI" sheetId="10" r:id="rId9"/>
    <sheet name="Class-VII" sheetId="11" r:id="rId10"/>
    <sheet name="Class-VIII" sheetId="12" r:id="rId11"/>
    <sheet name="Class-X" sheetId="14" r:id="rId12"/>
    <sheet name="Class-IX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O57" i="7" l="1"/>
  <c r="EP57" i="7"/>
  <c r="EO58" i="7"/>
  <c r="EP58" i="7"/>
  <c r="EO59" i="7"/>
  <c r="EP59" i="7"/>
  <c r="EO60" i="7"/>
  <c r="EP60" i="7"/>
  <c r="EO46" i="7"/>
  <c r="EP46" i="7"/>
  <c r="EO47" i="7"/>
  <c r="EP47" i="7"/>
  <c r="EO48" i="7"/>
  <c r="EP48" i="7"/>
  <c r="EO49" i="7"/>
  <c r="EP49" i="7"/>
  <c r="EO50" i="7"/>
  <c r="EP50" i="7"/>
  <c r="EO51" i="7"/>
  <c r="EP51" i="7"/>
  <c r="EO52" i="7"/>
  <c r="EP52" i="7"/>
  <c r="EO53" i="7"/>
  <c r="EP53" i="7"/>
  <c r="EO54" i="7"/>
  <c r="EP54" i="7"/>
  <c r="EO55" i="7"/>
  <c r="EP55" i="7"/>
  <c r="EO56" i="7"/>
  <c r="EP56" i="7"/>
  <c r="EO46" i="5"/>
  <c r="EP46" i="5"/>
  <c r="EO47" i="5"/>
  <c r="EP47" i="5"/>
  <c r="EO48" i="5"/>
  <c r="EP48" i="5"/>
  <c r="EO49" i="5"/>
  <c r="EP49" i="5"/>
  <c r="EO50" i="5"/>
  <c r="EP50" i="5"/>
  <c r="EO51" i="5"/>
  <c r="EP51" i="5"/>
  <c r="EO52" i="5"/>
  <c r="EP52" i="5"/>
  <c r="EO53" i="5"/>
  <c r="EP53" i="5"/>
  <c r="EO54" i="5"/>
  <c r="EP54" i="5"/>
  <c r="EO55" i="5"/>
  <c r="EP55" i="5"/>
  <c r="EO56" i="5"/>
  <c r="EP56" i="5"/>
  <c r="EO46" i="4"/>
  <c r="EP46" i="4"/>
  <c r="EO47" i="4"/>
  <c r="EP47" i="4"/>
  <c r="EO48" i="4"/>
  <c r="EP48" i="4"/>
  <c r="EO49" i="4"/>
  <c r="EP49" i="4"/>
  <c r="EO50" i="4"/>
  <c r="EP50" i="4"/>
  <c r="EO51" i="4"/>
  <c r="EP51" i="4"/>
  <c r="EO52" i="4"/>
  <c r="EP52" i="4"/>
  <c r="EO53" i="4"/>
  <c r="EP53" i="4"/>
  <c r="EO54" i="4"/>
  <c r="EP54" i="4"/>
  <c r="EO55" i="4"/>
  <c r="EP55" i="4"/>
  <c r="EO56" i="4"/>
  <c r="EP56" i="4"/>
  <c r="EO57" i="4"/>
  <c r="EP57" i="4"/>
  <c r="EO58" i="4"/>
  <c r="EP58" i="4"/>
  <c r="EO59" i="4"/>
  <c r="EP59" i="4"/>
  <c r="EO60" i="4"/>
  <c r="EP60" i="4"/>
  <c r="EO61" i="4"/>
  <c r="EP61" i="4"/>
  <c r="EO68" i="2"/>
  <c r="EP68" i="2"/>
  <c r="EP67" i="2"/>
  <c r="EO67" i="2"/>
  <c r="EP72" i="17"/>
  <c r="EO72" i="17"/>
  <c r="EP71" i="17"/>
  <c r="EO71" i="17"/>
  <c r="EP70" i="17"/>
  <c r="EO70" i="17"/>
  <c r="EP69" i="17"/>
  <c r="EO69" i="17"/>
  <c r="EP68" i="17"/>
  <c r="EO68" i="17"/>
  <c r="EP67" i="17"/>
  <c r="EO67" i="17"/>
  <c r="EP66" i="17"/>
  <c r="EO66" i="17"/>
  <c r="EP65" i="17"/>
  <c r="EO65" i="17"/>
  <c r="EP64" i="17"/>
  <c r="EO64" i="17"/>
  <c r="EP63" i="17"/>
  <c r="EO63" i="17"/>
  <c r="EP62" i="17"/>
  <c r="EO62" i="17"/>
  <c r="EP61" i="17"/>
  <c r="EO61" i="17"/>
  <c r="EP60" i="17"/>
  <c r="EO60" i="17"/>
  <c r="EP59" i="17"/>
  <c r="EO59" i="17"/>
  <c r="EP58" i="17"/>
  <c r="EO58" i="17"/>
  <c r="EP57" i="17"/>
  <c r="EO57" i="17"/>
  <c r="EP56" i="17"/>
  <c r="EO56" i="17"/>
  <c r="EP55" i="17"/>
  <c r="EO55" i="17"/>
  <c r="EP54" i="17"/>
  <c r="EO54" i="17"/>
  <c r="EP53" i="17"/>
  <c r="EO53" i="17"/>
  <c r="EP52" i="17"/>
  <c r="EO52" i="17"/>
  <c r="EP51" i="17"/>
  <c r="EO51" i="17"/>
  <c r="EP50" i="17"/>
  <c r="EO50" i="17"/>
  <c r="EP49" i="17"/>
  <c r="EO49" i="17"/>
  <c r="EP48" i="17"/>
  <c r="EO48" i="17"/>
  <c r="EP47" i="17"/>
  <c r="EO47" i="17"/>
  <c r="EP46" i="17"/>
  <c r="EO46" i="17"/>
  <c r="EP45" i="17"/>
  <c r="EO45" i="17"/>
  <c r="EP44" i="17"/>
  <c r="EO44" i="17"/>
  <c r="EP43" i="17"/>
  <c r="EO43" i="17"/>
  <c r="EP42" i="17"/>
  <c r="EO42" i="17"/>
  <c r="EP41" i="17"/>
  <c r="EO41" i="17"/>
  <c r="EP40" i="17"/>
  <c r="EO40" i="17"/>
  <c r="EP39" i="17"/>
  <c r="EO39" i="17"/>
  <c r="EP38" i="17"/>
  <c r="EO38" i="17"/>
  <c r="EP37" i="17"/>
  <c r="EO37" i="17"/>
  <c r="EP36" i="17"/>
  <c r="EO36" i="17"/>
  <c r="EP35" i="17"/>
  <c r="EO35" i="17"/>
  <c r="EP34" i="17"/>
  <c r="EO34" i="17"/>
  <c r="EP33" i="17"/>
  <c r="EO33" i="17"/>
  <c r="EP32" i="17"/>
  <c r="EO32" i="17"/>
  <c r="EP31" i="17"/>
  <c r="EO31" i="17"/>
  <c r="EP30" i="17"/>
  <c r="EO30" i="17"/>
  <c r="EP29" i="17"/>
  <c r="EO29" i="17"/>
  <c r="EP28" i="17"/>
  <c r="EO28" i="17"/>
  <c r="EP27" i="17"/>
  <c r="EO27" i="17"/>
  <c r="EP26" i="17"/>
  <c r="EO26" i="17"/>
  <c r="EP25" i="17"/>
  <c r="EO25" i="17"/>
  <c r="EP24" i="17"/>
  <c r="EO24" i="17"/>
  <c r="EP23" i="17"/>
  <c r="EO23" i="17"/>
  <c r="EP22" i="17"/>
  <c r="EO22" i="17"/>
  <c r="EP21" i="17"/>
  <c r="EO21" i="17"/>
  <c r="EP20" i="17"/>
  <c r="EO20" i="17"/>
  <c r="ES19" i="17"/>
  <c r="ER19" i="17"/>
  <c r="ET19" i="17" s="1"/>
  <c r="EP19" i="17"/>
  <c r="EO19" i="17"/>
  <c r="EP18" i="17"/>
  <c r="EO18" i="17"/>
  <c r="EP17" i="17"/>
  <c r="EO17" i="17"/>
  <c r="EP16" i="17"/>
  <c r="EO16" i="17"/>
  <c r="EP15" i="17"/>
  <c r="EO15" i="17"/>
  <c r="EP14" i="17"/>
  <c r="EO14" i="17"/>
  <c r="EP13" i="17"/>
  <c r="EO13" i="17"/>
  <c r="EP12" i="17"/>
  <c r="EO12" i="17"/>
  <c r="ES11" i="17"/>
  <c r="ET11" i="17" s="1"/>
  <c r="ER11" i="17"/>
  <c r="EP11" i="17"/>
  <c r="EO11" i="17"/>
  <c r="EP10" i="17"/>
  <c r="EO10" i="17"/>
  <c r="EP9" i="17"/>
  <c r="EO9" i="17"/>
  <c r="EP8" i="17"/>
  <c r="EO8" i="17"/>
  <c r="EP7" i="17"/>
  <c r="EO7" i="17"/>
  <c r="EP6" i="17"/>
  <c r="EO6" i="17"/>
  <c r="EN4" i="17"/>
  <c r="EM4" i="17"/>
  <c r="EL4" i="17"/>
  <c r="EK4" i="17"/>
  <c r="EJ4" i="17"/>
  <c r="EI4" i="17"/>
  <c r="EH4" i="17"/>
  <c r="EG4" i="17"/>
  <c r="EF4" i="17"/>
  <c r="EE4" i="17"/>
  <c r="ED4" i="17"/>
  <c r="EC4" i="17"/>
  <c r="EB4" i="17"/>
  <c r="EA4" i="17"/>
  <c r="DZ4" i="17"/>
  <c r="DY4" i="17"/>
  <c r="DX4" i="17"/>
  <c r="DW4" i="17"/>
  <c r="DV4" i="17"/>
  <c r="DU4" i="17"/>
  <c r="DT4" i="17"/>
  <c r="DS4" i="17"/>
  <c r="DR4" i="17"/>
  <c r="DQ4" i="17"/>
  <c r="DP4" i="17"/>
  <c r="DO4" i="17"/>
  <c r="DN4" i="17"/>
  <c r="DM4" i="17"/>
  <c r="DL4" i="17"/>
  <c r="DK4" i="17"/>
  <c r="DJ4" i="17"/>
  <c r="DI4" i="17"/>
  <c r="DH4" i="17"/>
  <c r="DG4" i="17"/>
  <c r="DF4" i="17"/>
  <c r="DE4" i="17"/>
  <c r="DD4" i="17"/>
  <c r="DC4" i="17"/>
  <c r="DB4" i="17"/>
  <c r="DA4" i="17"/>
  <c r="CZ4" i="17"/>
  <c r="CY4" i="17"/>
  <c r="CX4" i="17"/>
  <c r="CW4" i="17"/>
  <c r="CV4" i="17"/>
  <c r="CU4" i="17"/>
  <c r="CT4" i="17"/>
  <c r="CS4" i="17"/>
  <c r="CR4" i="17"/>
  <c r="CQ4" i="17"/>
  <c r="CP4" i="17"/>
  <c r="CO4" i="17"/>
  <c r="CN4" i="17"/>
  <c r="CM4" i="17"/>
  <c r="CL4" i="17"/>
  <c r="CK4" i="17"/>
  <c r="CJ4" i="17"/>
  <c r="CI4" i="17"/>
  <c r="CH4" i="17"/>
  <c r="CG4" i="17"/>
  <c r="CF4" i="17"/>
  <c r="CE4" i="17"/>
  <c r="CD4" i="17"/>
  <c r="CC4" i="17"/>
  <c r="CB4" i="17"/>
  <c r="CA4" i="17"/>
  <c r="BZ4" i="17"/>
  <c r="BY4" i="17"/>
  <c r="BX4" i="17"/>
  <c r="BW4" i="17"/>
  <c r="BV4" i="17"/>
  <c r="BU4" i="17"/>
  <c r="BT4" i="17"/>
  <c r="BS4" i="17"/>
  <c r="BR4" i="17"/>
  <c r="BQ4" i="17"/>
  <c r="BP4" i="17"/>
  <c r="BO4" i="17"/>
  <c r="BN4" i="17"/>
  <c r="BM4" i="17"/>
  <c r="BL4" i="17"/>
  <c r="BK4" i="17"/>
  <c r="BJ4" i="17"/>
  <c r="BI4" i="17"/>
  <c r="BH4" i="17"/>
  <c r="BG4" i="17"/>
  <c r="BF4" i="17"/>
  <c r="BE4" i="17"/>
  <c r="BD4" i="17"/>
  <c r="BC4" i="17"/>
  <c r="BB4" i="17"/>
  <c r="BA4" i="17"/>
  <c r="AZ4" i="17"/>
  <c r="AY4" i="17"/>
  <c r="AX4" i="17"/>
  <c r="AW4" i="17"/>
  <c r="AV4" i="17"/>
  <c r="AU4" i="17"/>
  <c r="AT4" i="17"/>
  <c r="AS4" i="17"/>
  <c r="AR4" i="17"/>
  <c r="AQ4" i="17"/>
  <c r="AP4" i="17"/>
  <c r="AO4" i="17"/>
  <c r="AN4" i="17"/>
  <c r="AM4" i="17"/>
  <c r="AL4" i="17"/>
  <c r="AK4" i="17"/>
  <c r="AJ4" i="17"/>
  <c r="AI4" i="17"/>
  <c r="AH4" i="17"/>
  <c r="AG4" i="17"/>
  <c r="AF4" i="17"/>
  <c r="AE4" i="17"/>
  <c r="AD4" i="17"/>
  <c r="AC4" i="17"/>
  <c r="AB4" i="17"/>
  <c r="AA4" i="17"/>
  <c r="Z4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O47" i="2"/>
  <c r="EP47" i="2"/>
  <c r="EO48" i="2"/>
  <c r="EP48" i="2"/>
  <c r="EO49" i="2"/>
  <c r="EP49" i="2"/>
  <c r="EO50" i="2"/>
  <c r="EP50" i="2"/>
  <c r="EO51" i="2"/>
  <c r="EP51" i="2"/>
  <c r="EO52" i="2"/>
  <c r="EP52" i="2"/>
  <c r="EO53" i="2"/>
  <c r="EP53" i="2"/>
  <c r="EO54" i="2"/>
  <c r="EP54" i="2"/>
  <c r="EO55" i="2"/>
  <c r="EP55" i="2"/>
  <c r="EO56" i="2"/>
  <c r="EP56" i="2"/>
  <c r="EO57" i="2"/>
  <c r="EP57" i="2"/>
  <c r="EO58" i="2"/>
  <c r="EP58" i="2"/>
  <c r="EO59" i="2"/>
  <c r="EP59" i="2"/>
  <c r="EO60" i="2"/>
  <c r="EP60" i="2"/>
  <c r="EO61" i="2"/>
  <c r="EP61" i="2"/>
  <c r="EO62" i="2"/>
  <c r="EP62" i="2"/>
  <c r="EO63" i="2"/>
  <c r="EP63" i="2"/>
  <c r="EO64" i="2"/>
  <c r="EP64" i="2"/>
  <c r="EO65" i="2"/>
  <c r="EP65" i="2"/>
  <c r="EO66" i="2"/>
  <c r="EP66" i="2"/>
  <c r="EO46" i="2"/>
  <c r="EP46" i="2"/>
  <c r="B17" i="3"/>
  <c r="NI45" i="14"/>
  <c r="NH45" i="14"/>
  <c r="NI44" i="14"/>
  <c r="NH44" i="14"/>
  <c r="NI43" i="14"/>
  <c r="NH43" i="14"/>
  <c r="NI42" i="14"/>
  <c r="NH42" i="14"/>
  <c r="NI41" i="14"/>
  <c r="NH41" i="14"/>
  <c r="NI40" i="14"/>
  <c r="NH40" i="14"/>
  <c r="NI39" i="14"/>
  <c r="NH39" i="14"/>
  <c r="NI38" i="14"/>
  <c r="NH38" i="14"/>
  <c r="NI37" i="14"/>
  <c r="NH37" i="14"/>
  <c r="NI36" i="14"/>
  <c r="NH36" i="14"/>
  <c r="NI35" i="14"/>
  <c r="NH35" i="14"/>
  <c r="NI34" i="14"/>
  <c r="NH34" i="14"/>
  <c r="NI33" i="14"/>
  <c r="NH33" i="14"/>
  <c r="NI32" i="14"/>
  <c r="NH32" i="14"/>
  <c r="NI31" i="14"/>
  <c r="NH31" i="14"/>
  <c r="NI30" i="14"/>
  <c r="NH30" i="14"/>
  <c r="NI29" i="14"/>
  <c r="NH29" i="14"/>
  <c r="NI28" i="14"/>
  <c r="NH28" i="14"/>
  <c r="NI27" i="14"/>
  <c r="NH27" i="14"/>
  <c r="NI26" i="14"/>
  <c r="NH26" i="14"/>
  <c r="NI25" i="14"/>
  <c r="NH25" i="14"/>
  <c r="NI24" i="14"/>
  <c r="NH24" i="14"/>
  <c r="NI23" i="14"/>
  <c r="NH23" i="14"/>
  <c r="NI22" i="14"/>
  <c r="NH22" i="14"/>
  <c r="NI21" i="14"/>
  <c r="NH21" i="14"/>
  <c r="NI20" i="14"/>
  <c r="NH20" i="14"/>
  <c r="NL19" i="14"/>
  <c r="NK19" i="14"/>
  <c r="NI19" i="14"/>
  <c r="NH19" i="14"/>
  <c r="NI18" i="14"/>
  <c r="NH18" i="14"/>
  <c r="NI17" i="14"/>
  <c r="NH17" i="14"/>
  <c r="NI16" i="14"/>
  <c r="NH16" i="14"/>
  <c r="NI15" i="14"/>
  <c r="NH15" i="14"/>
  <c r="NI14" i="14"/>
  <c r="NH14" i="14"/>
  <c r="NI13" i="14"/>
  <c r="NH13" i="14"/>
  <c r="NI12" i="14"/>
  <c r="NH12" i="14"/>
  <c r="NL11" i="14"/>
  <c r="NK11" i="14"/>
  <c r="NM11" i="14" s="1"/>
  <c r="NI11" i="14"/>
  <c r="NH11" i="14"/>
  <c r="NI10" i="14"/>
  <c r="NH10" i="14"/>
  <c r="NI9" i="14"/>
  <c r="NH9" i="14"/>
  <c r="NI8" i="14"/>
  <c r="NH8" i="14"/>
  <c r="NI7" i="14"/>
  <c r="NH7" i="14"/>
  <c r="NI6" i="14"/>
  <c r="NH6" i="14"/>
  <c r="NG4" i="14"/>
  <c r="NF4" i="14"/>
  <c r="NE4" i="14"/>
  <c r="ND4" i="14"/>
  <c r="NC4" i="14"/>
  <c r="NB4" i="14"/>
  <c r="NA4" i="14"/>
  <c r="MZ4" i="14"/>
  <c r="MY4" i="14"/>
  <c r="MX4" i="14"/>
  <c r="MW4" i="14"/>
  <c r="MV4" i="14"/>
  <c r="MU4" i="14"/>
  <c r="MT4" i="14"/>
  <c r="MS4" i="14"/>
  <c r="MR4" i="14"/>
  <c r="MQ4" i="14"/>
  <c r="MP4" i="14"/>
  <c r="MO4" i="14"/>
  <c r="MN4" i="14"/>
  <c r="MM4" i="14"/>
  <c r="ML4" i="14"/>
  <c r="MK4" i="14"/>
  <c r="MJ4" i="14"/>
  <c r="MI4" i="14"/>
  <c r="MH4" i="14"/>
  <c r="MG4" i="14"/>
  <c r="MF4" i="14"/>
  <c r="ME4" i="14"/>
  <c r="MD4" i="14"/>
  <c r="MC4" i="14"/>
  <c r="MB4" i="14"/>
  <c r="MA4" i="14"/>
  <c r="LZ4" i="14"/>
  <c r="LY4" i="14"/>
  <c r="LX4" i="14"/>
  <c r="LW4" i="14"/>
  <c r="LV4" i="14"/>
  <c r="LU4" i="14"/>
  <c r="LT4" i="14"/>
  <c r="LS4" i="14"/>
  <c r="LR4" i="14"/>
  <c r="LQ4" i="14"/>
  <c r="LP4" i="14"/>
  <c r="LO4" i="14"/>
  <c r="LN4" i="14"/>
  <c r="LM4" i="14"/>
  <c r="LL4" i="14"/>
  <c r="LK4" i="14"/>
  <c r="LJ4" i="14"/>
  <c r="LI4" i="14"/>
  <c r="LH4" i="14"/>
  <c r="LG4" i="14"/>
  <c r="LF4" i="14"/>
  <c r="LE4" i="14"/>
  <c r="LD4" i="14"/>
  <c r="LC4" i="14"/>
  <c r="LB4" i="14"/>
  <c r="LA4" i="14"/>
  <c r="KZ4" i="14"/>
  <c r="KY4" i="14"/>
  <c r="KX4" i="14"/>
  <c r="KW4" i="14"/>
  <c r="KV4" i="14"/>
  <c r="KU4" i="14"/>
  <c r="KT4" i="14"/>
  <c r="KS4" i="14"/>
  <c r="KR4" i="14"/>
  <c r="KQ4" i="14"/>
  <c r="KP4" i="14"/>
  <c r="KO4" i="14"/>
  <c r="KN4" i="14"/>
  <c r="KM4" i="14"/>
  <c r="KL4" i="14"/>
  <c r="KK4" i="14"/>
  <c r="KJ4" i="14"/>
  <c r="KI4" i="14"/>
  <c r="KH4" i="14"/>
  <c r="KG4" i="14"/>
  <c r="KF4" i="14"/>
  <c r="KE4" i="14"/>
  <c r="KD4" i="14"/>
  <c r="KC4" i="14"/>
  <c r="KB4" i="14"/>
  <c r="KA4" i="14"/>
  <c r="JZ4" i="14"/>
  <c r="JY4" i="14"/>
  <c r="JX4" i="14"/>
  <c r="JW4" i="14"/>
  <c r="JV4" i="14"/>
  <c r="JU4" i="14"/>
  <c r="JT4" i="14"/>
  <c r="JS4" i="14"/>
  <c r="JR4" i="14"/>
  <c r="JQ4" i="14"/>
  <c r="JP4" i="14"/>
  <c r="JO4" i="14"/>
  <c r="JN4" i="14"/>
  <c r="JM4" i="14"/>
  <c r="JL4" i="14"/>
  <c r="JK4" i="14"/>
  <c r="JJ4" i="14"/>
  <c r="JI4" i="14"/>
  <c r="JH4" i="14"/>
  <c r="JG4" i="14"/>
  <c r="JF4" i="14"/>
  <c r="JE4" i="14"/>
  <c r="JD4" i="14"/>
  <c r="JC4" i="14"/>
  <c r="JB4" i="14"/>
  <c r="JA4" i="14"/>
  <c r="IZ4" i="14"/>
  <c r="IY4" i="14"/>
  <c r="IX4" i="14"/>
  <c r="IW4" i="14"/>
  <c r="IV4" i="14"/>
  <c r="IU4" i="14"/>
  <c r="IT4" i="14"/>
  <c r="IS4" i="14"/>
  <c r="IR4" i="14"/>
  <c r="IQ4" i="14"/>
  <c r="IP4" i="14"/>
  <c r="IO4" i="14"/>
  <c r="IN4" i="14"/>
  <c r="IM4" i="14"/>
  <c r="IL4" i="14"/>
  <c r="IK4" i="14"/>
  <c r="IJ4" i="14"/>
  <c r="II4" i="14"/>
  <c r="IH4" i="14"/>
  <c r="IG4" i="14"/>
  <c r="IF4" i="14"/>
  <c r="IE4" i="14"/>
  <c r="ID4" i="14"/>
  <c r="IC4" i="14"/>
  <c r="IB4" i="14"/>
  <c r="IA4" i="14"/>
  <c r="HZ4" i="14"/>
  <c r="HY4" i="14"/>
  <c r="HX4" i="14"/>
  <c r="HW4" i="14"/>
  <c r="HV4" i="14"/>
  <c r="HU4" i="14"/>
  <c r="HT4" i="14"/>
  <c r="HS4" i="14"/>
  <c r="HR4" i="14"/>
  <c r="HQ4" i="14"/>
  <c r="HP4" i="14"/>
  <c r="HO4" i="14"/>
  <c r="HN4" i="14"/>
  <c r="HM4" i="14"/>
  <c r="HL4" i="14"/>
  <c r="HK4" i="14"/>
  <c r="HJ4" i="14"/>
  <c r="HI4" i="14"/>
  <c r="HH4" i="14"/>
  <c r="HG4" i="14"/>
  <c r="HF4" i="14"/>
  <c r="HE4" i="14"/>
  <c r="HD4" i="14"/>
  <c r="HC4" i="14"/>
  <c r="HB4" i="14"/>
  <c r="HA4" i="14"/>
  <c r="GZ4" i="14"/>
  <c r="GY4" i="14"/>
  <c r="GX4" i="14"/>
  <c r="GW4" i="14"/>
  <c r="GV4" i="14"/>
  <c r="GU4" i="14"/>
  <c r="GT4" i="14"/>
  <c r="GS4" i="14"/>
  <c r="GR4" i="14"/>
  <c r="GQ4" i="14"/>
  <c r="GP4" i="14"/>
  <c r="GO4" i="14"/>
  <c r="GN4" i="14"/>
  <c r="GM4" i="14"/>
  <c r="GL4" i="14"/>
  <c r="GK4" i="14"/>
  <c r="GJ4" i="14"/>
  <c r="GI4" i="14"/>
  <c r="GH4" i="14"/>
  <c r="GG4" i="14"/>
  <c r="GF4" i="14"/>
  <c r="GE4" i="14"/>
  <c r="GD4" i="14"/>
  <c r="GC4" i="14"/>
  <c r="GB4" i="14"/>
  <c r="GA4" i="14"/>
  <c r="FZ4" i="14"/>
  <c r="FY4" i="14"/>
  <c r="FX4" i="14"/>
  <c r="FW4" i="14"/>
  <c r="FV4" i="14"/>
  <c r="FU4" i="14"/>
  <c r="FT4" i="14"/>
  <c r="FS4" i="14"/>
  <c r="FR4" i="14"/>
  <c r="FQ4" i="14"/>
  <c r="FP4" i="14"/>
  <c r="FO4" i="14"/>
  <c r="FN4" i="14"/>
  <c r="FM4" i="14"/>
  <c r="FL4" i="14"/>
  <c r="FK4" i="14"/>
  <c r="FJ4" i="14"/>
  <c r="FI4" i="14"/>
  <c r="FH4" i="14"/>
  <c r="FG4" i="14"/>
  <c r="FF4" i="14"/>
  <c r="FE4" i="14"/>
  <c r="FD4" i="14"/>
  <c r="FC4" i="14"/>
  <c r="FB4" i="14"/>
  <c r="FA4" i="14"/>
  <c r="EZ4" i="14"/>
  <c r="EY4" i="14"/>
  <c r="EX4" i="14"/>
  <c r="EW4" i="14"/>
  <c r="EV4" i="14"/>
  <c r="EU4" i="14"/>
  <c r="ET4" i="14"/>
  <c r="ES4" i="14"/>
  <c r="ER4" i="14"/>
  <c r="EQ4" i="14"/>
  <c r="EP4" i="14"/>
  <c r="EO4" i="14"/>
  <c r="EN4" i="14"/>
  <c r="EM4" i="14"/>
  <c r="EL4" i="14"/>
  <c r="EK4" i="14"/>
  <c r="EJ4" i="14"/>
  <c r="EI4" i="14"/>
  <c r="EH4" i="14"/>
  <c r="EG4" i="14"/>
  <c r="EF4" i="14"/>
  <c r="EE4" i="14"/>
  <c r="ED4" i="14"/>
  <c r="EC4" i="14"/>
  <c r="EB4" i="14"/>
  <c r="EA4" i="14"/>
  <c r="DZ4" i="14"/>
  <c r="DY4" i="14"/>
  <c r="DX4" i="14"/>
  <c r="DW4" i="14"/>
  <c r="DV4" i="14"/>
  <c r="DU4" i="14"/>
  <c r="DT4" i="14"/>
  <c r="DS4" i="14"/>
  <c r="DR4" i="14"/>
  <c r="DQ4" i="14"/>
  <c r="DP4" i="14"/>
  <c r="DO4" i="14"/>
  <c r="DN4" i="14"/>
  <c r="DM4" i="14"/>
  <c r="DL4" i="14"/>
  <c r="DK4" i="14"/>
  <c r="DJ4" i="14"/>
  <c r="DI4" i="14"/>
  <c r="DH4" i="14"/>
  <c r="DG4" i="14"/>
  <c r="DF4" i="14"/>
  <c r="DE4" i="14"/>
  <c r="DD4" i="14"/>
  <c r="DC4" i="14"/>
  <c r="DB4" i="14"/>
  <c r="DA4" i="14"/>
  <c r="CZ4" i="14"/>
  <c r="CY4" i="14"/>
  <c r="CX4" i="14"/>
  <c r="CW4" i="14"/>
  <c r="CV4" i="14"/>
  <c r="CU4" i="14"/>
  <c r="CT4" i="14"/>
  <c r="CS4" i="14"/>
  <c r="CR4" i="14"/>
  <c r="CQ4" i="14"/>
  <c r="CP4" i="14"/>
  <c r="CO4" i="14"/>
  <c r="CN4" i="14"/>
  <c r="CM4" i="14"/>
  <c r="CL4" i="14"/>
  <c r="CK4" i="14"/>
  <c r="CJ4" i="14"/>
  <c r="CI4" i="14"/>
  <c r="CH4" i="14"/>
  <c r="CG4" i="14"/>
  <c r="CF4" i="14"/>
  <c r="CE4" i="14"/>
  <c r="CD4" i="14"/>
  <c r="CC4" i="14"/>
  <c r="CB4" i="14"/>
  <c r="CA4" i="14"/>
  <c r="BZ4" i="14"/>
  <c r="BY4" i="14"/>
  <c r="BX4" i="14"/>
  <c r="BW4" i="14"/>
  <c r="BV4" i="14"/>
  <c r="BU4" i="14"/>
  <c r="BT4" i="14"/>
  <c r="BS4" i="14"/>
  <c r="BR4" i="14"/>
  <c r="BQ4" i="14"/>
  <c r="BP4" i="14"/>
  <c r="BO4" i="14"/>
  <c r="BN4" i="14"/>
  <c r="BM4" i="14"/>
  <c r="BL4" i="14"/>
  <c r="BK4" i="14"/>
  <c r="BJ4" i="14"/>
  <c r="BI4" i="14"/>
  <c r="BH4" i="14"/>
  <c r="BG4" i="14"/>
  <c r="BF4" i="14"/>
  <c r="BE4" i="14"/>
  <c r="BD4" i="14"/>
  <c r="BC4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NI45" i="13"/>
  <c r="NH45" i="13"/>
  <c r="NI44" i="13"/>
  <c r="NH44" i="13"/>
  <c r="NI43" i="13"/>
  <c r="NH43" i="13"/>
  <c r="NI42" i="13"/>
  <c r="NH42" i="13"/>
  <c r="NI41" i="13"/>
  <c r="NH41" i="13"/>
  <c r="NI40" i="13"/>
  <c r="NH40" i="13"/>
  <c r="NI39" i="13"/>
  <c r="NH39" i="13"/>
  <c r="NI38" i="13"/>
  <c r="NH38" i="13"/>
  <c r="NI37" i="13"/>
  <c r="NH37" i="13"/>
  <c r="NI36" i="13"/>
  <c r="NH36" i="13"/>
  <c r="NI35" i="13"/>
  <c r="NH35" i="13"/>
  <c r="NI34" i="13"/>
  <c r="NH34" i="13"/>
  <c r="NI33" i="13"/>
  <c r="NH33" i="13"/>
  <c r="NI32" i="13"/>
  <c r="NH32" i="13"/>
  <c r="NI31" i="13"/>
  <c r="NH31" i="13"/>
  <c r="NI30" i="13"/>
  <c r="NH30" i="13"/>
  <c r="NI29" i="13"/>
  <c r="NH29" i="13"/>
  <c r="NI28" i="13"/>
  <c r="NH28" i="13"/>
  <c r="NI27" i="13"/>
  <c r="NH27" i="13"/>
  <c r="NI26" i="13"/>
  <c r="NH26" i="13"/>
  <c r="NI25" i="13"/>
  <c r="NH25" i="13"/>
  <c r="NI24" i="13"/>
  <c r="NH24" i="13"/>
  <c r="NI23" i="13"/>
  <c r="NH23" i="13"/>
  <c r="NI22" i="13"/>
  <c r="NH22" i="13"/>
  <c r="NI21" i="13"/>
  <c r="NH21" i="13"/>
  <c r="NI20" i="13"/>
  <c r="NH20" i="13"/>
  <c r="NL19" i="13"/>
  <c r="NK19" i="13"/>
  <c r="NM19" i="13" s="1"/>
  <c r="NI19" i="13"/>
  <c r="NH19" i="13"/>
  <c r="NI18" i="13"/>
  <c r="NH18" i="13"/>
  <c r="NI17" i="13"/>
  <c r="NH17" i="13"/>
  <c r="NI16" i="13"/>
  <c r="NH16" i="13"/>
  <c r="NI15" i="13"/>
  <c r="NH15" i="13"/>
  <c r="NI14" i="13"/>
  <c r="NH14" i="13"/>
  <c r="NI13" i="13"/>
  <c r="NH13" i="13"/>
  <c r="NI12" i="13"/>
  <c r="NH12" i="13"/>
  <c r="NL11" i="13"/>
  <c r="NK11" i="13"/>
  <c r="NI11" i="13"/>
  <c r="NH11" i="13"/>
  <c r="NI10" i="13"/>
  <c r="NH10" i="13"/>
  <c r="NI9" i="13"/>
  <c r="NH9" i="13"/>
  <c r="NI8" i="13"/>
  <c r="NH8" i="13"/>
  <c r="NI7" i="13"/>
  <c r="NH7" i="13"/>
  <c r="NI6" i="13"/>
  <c r="NH6" i="13"/>
  <c r="NG4" i="13"/>
  <c r="NF4" i="13"/>
  <c r="NE4" i="13"/>
  <c r="ND4" i="13"/>
  <c r="NC4" i="13"/>
  <c r="NB4" i="13"/>
  <c r="NA4" i="13"/>
  <c r="MZ4" i="13"/>
  <c r="MY4" i="13"/>
  <c r="MX4" i="13"/>
  <c r="MW4" i="13"/>
  <c r="MV4" i="13"/>
  <c r="MU4" i="13"/>
  <c r="MT4" i="13"/>
  <c r="MS4" i="13"/>
  <c r="MR4" i="13"/>
  <c r="MQ4" i="13"/>
  <c r="MP4" i="13"/>
  <c r="MO4" i="13"/>
  <c r="MN4" i="13"/>
  <c r="MM4" i="13"/>
  <c r="ML4" i="13"/>
  <c r="MK4" i="13"/>
  <c r="MJ4" i="13"/>
  <c r="MI4" i="13"/>
  <c r="MH4" i="13"/>
  <c r="MG4" i="13"/>
  <c r="MF4" i="13"/>
  <c r="ME4" i="13"/>
  <c r="MD4" i="13"/>
  <c r="MC4" i="13"/>
  <c r="MB4" i="13"/>
  <c r="MA4" i="13"/>
  <c r="LZ4" i="13"/>
  <c r="LY4" i="13"/>
  <c r="LX4" i="13"/>
  <c r="LW4" i="13"/>
  <c r="LV4" i="13"/>
  <c r="LU4" i="13"/>
  <c r="LT4" i="13"/>
  <c r="LS4" i="13"/>
  <c r="LR4" i="13"/>
  <c r="LQ4" i="13"/>
  <c r="LP4" i="13"/>
  <c r="LO4" i="13"/>
  <c r="LN4" i="13"/>
  <c r="LM4" i="13"/>
  <c r="LL4" i="13"/>
  <c r="LK4" i="13"/>
  <c r="LJ4" i="13"/>
  <c r="LI4" i="13"/>
  <c r="LH4" i="13"/>
  <c r="LG4" i="13"/>
  <c r="LF4" i="13"/>
  <c r="LE4" i="13"/>
  <c r="LD4" i="13"/>
  <c r="LC4" i="13"/>
  <c r="LB4" i="13"/>
  <c r="LA4" i="13"/>
  <c r="KZ4" i="13"/>
  <c r="KY4" i="13"/>
  <c r="KX4" i="13"/>
  <c r="KW4" i="13"/>
  <c r="KV4" i="13"/>
  <c r="KU4" i="13"/>
  <c r="KT4" i="13"/>
  <c r="KS4" i="13"/>
  <c r="KR4" i="13"/>
  <c r="KQ4" i="13"/>
  <c r="KP4" i="13"/>
  <c r="KO4" i="13"/>
  <c r="KN4" i="13"/>
  <c r="KM4" i="13"/>
  <c r="KL4" i="13"/>
  <c r="KK4" i="13"/>
  <c r="KJ4" i="13"/>
  <c r="KI4" i="13"/>
  <c r="KH4" i="13"/>
  <c r="KG4" i="13"/>
  <c r="KF4" i="13"/>
  <c r="KE4" i="13"/>
  <c r="KD4" i="13"/>
  <c r="KC4" i="13"/>
  <c r="KB4" i="13"/>
  <c r="KA4" i="13"/>
  <c r="JZ4" i="13"/>
  <c r="JY4" i="13"/>
  <c r="JX4" i="13"/>
  <c r="JW4" i="13"/>
  <c r="JV4" i="13"/>
  <c r="JU4" i="13"/>
  <c r="JT4" i="13"/>
  <c r="JS4" i="13"/>
  <c r="JR4" i="13"/>
  <c r="JQ4" i="13"/>
  <c r="JP4" i="13"/>
  <c r="JO4" i="13"/>
  <c r="JN4" i="13"/>
  <c r="JM4" i="13"/>
  <c r="JL4" i="13"/>
  <c r="JK4" i="13"/>
  <c r="JJ4" i="13"/>
  <c r="JI4" i="13"/>
  <c r="JH4" i="13"/>
  <c r="JG4" i="13"/>
  <c r="JF4" i="13"/>
  <c r="JE4" i="13"/>
  <c r="JD4" i="13"/>
  <c r="JC4" i="13"/>
  <c r="JB4" i="13"/>
  <c r="JA4" i="13"/>
  <c r="IZ4" i="13"/>
  <c r="IY4" i="13"/>
  <c r="IX4" i="13"/>
  <c r="IW4" i="13"/>
  <c r="IV4" i="13"/>
  <c r="IU4" i="13"/>
  <c r="IT4" i="13"/>
  <c r="IS4" i="13"/>
  <c r="IR4" i="13"/>
  <c r="IQ4" i="13"/>
  <c r="IP4" i="13"/>
  <c r="IO4" i="13"/>
  <c r="IN4" i="13"/>
  <c r="IM4" i="13"/>
  <c r="IL4" i="13"/>
  <c r="IK4" i="13"/>
  <c r="IJ4" i="13"/>
  <c r="II4" i="13"/>
  <c r="IH4" i="13"/>
  <c r="IG4" i="13"/>
  <c r="IF4" i="13"/>
  <c r="IE4" i="13"/>
  <c r="ID4" i="13"/>
  <c r="IC4" i="13"/>
  <c r="IB4" i="13"/>
  <c r="IA4" i="13"/>
  <c r="HZ4" i="13"/>
  <c r="HY4" i="13"/>
  <c r="HX4" i="13"/>
  <c r="HW4" i="13"/>
  <c r="HV4" i="13"/>
  <c r="HU4" i="13"/>
  <c r="HT4" i="13"/>
  <c r="HS4" i="13"/>
  <c r="HR4" i="13"/>
  <c r="HQ4" i="13"/>
  <c r="HP4" i="13"/>
  <c r="HO4" i="13"/>
  <c r="HN4" i="13"/>
  <c r="HM4" i="13"/>
  <c r="HL4" i="13"/>
  <c r="HK4" i="13"/>
  <c r="HJ4" i="13"/>
  <c r="HI4" i="13"/>
  <c r="HH4" i="13"/>
  <c r="HG4" i="13"/>
  <c r="HF4" i="13"/>
  <c r="HE4" i="13"/>
  <c r="HD4" i="13"/>
  <c r="HC4" i="13"/>
  <c r="HB4" i="13"/>
  <c r="HA4" i="13"/>
  <c r="GZ4" i="13"/>
  <c r="GY4" i="13"/>
  <c r="GX4" i="13"/>
  <c r="GW4" i="13"/>
  <c r="GV4" i="13"/>
  <c r="GU4" i="13"/>
  <c r="GT4" i="13"/>
  <c r="GS4" i="13"/>
  <c r="GR4" i="13"/>
  <c r="GQ4" i="13"/>
  <c r="GP4" i="13"/>
  <c r="GO4" i="13"/>
  <c r="GN4" i="13"/>
  <c r="GM4" i="13"/>
  <c r="GL4" i="13"/>
  <c r="GK4" i="13"/>
  <c r="GJ4" i="13"/>
  <c r="GI4" i="13"/>
  <c r="GH4" i="13"/>
  <c r="GG4" i="13"/>
  <c r="GF4" i="13"/>
  <c r="GE4" i="13"/>
  <c r="GD4" i="13"/>
  <c r="GC4" i="13"/>
  <c r="GB4" i="13"/>
  <c r="GA4" i="13"/>
  <c r="FZ4" i="13"/>
  <c r="FY4" i="13"/>
  <c r="FX4" i="13"/>
  <c r="FW4" i="13"/>
  <c r="FV4" i="13"/>
  <c r="FU4" i="13"/>
  <c r="FT4" i="13"/>
  <c r="FS4" i="13"/>
  <c r="FR4" i="13"/>
  <c r="FQ4" i="13"/>
  <c r="FP4" i="13"/>
  <c r="FO4" i="13"/>
  <c r="FN4" i="13"/>
  <c r="FM4" i="13"/>
  <c r="FL4" i="13"/>
  <c r="FK4" i="13"/>
  <c r="FJ4" i="13"/>
  <c r="FI4" i="13"/>
  <c r="FH4" i="13"/>
  <c r="FG4" i="13"/>
  <c r="FF4" i="13"/>
  <c r="FE4" i="13"/>
  <c r="FD4" i="13"/>
  <c r="FC4" i="13"/>
  <c r="FB4" i="13"/>
  <c r="FA4" i="13"/>
  <c r="EZ4" i="13"/>
  <c r="EY4" i="13"/>
  <c r="EX4" i="13"/>
  <c r="EW4" i="13"/>
  <c r="EV4" i="13"/>
  <c r="EU4" i="13"/>
  <c r="ET4" i="13"/>
  <c r="ES4" i="13"/>
  <c r="ER4" i="13"/>
  <c r="EQ4" i="13"/>
  <c r="EP4" i="13"/>
  <c r="EO4" i="13"/>
  <c r="EN4" i="13"/>
  <c r="EM4" i="13"/>
  <c r="EL4" i="13"/>
  <c r="EK4" i="13"/>
  <c r="EJ4" i="13"/>
  <c r="EI4" i="13"/>
  <c r="EH4" i="13"/>
  <c r="EG4" i="13"/>
  <c r="EF4" i="13"/>
  <c r="EE4" i="13"/>
  <c r="ED4" i="13"/>
  <c r="EC4" i="13"/>
  <c r="EB4" i="13"/>
  <c r="EA4" i="13"/>
  <c r="DZ4" i="13"/>
  <c r="DY4" i="13"/>
  <c r="DX4" i="13"/>
  <c r="DW4" i="13"/>
  <c r="DV4" i="13"/>
  <c r="DU4" i="13"/>
  <c r="DT4" i="13"/>
  <c r="DS4" i="13"/>
  <c r="DR4" i="13"/>
  <c r="DQ4" i="13"/>
  <c r="DP4" i="13"/>
  <c r="DO4" i="13"/>
  <c r="DN4" i="13"/>
  <c r="DM4" i="13"/>
  <c r="DL4" i="13"/>
  <c r="DK4" i="13"/>
  <c r="DJ4" i="13"/>
  <c r="DI4" i="13"/>
  <c r="DH4" i="13"/>
  <c r="DG4" i="13"/>
  <c r="DF4" i="13"/>
  <c r="DE4" i="13"/>
  <c r="DD4" i="13"/>
  <c r="DC4" i="13"/>
  <c r="DB4" i="13"/>
  <c r="DA4" i="13"/>
  <c r="CZ4" i="13"/>
  <c r="CY4" i="13"/>
  <c r="CX4" i="13"/>
  <c r="CW4" i="13"/>
  <c r="CV4" i="13"/>
  <c r="CU4" i="13"/>
  <c r="CT4" i="13"/>
  <c r="CS4" i="13"/>
  <c r="CR4" i="13"/>
  <c r="CQ4" i="13"/>
  <c r="CP4" i="13"/>
  <c r="CO4" i="13"/>
  <c r="CN4" i="13"/>
  <c r="CM4" i="13"/>
  <c r="CL4" i="13"/>
  <c r="CK4" i="13"/>
  <c r="CJ4" i="13"/>
  <c r="CI4" i="13"/>
  <c r="CH4" i="13"/>
  <c r="CG4" i="13"/>
  <c r="CF4" i="13"/>
  <c r="CE4" i="13"/>
  <c r="CD4" i="13"/>
  <c r="CC4" i="13"/>
  <c r="CB4" i="13"/>
  <c r="CA4" i="13"/>
  <c r="BZ4" i="13"/>
  <c r="BY4" i="13"/>
  <c r="BX4" i="13"/>
  <c r="BW4" i="13"/>
  <c r="BV4" i="13"/>
  <c r="BU4" i="13"/>
  <c r="BT4" i="13"/>
  <c r="BS4" i="13"/>
  <c r="BR4" i="13"/>
  <c r="BQ4" i="13"/>
  <c r="BP4" i="13"/>
  <c r="BO4" i="13"/>
  <c r="BN4" i="13"/>
  <c r="BM4" i="13"/>
  <c r="BL4" i="13"/>
  <c r="BK4" i="13"/>
  <c r="BJ4" i="13"/>
  <c r="BI4" i="13"/>
  <c r="BH4" i="13"/>
  <c r="BG4" i="13"/>
  <c r="BF4" i="13"/>
  <c r="BE4" i="13"/>
  <c r="BD4" i="13"/>
  <c r="BC4" i="13"/>
  <c r="BB4" i="13"/>
  <c r="BA4" i="13"/>
  <c r="AZ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NI45" i="12"/>
  <c r="NH45" i="12"/>
  <c r="NI44" i="12"/>
  <c r="NH44" i="12"/>
  <c r="NI43" i="12"/>
  <c r="NH43" i="12"/>
  <c r="NI42" i="12"/>
  <c r="NH42" i="12"/>
  <c r="NI41" i="12"/>
  <c r="NH41" i="12"/>
  <c r="NI40" i="12"/>
  <c r="NH40" i="12"/>
  <c r="NI39" i="12"/>
  <c r="NH39" i="12"/>
  <c r="NI38" i="12"/>
  <c r="NH38" i="12"/>
  <c r="NI37" i="12"/>
  <c r="NH37" i="12"/>
  <c r="NI36" i="12"/>
  <c r="NH36" i="12"/>
  <c r="NI35" i="12"/>
  <c r="NH35" i="12"/>
  <c r="NI34" i="12"/>
  <c r="NH34" i="12"/>
  <c r="NI33" i="12"/>
  <c r="NH33" i="12"/>
  <c r="NI32" i="12"/>
  <c r="NH32" i="12"/>
  <c r="NI31" i="12"/>
  <c r="NH31" i="12"/>
  <c r="NI30" i="12"/>
  <c r="NH30" i="12"/>
  <c r="NI29" i="12"/>
  <c r="NH29" i="12"/>
  <c r="NI28" i="12"/>
  <c r="NH28" i="12"/>
  <c r="NI27" i="12"/>
  <c r="NH27" i="12"/>
  <c r="NI26" i="12"/>
  <c r="NH26" i="12"/>
  <c r="NI25" i="12"/>
  <c r="NH25" i="12"/>
  <c r="NI24" i="12"/>
  <c r="NH24" i="12"/>
  <c r="NI23" i="12"/>
  <c r="NH23" i="12"/>
  <c r="NI22" i="12"/>
  <c r="NH22" i="12"/>
  <c r="NI21" i="12"/>
  <c r="NH21" i="12"/>
  <c r="NI20" i="12"/>
  <c r="NH20" i="12"/>
  <c r="NL19" i="12"/>
  <c r="NK19" i="12"/>
  <c r="NI19" i="12"/>
  <c r="NH19" i="12"/>
  <c r="NI18" i="12"/>
  <c r="NH18" i="12"/>
  <c r="NI17" i="12"/>
  <c r="NH17" i="12"/>
  <c r="NI16" i="12"/>
  <c r="NH16" i="12"/>
  <c r="NI15" i="12"/>
  <c r="NH15" i="12"/>
  <c r="NI14" i="12"/>
  <c r="NH14" i="12"/>
  <c r="NI13" i="12"/>
  <c r="NH13" i="12"/>
  <c r="NI12" i="12"/>
  <c r="NH12" i="12"/>
  <c r="NL11" i="12"/>
  <c r="NK11" i="12"/>
  <c r="NI11" i="12"/>
  <c r="NH11" i="12"/>
  <c r="NI10" i="12"/>
  <c r="NH10" i="12"/>
  <c r="NI9" i="12"/>
  <c r="NH9" i="12"/>
  <c r="NI8" i="12"/>
  <c r="NH8" i="12"/>
  <c r="NI7" i="12"/>
  <c r="NH7" i="12"/>
  <c r="NI6" i="12"/>
  <c r="NH6" i="12"/>
  <c r="NH46" i="12" s="1"/>
  <c r="NG4" i="12"/>
  <c r="NF4" i="12"/>
  <c r="NE4" i="12"/>
  <c r="ND4" i="12"/>
  <c r="NC4" i="12"/>
  <c r="NB4" i="12"/>
  <c r="NA4" i="12"/>
  <c r="MZ4" i="12"/>
  <c r="MY4" i="12"/>
  <c r="MX4" i="12"/>
  <c r="MW4" i="12"/>
  <c r="MV4" i="12"/>
  <c r="MU4" i="12"/>
  <c r="MT4" i="12"/>
  <c r="MS4" i="12"/>
  <c r="MR4" i="12"/>
  <c r="MQ4" i="12"/>
  <c r="MP4" i="12"/>
  <c r="MO4" i="12"/>
  <c r="MN4" i="12"/>
  <c r="MM4" i="12"/>
  <c r="ML4" i="12"/>
  <c r="MK4" i="12"/>
  <c r="MJ4" i="12"/>
  <c r="MI4" i="12"/>
  <c r="MH4" i="12"/>
  <c r="MG4" i="12"/>
  <c r="MF4" i="12"/>
  <c r="ME4" i="12"/>
  <c r="MD4" i="12"/>
  <c r="MC4" i="12"/>
  <c r="MB4" i="12"/>
  <c r="MA4" i="12"/>
  <c r="LZ4" i="12"/>
  <c r="LY4" i="12"/>
  <c r="LX4" i="12"/>
  <c r="LW4" i="12"/>
  <c r="LV4" i="12"/>
  <c r="LU4" i="12"/>
  <c r="LT4" i="12"/>
  <c r="LS4" i="12"/>
  <c r="LR4" i="12"/>
  <c r="LQ4" i="12"/>
  <c r="LP4" i="12"/>
  <c r="LO4" i="12"/>
  <c r="LN4" i="12"/>
  <c r="LM4" i="12"/>
  <c r="LL4" i="12"/>
  <c r="LK4" i="12"/>
  <c r="LJ4" i="12"/>
  <c r="LI4" i="12"/>
  <c r="LH4" i="12"/>
  <c r="LG4" i="12"/>
  <c r="LF4" i="12"/>
  <c r="LE4" i="12"/>
  <c r="LD4" i="12"/>
  <c r="LC4" i="12"/>
  <c r="LB4" i="12"/>
  <c r="LA4" i="12"/>
  <c r="KZ4" i="12"/>
  <c r="KY4" i="12"/>
  <c r="KX4" i="12"/>
  <c r="KW4" i="12"/>
  <c r="KV4" i="12"/>
  <c r="KU4" i="12"/>
  <c r="KT4" i="12"/>
  <c r="KS4" i="12"/>
  <c r="KR4" i="12"/>
  <c r="KQ4" i="12"/>
  <c r="KP4" i="12"/>
  <c r="KO4" i="12"/>
  <c r="KN4" i="12"/>
  <c r="KM4" i="12"/>
  <c r="KL4" i="12"/>
  <c r="KK4" i="12"/>
  <c r="KJ4" i="12"/>
  <c r="KI4" i="12"/>
  <c r="KH4" i="12"/>
  <c r="KG4" i="12"/>
  <c r="KF4" i="12"/>
  <c r="KE4" i="12"/>
  <c r="KD4" i="12"/>
  <c r="KC4" i="12"/>
  <c r="KB4" i="12"/>
  <c r="KA4" i="12"/>
  <c r="JZ4" i="12"/>
  <c r="JY4" i="12"/>
  <c r="JX4" i="12"/>
  <c r="JW4" i="12"/>
  <c r="JV4" i="12"/>
  <c r="JU4" i="12"/>
  <c r="JT4" i="12"/>
  <c r="JS4" i="12"/>
  <c r="JR4" i="12"/>
  <c r="JQ4" i="12"/>
  <c r="JP4" i="12"/>
  <c r="JO4" i="12"/>
  <c r="JN4" i="12"/>
  <c r="JM4" i="12"/>
  <c r="JL4" i="12"/>
  <c r="JK4" i="12"/>
  <c r="JJ4" i="12"/>
  <c r="JI4" i="12"/>
  <c r="JH4" i="12"/>
  <c r="JG4" i="12"/>
  <c r="JF4" i="12"/>
  <c r="JE4" i="12"/>
  <c r="JD4" i="12"/>
  <c r="JC4" i="12"/>
  <c r="JB4" i="12"/>
  <c r="JA4" i="12"/>
  <c r="IZ4" i="12"/>
  <c r="IY4" i="12"/>
  <c r="IX4" i="12"/>
  <c r="IW4" i="12"/>
  <c r="IV4" i="12"/>
  <c r="IU4" i="12"/>
  <c r="IT4" i="12"/>
  <c r="IS4" i="12"/>
  <c r="IR4" i="12"/>
  <c r="IQ4" i="12"/>
  <c r="IP4" i="12"/>
  <c r="IO4" i="12"/>
  <c r="IN4" i="12"/>
  <c r="IM4" i="12"/>
  <c r="IL4" i="12"/>
  <c r="IK4" i="12"/>
  <c r="IJ4" i="12"/>
  <c r="II4" i="12"/>
  <c r="IH4" i="12"/>
  <c r="IG4" i="12"/>
  <c r="IF4" i="12"/>
  <c r="IE4" i="12"/>
  <c r="ID4" i="12"/>
  <c r="IC4" i="12"/>
  <c r="IB4" i="12"/>
  <c r="IA4" i="12"/>
  <c r="HZ4" i="12"/>
  <c r="HY4" i="12"/>
  <c r="HX4" i="12"/>
  <c r="HW4" i="12"/>
  <c r="HV4" i="12"/>
  <c r="HU4" i="12"/>
  <c r="HT4" i="12"/>
  <c r="HS4" i="12"/>
  <c r="HR4" i="12"/>
  <c r="HQ4" i="12"/>
  <c r="HP4" i="12"/>
  <c r="HO4" i="12"/>
  <c r="HN4" i="12"/>
  <c r="HM4" i="12"/>
  <c r="HL4" i="12"/>
  <c r="HK4" i="12"/>
  <c r="HJ4" i="12"/>
  <c r="HI4" i="12"/>
  <c r="HH4" i="12"/>
  <c r="HG4" i="12"/>
  <c r="HF4" i="12"/>
  <c r="HE4" i="12"/>
  <c r="HD4" i="12"/>
  <c r="HC4" i="12"/>
  <c r="HB4" i="12"/>
  <c r="HA4" i="12"/>
  <c r="GZ4" i="12"/>
  <c r="GY4" i="12"/>
  <c r="GX4" i="12"/>
  <c r="GW4" i="12"/>
  <c r="GV4" i="12"/>
  <c r="GU4" i="12"/>
  <c r="GT4" i="12"/>
  <c r="GS4" i="12"/>
  <c r="GR4" i="12"/>
  <c r="GQ4" i="12"/>
  <c r="GP4" i="12"/>
  <c r="GO4" i="12"/>
  <c r="GN4" i="12"/>
  <c r="GM4" i="12"/>
  <c r="GL4" i="12"/>
  <c r="GK4" i="12"/>
  <c r="GJ4" i="12"/>
  <c r="GI4" i="12"/>
  <c r="GH4" i="12"/>
  <c r="GG4" i="12"/>
  <c r="GF4" i="12"/>
  <c r="GE4" i="12"/>
  <c r="GD4" i="12"/>
  <c r="GC4" i="12"/>
  <c r="GB4" i="12"/>
  <c r="GA4" i="12"/>
  <c r="FZ4" i="12"/>
  <c r="FY4" i="12"/>
  <c r="FX4" i="12"/>
  <c r="FW4" i="12"/>
  <c r="FV4" i="12"/>
  <c r="FU4" i="12"/>
  <c r="FT4" i="12"/>
  <c r="FS4" i="12"/>
  <c r="FR4" i="12"/>
  <c r="FQ4" i="12"/>
  <c r="FP4" i="12"/>
  <c r="FO4" i="12"/>
  <c r="FN4" i="12"/>
  <c r="FM4" i="12"/>
  <c r="FL4" i="12"/>
  <c r="FK4" i="12"/>
  <c r="FJ4" i="12"/>
  <c r="FI4" i="12"/>
  <c r="FH4" i="12"/>
  <c r="FG4" i="12"/>
  <c r="FF4" i="12"/>
  <c r="FE4" i="12"/>
  <c r="FD4" i="12"/>
  <c r="FC4" i="12"/>
  <c r="FB4" i="12"/>
  <c r="FA4" i="12"/>
  <c r="EZ4" i="12"/>
  <c r="EY4" i="12"/>
  <c r="EX4" i="12"/>
  <c r="EW4" i="12"/>
  <c r="EV4" i="12"/>
  <c r="EU4" i="12"/>
  <c r="ET4" i="12"/>
  <c r="ES4" i="12"/>
  <c r="ER4" i="12"/>
  <c r="EQ4" i="12"/>
  <c r="EP4" i="12"/>
  <c r="EO4" i="12"/>
  <c r="EN4" i="12"/>
  <c r="EM4" i="12"/>
  <c r="EL4" i="12"/>
  <c r="EK4" i="12"/>
  <c r="EJ4" i="12"/>
  <c r="EI4" i="12"/>
  <c r="EH4" i="12"/>
  <c r="EG4" i="12"/>
  <c r="EF4" i="12"/>
  <c r="EE4" i="12"/>
  <c r="ED4" i="12"/>
  <c r="EC4" i="12"/>
  <c r="EB4" i="12"/>
  <c r="EA4" i="12"/>
  <c r="DZ4" i="12"/>
  <c r="DY4" i="12"/>
  <c r="DX4" i="12"/>
  <c r="DW4" i="12"/>
  <c r="DV4" i="12"/>
  <c r="DU4" i="12"/>
  <c r="DT4" i="12"/>
  <c r="DS4" i="12"/>
  <c r="DR4" i="12"/>
  <c r="DQ4" i="12"/>
  <c r="DP4" i="12"/>
  <c r="DO4" i="12"/>
  <c r="DN4" i="12"/>
  <c r="DM4" i="12"/>
  <c r="DL4" i="12"/>
  <c r="DK4" i="12"/>
  <c r="DJ4" i="12"/>
  <c r="DI4" i="12"/>
  <c r="DH4" i="12"/>
  <c r="DG4" i="12"/>
  <c r="DF4" i="12"/>
  <c r="DE4" i="12"/>
  <c r="DD4" i="12"/>
  <c r="DC4" i="12"/>
  <c r="DB4" i="12"/>
  <c r="DA4" i="12"/>
  <c r="CZ4" i="12"/>
  <c r="CY4" i="12"/>
  <c r="CX4" i="12"/>
  <c r="CW4" i="12"/>
  <c r="CV4" i="12"/>
  <c r="CU4" i="12"/>
  <c r="CT4" i="12"/>
  <c r="CS4" i="12"/>
  <c r="CR4" i="12"/>
  <c r="CQ4" i="12"/>
  <c r="CP4" i="12"/>
  <c r="CO4" i="12"/>
  <c r="CN4" i="12"/>
  <c r="CM4" i="12"/>
  <c r="CL4" i="12"/>
  <c r="CK4" i="12"/>
  <c r="CJ4" i="12"/>
  <c r="CI4" i="12"/>
  <c r="CH4" i="12"/>
  <c r="CG4" i="12"/>
  <c r="CF4" i="12"/>
  <c r="CE4" i="12"/>
  <c r="CD4" i="12"/>
  <c r="CC4" i="12"/>
  <c r="CB4" i="12"/>
  <c r="CA4" i="12"/>
  <c r="BZ4" i="12"/>
  <c r="BY4" i="12"/>
  <c r="BX4" i="12"/>
  <c r="BW4" i="12"/>
  <c r="BV4" i="12"/>
  <c r="BU4" i="12"/>
  <c r="BT4" i="12"/>
  <c r="BS4" i="12"/>
  <c r="BR4" i="12"/>
  <c r="BQ4" i="12"/>
  <c r="BP4" i="12"/>
  <c r="BO4" i="12"/>
  <c r="BN4" i="12"/>
  <c r="BM4" i="12"/>
  <c r="BL4" i="12"/>
  <c r="BK4" i="12"/>
  <c r="BJ4" i="12"/>
  <c r="BI4" i="12"/>
  <c r="BH4" i="12"/>
  <c r="BG4" i="12"/>
  <c r="BF4" i="12"/>
  <c r="BE4" i="12"/>
  <c r="BD4" i="12"/>
  <c r="BC4" i="12"/>
  <c r="BB4" i="12"/>
  <c r="BA4" i="12"/>
  <c r="AZ4" i="12"/>
  <c r="AY4" i="12"/>
  <c r="AX4" i="12"/>
  <c r="AW4" i="12"/>
  <c r="AV4" i="12"/>
  <c r="AU4" i="12"/>
  <c r="AT4" i="12"/>
  <c r="AS4" i="12"/>
  <c r="AR4" i="12"/>
  <c r="AQ4" i="12"/>
  <c r="AP4" i="12"/>
  <c r="AO4" i="12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NI45" i="11"/>
  <c r="NH45" i="11"/>
  <c r="NI44" i="11"/>
  <c r="NH44" i="11"/>
  <c r="NI43" i="11"/>
  <c r="NH43" i="11"/>
  <c r="NI42" i="11"/>
  <c r="NH42" i="11"/>
  <c r="NI41" i="11"/>
  <c r="NH41" i="11"/>
  <c r="NI40" i="11"/>
  <c r="NH40" i="11"/>
  <c r="NI39" i="11"/>
  <c r="NH39" i="11"/>
  <c r="NI38" i="11"/>
  <c r="NH38" i="11"/>
  <c r="NI37" i="11"/>
  <c r="NH37" i="11"/>
  <c r="NI36" i="11"/>
  <c r="NH36" i="11"/>
  <c r="NI35" i="11"/>
  <c r="NH35" i="11"/>
  <c r="NI34" i="11"/>
  <c r="NH34" i="11"/>
  <c r="NI33" i="11"/>
  <c r="NH33" i="11"/>
  <c r="NI32" i="11"/>
  <c r="NH32" i="11"/>
  <c r="NI31" i="11"/>
  <c r="NH31" i="11"/>
  <c r="NI30" i="11"/>
  <c r="NH30" i="11"/>
  <c r="NI29" i="11"/>
  <c r="NH29" i="11"/>
  <c r="NI28" i="11"/>
  <c r="NH28" i="11"/>
  <c r="NI27" i="11"/>
  <c r="NH27" i="11"/>
  <c r="NI26" i="11"/>
  <c r="NH26" i="11"/>
  <c r="NI25" i="11"/>
  <c r="NH25" i="11"/>
  <c r="NI24" i="11"/>
  <c r="NH24" i="11"/>
  <c r="NI23" i="11"/>
  <c r="NH23" i="11"/>
  <c r="NI22" i="11"/>
  <c r="NH22" i="11"/>
  <c r="NI21" i="11"/>
  <c r="NH21" i="11"/>
  <c r="NI20" i="11"/>
  <c r="NH20" i="11"/>
  <c r="NL19" i="11"/>
  <c r="NK19" i="11"/>
  <c r="NI19" i="11"/>
  <c r="NH19" i="11"/>
  <c r="NI18" i="11"/>
  <c r="NH18" i="11"/>
  <c r="NI17" i="11"/>
  <c r="NH17" i="11"/>
  <c r="NI16" i="11"/>
  <c r="NH16" i="11"/>
  <c r="NI15" i="11"/>
  <c r="NH15" i="11"/>
  <c r="NI14" i="11"/>
  <c r="NH14" i="11"/>
  <c r="NI13" i="11"/>
  <c r="NH13" i="11"/>
  <c r="NI12" i="11"/>
  <c r="NH12" i="11"/>
  <c r="NL11" i="11"/>
  <c r="NK11" i="11"/>
  <c r="NI11" i="11"/>
  <c r="NH11" i="11"/>
  <c r="NI10" i="11"/>
  <c r="NH10" i="11"/>
  <c r="NI9" i="11"/>
  <c r="NH9" i="11"/>
  <c r="NI8" i="11"/>
  <c r="NH8" i="11"/>
  <c r="NI7" i="11"/>
  <c r="NH7" i="11"/>
  <c r="NI6" i="11"/>
  <c r="NH6" i="11"/>
  <c r="NG4" i="11"/>
  <c r="NF4" i="11"/>
  <c r="NE4" i="11"/>
  <c r="ND4" i="11"/>
  <c r="NC4" i="11"/>
  <c r="NB4" i="11"/>
  <c r="NA4" i="11"/>
  <c r="MZ4" i="11"/>
  <c r="MY4" i="11"/>
  <c r="MX4" i="11"/>
  <c r="MW4" i="11"/>
  <c r="MV4" i="11"/>
  <c r="MU4" i="11"/>
  <c r="MT4" i="11"/>
  <c r="MS4" i="11"/>
  <c r="MR4" i="11"/>
  <c r="MQ4" i="11"/>
  <c r="MP4" i="11"/>
  <c r="MO4" i="11"/>
  <c r="MN4" i="11"/>
  <c r="MM4" i="11"/>
  <c r="ML4" i="11"/>
  <c r="MK4" i="11"/>
  <c r="MJ4" i="11"/>
  <c r="MI4" i="11"/>
  <c r="MH4" i="11"/>
  <c r="MG4" i="11"/>
  <c r="MF4" i="11"/>
  <c r="ME4" i="11"/>
  <c r="MD4" i="11"/>
  <c r="MC4" i="11"/>
  <c r="MB4" i="11"/>
  <c r="MA4" i="11"/>
  <c r="LZ4" i="11"/>
  <c r="LY4" i="11"/>
  <c r="LX4" i="11"/>
  <c r="LW4" i="11"/>
  <c r="LV4" i="11"/>
  <c r="LU4" i="11"/>
  <c r="LT4" i="11"/>
  <c r="LS4" i="11"/>
  <c r="LR4" i="11"/>
  <c r="LQ4" i="11"/>
  <c r="LP4" i="11"/>
  <c r="LO4" i="11"/>
  <c r="LN4" i="11"/>
  <c r="LM4" i="11"/>
  <c r="LL4" i="11"/>
  <c r="LK4" i="11"/>
  <c r="LJ4" i="11"/>
  <c r="LI4" i="11"/>
  <c r="LH4" i="11"/>
  <c r="LG4" i="11"/>
  <c r="LF4" i="11"/>
  <c r="LE4" i="11"/>
  <c r="LD4" i="11"/>
  <c r="LC4" i="11"/>
  <c r="LB4" i="11"/>
  <c r="LA4" i="11"/>
  <c r="KZ4" i="11"/>
  <c r="KY4" i="11"/>
  <c r="KX4" i="11"/>
  <c r="KW4" i="11"/>
  <c r="KV4" i="11"/>
  <c r="KU4" i="11"/>
  <c r="KT4" i="11"/>
  <c r="KS4" i="11"/>
  <c r="KR4" i="11"/>
  <c r="KQ4" i="11"/>
  <c r="KP4" i="11"/>
  <c r="KO4" i="11"/>
  <c r="KN4" i="11"/>
  <c r="KM4" i="11"/>
  <c r="KL4" i="11"/>
  <c r="KK4" i="11"/>
  <c r="KJ4" i="11"/>
  <c r="KI4" i="11"/>
  <c r="KH4" i="11"/>
  <c r="KG4" i="11"/>
  <c r="KF4" i="11"/>
  <c r="KE4" i="11"/>
  <c r="KD4" i="11"/>
  <c r="KC4" i="11"/>
  <c r="KB4" i="11"/>
  <c r="KA4" i="11"/>
  <c r="JZ4" i="11"/>
  <c r="JY4" i="11"/>
  <c r="JX4" i="11"/>
  <c r="JW4" i="11"/>
  <c r="JV4" i="11"/>
  <c r="JU4" i="11"/>
  <c r="JT4" i="11"/>
  <c r="JS4" i="11"/>
  <c r="JR4" i="11"/>
  <c r="JQ4" i="11"/>
  <c r="JP4" i="11"/>
  <c r="JO4" i="11"/>
  <c r="JN4" i="11"/>
  <c r="JM4" i="11"/>
  <c r="JL4" i="11"/>
  <c r="JK4" i="11"/>
  <c r="JJ4" i="11"/>
  <c r="JI4" i="11"/>
  <c r="JH4" i="11"/>
  <c r="JG4" i="11"/>
  <c r="JF4" i="11"/>
  <c r="JE4" i="11"/>
  <c r="JD4" i="11"/>
  <c r="JC4" i="11"/>
  <c r="JB4" i="11"/>
  <c r="JA4" i="11"/>
  <c r="IZ4" i="11"/>
  <c r="IY4" i="11"/>
  <c r="IX4" i="11"/>
  <c r="IW4" i="11"/>
  <c r="IV4" i="11"/>
  <c r="IU4" i="11"/>
  <c r="IT4" i="11"/>
  <c r="IS4" i="11"/>
  <c r="IR4" i="11"/>
  <c r="IQ4" i="11"/>
  <c r="IP4" i="11"/>
  <c r="IO4" i="11"/>
  <c r="IN4" i="11"/>
  <c r="IM4" i="11"/>
  <c r="IL4" i="11"/>
  <c r="IK4" i="11"/>
  <c r="IJ4" i="11"/>
  <c r="II4" i="11"/>
  <c r="IH4" i="11"/>
  <c r="IG4" i="11"/>
  <c r="IF4" i="11"/>
  <c r="IE4" i="11"/>
  <c r="ID4" i="11"/>
  <c r="IC4" i="11"/>
  <c r="IB4" i="11"/>
  <c r="IA4" i="11"/>
  <c r="HZ4" i="11"/>
  <c r="HY4" i="11"/>
  <c r="HX4" i="11"/>
  <c r="HW4" i="11"/>
  <c r="HV4" i="11"/>
  <c r="HU4" i="11"/>
  <c r="HT4" i="11"/>
  <c r="HS4" i="11"/>
  <c r="HR4" i="11"/>
  <c r="HQ4" i="11"/>
  <c r="HP4" i="11"/>
  <c r="HO4" i="11"/>
  <c r="HN4" i="11"/>
  <c r="HM4" i="11"/>
  <c r="HL4" i="11"/>
  <c r="HK4" i="11"/>
  <c r="HJ4" i="11"/>
  <c r="HI4" i="11"/>
  <c r="HH4" i="11"/>
  <c r="HG4" i="11"/>
  <c r="HF4" i="11"/>
  <c r="HE4" i="11"/>
  <c r="HD4" i="11"/>
  <c r="HC4" i="11"/>
  <c r="HB4" i="11"/>
  <c r="HA4" i="11"/>
  <c r="GZ4" i="11"/>
  <c r="GY4" i="11"/>
  <c r="GX4" i="11"/>
  <c r="GW4" i="11"/>
  <c r="GV4" i="11"/>
  <c r="GU4" i="11"/>
  <c r="GT4" i="11"/>
  <c r="GS4" i="11"/>
  <c r="GR4" i="11"/>
  <c r="GQ4" i="11"/>
  <c r="GP4" i="11"/>
  <c r="GO4" i="11"/>
  <c r="GN4" i="11"/>
  <c r="GM4" i="11"/>
  <c r="GL4" i="11"/>
  <c r="GK4" i="11"/>
  <c r="GJ4" i="11"/>
  <c r="GI4" i="11"/>
  <c r="GH4" i="11"/>
  <c r="GG4" i="11"/>
  <c r="GF4" i="11"/>
  <c r="GE4" i="11"/>
  <c r="GD4" i="11"/>
  <c r="GC4" i="11"/>
  <c r="GB4" i="11"/>
  <c r="GA4" i="11"/>
  <c r="FZ4" i="11"/>
  <c r="FY4" i="11"/>
  <c r="FX4" i="11"/>
  <c r="FW4" i="11"/>
  <c r="FV4" i="11"/>
  <c r="FU4" i="11"/>
  <c r="FT4" i="11"/>
  <c r="FS4" i="11"/>
  <c r="FR4" i="11"/>
  <c r="FQ4" i="11"/>
  <c r="FP4" i="11"/>
  <c r="FO4" i="11"/>
  <c r="FN4" i="11"/>
  <c r="FM4" i="11"/>
  <c r="FL4" i="11"/>
  <c r="FK4" i="11"/>
  <c r="FJ4" i="11"/>
  <c r="FI4" i="11"/>
  <c r="FH4" i="11"/>
  <c r="FG4" i="11"/>
  <c r="FF4" i="11"/>
  <c r="FE4" i="11"/>
  <c r="FD4" i="11"/>
  <c r="FC4" i="11"/>
  <c r="FB4" i="11"/>
  <c r="FA4" i="11"/>
  <c r="EZ4" i="11"/>
  <c r="EY4" i="11"/>
  <c r="EX4" i="11"/>
  <c r="EW4" i="11"/>
  <c r="EV4" i="11"/>
  <c r="EU4" i="11"/>
  <c r="ET4" i="11"/>
  <c r="ES4" i="11"/>
  <c r="ER4" i="11"/>
  <c r="EQ4" i="11"/>
  <c r="EP4" i="11"/>
  <c r="EO4" i="11"/>
  <c r="EN4" i="11"/>
  <c r="EM4" i="11"/>
  <c r="EL4" i="11"/>
  <c r="EK4" i="11"/>
  <c r="EJ4" i="11"/>
  <c r="EI4" i="11"/>
  <c r="EH4" i="11"/>
  <c r="EG4" i="11"/>
  <c r="EF4" i="11"/>
  <c r="EE4" i="11"/>
  <c r="ED4" i="11"/>
  <c r="EC4" i="11"/>
  <c r="EB4" i="11"/>
  <c r="EA4" i="11"/>
  <c r="DZ4" i="11"/>
  <c r="DY4" i="11"/>
  <c r="DX4" i="11"/>
  <c r="DW4" i="11"/>
  <c r="DV4" i="11"/>
  <c r="DU4" i="11"/>
  <c r="DT4" i="11"/>
  <c r="DS4" i="11"/>
  <c r="DR4" i="11"/>
  <c r="DQ4" i="11"/>
  <c r="DP4" i="11"/>
  <c r="DO4" i="11"/>
  <c r="DN4" i="11"/>
  <c r="DM4" i="11"/>
  <c r="DL4" i="11"/>
  <c r="DK4" i="11"/>
  <c r="DJ4" i="11"/>
  <c r="DI4" i="11"/>
  <c r="DH4" i="11"/>
  <c r="DG4" i="11"/>
  <c r="DF4" i="11"/>
  <c r="DE4" i="11"/>
  <c r="DD4" i="11"/>
  <c r="DC4" i="11"/>
  <c r="DB4" i="11"/>
  <c r="DA4" i="11"/>
  <c r="CZ4" i="11"/>
  <c r="CY4" i="11"/>
  <c r="CX4" i="11"/>
  <c r="CW4" i="11"/>
  <c r="CV4" i="11"/>
  <c r="CU4" i="11"/>
  <c r="CT4" i="11"/>
  <c r="CS4" i="11"/>
  <c r="CR4" i="11"/>
  <c r="CQ4" i="11"/>
  <c r="CP4" i="11"/>
  <c r="CO4" i="11"/>
  <c r="CN4" i="11"/>
  <c r="CM4" i="11"/>
  <c r="CL4" i="11"/>
  <c r="CK4" i="11"/>
  <c r="CJ4" i="11"/>
  <c r="CI4" i="11"/>
  <c r="CH4" i="11"/>
  <c r="CG4" i="11"/>
  <c r="CF4" i="11"/>
  <c r="CE4" i="11"/>
  <c r="CD4" i="11"/>
  <c r="CC4" i="11"/>
  <c r="CB4" i="11"/>
  <c r="CA4" i="11"/>
  <c r="BZ4" i="11"/>
  <c r="BY4" i="11"/>
  <c r="BX4" i="11"/>
  <c r="BW4" i="11"/>
  <c r="BV4" i="11"/>
  <c r="BU4" i="11"/>
  <c r="BT4" i="11"/>
  <c r="BS4" i="11"/>
  <c r="BR4" i="11"/>
  <c r="BQ4" i="11"/>
  <c r="BP4" i="11"/>
  <c r="BO4" i="11"/>
  <c r="BN4" i="11"/>
  <c r="BM4" i="11"/>
  <c r="BL4" i="11"/>
  <c r="BK4" i="11"/>
  <c r="BJ4" i="11"/>
  <c r="BI4" i="11"/>
  <c r="BH4" i="11"/>
  <c r="BG4" i="11"/>
  <c r="BF4" i="11"/>
  <c r="BE4" i="11"/>
  <c r="BD4" i="11"/>
  <c r="BC4" i="11"/>
  <c r="BB4" i="11"/>
  <c r="BA4" i="11"/>
  <c r="AZ4" i="11"/>
  <c r="AY4" i="11"/>
  <c r="AX4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NI45" i="10"/>
  <c r="NH45" i="10"/>
  <c r="NI44" i="10"/>
  <c r="NH44" i="10"/>
  <c r="NI43" i="10"/>
  <c r="NH43" i="10"/>
  <c r="NI42" i="10"/>
  <c r="NH42" i="10"/>
  <c r="NI41" i="10"/>
  <c r="NH41" i="10"/>
  <c r="NI40" i="10"/>
  <c r="NH40" i="10"/>
  <c r="NI39" i="10"/>
  <c r="NH39" i="10"/>
  <c r="NI38" i="10"/>
  <c r="NH38" i="10"/>
  <c r="NI37" i="10"/>
  <c r="NH37" i="10"/>
  <c r="NI36" i="10"/>
  <c r="NH36" i="10"/>
  <c r="NI35" i="10"/>
  <c r="NH35" i="10"/>
  <c r="NI34" i="10"/>
  <c r="NH34" i="10"/>
  <c r="NI33" i="10"/>
  <c r="NH33" i="10"/>
  <c r="NI32" i="10"/>
  <c r="NH32" i="10"/>
  <c r="NI31" i="10"/>
  <c r="NH31" i="10"/>
  <c r="NI30" i="10"/>
  <c r="NH30" i="10"/>
  <c r="NI29" i="10"/>
  <c r="NH29" i="10"/>
  <c r="NI28" i="10"/>
  <c r="NH28" i="10"/>
  <c r="NI27" i="10"/>
  <c r="NH27" i="10"/>
  <c r="NI26" i="10"/>
  <c r="NH26" i="10"/>
  <c r="NI25" i="10"/>
  <c r="NH25" i="10"/>
  <c r="NI24" i="10"/>
  <c r="NH24" i="10"/>
  <c r="NI23" i="10"/>
  <c r="NH23" i="10"/>
  <c r="NI22" i="10"/>
  <c r="NH22" i="10"/>
  <c r="NI21" i="10"/>
  <c r="NH21" i="10"/>
  <c r="NI20" i="10"/>
  <c r="NH20" i="10"/>
  <c r="NL19" i="10"/>
  <c r="NK19" i="10"/>
  <c r="NM19" i="10" s="1"/>
  <c r="NI19" i="10"/>
  <c r="NH19" i="10"/>
  <c r="NI18" i="10"/>
  <c r="NH18" i="10"/>
  <c r="NI17" i="10"/>
  <c r="NH17" i="10"/>
  <c r="NI16" i="10"/>
  <c r="NH16" i="10"/>
  <c r="NI15" i="10"/>
  <c r="NH15" i="10"/>
  <c r="NI14" i="10"/>
  <c r="NH14" i="10"/>
  <c r="NI13" i="10"/>
  <c r="NH13" i="10"/>
  <c r="NI12" i="10"/>
  <c r="NH12" i="10"/>
  <c r="NL11" i="10"/>
  <c r="NK11" i="10"/>
  <c r="NI11" i="10"/>
  <c r="NH11" i="10"/>
  <c r="NI10" i="10"/>
  <c r="NH10" i="10"/>
  <c r="NI9" i="10"/>
  <c r="NH9" i="10"/>
  <c r="NI8" i="10"/>
  <c r="NH8" i="10"/>
  <c r="NI7" i="10"/>
  <c r="NH7" i="10"/>
  <c r="NI6" i="10"/>
  <c r="NH6" i="10"/>
  <c r="NG4" i="10"/>
  <c r="NF4" i="10"/>
  <c r="NE4" i="10"/>
  <c r="ND4" i="10"/>
  <c r="NC4" i="10"/>
  <c r="NB4" i="10"/>
  <c r="NA4" i="10"/>
  <c r="MZ4" i="10"/>
  <c r="MY4" i="10"/>
  <c r="MX4" i="10"/>
  <c r="MW4" i="10"/>
  <c r="MV4" i="10"/>
  <c r="MU4" i="10"/>
  <c r="MT4" i="10"/>
  <c r="MS4" i="10"/>
  <c r="MR4" i="10"/>
  <c r="MQ4" i="10"/>
  <c r="MP4" i="10"/>
  <c r="MO4" i="10"/>
  <c r="MN4" i="10"/>
  <c r="MM4" i="10"/>
  <c r="ML4" i="10"/>
  <c r="MK4" i="10"/>
  <c r="MJ4" i="10"/>
  <c r="MI4" i="10"/>
  <c r="MH4" i="10"/>
  <c r="MG4" i="10"/>
  <c r="MF4" i="10"/>
  <c r="ME4" i="10"/>
  <c r="MD4" i="10"/>
  <c r="MC4" i="10"/>
  <c r="MB4" i="10"/>
  <c r="MA4" i="10"/>
  <c r="LZ4" i="10"/>
  <c r="LY4" i="10"/>
  <c r="LX4" i="10"/>
  <c r="LW4" i="10"/>
  <c r="LV4" i="10"/>
  <c r="LU4" i="10"/>
  <c r="LT4" i="10"/>
  <c r="LS4" i="10"/>
  <c r="LR4" i="10"/>
  <c r="LQ4" i="10"/>
  <c r="LP4" i="10"/>
  <c r="LO4" i="10"/>
  <c r="LN4" i="10"/>
  <c r="LM4" i="10"/>
  <c r="LL4" i="10"/>
  <c r="LK4" i="10"/>
  <c r="LJ4" i="10"/>
  <c r="LI4" i="10"/>
  <c r="LH4" i="10"/>
  <c r="LG4" i="10"/>
  <c r="LF4" i="10"/>
  <c r="LE4" i="10"/>
  <c r="LD4" i="10"/>
  <c r="LC4" i="10"/>
  <c r="LB4" i="10"/>
  <c r="LA4" i="10"/>
  <c r="KZ4" i="10"/>
  <c r="KY4" i="10"/>
  <c r="KX4" i="10"/>
  <c r="KW4" i="10"/>
  <c r="KV4" i="10"/>
  <c r="KU4" i="10"/>
  <c r="KT4" i="10"/>
  <c r="KS4" i="10"/>
  <c r="KR4" i="10"/>
  <c r="KQ4" i="10"/>
  <c r="KP4" i="10"/>
  <c r="KO4" i="10"/>
  <c r="KN4" i="10"/>
  <c r="KM4" i="10"/>
  <c r="KL4" i="10"/>
  <c r="KK4" i="10"/>
  <c r="KJ4" i="10"/>
  <c r="KI4" i="10"/>
  <c r="KH4" i="10"/>
  <c r="KG4" i="10"/>
  <c r="KF4" i="10"/>
  <c r="KE4" i="10"/>
  <c r="KD4" i="10"/>
  <c r="KC4" i="10"/>
  <c r="KB4" i="10"/>
  <c r="KA4" i="10"/>
  <c r="JZ4" i="10"/>
  <c r="JY4" i="10"/>
  <c r="JX4" i="10"/>
  <c r="JW4" i="10"/>
  <c r="JV4" i="10"/>
  <c r="JU4" i="10"/>
  <c r="JT4" i="10"/>
  <c r="JS4" i="10"/>
  <c r="JR4" i="10"/>
  <c r="JQ4" i="10"/>
  <c r="JP4" i="10"/>
  <c r="JO4" i="10"/>
  <c r="JN4" i="10"/>
  <c r="JM4" i="10"/>
  <c r="JL4" i="10"/>
  <c r="JK4" i="10"/>
  <c r="JJ4" i="10"/>
  <c r="JI4" i="10"/>
  <c r="JH4" i="10"/>
  <c r="JG4" i="10"/>
  <c r="JF4" i="10"/>
  <c r="JE4" i="10"/>
  <c r="JD4" i="10"/>
  <c r="JC4" i="10"/>
  <c r="JB4" i="10"/>
  <c r="JA4" i="10"/>
  <c r="IZ4" i="10"/>
  <c r="IY4" i="10"/>
  <c r="IX4" i="10"/>
  <c r="IW4" i="10"/>
  <c r="IV4" i="10"/>
  <c r="IU4" i="10"/>
  <c r="IT4" i="10"/>
  <c r="IS4" i="10"/>
  <c r="IR4" i="10"/>
  <c r="IQ4" i="10"/>
  <c r="IP4" i="10"/>
  <c r="IO4" i="10"/>
  <c r="IN4" i="10"/>
  <c r="IM4" i="10"/>
  <c r="IL4" i="10"/>
  <c r="IK4" i="10"/>
  <c r="IJ4" i="10"/>
  <c r="II4" i="10"/>
  <c r="IH4" i="10"/>
  <c r="IG4" i="10"/>
  <c r="IF4" i="10"/>
  <c r="IE4" i="10"/>
  <c r="ID4" i="10"/>
  <c r="IC4" i="10"/>
  <c r="IB4" i="10"/>
  <c r="IA4" i="10"/>
  <c r="HZ4" i="10"/>
  <c r="HY4" i="10"/>
  <c r="HX4" i="10"/>
  <c r="HW4" i="10"/>
  <c r="HV4" i="10"/>
  <c r="HU4" i="10"/>
  <c r="HT4" i="10"/>
  <c r="HS4" i="10"/>
  <c r="HR4" i="10"/>
  <c r="HQ4" i="10"/>
  <c r="HP4" i="10"/>
  <c r="HO4" i="10"/>
  <c r="HN4" i="10"/>
  <c r="HM4" i="10"/>
  <c r="HL4" i="10"/>
  <c r="HK4" i="10"/>
  <c r="HJ4" i="10"/>
  <c r="HI4" i="10"/>
  <c r="HH4" i="10"/>
  <c r="HG4" i="10"/>
  <c r="HF4" i="10"/>
  <c r="HE4" i="10"/>
  <c r="HD4" i="10"/>
  <c r="HC4" i="10"/>
  <c r="HB4" i="10"/>
  <c r="HA4" i="10"/>
  <c r="GZ4" i="10"/>
  <c r="GY4" i="10"/>
  <c r="GX4" i="10"/>
  <c r="GW4" i="10"/>
  <c r="GV4" i="10"/>
  <c r="GU4" i="10"/>
  <c r="GT4" i="10"/>
  <c r="GS4" i="10"/>
  <c r="GR4" i="10"/>
  <c r="GQ4" i="10"/>
  <c r="GP4" i="10"/>
  <c r="GO4" i="10"/>
  <c r="GN4" i="10"/>
  <c r="GM4" i="10"/>
  <c r="GL4" i="10"/>
  <c r="GK4" i="10"/>
  <c r="GJ4" i="10"/>
  <c r="GI4" i="10"/>
  <c r="GH4" i="10"/>
  <c r="GG4" i="10"/>
  <c r="GF4" i="10"/>
  <c r="GE4" i="10"/>
  <c r="GD4" i="10"/>
  <c r="GC4" i="10"/>
  <c r="GB4" i="10"/>
  <c r="GA4" i="10"/>
  <c r="FZ4" i="10"/>
  <c r="FY4" i="10"/>
  <c r="FX4" i="10"/>
  <c r="FW4" i="10"/>
  <c r="FV4" i="10"/>
  <c r="FU4" i="10"/>
  <c r="FT4" i="10"/>
  <c r="FS4" i="10"/>
  <c r="FR4" i="10"/>
  <c r="FQ4" i="10"/>
  <c r="FP4" i="10"/>
  <c r="FO4" i="10"/>
  <c r="FN4" i="10"/>
  <c r="FM4" i="10"/>
  <c r="FL4" i="10"/>
  <c r="FK4" i="10"/>
  <c r="FJ4" i="10"/>
  <c r="FI4" i="10"/>
  <c r="FH4" i="10"/>
  <c r="FG4" i="10"/>
  <c r="FF4" i="10"/>
  <c r="FE4" i="10"/>
  <c r="FD4" i="10"/>
  <c r="FC4" i="10"/>
  <c r="FB4" i="10"/>
  <c r="FA4" i="10"/>
  <c r="EZ4" i="10"/>
  <c r="EY4" i="10"/>
  <c r="EX4" i="10"/>
  <c r="EW4" i="10"/>
  <c r="EV4" i="10"/>
  <c r="EU4" i="10"/>
  <c r="ET4" i="10"/>
  <c r="ES4" i="10"/>
  <c r="ER4" i="10"/>
  <c r="EQ4" i="10"/>
  <c r="EP4" i="10"/>
  <c r="EO4" i="10"/>
  <c r="EN4" i="10"/>
  <c r="EM4" i="10"/>
  <c r="EL4" i="10"/>
  <c r="EK4" i="10"/>
  <c r="EJ4" i="10"/>
  <c r="EI4" i="10"/>
  <c r="EH4" i="10"/>
  <c r="EG4" i="10"/>
  <c r="EF4" i="10"/>
  <c r="EE4" i="10"/>
  <c r="ED4" i="10"/>
  <c r="EC4" i="10"/>
  <c r="EB4" i="10"/>
  <c r="EA4" i="10"/>
  <c r="DZ4" i="10"/>
  <c r="DY4" i="10"/>
  <c r="DX4" i="10"/>
  <c r="DW4" i="10"/>
  <c r="DV4" i="10"/>
  <c r="DU4" i="10"/>
  <c r="DT4" i="10"/>
  <c r="DS4" i="10"/>
  <c r="DR4" i="10"/>
  <c r="DQ4" i="10"/>
  <c r="DP4" i="10"/>
  <c r="DO4" i="10"/>
  <c r="DN4" i="10"/>
  <c r="DM4" i="10"/>
  <c r="DL4" i="10"/>
  <c r="DK4" i="10"/>
  <c r="DJ4" i="10"/>
  <c r="DI4" i="10"/>
  <c r="DH4" i="10"/>
  <c r="DG4" i="10"/>
  <c r="DF4" i="10"/>
  <c r="DE4" i="10"/>
  <c r="DD4" i="10"/>
  <c r="DC4" i="10"/>
  <c r="DB4" i="10"/>
  <c r="DA4" i="10"/>
  <c r="CZ4" i="10"/>
  <c r="CY4" i="10"/>
  <c r="CX4" i="10"/>
  <c r="CW4" i="10"/>
  <c r="CV4" i="10"/>
  <c r="CU4" i="10"/>
  <c r="CT4" i="10"/>
  <c r="CS4" i="10"/>
  <c r="CR4" i="10"/>
  <c r="CQ4" i="10"/>
  <c r="CP4" i="10"/>
  <c r="CO4" i="10"/>
  <c r="CN4" i="10"/>
  <c r="CM4" i="10"/>
  <c r="CL4" i="10"/>
  <c r="CK4" i="10"/>
  <c r="CJ4" i="10"/>
  <c r="CI4" i="10"/>
  <c r="CH4" i="10"/>
  <c r="CG4" i="10"/>
  <c r="CF4" i="10"/>
  <c r="CE4" i="10"/>
  <c r="CD4" i="10"/>
  <c r="CC4" i="10"/>
  <c r="CB4" i="10"/>
  <c r="CA4" i="10"/>
  <c r="BZ4" i="10"/>
  <c r="BY4" i="10"/>
  <c r="BX4" i="10"/>
  <c r="BW4" i="10"/>
  <c r="BV4" i="10"/>
  <c r="BU4" i="10"/>
  <c r="BT4" i="10"/>
  <c r="BS4" i="10"/>
  <c r="BR4" i="10"/>
  <c r="BQ4" i="10"/>
  <c r="BP4" i="10"/>
  <c r="BO4" i="10"/>
  <c r="BN4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NI45" i="9"/>
  <c r="NH45" i="9"/>
  <c r="NI44" i="9"/>
  <c r="NH44" i="9"/>
  <c r="NI43" i="9"/>
  <c r="NH43" i="9"/>
  <c r="NI42" i="9"/>
  <c r="NH42" i="9"/>
  <c r="NI41" i="9"/>
  <c r="NH41" i="9"/>
  <c r="NI40" i="9"/>
  <c r="NH40" i="9"/>
  <c r="NI39" i="9"/>
  <c r="NH39" i="9"/>
  <c r="NI38" i="9"/>
  <c r="NH38" i="9"/>
  <c r="NI37" i="9"/>
  <c r="NH37" i="9"/>
  <c r="NI36" i="9"/>
  <c r="NH36" i="9"/>
  <c r="NI35" i="9"/>
  <c r="NH35" i="9"/>
  <c r="NI34" i="9"/>
  <c r="NH34" i="9"/>
  <c r="NI33" i="9"/>
  <c r="NH33" i="9"/>
  <c r="NI32" i="9"/>
  <c r="NH32" i="9"/>
  <c r="NI31" i="9"/>
  <c r="NH31" i="9"/>
  <c r="NI30" i="9"/>
  <c r="NH30" i="9"/>
  <c r="NI29" i="9"/>
  <c r="NH29" i="9"/>
  <c r="NI28" i="9"/>
  <c r="NH28" i="9"/>
  <c r="NI27" i="9"/>
  <c r="NH27" i="9"/>
  <c r="NI26" i="9"/>
  <c r="NH26" i="9"/>
  <c r="NI25" i="9"/>
  <c r="NH25" i="9"/>
  <c r="NI24" i="9"/>
  <c r="NH24" i="9"/>
  <c r="NI23" i="9"/>
  <c r="NH23" i="9"/>
  <c r="NI22" i="9"/>
  <c r="NH22" i="9"/>
  <c r="NI21" i="9"/>
  <c r="NH21" i="9"/>
  <c r="NI20" i="9"/>
  <c r="NH20" i="9"/>
  <c r="NL19" i="9"/>
  <c r="NK19" i="9"/>
  <c r="NI19" i="9"/>
  <c r="NH19" i="9"/>
  <c r="NI18" i="9"/>
  <c r="NH18" i="9"/>
  <c r="NI17" i="9"/>
  <c r="NH17" i="9"/>
  <c r="NI16" i="9"/>
  <c r="NH16" i="9"/>
  <c r="NI15" i="9"/>
  <c r="NH15" i="9"/>
  <c r="NI14" i="9"/>
  <c r="NH14" i="9"/>
  <c r="NI13" i="9"/>
  <c r="NH13" i="9"/>
  <c r="NI12" i="9"/>
  <c r="NH12" i="9"/>
  <c r="NL11" i="9"/>
  <c r="NK11" i="9"/>
  <c r="NM11" i="9" s="1"/>
  <c r="NI11" i="9"/>
  <c r="NH11" i="9"/>
  <c r="NI10" i="9"/>
  <c r="NH10" i="9"/>
  <c r="NI9" i="9"/>
  <c r="NH9" i="9"/>
  <c r="NI8" i="9"/>
  <c r="NH8" i="9"/>
  <c r="NI7" i="9"/>
  <c r="NH7" i="9"/>
  <c r="NI6" i="9"/>
  <c r="NH6" i="9"/>
  <c r="NG4" i="9"/>
  <c r="NF4" i="9"/>
  <c r="NE4" i="9"/>
  <c r="ND4" i="9"/>
  <c r="NC4" i="9"/>
  <c r="NB4" i="9"/>
  <c r="NA4" i="9"/>
  <c r="MZ4" i="9"/>
  <c r="MY4" i="9"/>
  <c r="MX4" i="9"/>
  <c r="MW4" i="9"/>
  <c r="MV4" i="9"/>
  <c r="MU4" i="9"/>
  <c r="MT4" i="9"/>
  <c r="MS4" i="9"/>
  <c r="MR4" i="9"/>
  <c r="MQ4" i="9"/>
  <c r="MP4" i="9"/>
  <c r="MO4" i="9"/>
  <c r="MN4" i="9"/>
  <c r="MM4" i="9"/>
  <c r="ML4" i="9"/>
  <c r="MK4" i="9"/>
  <c r="MJ4" i="9"/>
  <c r="MI4" i="9"/>
  <c r="MH4" i="9"/>
  <c r="MG4" i="9"/>
  <c r="MF4" i="9"/>
  <c r="ME4" i="9"/>
  <c r="MD4" i="9"/>
  <c r="MC4" i="9"/>
  <c r="MB4" i="9"/>
  <c r="MA4" i="9"/>
  <c r="LZ4" i="9"/>
  <c r="LY4" i="9"/>
  <c r="LX4" i="9"/>
  <c r="LW4" i="9"/>
  <c r="LV4" i="9"/>
  <c r="LU4" i="9"/>
  <c r="LT4" i="9"/>
  <c r="LS4" i="9"/>
  <c r="LR4" i="9"/>
  <c r="LQ4" i="9"/>
  <c r="LP4" i="9"/>
  <c r="LO4" i="9"/>
  <c r="LN4" i="9"/>
  <c r="LM4" i="9"/>
  <c r="LL4" i="9"/>
  <c r="LK4" i="9"/>
  <c r="LJ4" i="9"/>
  <c r="LI4" i="9"/>
  <c r="LH4" i="9"/>
  <c r="LG4" i="9"/>
  <c r="LF4" i="9"/>
  <c r="LE4" i="9"/>
  <c r="LD4" i="9"/>
  <c r="LC4" i="9"/>
  <c r="LB4" i="9"/>
  <c r="LA4" i="9"/>
  <c r="KZ4" i="9"/>
  <c r="KY4" i="9"/>
  <c r="KX4" i="9"/>
  <c r="KW4" i="9"/>
  <c r="KV4" i="9"/>
  <c r="KU4" i="9"/>
  <c r="KT4" i="9"/>
  <c r="KS4" i="9"/>
  <c r="KR4" i="9"/>
  <c r="KQ4" i="9"/>
  <c r="KP4" i="9"/>
  <c r="KO4" i="9"/>
  <c r="KN4" i="9"/>
  <c r="KM4" i="9"/>
  <c r="KL4" i="9"/>
  <c r="KK4" i="9"/>
  <c r="KJ4" i="9"/>
  <c r="KI4" i="9"/>
  <c r="KH4" i="9"/>
  <c r="KG4" i="9"/>
  <c r="KF4" i="9"/>
  <c r="KE4" i="9"/>
  <c r="KD4" i="9"/>
  <c r="KC4" i="9"/>
  <c r="KB4" i="9"/>
  <c r="KA4" i="9"/>
  <c r="JZ4" i="9"/>
  <c r="JY4" i="9"/>
  <c r="JX4" i="9"/>
  <c r="JW4" i="9"/>
  <c r="JV4" i="9"/>
  <c r="JU4" i="9"/>
  <c r="JT4" i="9"/>
  <c r="JS4" i="9"/>
  <c r="JR4" i="9"/>
  <c r="JQ4" i="9"/>
  <c r="JP4" i="9"/>
  <c r="JO4" i="9"/>
  <c r="JN4" i="9"/>
  <c r="JM4" i="9"/>
  <c r="JL4" i="9"/>
  <c r="JK4" i="9"/>
  <c r="JJ4" i="9"/>
  <c r="JI4" i="9"/>
  <c r="JH4" i="9"/>
  <c r="JG4" i="9"/>
  <c r="JF4" i="9"/>
  <c r="JE4" i="9"/>
  <c r="JD4" i="9"/>
  <c r="JC4" i="9"/>
  <c r="JB4" i="9"/>
  <c r="JA4" i="9"/>
  <c r="IZ4" i="9"/>
  <c r="IY4" i="9"/>
  <c r="IX4" i="9"/>
  <c r="IW4" i="9"/>
  <c r="IV4" i="9"/>
  <c r="IU4" i="9"/>
  <c r="IT4" i="9"/>
  <c r="IS4" i="9"/>
  <c r="IR4" i="9"/>
  <c r="IQ4" i="9"/>
  <c r="IP4" i="9"/>
  <c r="IO4" i="9"/>
  <c r="IN4" i="9"/>
  <c r="IM4" i="9"/>
  <c r="IL4" i="9"/>
  <c r="IK4" i="9"/>
  <c r="IJ4" i="9"/>
  <c r="II4" i="9"/>
  <c r="IH4" i="9"/>
  <c r="IG4" i="9"/>
  <c r="IF4" i="9"/>
  <c r="IE4" i="9"/>
  <c r="ID4" i="9"/>
  <c r="IC4" i="9"/>
  <c r="IB4" i="9"/>
  <c r="IA4" i="9"/>
  <c r="HZ4" i="9"/>
  <c r="HY4" i="9"/>
  <c r="HX4" i="9"/>
  <c r="HW4" i="9"/>
  <c r="HV4" i="9"/>
  <c r="HU4" i="9"/>
  <c r="HT4" i="9"/>
  <c r="HS4" i="9"/>
  <c r="HR4" i="9"/>
  <c r="HQ4" i="9"/>
  <c r="HP4" i="9"/>
  <c r="HO4" i="9"/>
  <c r="HN4" i="9"/>
  <c r="HM4" i="9"/>
  <c r="HL4" i="9"/>
  <c r="HK4" i="9"/>
  <c r="HJ4" i="9"/>
  <c r="HI4" i="9"/>
  <c r="HH4" i="9"/>
  <c r="HG4" i="9"/>
  <c r="HF4" i="9"/>
  <c r="HE4" i="9"/>
  <c r="HD4" i="9"/>
  <c r="HC4" i="9"/>
  <c r="HB4" i="9"/>
  <c r="HA4" i="9"/>
  <c r="GZ4" i="9"/>
  <c r="GY4" i="9"/>
  <c r="GX4" i="9"/>
  <c r="GW4" i="9"/>
  <c r="GV4" i="9"/>
  <c r="GU4" i="9"/>
  <c r="GT4" i="9"/>
  <c r="GS4" i="9"/>
  <c r="GR4" i="9"/>
  <c r="GQ4" i="9"/>
  <c r="GP4" i="9"/>
  <c r="GO4" i="9"/>
  <c r="GN4" i="9"/>
  <c r="GM4" i="9"/>
  <c r="GL4" i="9"/>
  <c r="GK4" i="9"/>
  <c r="GJ4" i="9"/>
  <c r="GI4" i="9"/>
  <c r="GH4" i="9"/>
  <c r="GG4" i="9"/>
  <c r="GF4" i="9"/>
  <c r="GE4" i="9"/>
  <c r="GD4" i="9"/>
  <c r="GC4" i="9"/>
  <c r="GB4" i="9"/>
  <c r="GA4" i="9"/>
  <c r="FZ4" i="9"/>
  <c r="FY4" i="9"/>
  <c r="FX4" i="9"/>
  <c r="FW4" i="9"/>
  <c r="FV4" i="9"/>
  <c r="FU4" i="9"/>
  <c r="FT4" i="9"/>
  <c r="FS4" i="9"/>
  <c r="FR4" i="9"/>
  <c r="FQ4" i="9"/>
  <c r="FP4" i="9"/>
  <c r="FO4" i="9"/>
  <c r="FN4" i="9"/>
  <c r="FM4" i="9"/>
  <c r="FL4" i="9"/>
  <c r="FK4" i="9"/>
  <c r="FJ4" i="9"/>
  <c r="FI4" i="9"/>
  <c r="FH4" i="9"/>
  <c r="FG4" i="9"/>
  <c r="FF4" i="9"/>
  <c r="FE4" i="9"/>
  <c r="FD4" i="9"/>
  <c r="FC4" i="9"/>
  <c r="FB4" i="9"/>
  <c r="FA4" i="9"/>
  <c r="EZ4" i="9"/>
  <c r="EY4" i="9"/>
  <c r="EX4" i="9"/>
  <c r="EW4" i="9"/>
  <c r="EV4" i="9"/>
  <c r="EU4" i="9"/>
  <c r="ET4" i="9"/>
  <c r="ES4" i="9"/>
  <c r="ER4" i="9"/>
  <c r="EQ4" i="9"/>
  <c r="EP4" i="9"/>
  <c r="EO4" i="9"/>
  <c r="EN4" i="9"/>
  <c r="EM4" i="9"/>
  <c r="EL4" i="9"/>
  <c r="EK4" i="9"/>
  <c r="EJ4" i="9"/>
  <c r="EI4" i="9"/>
  <c r="EH4" i="9"/>
  <c r="EG4" i="9"/>
  <c r="EF4" i="9"/>
  <c r="EE4" i="9"/>
  <c r="ED4" i="9"/>
  <c r="EC4" i="9"/>
  <c r="EB4" i="9"/>
  <c r="EA4" i="9"/>
  <c r="DZ4" i="9"/>
  <c r="DY4" i="9"/>
  <c r="DX4" i="9"/>
  <c r="DW4" i="9"/>
  <c r="DV4" i="9"/>
  <c r="DU4" i="9"/>
  <c r="DT4" i="9"/>
  <c r="DS4" i="9"/>
  <c r="DR4" i="9"/>
  <c r="DQ4" i="9"/>
  <c r="DP4" i="9"/>
  <c r="DO4" i="9"/>
  <c r="DN4" i="9"/>
  <c r="DM4" i="9"/>
  <c r="DL4" i="9"/>
  <c r="DK4" i="9"/>
  <c r="DJ4" i="9"/>
  <c r="DI4" i="9"/>
  <c r="DH4" i="9"/>
  <c r="DG4" i="9"/>
  <c r="DF4" i="9"/>
  <c r="DE4" i="9"/>
  <c r="DD4" i="9"/>
  <c r="DC4" i="9"/>
  <c r="DB4" i="9"/>
  <c r="DA4" i="9"/>
  <c r="CZ4" i="9"/>
  <c r="CY4" i="9"/>
  <c r="CX4" i="9"/>
  <c r="CW4" i="9"/>
  <c r="CV4" i="9"/>
  <c r="CU4" i="9"/>
  <c r="CT4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BP4" i="9"/>
  <c r="BO4" i="9"/>
  <c r="BN4" i="9"/>
  <c r="BM4" i="9"/>
  <c r="BL4" i="9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NI45" i="8"/>
  <c r="NH45" i="8"/>
  <c r="NI44" i="8"/>
  <c r="NH44" i="8"/>
  <c r="NI43" i="8"/>
  <c r="NH43" i="8"/>
  <c r="NI42" i="8"/>
  <c r="NH42" i="8"/>
  <c r="NI41" i="8"/>
  <c r="NH41" i="8"/>
  <c r="NI40" i="8"/>
  <c r="NH40" i="8"/>
  <c r="NI39" i="8"/>
  <c r="NH39" i="8"/>
  <c r="NI38" i="8"/>
  <c r="NH38" i="8"/>
  <c r="NI37" i="8"/>
  <c r="NH37" i="8"/>
  <c r="NI36" i="8"/>
  <c r="NH36" i="8"/>
  <c r="NI35" i="8"/>
  <c r="NH35" i="8"/>
  <c r="NI34" i="8"/>
  <c r="NH34" i="8"/>
  <c r="NI33" i="8"/>
  <c r="NH33" i="8"/>
  <c r="NI32" i="8"/>
  <c r="NH32" i="8"/>
  <c r="NI31" i="8"/>
  <c r="NH31" i="8"/>
  <c r="NI30" i="8"/>
  <c r="NH30" i="8"/>
  <c r="NI29" i="8"/>
  <c r="NH29" i="8"/>
  <c r="NI28" i="8"/>
  <c r="NH28" i="8"/>
  <c r="NI27" i="8"/>
  <c r="NH27" i="8"/>
  <c r="NI26" i="8"/>
  <c r="NH26" i="8"/>
  <c r="NI25" i="8"/>
  <c r="NH25" i="8"/>
  <c r="NI24" i="8"/>
  <c r="NH24" i="8"/>
  <c r="NI23" i="8"/>
  <c r="NH23" i="8"/>
  <c r="NI22" i="8"/>
  <c r="NH22" i="8"/>
  <c r="NI21" i="8"/>
  <c r="NH21" i="8"/>
  <c r="NI20" i="8"/>
  <c r="NH20" i="8"/>
  <c r="NL19" i="8"/>
  <c r="NK19" i="8"/>
  <c r="NI19" i="8"/>
  <c r="NH19" i="8"/>
  <c r="NI18" i="8"/>
  <c r="NH18" i="8"/>
  <c r="NI17" i="8"/>
  <c r="NH17" i="8"/>
  <c r="NI16" i="8"/>
  <c r="NH16" i="8"/>
  <c r="NI15" i="8"/>
  <c r="NH15" i="8"/>
  <c r="NI14" i="8"/>
  <c r="NH14" i="8"/>
  <c r="NI13" i="8"/>
  <c r="NH13" i="8"/>
  <c r="NI12" i="8"/>
  <c r="NH12" i="8"/>
  <c r="NL11" i="8"/>
  <c r="NK11" i="8"/>
  <c r="NI11" i="8"/>
  <c r="NH11" i="8"/>
  <c r="NI10" i="8"/>
  <c r="NH10" i="8"/>
  <c r="NI9" i="8"/>
  <c r="NH9" i="8"/>
  <c r="NI8" i="8"/>
  <c r="NH8" i="8"/>
  <c r="NI7" i="8"/>
  <c r="NH7" i="8"/>
  <c r="NI6" i="8"/>
  <c r="NI46" i="8" s="1"/>
  <c r="NH6" i="8"/>
  <c r="NH46" i="8" s="1"/>
  <c r="NG4" i="8"/>
  <c r="NF4" i="8"/>
  <c r="NE4" i="8"/>
  <c r="ND4" i="8"/>
  <c r="NC4" i="8"/>
  <c r="NB4" i="8"/>
  <c r="NA4" i="8"/>
  <c r="MZ4" i="8"/>
  <c r="MY4" i="8"/>
  <c r="MX4" i="8"/>
  <c r="MW4" i="8"/>
  <c r="MV4" i="8"/>
  <c r="MU4" i="8"/>
  <c r="MT4" i="8"/>
  <c r="MS4" i="8"/>
  <c r="MR4" i="8"/>
  <c r="MQ4" i="8"/>
  <c r="MP4" i="8"/>
  <c r="MO4" i="8"/>
  <c r="MN4" i="8"/>
  <c r="MM4" i="8"/>
  <c r="ML4" i="8"/>
  <c r="MK4" i="8"/>
  <c r="MJ4" i="8"/>
  <c r="MI4" i="8"/>
  <c r="MH4" i="8"/>
  <c r="MG4" i="8"/>
  <c r="MF4" i="8"/>
  <c r="ME4" i="8"/>
  <c r="MD4" i="8"/>
  <c r="MC4" i="8"/>
  <c r="MB4" i="8"/>
  <c r="MA4" i="8"/>
  <c r="LZ4" i="8"/>
  <c r="LY4" i="8"/>
  <c r="LX4" i="8"/>
  <c r="LW4" i="8"/>
  <c r="LV4" i="8"/>
  <c r="LU4" i="8"/>
  <c r="LT4" i="8"/>
  <c r="LS4" i="8"/>
  <c r="LR4" i="8"/>
  <c r="LQ4" i="8"/>
  <c r="LP4" i="8"/>
  <c r="LO4" i="8"/>
  <c r="LN4" i="8"/>
  <c r="LM4" i="8"/>
  <c r="LL4" i="8"/>
  <c r="LK4" i="8"/>
  <c r="LJ4" i="8"/>
  <c r="LI4" i="8"/>
  <c r="LH4" i="8"/>
  <c r="LG4" i="8"/>
  <c r="LF4" i="8"/>
  <c r="LE4" i="8"/>
  <c r="LD4" i="8"/>
  <c r="LC4" i="8"/>
  <c r="LB4" i="8"/>
  <c r="LA4" i="8"/>
  <c r="KZ4" i="8"/>
  <c r="KY4" i="8"/>
  <c r="KX4" i="8"/>
  <c r="KW4" i="8"/>
  <c r="KV4" i="8"/>
  <c r="KU4" i="8"/>
  <c r="KT4" i="8"/>
  <c r="KS4" i="8"/>
  <c r="KR4" i="8"/>
  <c r="KQ4" i="8"/>
  <c r="KP4" i="8"/>
  <c r="KO4" i="8"/>
  <c r="KN4" i="8"/>
  <c r="KM4" i="8"/>
  <c r="KL4" i="8"/>
  <c r="KK4" i="8"/>
  <c r="KJ4" i="8"/>
  <c r="KI4" i="8"/>
  <c r="KH4" i="8"/>
  <c r="KG4" i="8"/>
  <c r="KF4" i="8"/>
  <c r="KE4" i="8"/>
  <c r="KD4" i="8"/>
  <c r="KC4" i="8"/>
  <c r="KB4" i="8"/>
  <c r="KA4" i="8"/>
  <c r="JZ4" i="8"/>
  <c r="JY4" i="8"/>
  <c r="JX4" i="8"/>
  <c r="JW4" i="8"/>
  <c r="JV4" i="8"/>
  <c r="JU4" i="8"/>
  <c r="JT4" i="8"/>
  <c r="JS4" i="8"/>
  <c r="JR4" i="8"/>
  <c r="JQ4" i="8"/>
  <c r="JP4" i="8"/>
  <c r="JO4" i="8"/>
  <c r="JN4" i="8"/>
  <c r="JM4" i="8"/>
  <c r="JL4" i="8"/>
  <c r="JK4" i="8"/>
  <c r="JJ4" i="8"/>
  <c r="JI4" i="8"/>
  <c r="JH4" i="8"/>
  <c r="JG4" i="8"/>
  <c r="JF4" i="8"/>
  <c r="JE4" i="8"/>
  <c r="JD4" i="8"/>
  <c r="JC4" i="8"/>
  <c r="JB4" i="8"/>
  <c r="JA4" i="8"/>
  <c r="IZ4" i="8"/>
  <c r="IY4" i="8"/>
  <c r="IX4" i="8"/>
  <c r="IW4" i="8"/>
  <c r="IV4" i="8"/>
  <c r="IU4" i="8"/>
  <c r="IT4" i="8"/>
  <c r="IS4" i="8"/>
  <c r="IR4" i="8"/>
  <c r="IQ4" i="8"/>
  <c r="IP4" i="8"/>
  <c r="IO4" i="8"/>
  <c r="IN4" i="8"/>
  <c r="IM4" i="8"/>
  <c r="IL4" i="8"/>
  <c r="IK4" i="8"/>
  <c r="IJ4" i="8"/>
  <c r="II4" i="8"/>
  <c r="IH4" i="8"/>
  <c r="IG4" i="8"/>
  <c r="IF4" i="8"/>
  <c r="IE4" i="8"/>
  <c r="ID4" i="8"/>
  <c r="IC4" i="8"/>
  <c r="IB4" i="8"/>
  <c r="IA4" i="8"/>
  <c r="HZ4" i="8"/>
  <c r="HY4" i="8"/>
  <c r="HX4" i="8"/>
  <c r="HW4" i="8"/>
  <c r="HV4" i="8"/>
  <c r="HU4" i="8"/>
  <c r="HT4" i="8"/>
  <c r="HS4" i="8"/>
  <c r="HR4" i="8"/>
  <c r="HQ4" i="8"/>
  <c r="HP4" i="8"/>
  <c r="HO4" i="8"/>
  <c r="HN4" i="8"/>
  <c r="HM4" i="8"/>
  <c r="HL4" i="8"/>
  <c r="HK4" i="8"/>
  <c r="HJ4" i="8"/>
  <c r="HI4" i="8"/>
  <c r="HH4" i="8"/>
  <c r="HG4" i="8"/>
  <c r="HF4" i="8"/>
  <c r="HE4" i="8"/>
  <c r="HD4" i="8"/>
  <c r="HC4" i="8"/>
  <c r="HB4" i="8"/>
  <c r="HA4" i="8"/>
  <c r="GZ4" i="8"/>
  <c r="GY4" i="8"/>
  <c r="GX4" i="8"/>
  <c r="GW4" i="8"/>
  <c r="GV4" i="8"/>
  <c r="GU4" i="8"/>
  <c r="GT4" i="8"/>
  <c r="GS4" i="8"/>
  <c r="GR4" i="8"/>
  <c r="GQ4" i="8"/>
  <c r="GP4" i="8"/>
  <c r="GO4" i="8"/>
  <c r="GN4" i="8"/>
  <c r="GM4" i="8"/>
  <c r="GL4" i="8"/>
  <c r="GK4" i="8"/>
  <c r="GJ4" i="8"/>
  <c r="GI4" i="8"/>
  <c r="GH4" i="8"/>
  <c r="GG4" i="8"/>
  <c r="GF4" i="8"/>
  <c r="GE4" i="8"/>
  <c r="GD4" i="8"/>
  <c r="GC4" i="8"/>
  <c r="GB4" i="8"/>
  <c r="GA4" i="8"/>
  <c r="FZ4" i="8"/>
  <c r="FY4" i="8"/>
  <c r="FX4" i="8"/>
  <c r="FW4" i="8"/>
  <c r="FV4" i="8"/>
  <c r="FU4" i="8"/>
  <c r="FT4" i="8"/>
  <c r="FS4" i="8"/>
  <c r="FR4" i="8"/>
  <c r="FQ4" i="8"/>
  <c r="FP4" i="8"/>
  <c r="FO4" i="8"/>
  <c r="FN4" i="8"/>
  <c r="FM4" i="8"/>
  <c r="FL4" i="8"/>
  <c r="FK4" i="8"/>
  <c r="FJ4" i="8"/>
  <c r="FI4" i="8"/>
  <c r="FH4" i="8"/>
  <c r="FG4" i="8"/>
  <c r="FF4" i="8"/>
  <c r="FE4" i="8"/>
  <c r="FD4" i="8"/>
  <c r="FC4" i="8"/>
  <c r="FB4" i="8"/>
  <c r="FA4" i="8"/>
  <c r="EZ4" i="8"/>
  <c r="EY4" i="8"/>
  <c r="EX4" i="8"/>
  <c r="EW4" i="8"/>
  <c r="EV4" i="8"/>
  <c r="EU4" i="8"/>
  <c r="ET4" i="8"/>
  <c r="ES4" i="8"/>
  <c r="ER4" i="8"/>
  <c r="EQ4" i="8"/>
  <c r="EP4" i="8"/>
  <c r="EO4" i="8"/>
  <c r="EN4" i="8"/>
  <c r="EM4" i="8"/>
  <c r="EL4" i="8"/>
  <c r="EK4" i="8"/>
  <c r="EJ4" i="8"/>
  <c r="EI4" i="8"/>
  <c r="EH4" i="8"/>
  <c r="EG4" i="8"/>
  <c r="EF4" i="8"/>
  <c r="EE4" i="8"/>
  <c r="ED4" i="8"/>
  <c r="EC4" i="8"/>
  <c r="EB4" i="8"/>
  <c r="EA4" i="8"/>
  <c r="DZ4" i="8"/>
  <c r="DY4" i="8"/>
  <c r="DX4" i="8"/>
  <c r="DW4" i="8"/>
  <c r="DV4" i="8"/>
  <c r="DU4" i="8"/>
  <c r="DT4" i="8"/>
  <c r="DS4" i="8"/>
  <c r="DR4" i="8"/>
  <c r="DQ4" i="8"/>
  <c r="DP4" i="8"/>
  <c r="DO4" i="8"/>
  <c r="DN4" i="8"/>
  <c r="DM4" i="8"/>
  <c r="DL4" i="8"/>
  <c r="DK4" i="8"/>
  <c r="DJ4" i="8"/>
  <c r="DI4" i="8"/>
  <c r="DH4" i="8"/>
  <c r="DG4" i="8"/>
  <c r="DF4" i="8"/>
  <c r="DE4" i="8"/>
  <c r="DD4" i="8"/>
  <c r="DC4" i="8"/>
  <c r="DB4" i="8"/>
  <c r="DA4" i="8"/>
  <c r="CZ4" i="8"/>
  <c r="CY4" i="8"/>
  <c r="CX4" i="8"/>
  <c r="CW4" i="8"/>
  <c r="CV4" i="8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P45" i="7"/>
  <c r="EO45" i="7"/>
  <c r="EP44" i="7"/>
  <c r="EO44" i="7"/>
  <c r="EP43" i="7"/>
  <c r="EO43" i="7"/>
  <c r="EP42" i="7"/>
  <c r="EO42" i="7"/>
  <c r="EP41" i="7"/>
  <c r="EO41" i="7"/>
  <c r="EP40" i="7"/>
  <c r="EO40" i="7"/>
  <c r="EP39" i="7"/>
  <c r="EO39" i="7"/>
  <c r="EP38" i="7"/>
  <c r="EO38" i="7"/>
  <c r="EP37" i="7"/>
  <c r="EO37" i="7"/>
  <c r="EP36" i="7"/>
  <c r="EO36" i="7"/>
  <c r="EP35" i="7"/>
  <c r="EO35" i="7"/>
  <c r="EP34" i="7"/>
  <c r="EO34" i="7"/>
  <c r="EP33" i="7"/>
  <c r="EO33" i="7"/>
  <c r="EP32" i="7"/>
  <c r="EO32" i="7"/>
  <c r="EP31" i="7"/>
  <c r="EO31" i="7"/>
  <c r="EP30" i="7"/>
  <c r="EO30" i="7"/>
  <c r="EP29" i="7"/>
  <c r="EO29" i="7"/>
  <c r="EP28" i="7"/>
  <c r="EO28" i="7"/>
  <c r="EP27" i="7"/>
  <c r="EO27" i="7"/>
  <c r="EP26" i="7"/>
  <c r="EO26" i="7"/>
  <c r="EP25" i="7"/>
  <c r="EO25" i="7"/>
  <c r="EP24" i="7"/>
  <c r="EO24" i="7"/>
  <c r="EP23" i="7"/>
  <c r="EO23" i="7"/>
  <c r="EP22" i="7"/>
  <c r="EO22" i="7"/>
  <c r="EP21" i="7"/>
  <c r="EO21" i="7"/>
  <c r="EP20" i="7"/>
  <c r="EO20" i="7"/>
  <c r="ES19" i="7"/>
  <c r="ER19" i="7"/>
  <c r="EP19" i="7"/>
  <c r="EO19" i="7"/>
  <c r="EP18" i="7"/>
  <c r="EO18" i="7"/>
  <c r="EP17" i="7"/>
  <c r="EO17" i="7"/>
  <c r="EP16" i="7"/>
  <c r="EO16" i="7"/>
  <c r="EP15" i="7"/>
  <c r="EO15" i="7"/>
  <c r="EP14" i="7"/>
  <c r="EO14" i="7"/>
  <c r="EP13" i="7"/>
  <c r="EO13" i="7"/>
  <c r="EP12" i="7"/>
  <c r="EO12" i="7"/>
  <c r="ES11" i="7"/>
  <c r="ER11" i="7"/>
  <c r="EP11" i="7"/>
  <c r="EO11" i="7"/>
  <c r="EP10" i="7"/>
  <c r="EO10" i="7"/>
  <c r="EP9" i="7"/>
  <c r="EO9" i="7"/>
  <c r="EP8" i="7"/>
  <c r="EO8" i="7"/>
  <c r="EP7" i="7"/>
  <c r="EO7" i="7"/>
  <c r="EP6" i="7"/>
  <c r="EO6" i="7"/>
  <c r="EN4" i="7"/>
  <c r="EM4" i="7"/>
  <c r="EL4" i="7"/>
  <c r="EK4" i="7"/>
  <c r="EJ4" i="7"/>
  <c r="EI4" i="7"/>
  <c r="EH4" i="7"/>
  <c r="EG4" i="7"/>
  <c r="EF4" i="7"/>
  <c r="EE4" i="7"/>
  <c r="ED4" i="7"/>
  <c r="EC4" i="7"/>
  <c r="EB4" i="7"/>
  <c r="EA4" i="7"/>
  <c r="DZ4" i="7"/>
  <c r="DY4" i="7"/>
  <c r="DX4" i="7"/>
  <c r="DW4" i="7"/>
  <c r="DV4" i="7"/>
  <c r="DU4" i="7"/>
  <c r="DT4" i="7"/>
  <c r="DS4" i="7"/>
  <c r="DR4" i="7"/>
  <c r="DQ4" i="7"/>
  <c r="DP4" i="7"/>
  <c r="DO4" i="7"/>
  <c r="DN4" i="7"/>
  <c r="DM4" i="7"/>
  <c r="DL4" i="7"/>
  <c r="DK4" i="7"/>
  <c r="DJ4" i="7"/>
  <c r="DI4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P45" i="5"/>
  <c r="EO45" i="5"/>
  <c r="EP44" i="5"/>
  <c r="EO44" i="5"/>
  <c r="EP43" i="5"/>
  <c r="EO43" i="5"/>
  <c r="EP42" i="5"/>
  <c r="EO42" i="5"/>
  <c r="EP41" i="5"/>
  <c r="EO41" i="5"/>
  <c r="EP40" i="5"/>
  <c r="EO40" i="5"/>
  <c r="EP39" i="5"/>
  <c r="EO39" i="5"/>
  <c r="EP38" i="5"/>
  <c r="EO38" i="5"/>
  <c r="EP37" i="5"/>
  <c r="EO37" i="5"/>
  <c r="EP36" i="5"/>
  <c r="EO36" i="5"/>
  <c r="EP35" i="5"/>
  <c r="EO35" i="5"/>
  <c r="EP34" i="5"/>
  <c r="EO34" i="5"/>
  <c r="EP33" i="5"/>
  <c r="EO33" i="5"/>
  <c r="EP32" i="5"/>
  <c r="EO32" i="5"/>
  <c r="EP31" i="5"/>
  <c r="EO31" i="5"/>
  <c r="EP30" i="5"/>
  <c r="EO30" i="5"/>
  <c r="EP29" i="5"/>
  <c r="EO29" i="5"/>
  <c r="EP28" i="5"/>
  <c r="EO28" i="5"/>
  <c r="EP27" i="5"/>
  <c r="EO27" i="5"/>
  <c r="EP26" i="5"/>
  <c r="EO26" i="5"/>
  <c r="EP25" i="5"/>
  <c r="EO25" i="5"/>
  <c r="EP24" i="5"/>
  <c r="EO24" i="5"/>
  <c r="EP23" i="5"/>
  <c r="EO23" i="5"/>
  <c r="EP22" i="5"/>
  <c r="EO22" i="5"/>
  <c r="EP21" i="5"/>
  <c r="EO21" i="5"/>
  <c r="EP20" i="5"/>
  <c r="EO20" i="5"/>
  <c r="ES19" i="5"/>
  <c r="ER19" i="5"/>
  <c r="EP19" i="5"/>
  <c r="EO19" i="5"/>
  <c r="EP18" i="5"/>
  <c r="EO18" i="5"/>
  <c r="EP17" i="5"/>
  <c r="EO17" i="5"/>
  <c r="EP16" i="5"/>
  <c r="EO16" i="5"/>
  <c r="EP15" i="5"/>
  <c r="EO15" i="5"/>
  <c r="EP14" i="5"/>
  <c r="EO14" i="5"/>
  <c r="EP13" i="5"/>
  <c r="EO13" i="5"/>
  <c r="EP12" i="5"/>
  <c r="EO12" i="5"/>
  <c r="ES11" i="5"/>
  <c r="ER11" i="5"/>
  <c r="ET11" i="5" s="1"/>
  <c r="EP11" i="5"/>
  <c r="EO11" i="5"/>
  <c r="EP10" i="5"/>
  <c r="EO10" i="5"/>
  <c r="EP9" i="5"/>
  <c r="EO9" i="5"/>
  <c r="EP8" i="5"/>
  <c r="EO8" i="5"/>
  <c r="EP7" i="5"/>
  <c r="EO7" i="5"/>
  <c r="EP6" i="5"/>
  <c r="EO6" i="5"/>
  <c r="EN4" i="5"/>
  <c r="EM4" i="5"/>
  <c r="EL4" i="5"/>
  <c r="EK4" i="5"/>
  <c r="EJ4" i="5"/>
  <c r="EI4" i="5"/>
  <c r="EH4" i="5"/>
  <c r="EG4" i="5"/>
  <c r="EF4" i="5"/>
  <c r="EE4" i="5"/>
  <c r="ED4" i="5"/>
  <c r="EC4" i="5"/>
  <c r="EB4" i="5"/>
  <c r="EA4" i="5"/>
  <c r="DZ4" i="5"/>
  <c r="DY4" i="5"/>
  <c r="DX4" i="5"/>
  <c r="DW4" i="5"/>
  <c r="DV4" i="5"/>
  <c r="DU4" i="5"/>
  <c r="DT4" i="5"/>
  <c r="DS4" i="5"/>
  <c r="DR4" i="5"/>
  <c r="DQ4" i="5"/>
  <c r="DP4" i="5"/>
  <c r="DO4" i="5"/>
  <c r="DN4" i="5"/>
  <c r="DM4" i="5"/>
  <c r="DL4" i="5"/>
  <c r="DK4" i="5"/>
  <c r="DJ4" i="5"/>
  <c r="DI4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P45" i="4"/>
  <c r="EO45" i="4"/>
  <c r="EP44" i="4"/>
  <c r="EO44" i="4"/>
  <c r="EP43" i="4"/>
  <c r="EO43" i="4"/>
  <c r="EP42" i="4"/>
  <c r="EO42" i="4"/>
  <c r="EP41" i="4"/>
  <c r="EO41" i="4"/>
  <c r="EP40" i="4"/>
  <c r="EO40" i="4"/>
  <c r="EP39" i="4"/>
  <c r="EO39" i="4"/>
  <c r="EP38" i="4"/>
  <c r="EO38" i="4"/>
  <c r="EP37" i="4"/>
  <c r="EO37" i="4"/>
  <c r="EP36" i="4"/>
  <c r="EO36" i="4"/>
  <c r="EP35" i="4"/>
  <c r="EO35" i="4"/>
  <c r="EP34" i="4"/>
  <c r="EO34" i="4"/>
  <c r="EP33" i="4"/>
  <c r="EO33" i="4"/>
  <c r="EP32" i="4"/>
  <c r="EO32" i="4"/>
  <c r="EP31" i="4"/>
  <c r="EO31" i="4"/>
  <c r="EP30" i="4"/>
  <c r="EO30" i="4"/>
  <c r="EP29" i="4"/>
  <c r="EO29" i="4"/>
  <c r="EP28" i="4"/>
  <c r="EO28" i="4"/>
  <c r="EP27" i="4"/>
  <c r="EO27" i="4"/>
  <c r="EP26" i="4"/>
  <c r="EO26" i="4"/>
  <c r="EP25" i="4"/>
  <c r="EO25" i="4"/>
  <c r="EP24" i="4"/>
  <c r="EO24" i="4"/>
  <c r="EP23" i="4"/>
  <c r="EO23" i="4"/>
  <c r="EP22" i="4"/>
  <c r="EO22" i="4"/>
  <c r="EP21" i="4"/>
  <c r="EO21" i="4"/>
  <c r="EP20" i="4"/>
  <c r="EO20" i="4"/>
  <c r="ES19" i="4"/>
  <c r="ER19" i="4"/>
  <c r="EP19" i="4"/>
  <c r="EO19" i="4"/>
  <c r="EP18" i="4"/>
  <c r="EO18" i="4"/>
  <c r="EP17" i="4"/>
  <c r="EO17" i="4"/>
  <c r="EP16" i="4"/>
  <c r="EO16" i="4"/>
  <c r="EP15" i="4"/>
  <c r="EO15" i="4"/>
  <c r="EP14" i="4"/>
  <c r="EO14" i="4"/>
  <c r="EP13" i="4"/>
  <c r="EO13" i="4"/>
  <c r="EP12" i="4"/>
  <c r="EO12" i="4"/>
  <c r="ES11" i="4"/>
  <c r="ER11" i="4"/>
  <c r="EP11" i="4"/>
  <c r="EO11" i="4"/>
  <c r="EP10" i="4"/>
  <c r="EO10" i="4"/>
  <c r="EP9" i="4"/>
  <c r="EO9" i="4"/>
  <c r="EP8" i="4"/>
  <c r="EO8" i="4"/>
  <c r="EP7" i="4"/>
  <c r="EO7" i="4"/>
  <c r="EP6" i="4"/>
  <c r="EO6" i="4"/>
  <c r="EN4" i="4"/>
  <c r="EM4" i="4"/>
  <c r="EL4" i="4"/>
  <c r="EK4" i="4"/>
  <c r="EJ4" i="4"/>
  <c r="EI4" i="4"/>
  <c r="EH4" i="4"/>
  <c r="EG4" i="4"/>
  <c r="EF4" i="4"/>
  <c r="EE4" i="4"/>
  <c r="ED4" i="4"/>
  <c r="EC4" i="4"/>
  <c r="EB4" i="4"/>
  <c r="EA4" i="4"/>
  <c r="DZ4" i="4"/>
  <c r="DY4" i="4"/>
  <c r="DX4" i="4"/>
  <c r="DW4" i="4"/>
  <c r="DV4" i="4"/>
  <c r="DU4" i="4"/>
  <c r="DT4" i="4"/>
  <c r="DS4" i="4"/>
  <c r="DR4" i="4"/>
  <c r="DQ4" i="4"/>
  <c r="DP4" i="4"/>
  <c r="DO4" i="4"/>
  <c r="DN4" i="4"/>
  <c r="DM4" i="4"/>
  <c r="DL4" i="4"/>
  <c r="DK4" i="4"/>
  <c r="DJ4" i="4"/>
  <c r="DI4" i="4"/>
  <c r="DH4" i="4"/>
  <c r="DG4" i="4"/>
  <c r="DF4" i="4"/>
  <c r="DE4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R12" i="7" l="1"/>
  <c r="ER20" i="7" s="1"/>
  <c r="ER12" i="5"/>
  <c r="ER13" i="5" s="1"/>
  <c r="ET11" i="4"/>
  <c r="ER12" i="17"/>
  <c r="ER13" i="17" s="1"/>
  <c r="ES12" i="17"/>
  <c r="ES13" i="17" s="1"/>
  <c r="NI46" i="10"/>
  <c r="NI46" i="12"/>
  <c r="NK12" i="10"/>
  <c r="NH46" i="11"/>
  <c r="NK12" i="12"/>
  <c r="NH46" i="13"/>
  <c r="NM11" i="13"/>
  <c r="NH46" i="9"/>
  <c r="NH46" i="14"/>
  <c r="ER12" i="4"/>
  <c r="ER13" i="4" s="1"/>
  <c r="ET19" i="5"/>
  <c r="ET11" i="7"/>
  <c r="ET19" i="7"/>
  <c r="NM19" i="8"/>
  <c r="NK12" i="8"/>
  <c r="NK13" i="8" s="1"/>
  <c r="NM11" i="8"/>
  <c r="NK12" i="9"/>
  <c r="NI46" i="9"/>
  <c r="NM19" i="9"/>
  <c r="NH46" i="10"/>
  <c r="NM11" i="10"/>
  <c r="NK12" i="11"/>
  <c r="NK20" i="11" s="1"/>
  <c r="NM11" i="11"/>
  <c r="NI46" i="11"/>
  <c r="NM19" i="11"/>
  <c r="NM11" i="12"/>
  <c r="NM19" i="12"/>
  <c r="NK12" i="14"/>
  <c r="NK20" i="14" s="1"/>
  <c r="NI46" i="14"/>
  <c r="NM19" i="14"/>
  <c r="NI46" i="13"/>
  <c r="NK12" i="13"/>
  <c r="NK20" i="13" s="1"/>
  <c r="NL12" i="14"/>
  <c r="NK13" i="13"/>
  <c r="NL12" i="13"/>
  <c r="NL13" i="13" s="1"/>
  <c r="NK20" i="12"/>
  <c r="NK13" i="12"/>
  <c r="NL12" i="12"/>
  <c r="NL13" i="12" s="1"/>
  <c r="NL12" i="11"/>
  <c r="NL13" i="11" s="1"/>
  <c r="NK13" i="10"/>
  <c r="NL12" i="10"/>
  <c r="NL13" i="10" s="1"/>
  <c r="NK20" i="10"/>
  <c r="NK13" i="9"/>
  <c r="NL12" i="9"/>
  <c r="NK20" i="9"/>
  <c r="NL12" i="8"/>
  <c r="NL13" i="8" s="1"/>
  <c r="ES12" i="7"/>
  <c r="ES13" i="7" s="1"/>
  <c r="ES12" i="5"/>
  <c r="ES13" i="5" s="1"/>
  <c r="ES12" i="4"/>
  <c r="ES13" i="4" s="1"/>
  <c r="ET19" i="4"/>
  <c r="J17" i="3"/>
  <c r="I17" i="3"/>
  <c r="E17" i="3"/>
  <c r="C17" i="3"/>
  <c r="K16" i="3"/>
  <c r="G16" i="3"/>
  <c r="L16" i="3" s="1"/>
  <c r="F16" i="3"/>
  <c r="M16" i="3" s="1"/>
  <c r="D16" i="3"/>
  <c r="K15" i="3"/>
  <c r="G15" i="3"/>
  <c r="L15" i="3" s="1"/>
  <c r="F15" i="3"/>
  <c r="D15" i="3"/>
  <c r="K14" i="3"/>
  <c r="G14" i="3"/>
  <c r="L14" i="3" s="1"/>
  <c r="F14" i="3"/>
  <c r="D14" i="3"/>
  <c r="K13" i="3"/>
  <c r="G13" i="3"/>
  <c r="L13" i="3" s="1"/>
  <c r="F13" i="3"/>
  <c r="M13" i="3" s="1"/>
  <c r="D13" i="3"/>
  <c r="K12" i="3"/>
  <c r="G12" i="3"/>
  <c r="L12" i="3" s="1"/>
  <c r="F12" i="3"/>
  <c r="M12" i="3" s="1"/>
  <c r="D12" i="3"/>
  <c r="K11" i="3"/>
  <c r="G11" i="3"/>
  <c r="L11" i="3" s="1"/>
  <c r="F11" i="3"/>
  <c r="H11" i="3" s="1"/>
  <c r="D11" i="3"/>
  <c r="K10" i="3"/>
  <c r="G10" i="3"/>
  <c r="L10" i="3" s="1"/>
  <c r="F10" i="3"/>
  <c r="D10" i="3"/>
  <c r="K9" i="3"/>
  <c r="G9" i="3"/>
  <c r="L9" i="3" s="1"/>
  <c r="F9" i="3"/>
  <c r="M9" i="3" s="1"/>
  <c r="D9" i="3"/>
  <c r="K8" i="3"/>
  <c r="G8" i="3"/>
  <c r="L8" i="3" s="1"/>
  <c r="F8" i="3"/>
  <c r="M8" i="3" s="1"/>
  <c r="D8" i="3"/>
  <c r="K7" i="3"/>
  <c r="G7" i="3"/>
  <c r="L7" i="3" s="1"/>
  <c r="F7" i="3"/>
  <c r="D7" i="3"/>
  <c r="K6" i="3"/>
  <c r="G6" i="3"/>
  <c r="L6" i="3" s="1"/>
  <c r="F6" i="3"/>
  <c r="D6" i="3"/>
  <c r="AH4" i="3"/>
  <c r="AG4" i="3"/>
  <c r="EP45" i="2"/>
  <c r="EO45" i="2"/>
  <c r="EP44" i="2"/>
  <c r="EO44" i="2"/>
  <c r="EP43" i="2"/>
  <c r="EO43" i="2"/>
  <c r="EP42" i="2"/>
  <c r="EO42" i="2"/>
  <c r="EP41" i="2"/>
  <c r="EO41" i="2"/>
  <c r="EP40" i="2"/>
  <c r="EO40" i="2"/>
  <c r="EP39" i="2"/>
  <c r="EO39" i="2"/>
  <c r="EP38" i="2"/>
  <c r="EO38" i="2"/>
  <c r="EP37" i="2"/>
  <c r="EO37" i="2"/>
  <c r="EP36" i="2"/>
  <c r="EO36" i="2"/>
  <c r="EP35" i="2"/>
  <c r="EO35" i="2"/>
  <c r="EP34" i="2"/>
  <c r="EO34" i="2"/>
  <c r="EP33" i="2"/>
  <c r="EO33" i="2"/>
  <c r="EP32" i="2"/>
  <c r="EO32" i="2"/>
  <c r="EP31" i="2"/>
  <c r="EO31" i="2"/>
  <c r="EP30" i="2"/>
  <c r="EO30" i="2"/>
  <c r="EP29" i="2"/>
  <c r="EO29" i="2"/>
  <c r="EP28" i="2"/>
  <c r="EO28" i="2"/>
  <c r="EP27" i="2"/>
  <c r="EO27" i="2"/>
  <c r="EP26" i="2"/>
  <c r="EO26" i="2"/>
  <c r="EP25" i="2"/>
  <c r="EO25" i="2"/>
  <c r="EP24" i="2"/>
  <c r="EO24" i="2"/>
  <c r="EP23" i="2"/>
  <c r="EO23" i="2"/>
  <c r="EP22" i="2"/>
  <c r="EO22" i="2"/>
  <c r="EP21" i="2"/>
  <c r="EO21" i="2"/>
  <c r="EP20" i="2"/>
  <c r="EO20" i="2"/>
  <c r="ES19" i="2"/>
  <c r="ER19" i="2"/>
  <c r="EP19" i="2"/>
  <c r="EO19" i="2"/>
  <c r="EP18" i="2"/>
  <c r="EO18" i="2"/>
  <c r="EP17" i="2"/>
  <c r="EO17" i="2"/>
  <c r="EP16" i="2"/>
  <c r="EO16" i="2"/>
  <c r="EP15" i="2"/>
  <c r="EO15" i="2"/>
  <c r="EP14" i="2"/>
  <c r="EO14" i="2"/>
  <c r="EP13" i="2"/>
  <c r="EO13" i="2"/>
  <c r="EP12" i="2"/>
  <c r="EO12" i="2"/>
  <c r="ES11" i="2"/>
  <c r="ER11" i="2"/>
  <c r="EP11" i="2"/>
  <c r="EO11" i="2"/>
  <c r="EP10" i="2"/>
  <c r="EO10" i="2"/>
  <c r="EP9" i="2"/>
  <c r="EO9" i="2"/>
  <c r="EP8" i="2"/>
  <c r="EO8" i="2"/>
  <c r="EP7" i="2"/>
  <c r="EO7" i="2"/>
  <c r="EP6" i="2"/>
  <c r="EO6" i="2"/>
  <c r="EN4" i="2"/>
  <c r="EM4" i="2"/>
  <c r="EL4" i="2"/>
  <c r="EK4" i="2"/>
  <c r="EJ4" i="2"/>
  <c r="EI4" i="2"/>
  <c r="EH4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R13" i="7" l="1"/>
  <c r="ER20" i="5"/>
  <c r="ER21" i="5" s="1"/>
  <c r="ER20" i="4"/>
  <c r="ER21" i="4" s="1"/>
  <c r="ER20" i="17"/>
  <c r="ER21" i="17" s="1"/>
  <c r="ES20" i="17"/>
  <c r="ES21" i="17" s="1"/>
  <c r="ET12" i="17"/>
  <c r="ET13" i="17" s="1"/>
  <c r="ET11" i="2"/>
  <c r="ER12" i="2"/>
  <c r="ER20" i="2" s="1"/>
  <c r="NK20" i="8"/>
  <c r="NL20" i="11"/>
  <c r="NL21" i="11" s="1"/>
  <c r="NK13" i="14"/>
  <c r="ET19" i="2"/>
  <c r="ES20" i="4"/>
  <c r="ES21" i="4" s="1"/>
  <c r="NK13" i="11"/>
  <c r="NL20" i="12"/>
  <c r="NL21" i="12" s="1"/>
  <c r="H8" i="3"/>
  <c r="N8" i="3" s="1"/>
  <c r="F17" i="3"/>
  <c r="I18" i="3" s="1"/>
  <c r="D17" i="3"/>
  <c r="O8" i="3"/>
  <c r="K17" i="3"/>
  <c r="O16" i="3"/>
  <c r="G17" i="3"/>
  <c r="L17" i="3" s="1"/>
  <c r="H7" i="3"/>
  <c r="N7" i="3" s="1"/>
  <c r="O9" i="3"/>
  <c r="H10" i="3"/>
  <c r="N10" i="3" s="1"/>
  <c r="H12" i="3"/>
  <c r="N12" i="3" s="1"/>
  <c r="O13" i="3"/>
  <c r="H14" i="3"/>
  <c r="N14" i="3" s="1"/>
  <c r="H16" i="3"/>
  <c r="N16" i="3" s="1"/>
  <c r="O12" i="3"/>
  <c r="H15" i="3"/>
  <c r="N15" i="3" s="1"/>
  <c r="NK21" i="14"/>
  <c r="NL20" i="14"/>
  <c r="NL21" i="14" s="1"/>
  <c r="NL13" i="14"/>
  <c r="NM12" i="14"/>
  <c r="NM13" i="14" s="1"/>
  <c r="NL20" i="13"/>
  <c r="NL21" i="13" s="1"/>
  <c r="NK21" i="13"/>
  <c r="NM20" i="13"/>
  <c r="NM21" i="13" s="1"/>
  <c r="NM12" i="13"/>
  <c r="NM13" i="13" s="1"/>
  <c r="NK21" i="12"/>
  <c r="NM12" i="12"/>
  <c r="NM13" i="12" s="1"/>
  <c r="NK21" i="11"/>
  <c r="NM20" i="11"/>
  <c r="NM21" i="11" s="1"/>
  <c r="NM12" i="11"/>
  <c r="NM13" i="11" s="1"/>
  <c r="NL20" i="10"/>
  <c r="NL21" i="10" s="1"/>
  <c r="NK21" i="10"/>
  <c r="NM12" i="10"/>
  <c r="NM13" i="10" s="1"/>
  <c r="NK21" i="9"/>
  <c r="NL20" i="9"/>
  <c r="NL21" i="9" s="1"/>
  <c r="NL13" i="9"/>
  <c r="NM12" i="9"/>
  <c r="NM13" i="9" s="1"/>
  <c r="NL20" i="8"/>
  <c r="NL21" i="8" s="1"/>
  <c r="NK21" i="8"/>
  <c r="NM12" i="8"/>
  <c r="NM13" i="8" s="1"/>
  <c r="ES20" i="7"/>
  <c r="ES21" i="7" s="1"/>
  <c r="ER21" i="7"/>
  <c r="ET12" i="7"/>
  <c r="ET13" i="7" s="1"/>
  <c r="ES20" i="5"/>
  <c r="ES21" i="5" s="1"/>
  <c r="ET12" i="5"/>
  <c r="ET13" i="5" s="1"/>
  <c r="ET12" i="4"/>
  <c r="ET13" i="4" s="1"/>
  <c r="N11" i="3"/>
  <c r="M17" i="3"/>
  <c r="M6" i="3"/>
  <c r="O6" i="3" s="1"/>
  <c r="H9" i="3"/>
  <c r="N9" i="3" s="1"/>
  <c r="M10" i="3"/>
  <c r="O10" i="3" s="1"/>
  <c r="H13" i="3"/>
  <c r="N13" i="3" s="1"/>
  <c r="M14" i="3"/>
  <c r="O14" i="3" s="1"/>
  <c r="H6" i="3"/>
  <c r="M7" i="3"/>
  <c r="O7" i="3" s="1"/>
  <c r="M11" i="3"/>
  <c r="O11" i="3" s="1"/>
  <c r="M15" i="3"/>
  <c r="O15" i="3" s="1"/>
  <c r="ES12" i="2"/>
  <c r="ES13" i="2" s="1"/>
  <c r="ET20" i="7" l="1"/>
  <c r="ET21" i="7" s="1"/>
  <c r="ET20" i="5"/>
  <c r="ET21" i="5" s="1"/>
  <c r="ET20" i="4"/>
  <c r="ET21" i="4" s="1"/>
  <c r="ET20" i="17"/>
  <c r="ET21" i="17" s="1"/>
  <c r="ER13" i="2"/>
  <c r="J18" i="3"/>
  <c r="NM20" i="10"/>
  <c r="NM21" i="10" s="1"/>
  <c r="ES20" i="2"/>
  <c r="ES21" i="2" s="1"/>
  <c r="NM20" i="12"/>
  <c r="NM21" i="12" s="1"/>
  <c r="O18" i="3"/>
  <c r="O17" i="3"/>
  <c r="NM20" i="14"/>
  <c r="NM21" i="14" s="1"/>
  <c r="NM20" i="9"/>
  <c r="NM21" i="9" s="1"/>
  <c r="NM20" i="8"/>
  <c r="NM21" i="8" s="1"/>
  <c r="N6" i="3"/>
  <c r="N17" i="3" s="1"/>
  <c r="H17" i="3"/>
  <c r="K18" i="3" s="1"/>
  <c r="ER21" i="2"/>
  <c r="ET12" i="2"/>
  <c r="ET13" i="2" s="1"/>
  <c r="ET20" i="2" l="1"/>
  <c r="ET21" i="2" s="1"/>
</calcChain>
</file>

<file path=xl/sharedStrings.xml><?xml version="1.0" encoding="utf-8"?>
<sst xmlns="http://schemas.openxmlformats.org/spreadsheetml/2006/main" count="10176" uniqueCount="504">
  <si>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</si>
  <si>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</si>
  <si>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</si>
  <si>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</si>
  <si>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</si>
  <si>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</si>
  <si>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</si>
  <si>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</si>
  <si>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</si>
  <si>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</si>
  <si>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</si>
  <si>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</si>
  <si>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</si>
  <si>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</si>
  <si>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</si>
  <si>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</si>
  <si>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</si>
  <si>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</si>
  <si>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</si>
  <si>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</si>
  <si>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</si>
  <si>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P-Days Boys</t>
  </si>
  <si>
    <t>P-Days Girls</t>
  </si>
  <si>
    <t>P-Days All</t>
  </si>
  <si>
    <t>Percentage-Girls</t>
  </si>
  <si>
    <t>Percentage-Boys</t>
  </si>
  <si>
    <t xml:space="preserve">One </t>
  </si>
  <si>
    <t>Two</t>
  </si>
  <si>
    <t>Three</t>
  </si>
  <si>
    <t>Four</t>
  </si>
  <si>
    <t>Five</t>
  </si>
  <si>
    <t>Six</t>
  </si>
  <si>
    <t>Seven</t>
  </si>
  <si>
    <t>Eight</t>
  </si>
  <si>
    <t>Ninth</t>
  </si>
  <si>
    <t>Tenth</t>
  </si>
  <si>
    <t>One</t>
  </si>
  <si>
    <t>Nine</t>
  </si>
  <si>
    <t>Ten</t>
  </si>
  <si>
    <t>Total Working Days</t>
  </si>
  <si>
    <t>Total Working Days-Girls</t>
  </si>
  <si>
    <t>Total Working Days-Boys</t>
  </si>
  <si>
    <t>Total Working Days All</t>
  </si>
  <si>
    <t>Total Average</t>
  </si>
  <si>
    <t>Total Enrolment &amp; Attendance - 2024</t>
  </si>
  <si>
    <t>Year -2024</t>
  </si>
  <si>
    <t>Year 2024</t>
  </si>
  <si>
    <t>Monthly Attendence Month of August-2024</t>
  </si>
  <si>
    <t>Goverment high school (SJCHS)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</si>
  <si>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</si>
  <si>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</si>
  <si>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</si>
  <si>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</si>
  <si>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</si>
  <si>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</si>
  <si>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</si>
  <si>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</si>
  <si>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</si>
  <si>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</si>
  <si>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</si>
  <si>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</si>
  <si>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</si>
  <si>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</si>
  <si>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</si>
  <si>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</si>
  <si>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</si>
  <si>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</si>
  <si>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</si>
  <si>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</si>
  <si>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</si>
  <si>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</si>
  <si>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</si>
  <si>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</si>
  <si>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</si>
  <si>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</si>
  <si>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</si>
  <si>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</si>
  <si>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</si>
  <si>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</si>
  <si>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</si>
  <si>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</si>
  <si>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</si>
  <si>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</si>
  <si>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</si>
  <si>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</si>
  <si>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</si>
  <si>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</si>
  <si>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</si>
  <si>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</si>
  <si>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</si>
  <si>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</si>
  <si>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</si>
  <si>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Dua</t>
  </si>
  <si>
    <t>Muneer Ahmed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</si>
  <si>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</si>
  <si>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</si>
  <si>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</si>
  <si>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</si>
  <si>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</si>
  <si>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</si>
  <si>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</si>
  <si>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</si>
  <si>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</si>
  <si>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</si>
  <si>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</si>
  <si>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</si>
  <si>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Abdul Hadi</t>
  </si>
  <si>
    <t>Sajid Ali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</si>
  <si>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</si>
  <si>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</si>
  <si>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</si>
  <si>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</si>
  <si>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</si>
  <si>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</si>
  <si>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</si>
  <si>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</si>
  <si>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</si>
  <si>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</si>
  <si>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</si>
  <si>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</si>
  <si>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</si>
  <si>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</si>
  <si>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</si>
  <si>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</si>
  <si>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</si>
  <si>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</si>
  <si>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Aun Ali</t>
  </si>
  <si>
    <t>Imran Ali</t>
  </si>
  <si>
    <t>Parsa Batool</t>
  </si>
  <si>
    <t>Fatima Batool</t>
  </si>
  <si>
    <t>Ali Nawaz</t>
  </si>
  <si>
    <t>Hoorain Noor</t>
  </si>
  <si>
    <t>Muhammad Akram</t>
  </si>
  <si>
    <t>Fiza</t>
  </si>
  <si>
    <t>Ahmed</t>
  </si>
  <si>
    <t>M. Taha</t>
  </si>
  <si>
    <t>Dilshad Ali</t>
  </si>
  <si>
    <t>Amanullah</t>
  </si>
  <si>
    <t>Sajid Ahmed</t>
  </si>
  <si>
    <t>Ahmed Khan</t>
  </si>
  <si>
    <t>Tayaba Fatima</t>
  </si>
  <si>
    <t>Muhammad Farooque</t>
  </si>
  <si>
    <t>Rana Hassan Ali</t>
  </si>
  <si>
    <t>Muhammad Imran</t>
  </si>
  <si>
    <t>Ahmed Ali</t>
  </si>
  <si>
    <t>Asghar Ali</t>
  </si>
  <si>
    <t>M. Qasim</t>
  </si>
  <si>
    <t>Abdul Hameed</t>
  </si>
  <si>
    <t>Eshaal</t>
  </si>
  <si>
    <t>M.Ibraheem</t>
  </si>
  <si>
    <t>Bakhtawar</t>
  </si>
  <si>
    <t>Sohail Ahmed</t>
  </si>
  <si>
    <t>Shahbaz Ali</t>
  </si>
  <si>
    <t>Muhammad Ibrahim</t>
  </si>
  <si>
    <t>M. Fahad</t>
  </si>
  <si>
    <t>Anabia</t>
  </si>
  <si>
    <t>Abdul Majid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</si>
  <si>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</si>
  <si>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</si>
  <si>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</si>
  <si>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</si>
  <si>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</si>
  <si>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</si>
  <si>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</si>
  <si>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</si>
  <si>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</t>
  </si>
  <si>
    <t>P</t>
  </si>
  <si>
    <t>LATIF DAY - LATIF DAY - LATIF DAY- LATIF DAY - LATIF DAY</t>
  </si>
  <si>
    <t>OFF DUE TO CHEHLUM OF HAZRAT IMAM HUSSAIN (A.S)</t>
  </si>
  <si>
    <t>OFF DUE TO HEAVY RAIN - OFF DUE TO HEAVY RAIN</t>
  </si>
  <si>
    <t>SUNDAY - SUNDAY - SUNDAY - SUNDAY - SUNDAY - SUNDAY - SUNDAY</t>
  </si>
  <si>
    <t>L</t>
  </si>
  <si>
    <t>Ali Usman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</si>
  <si>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</si>
  <si>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</si>
  <si>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</si>
  <si>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</si>
  <si>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</si>
  <si>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</si>
  <si>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</si>
  <si>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</si>
  <si>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</si>
  <si>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</si>
  <si>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</si>
  <si>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</si>
  <si>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</si>
  <si>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</si>
  <si>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</si>
  <si>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</si>
  <si>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</si>
  <si>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</si>
  <si>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</si>
  <si>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</si>
  <si>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</si>
  <si>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</si>
  <si>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</si>
  <si>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</si>
  <si>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</si>
  <si>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</si>
  <si>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</si>
  <si>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</si>
  <si>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</si>
  <si>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M. Khan</t>
  </si>
  <si>
    <t>Taniya Bibi</t>
  </si>
  <si>
    <t>Wazir Ali</t>
  </si>
  <si>
    <t>Tanzeela</t>
  </si>
  <si>
    <t>Hizbullah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</si>
  <si>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</si>
  <si>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</si>
  <si>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</si>
  <si>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</si>
  <si>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</si>
  <si>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</si>
  <si>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</si>
  <si>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</si>
  <si>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</si>
  <si>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</si>
  <si>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</si>
  <si>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</si>
  <si>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</si>
  <si>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</si>
  <si>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</si>
  <si>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</si>
  <si>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</si>
  <si>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</si>
  <si>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</si>
  <si>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</si>
  <si>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</si>
  <si>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</si>
  <si>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</si>
  <si>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Mujtaba Ahmed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</si>
  <si>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</si>
  <si>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</si>
  <si>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</si>
  <si>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</si>
  <si>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</si>
  <si>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</si>
  <si>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</si>
  <si>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</si>
  <si>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</si>
  <si>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</si>
  <si>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Naeem</t>
  </si>
  <si>
    <t>Naeem Ali</t>
  </si>
  <si>
    <t>Hassnain Sadam</t>
  </si>
  <si>
    <t>Sadam Hussain</t>
  </si>
  <si>
    <t>Muhammad</t>
  </si>
  <si>
    <t>Sher Dil</t>
  </si>
  <si>
    <t>M. Ameen</t>
  </si>
  <si>
    <t>Ab. Hafeez</t>
  </si>
  <si>
    <t>M. Ahas</t>
  </si>
  <si>
    <t>Aman Badshah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</si>
  <si>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</si>
  <si>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</si>
  <si>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</si>
  <si>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</si>
  <si>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</si>
  <si>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</si>
  <si>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</si>
  <si>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</si>
  <si>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</si>
  <si>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</si>
  <si>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</si>
  <si>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</si>
  <si>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Ammadullah</t>
  </si>
  <si>
    <t>M Fahad</t>
  </si>
  <si>
    <t>MANGO DAY - MANGO DAY - MANGO DAY - MANGO DAY - MANGO DAY</t>
  </si>
  <si>
    <t>12 RABI UL AWWAL - 12 RABI UL AWWAL - 12 RABI UL AWWAL</t>
  </si>
  <si>
    <t>Ab. Hadi</t>
  </si>
  <si>
    <t>Bilal</t>
  </si>
  <si>
    <t>Ab. Bari</t>
  </si>
  <si>
    <t>Anum</t>
  </si>
  <si>
    <t>M. Arif</t>
  </si>
  <si>
    <t>Ayat</t>
  </si>
  <si>
    <t>Meer Mohammad</t>
  </si>
  <si>
    <t>Horain</t>
  </si>
  <si>
    <t>Saeed Ahmed</t>
  </si>
  <si>
    <t>Adeeba</t>
  </si>
  <si>
    <t>Qurban Ali</t>
  </si>
  <si>
    <t>Emaan Noor</t>
  </si>
  <si>
    <t>Noor Mohammad</t>
  </si>
  <si>
    <t>Hannah</t>
  </si>
  <si>
    <t>Luqman Ali</t>
  </si>
  <si>
    <t>Horiya</t>
  </si>
  <si>
    <t>Siddique</t>
  </si>
  <si>
    <t>Hareem Fatima</t>
  </si>
  <si>
    <t>Maham Noor</t>
  </si>
  <si>
    <t>Zaheer Abbas</t>
  </si>
  <si>
    <t>Deedar Ali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</si>
  <si>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</si>
  <si>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</si>
  <si>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</si>
  <si>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</si>
  <si>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</si>
  <si>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</si>
  <si>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</si>
  <si>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</si>
  <si>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</si>
  <si>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</si>
  <si>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</si>
  <si>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</si>
  <si>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</si>
  <si>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</si>
  <si>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</si>
  <si>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</si>
  <si>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</si>
  <si>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</si>
  <si>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</si>
  <si>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</si>
  <si>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</si>
  <si>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</si>
  <si>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</si>
  <si>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</si>
  <si>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</si>
  <si>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</si>
  <si>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A. Nawaz</t>
  </si>
  <si>
    <t>M. Nawaz</t>
  </si>
  <si>
    <t>A. Malik</t>
  </si>
  <si>
    <t>Sohail</t>
  </si>
  <si>
    <t>Abdullah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</si>
  <si>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</si>
  <si>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</si>
  <si>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</si>
  <si>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</si>
  <si>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</si>
  <si>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</si>
  <si>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</si>
  <si>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</si>
  <si>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</si>
  <si>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</si>
  <si>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</si>
  <si>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</si>
  <si>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</si>
  <si>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</si>
  <si>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</si>
  <si>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</si>
  <si>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</si>
  <si>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</si>
  <si>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</si>
  <si>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</si>
  <si>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</si>
  <si>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</si>
  <si>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</si>
  <si>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</si>
  <si>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</si>
  <si>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</si>
  <si>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</si>
  <si>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</si>
  <si>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</si>
  <si>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</si>
  <si>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</si>
  <si>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</si>
  <si>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</si>
  <si>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Muzammil</t>
  </si>
  <si>
    <t>Mehboob</t>
  </si>
  <si>
    <t>Muzzamil</t>
  </si>
  <si>
    <t>Rana Bhutto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</si>
  <si>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</si>
  <si>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</si>
  <si>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</si>
  <si>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</si>
  <si>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</si>
  <si>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</si>
  <si>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</si>
  <si>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</si>
  <si>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</si>
  <si>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SUNDAY - SUNDAY - SUNDAY - SUNDAY - SUNDAY - SUNDAY</t>
  </si>
  <si>
    <t>SHAH ABDUL LATIF BHITAI URS</t>
  </si>
  <si>
    <t>MANGO DAY (ACTIVITY) - MANGO DAY (ACTIVITY)</t>
  </si>
  <si>
    <t>CHEHLUM - CHEHLUM - CHEHLUM - CHEHLUM - CHEHLUM</t>
  </si>
  <si>
    <t>.</t>
  </si>
  <si>
    <t>Abiha Zehra</t>
  </si>
  <si>
    <t>Ab. Mateen</t>
  </si>
  <si>
    <t>Aleena Zia</t>
  </si>
  <si>
    <t>Khuda Baksh</t>
  </si>
  <si>
    <t>Anumta Jamali</t>
  </si>
  <si>
    <t>Anusha</t>
  </si>
  <si>
    <t>Mukhtiyar Ali</t>
  </si>
  <si>
    <t>Ali Muhammad</t>
  </si>
  <si>
    <t>Jannat Fatima</t>
  </si>
  <si>
    <t>Kashaf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</si>
  <si>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</si>
  <si>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</si>
  <si>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</si>
  <si>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</si>
  <si>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</si>
  <si>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</si>
  <si>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</si>
  <si>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Saba Jamali</t>
  </si>
  <si>
    <t>Tahreem Fatima</t>
  </si>
  <si>
    <t>Sehar Fatima</t>
  </si>
  <si>
    <t>Taskeen</t>
  </si>
  <si>
    <t>Kashish</t>
  </si>
  <si>
    <t>M. Noman</t>
  </si>
  <si>
    <t>Saba</t>
  </si>
  <si>
    <t>Asif</t>
  </si>
  <si>
    <t>Afsana</t>
  </si>
  <si>
    <t>Sehrish</t>
  </si>
  <si>
    <t>Abdul Musawir</t>
  </si>
  <si>
    <t>M. Ismail</t>
  </si>
  <si>
    <t>Abdul Wahab</t>
  </si>
  <si>
    <t>Abdul Hafeez</t>
  </si>
  <si>
    <t>Riazuddin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</si>
  <si>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</si>
  <si>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</si>
  <si>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</si>
  <si>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</si>
  <si>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</si>
  <si>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</si>
  <si>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</si>
  <si>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</si>
  <si>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</si>
  <si>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</si>
  <si>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</si>
  <si>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</si>
  <si>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</si>
  <si>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</si>
  <si>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</si>
  <si>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</si>
  <si>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Mohammad Nawaz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</si>
  <si>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</si>
  <si>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</si>
  <si>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</si>
  <si>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</si>
  <si>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</si>
  <si>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</si>
  <si>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</si>
  <si>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</si>
  <si>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</si>
  <si>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</si>
  <si>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</si>
  <si>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</si>
  <si>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</si>
  <si>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</si>
  <si>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</si>
  <si>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</si>
  <si>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</si>
  <si>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</si>
  <si>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</si>
  <si>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</si>
  <si>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</si>
  <si>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</si>
  <si>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</si>
  <si>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</si>
  <si>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</si>
  <si>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</si>
  <si>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Azan</t>
  </si>
  <si>
    <t>Nisar Ahmed</t>
  </si>
  <si>
    <t>Faizan Ahmed</t>
  </si>
  <si>
    <t>Riaz Ahmed</t>
  </si>
  <si>
    <t>Haider Ali</t>
  </si>
  <si>
    <t>M. Shayan</t>
  </si>
  <si>
    <t>Zulfiqar Ali</t>
  </si>
  <si>
    <t>Meer Alam</t>
  </si>
  <si>
    <t>M. Ahsan</t>
  </si>
  <si>
    <t>M. Yasin</t>
  </si>
  <si>
    <t>Shah Nawaz Khan</t>
  </si>
  <si>
    <t>M. Zawiyar</t>
  </si>
  <si>
    <t>Zulfiqar Ali Mangi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</si>
  <si>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</si>
  <si>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</si>
  <si>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</si>
  <si>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</si>
  <si>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</si>
  <si>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</si>
  <si>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</si>
  <si>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</si>
  <si>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</si>
  <si>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</si>
  <si>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</si>
  <si>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</si>
  <si>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</si>
  <si>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</si>
  <si>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</si>
  <si>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</si>
  <si>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</si>
  <si>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</si>
  <si>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</si>
  <si>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</si>
  <si>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</si>
  <si>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</si>
  <si>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</si>
  <si>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</si>
  <si>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</si>
  <si>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</si>
  <si>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</si>
  <si>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Maryam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</si>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</sst>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Monotype Corsiva"/>
      <family val="4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6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textRotation="255"/>
    </xf>
    <xf numFmtId="0" fontId="0" fillId="0" borderId="3" xfId="0" applyBorder="1" applyAlignment="1">
      <alignment vertical="center" textRotation="90"/>
    </xf>
    <xf numFmtId="49" fontId="0" fillId="0" borderId="3" xfId="0" applyNumberFormat="1" applyBorder="1" applyAlignment="1">
      <alignment horizontal="center" vertical="center" textRotation="255"/>
    </xf>
    <xf numFmtId="16" fontId="0" fillId="0" borderId="3" xfId="0" applyNumberFormat="1" applyBorder="1"/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7" fillId="0" borderId="3" xfId="0" applyFont="1" applyBorder="1"/>
    <xf numFmtId="0" fontId="0" fillId="2" borderId="3" xfId="0" applyFill="1" applyBorder="1"/>
    <xf numFmtId="9" fontId="5" fillId="0" borderId="0" xfId="1" applyFont="1" applyBorder="1"/>
    <xf numFmtId="0" fontId="3" fillId="2" borderId="3" xfId="0" applyFont="1" applyFill="1" applyBorder="1" applyAlignment="1">
      <alignment horizontal="center"/>
    </xf>
    <xf numFmtId="0" fontId="5" fillId="2" borderId="0" xfId="0" applyFont="1" applyFill="1"/>
    <xf numFmtId="9" fontId="3" fillId="0" borderId="3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textRotation="90"/>
    </xf>
    <xf numFmtId="0" fontId="3" fillId="3" borderId="0" xfId="0" applyFont="1" applyFill="1"/>
    <xf numFmtId="9" fontId="3" fillId="0" borderId="0" xfId="0" applyNumberFormat="1" applyFont="1"/>
    <xf numFmtId="0" fontId="3" fillId="0" borderId="17" xfId="0" applyFont="1" applyBorder="1"/>
    <xf numFmtId="0" fontId="2" fillId="3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9" fillId="4" borderId="14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9" fontId="10" fillId="0" borderId="3" xfId="1" applyFont="1" applyFill="1" applyBorder="1" applyAlignment="1">
      <alignment horizontal="center" vertical="center"/>
    </xf>
    <xf numFmtId="9" fontId="10" fillId="0" borderId="4" xfId="1" applyFont="1" applyFill="1" applyBorder="1" applyAlignment="1">
      <alignment horizontal="center" vertical="center"/>
    </xf>
    <xf numFmtId="9" fontId="10" fillId="2" borderId="12" xfId="1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9" fontId="11" fillId="0" borderId="11" xfId="1" applyFont="1" applyFill="1" applyBorder="1" applyAlignment="1">
      <alignment horizontal="center"/>
    </xf>
    <xf numFmtId="9" fontId="11" fillId="0" borderId="11" xfId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9" fontId="10" fillId="0" borderId="2" xfId="1" applyFont="1" applyFill="1" applyBorder="1" applyAlignment="1">
      <alignment horizontal="center" vertical="center"/>
    </xf>
    <xf numFmtId="9" fontId="10" fillId="0" borderId="11" xfId="1" applyFont="1" applyFill="1" applyBorder="1" applyAlignment="1">
      <alignment horizontal="center" vertical="center"/>
    </xf>
    <xf numFmtId="9" fontId="10" fillId="0" borderId="18" xfId="1" applyFont="1" applyFill="1" applyBorder="1" applyAlignment="1">
      <alignment horizontal="center" vertical="center"/>
    </xf>
    <xf numFmtId="9" fontId="10" fillId="2" borderId="20" xfId="1" applyFont="1" applyFill="1" applyBorder="1" applyAlignment="1">
      <alignment horizontal="center"/>
    </xf>
    <xf numFmtId="9" fontId="10" fillId="2" borderId="11" xfId="1" applyFont="1" applyFill="1" applyBorder="1" applyAlignment="1">
      <alignment horizontal="center"/>
    </xf>
    <xf numFmtId="9" fontId="10" fillId="2" borderId="11" xfId="1" applyFont="1" applyFill="1" applyBorder="1"/>
    <xf numFmtId="9" fontId="9" fillId="0" borderId="11" xfId="1" applyFont="1" applyFill="1" applyBorder="1" applyAlignment="1">
      <alignment horizontal="center" vertical="center"/>
    </xf>
    <xf numFmtId="0" fontId="10" fillId="0" borderId="22" xfId="0" applyFont="1" applyBorder="1"/>
    <xf numFmtId="0" fontId="10" fillId="2" borderId="23" xfId="0" applyFont="1" applyFill="1" applyBorder="1"/>
    <xf numFmtId="0" fontId="10" fillId="0" borderId="23" xfId="0" applyFont="1" applyBorder="1"/>
    <xf numFmtId="0" fontId="10" fillId="0" borderId="24" xfId="0" applyFont="1" applyBorder="1"/>
    <xf numFmtId="0" fontId="9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25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9" fontId="10" fillId="0" borderId="6" xfId="1" applyFont="1" applyFill="1" applyBorder="1" applyAlignment="1">
      <alignment horizontal="center" vertical="center"/>
    </xf>
    <xf numFmtId="9" fontId="10" fillId="0" borderId="13" xfId="1" applyFont="1" applyFill="1" applyBorder="1" applyAlignment="1">
      <alignment horizontal="center" vertical="center"/>
    </xf>
    <xf numFmtId="9" fontId="10" fillId="2" borderId="26" xfId="1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/>
    </xf>
    <xf numFmtId="0" fontId="6" fillId="7" borderId="6" xfId="0" applyFont="1" applyFill="1" applyBorder="1"/>
    <xf numFmtId="0" fontId="6" fillId="7" borderId="7" xfId="0" applyFont="1" applyFill="1" applyBorder="1"/>
    <xf numFmtId="0" fontId="0" fillId="7" borderId="3" xfId="0" applyFill="1" applyBorder="1" applyAlignment="1">
      <alignment horizontal="center" vertical="center"/>
    </xf>
    <xf numFmtId="0" fontId="0" fillId="7" borderId="3" xfId="0" applyFill="1" applyBorder="1"/>
    <xf numFmtId="0" fontId="2" fillId="7" borderId="3" xfId="0" applyFont="1" applyFill="1" applyBorder="1" applyAlignment="1">
      <alignment horizontal="center" vertical="center"/>
    </xf>
    <xf numFmtId="0" fontId="3" fillId="7" borderId="0" xfId="0" applyFont="1" applyFill="1"/>
    <xf numFmtId="0" fontId="3" fillId="7" borderId="6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28" xfId="0" applyFont="1" applyBorder="1"/>
    <xf numFmtId="0" fontId="6" fillId="0" borderId="29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14" fillId="0" borderId="21" xfId="0" applyFont="1" applyBorder="1" applyAlignment="1">
      <alignment horizontal="center" vertical="center" textRotation="45"/>
    </xf>
    <xf numFmtId="0" fontId="14" fillId="0" borderId="27" xfId="0" applyFont="1" applyBorder="1" applyAlignment="1">
      <alignment horizontal="center" vertical="center" textRotation="45"/>
    </xf>
    <xf numFmtId="17" fontId="12" fillId="0" borderId="9" xfId="0" applyNumberFormat="1" applyFont="1" applyBorder="1" applyAlignment="1">
      <alignment horizontal="center"/>
    </xf>
    <xf numFmtId="17" fontId="12" fillId="0" borderId="10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/>
    </xf>
    <xf numFmtId="17" fontId="15" fillId="5" borderId="4" xfId="0" applyNumberFormat="1" applyFont="1" applyFill="1" applyBorder="1" applyAlignment="1">
      <alignment horizontal="center" vertical="center"/>
    </xf>
    <xf numFmtId="17" fontId="15" fillId="5" borderId="5" xfId="0" applyNumberFormat="1" applyFont="1" applyFill="1" applyBorder="1" applyAlignment="1">
      <alignment horizontal="center" vertical="center"/>
    </xf>
    <xf numFmtId="17" fontId="15" fillId="5" borderId="8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255"/>
    </xf>
    <xf numFmtId="0" fontId="2" fillId="0" borderId="28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2" fillId="6" borderId="2" xfId="0" applyFont="1" applyFill="1" applyBorder="1" applyAlignment="1">
      <alignment horizontal="center" vertical="center" textRotation="255"/>
    </xf>
    <xf numFmtId="0" fontId="2" fillId="6" borderId="28" xfId="0" applyFont="1" applyFill="1" applyBorder="1" applyAlignment="1">
      <alignment horizontal="center" vertical="center" textRotation="255"/>
    </xf>
    <xf numFmtId="0" fontId="2" fillId="6" borderId="6" xfId="0" applyFont="1" applyFill="1" applyBorder="1" applyAlignment="1">
      <alignment horizontal="center" vertical="center" textRotation="255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11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A434-D9BF-498D-82EB-9E7956AA3F80}">
  <dimension ref="A3:AH19"/>
  <sheetViews>
    <sheetView workbookViewId="0">
      <selection activeCell="A8" sqref="A8"/>
    </sheetView>
  </sheetViews>
  <sheetFormatPr defaultColWidth="9.140625" defaultRowHeight="15" x14ac:dyDescent="0.25"/>
  <cols>
    <col min="1" max="1" width="17.5703125" style="1" customWidth="1"/>
    <col min="2" max="2" width="9.42578125" style="1" customWidth="1"/>
    <col min="3" max="3" width="8.42578125" style="1" customWidth="1"/>
    <col min="4" max="4" width="8.5703125" style="1" customWidth="1"/>
    <col min="5" max="5" width="9.28515625" style="1" customWidth="1"/>
    <col min="6" max="6" width="13.85546875" style="1" customWidth="1"/>
    <col min="7" max="7" width="14.140625" style="1" customWidth="1"/>
    <col min="8" max="8" width="14.5703125" style="1" customWidth="1"/>
    <col min="9" max="11" width="8" style="1" customWidth="1"/>
    <col min="12" max="12" width="11.85546875" style="1" customWidth="1"/>
    <col min="13" max="13" width="11.5703125" style="1" customWidth="1"/>
    <col min="14" max="14" width="11" style="1" customWidth="1"/>
    <col min="15" max="15" width="9.42578125" style="1" customWidth="1"/>
    <col min="16" max="25" width="9.140625" style="1"/>
    <col min="26" max="26" width="13.7109375" style="1" bestFit="1" customWidth="1"/>
    <col min="27" max="16384" width="9.140625" style="1"/>
  </cols>
  <sheetData>
    <row r="3" spans="1:34" ht="15.75" thickBot="1" x14ac:dyDescent="0.3"/>
    <row r="4" spans="1:34" ht="18.75" x14ac:dyDescent="0.3">
      <c r="A4" s="96" t="s">
        <v>4</v>
      </c>
      <c r="B4" s="98" t="s">
        <v>44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9"/>
      <c r="AG4" s="31" t="e">
        <f>AVERAGE(#REF!)</f>
        <v>#REF!</v>
      </c>
      <c r="AH4" s="31" t="e">
        <f>AVERAGE(#REF!)</f>
        <v>#REF!</v>
      </c>
    </row>
    <row r="5" spans="1:34" ht="48" customHeight="1" thickBot="1" x14ac:dyDescent="0.3">
      <c r="A5" s="97"/>
      <c r="B5" s="73" t="s">
        <v>14</v>
      </c>
      <c r="C5" s="73" t="s">
        <v>15</v>
      </c>
      <c r="D5" s="73" t="s">
        <v>16</v>
      </c>
      <c r="E5" s="74" t="s">
        <v>39</v>
      </c>
      <c r="F5" s="74" t="s">
        <v>41</v>
      </c>
      <c r="G5" s="74" t="s">
        <v>40</v>
      </c>
      <c r="H5" s="74" t="s">
        <v>42</v>
      </c>
      <c r="I5" s="75" t="s">
        <v>21</v>
      </c>
      <c r="J5" s="75" t="s">
        <v>22</v>
      </c>
      <c r="K5" s="75" t="s">
        <v>23</v>
      </c>
      <c r="L5" s="75" t="s">
        <v>24</v>
      </c>
      <c r="M5" s="75" t="s">
        <v>25</v>
      </c>
      <c r="N5" s="75" t="s">
        <v>25</v>
      </c>
      <c r="O5" s="76" t="s">
        <v>43</v>
      </c>
    </row>
    <row r="6" spans="1:34" ht="15.75" x14ac:dyDescent="0.25">
      <c r="A6" s="61" t="s">
        <v>8</v>
      </c>
      <c r="B6" s="65">
        <v>19</v>
      </c>
      <c r="C6" s="65">
        <v>21</v>
      </c>
      <c r="D6" s="65">
        <f>SUM(B6:C6)</f>
        <v>40</v>
      </c>
      <c r="E6" s="66">
        <v>26</v>
      </c>
      <c r="F6" s="66">
        <f>B6*E6</f>
        <v>494</v>
      </c>
      <c r="G6" s="66">
        <f>C6*E6</f>
        <v>546</v>
      </c>
      <c r="H6" s="67">
        <f>SUM(F6:G6)</f>
        <v>1040</v>
      </c>
      <c r="I6" s="68">
        <v>296</v>
      </c>
      <c r="J6" s="68">
        <v>308</v>
      </c>
      <c r="K6" s="69">
        <f>SUM(I6:J6)</f>
        <v>604</v>
      </c>
      <c r="L6" s="70">
        <f>J6/G6</f>
        <v>0.5641025641025641</v>
      </c>
      <c r="M6" s="70">
        <f>I6/F6</f>
        <v>0.59919028340080971</v>
      </c>
      <c r="N6" s="71">
        <f>K6/H6</f>
        <v>0.58076923076923082</v>
      </c>
      <c r="O6" s="72">
        <f>AVERAGE(L6:M6)</f>
        <v>0.58164642375168696</v>
      </c>
    </row>
    <row r="7" spans="1:34" ht="15.75" x14ac:dyDescent="0.25">
      <c r="A7" s="62" t="s">
        <v>26</v>
      </c>
      <c r="B7" s="34">
        <v>19</v>
      </c>
      <c r="C7" s="34">
        <v>21</v>
      </c>
      <c r="D7" s="34">
        <f t="shared" ref="D7:D16" si="0">SUM(B7:C7)</f>
        <v>40</v>
      </c>
      <c r="E7" s="35">
        <v>26</v>
      </c>
      <c r="F7" s="35">
        <f t="shared" ref="F7:F16" si="1">B7*E7</f>
        <v>494</v>
      </c>
      <c r="G7" s="35">
        <f t="shared" ref="G7:G16" si="2">C7*E7</f>
        <v>546</v>
      </c>
      <c r="H7" s="36">
        <f t="shared" ref="H7:H16" si="3">SUM(F7:G7)</f>
        <v>1040</v>
      </c>
      <c r="I7" s="37">
        <v>375</v>
      </c>
      <c r="J7" s="37">
        <v>398</v>
      </c>
      <c r="K7" s="38">
        <f t="shared" ref="K7:K16" si="4">SUM(I7:J7)</f>
        <v>773</v>
      </c>
      <c r="L7" s="39">
        <f t="shared" ref="L7:L16" si="5">J7/G7</f>
        <v>0.7289377289377289</v>
      </c>
      <c r="M7" s="39">
        <f t="shared" ref="M7:M16" si="6">I7/F7</f>
        <v>0.75910931174089069</v>
      </c>
      <c r="N7" s="40">
        <f t="shared" ref="N7:N16" si="7">K7/H7</f>
        <v>0.74326923076923079</v>
      </c>
      <c r="O7" s="41">
        <f t="shared" ref="O7:O16" si="8">AVERAGE(L7:M7)</f>
        <v>0.74402352033930974</v>
      </c>
    </row>
    <row r="8" spans="1:34" ht="15.75" x14ac:dyDescent="0.25">
      <c r="A8" s="63" t="s">
        <v>27</v>
      </c>
      <c r="B8" s="34">
        <v>26</v>
      </c>
      <c r="C8" s="34">
        <v>14</v>
      </c>
      <c r="D8" s="34">
        <f t="shared" si="0"/>
        <v>40</v>
      </c>
      <c r="E8" s="35">
        <v>26</v>
      </c>
      <c r="F8" s="35">
        <f t="shared" si="1"/>
        <v>676</v>
      </c>
      <c r="G8" s="35">
        <f t="shared" si="2"/>
        <v>364</v>
      </c>
      <c r="H8" s="36">
        <f t="shared" si="3"/>
        <v>1040</v>
      </c>
      <c r="I8" s="37">
        <v>564</v>
      </c>
      <c r="J8" s="37">
        <v>310</v>
      </c>
      <c r="K8" s="38">
        <f t="shared" si="4"/>
        <v>874</v>
      </c>
      <c r="L8" s="39">
        <f t="shared" si="5"/>
        <v>0.85164835164835162</v>
      </c>
      <c r="M8" s="39">
        <f t="shared" si="6"/>
        <v>0.83431952662721898</v>
      </c>
      <c r="N8" s="40">
        <f t="shared" si="7"/>
        <v>0.8403846153846154</v>
      </c>
      <c r="O8" s="41">
        <f t="shared" si="8"/>
        <v>0.84298393913778535</v>
      </c>
    </row>
    <row r="9" spans="1:34" ht="15.75" x14ac:dyDescent="0.25">
      <c r="A9" s="62" t="s">
        <v>28</v>
      </c>
      <c r="B9" s="34">
        <v>26</v>
      </c>
      <c r="C9" s="34">
        <v>14</v>
      </c>
      <c r="D9" s="34">
        <f t="shared" si="0"/>
        <v>40</v>
      </c>
      <c r="E9" s="35">
        <v>26</v>
      </c>
      <c r="F9" s="35">
        <f t="shared" si="1"/>
        <v>676</v>
      </c>
      <c r="G9" s="35">
        <f t="shared" si="2"/>
        <v>364</v>
      </c>
      <c r="H9" s="36">
        <f t="shared" si="3"/>
        <v>1040</v>
      </c>
      <c r="I9" s="37">
        <v>476</v>
      </c>
      <c r="J9" s="37">
        <v>217</v>
      </c>
      <c r="K9" s="38">
        <f>SUM(I9:J9)</f>
        <v>693</v>
      </c>
      <c r="L9" s="39">
        <f t="shared" si="5"/>
        <v>0.59615384615384615</v>
      </c>
      <c r="M9" s="39">
        <f t="shared" si="6"/>
        <v>0.70414201183431957</v>
      </c>
      <c r="N9" s="40">
        <f>K9/H9</f>
        <v>0.66634615384615381</v>
      </c>
      <c r="O9" s="41">
        <f t="shared" si="8"/>
        <v>0.6501479289940828</v>
      </c>
    </row>
    <row r="10" spans="1:34" ht="15.75" x14ac:dyDescent="0.25">
      <c r="A10" s="62" t="s">
        <v>29</v>
      </c>
      <c r="B10" s="34">
        <v>24</v>
      </c>
      <c r="C10" s="34">
        <v>7</v>
      </c>
      <c r="D10" s="34">
        <f t="shared" si="0"/>
        <v>31</v>
      </c>
      <c r="E10" s="35">
        <v>26</v>
      </c>
      <c r="F10" s="35">
        <f t="shared" si="1"/>
        <v>624</v>
      </c>
      <c r="G10" s="35">
        <f t="shared" si="2"/>
        <v>182</v>
      </c>
      <c r="H10" s="36">
        <f t="shared" si="3"/>
        <v>806</v>
      </c>
      <c r="I10" s="37">
        <v>391</v>
      </c>
      <c r="J10" s="37">
        <v>160</v>
      </c>
      <c r="K10" s="38">
        <f t="shared" si="4"/>
        <v>551</v>
      </c>
      <c r="L10" s="39">
        <f t="shared" si="5"/>
        <v>0.87912087912087911</v>
      </c>
      <c r="M10" s="39">
        <f t="shared" si="6"/>
        <v>0.6266025641025641</v>
      </c>
      <c r="N10" s="40">
        <f t="shared" si="7"/>
        <v>0.68362282878411906</v>
      </c>
      <c r="O10" s="41">
        <f t="shared" si="8"/>
        <v>0.7528617216117216</v>
      </c>
    </row>
    <row r="11" spans="1:34" ht="15.75" x14ac:dyDescent="0.25">
      <c r="A11" s="62" t="s">
        <v>30</v>
      </c>
      <c r="B11" s="42">
        <v>31</v>
      </c>
      <c r="C11" s="34">
        <v>9</v>
      </c>
      <c r="D11" s="34">
        <f t="shared" si="0"/>
        <v>40</v>
      </c>
      <c r="E11" s="35">
        <v>26</v>
      </c>
      <c r="F11" s="35">
        <f t="shared" si="1"/>
        <v>806</v>
      </c>
      <c r="G11" s="35">
        <f t="shared" si="2"/>
        <v>234</v>
      </c>
      <c r="H11" s="36">
        <f t="shared" si="3"/>
        <v>1040</v>
      </c>
      <c r="I11" s="37">
        <v>470</v>
      </c>
      <c r="J11" s="37">
        <v>202</v>
      </c>
      <c r="K11" s="38">
        <f t="shared" si="4"/>
        <v>672</v>
      </c>
      <c r="L11" s="39">
        <f t="shared" si="5"/>
        <v>0.86324786324786329</v>
      </c>
      <c r="M11" s="39">
        <f t="shared" si="6"/>
        <v>0.5831265508684863</v>
      </c>
      <c r="N11" s="40">
        <f t="shared" si="7"/>
        <v>0.64615384615384619</v>
      </c>
      <c r="O11" s="41">
        <f t="shared" si="8"/>
        <v>0.72318720705817485</v>
      </c>
    </row>
    <row r="12" spans="1:34" ht="15.75" x14ac:dyDescent="0.25">
      <c r="A12" s="63" t="s">
        <v>31</v>
      </c>
      <c r="B12" s="34">
        <v>35</v>
      </c>
      <c r="C12" s="34">
        <v>7</v>
      </c>
      <c r="D12" s="34">
        <f t="shared" si="0"/>
        <v>42</v>
      </c>
      <c r="E12" s="35">
        <v>26</v>
      </c>
      <c r="F12" s="35">
        <f t="shared" si="1"/>
        <v>910</v>
      </c>
      <c r="G12" s="35">
        <f t="shared" si="2"/>
        <v>182</v>
      </c>
      <c r="H12" s="36">
        <f t="shared" si="3"/>
        <v>1092</v>
      </c>
      <c r="I12" s="37">
        <v>691</v>
      </c>
      <c r="J12" s="37">
        <v>134</v>
      </c>
      <c r="K12" s="38">
        <f t="shared" si="4"/>
        <v>825</v>
      </c>
      <c r="L12" s="39">
        <f t="shared" si="5"/>
        <v>0.73626373626373631</v>
      </c>
      <c r="M12" s="39">
        <f t="shared" si="6"/>
        <v>0.75934065934065931</v>
      </c>
      <c r="N12" s="40">
        <f t="shared" si="7"/>
        <v>0.75549450549450547</v>
      </c>
      <c r="O12" s="41">
        <f t="shared" si="8"/>
        <v>0.74780219780219781</v>
      </c>
    </row>
    <row r="13" spans="1:34" ht="15.75" x14ac:dyDescent="0.25">
      <c r="A13" s="63" t="s">
        <v>32</v>
      </c>
      <c r="B13" s="34">
        <v>31</v>
      </c>
      <c r="C13" s="34">
        <v>10</v>
      </c>
      <c r="D13" s="34">
        <f t="shared" si="0"/>
        <v>41</v>
      </c>
      <c r="E13" s="35">
        <v>26</v>
      </c>
      <c r="F13" s="35">
        <f t="shared" si="1"/>
        <v>806</v>
      </c>
      <c r="G13" s="35">
        <f t="shared" si="2"/>
        <v>260</v>
      </c>
      <c r="H13" s="36">
        <f t="shared" si="3"/>
        <v>1066</v>
      </c>
      <c r="I13" s="37">
        <v>509</v>
      </c>
      <c r="J13" s="37">
        <v>170</v>
      </c>
      <c r="K13" s="38">
        <f t="shared" si="4"/>
        <v>679</v>
      </c>
      <c r="L13" s="39">
        <f t="shared" si="5"/>
        <v>0.65384615384615385</v>
      </c>
      <c r="M13" s="39">
        <f t="shared" si="6"/>
        <v>0.63151364764267992</v>
      </c>
      <c r="N13" s="40">
        <f t="shared" si="7"/>
        <v>0.6369606003752345</v>
      </c>
      <c r="O13" s="41">
        <f t="shared" si="8"/>
        <v>0.64267990074441683</v>
      </c>
    </row>
    <row r="14" spans="1:34" ht="15.75" x14ac:dyDescent="0.25">
      <c r="A14" s="63" t="s">
        <v>33</v>
      </c>
      <c r="B14" s="34">
        <v>20</v>
      </c>
      <c r="C14" s="34">
        <v>10</v>
      </c>
      <c r="D14" s="34">
        <f t="shared" si="0"/>
        <v>30</v>
      </c>
      <c r="E14" s="35">
        <v>26</v>
      </c>
      <c r="F14" s="35">
        <f t="shared" si="1"/>
        <v>520</v>
      </c>
      <c r="G14" s="35">
        <f t="shared" si="2"/>
        <v>260</v>
      </c>
      <c r="H14" s="36">
        <f t="shared" si="3"/>
        <v>780</v>
      </c>
      <c r="I14" s="37">
        <v>474</v>
      </c>
      <c r="J14" s="37">
        <v>254</v>
      </c>
      <c r="K14" s="38">
        <f t="shared" si="4"/>
        <v>728</v>
      </c>
      <c r="L14" s="39">
        <f t="shared" si="5"/>
        <v>0.97692307692307689</v>
      </c>
      <c r="M14" s="39">
        <f t="shared" si="6"/>
        <v>0.91153846153846152</v>
      </c>
      <c r="N14" s="40">
        <f t="shared" si="7"/>
        <v>0.93333333333333335</v>
      </c>
      <c r="O14" s="41">
        <f t="shared" si="8"/>
        <v>0.94423076923076921</v>
      </c>
    </row>
    <row r="15" spans="1:34" ht="15.75" x14ac:dyDescent="0.25">
      <c r="A15" s="63" t="s">
        <v>34</v>
      </c>
      <c r="B15" s="34">
        <v>6</v>
      </c>
      <c r="C15" s="34">
        <v>20</v>
      </c>
      <c r="D15" s="34">
        <f t="shared" si="0"/>
        <v>26</v>
      </c>
      <c r="E15" s="35">
        <v>26</v>
      </c>
      <c r="F15" s="35">
        <f t="shared" si="1"/>
        <v>156</v>
      </c>
      <c r="G15" s="35">
        <f t="shared" si="2"/>
        <v>520</v>
      </c>
      <c r="H15" s="36">
        <f t="shared" si="3"/>
        <v>676</v>
      </c>
      <c r="I15" s="37">
        <v>77</v>
      </c>
      <c r="J15" s="37">
        <v>353</v>
      </c>
      <c r="K15" s="38">
        <f t="shared" si="4"/>
        <v>430</v>
      </c>
      <c r="L15" s="39">
        <f t="shared" si="5"/>
        <v>0.67884615384615388</v>
      </c>
      <c r="M15" s="39">
        <f t="shared" si="6"/>
        <v>0.49358974358974361</v>
      </c>
      <c r="N15" s="40">
        <f t="shared" si="7"/>
        <v>0.63609467455621305</v>
      </c>
      <c r="O15" s="41">
        <f t="shared" si="8"/>
        <v>0.58621794871794874</v>
      </c>
    </row>
    <row r="16" spans="1:34" ht="16.5" thickBot="1" x14ac:dyDescent="0.3">
      <c r="A16" s="64" t="s">
        <v>35</v>
      </c>
      <c r="B16" s="48">
        <v>14</v>
      </c>
      <c r="C16" s="48">
        <v>5</v>
      </c>
      <c r="D16" s="50">
        <f t="shared" si="0"/>
        <v>19</v>
      </c>
      <c r="E16" s="51">
        <v>26</v>
      </c>
      <c r="F16" s="51">
        <f t="shared" si="1"/>
        <v>364</v>
      </c>
      <c r="G16" s="51">
        <f t="shared" si="2"/>
        <v>130</v>
      </c>
      <c r="H16" s="53">
        <f t="shared" si="3"/>
        <v>494</v>
      </c>
      <c r="I16" s="37">
        <v>198</v>
      </c>
      <c r="J16" s="37">
        <v>85</v>
      </c>
      <c r="K16" s="38">
        <f t="shared" si="4"/>
        <v>283</v>
      </c>
      <c r="L16" s="54">
        <f t="shared" si="5"/>
        <v>0.65384615384615385</v>
      </c>
      <c r="M16" s="54">
        <f t="shared" si="6"/>
        <v>0.54395604395604391</v>
      </c>
      <c r="N16" s="56">
        <f t="shared" si="7"/>
        <v>0.57287449392712553</v>
      </c>
      <c r="O16" s="57">
        <f t="shared" si="8"/>
        <v>0.59890109890109888</v>
      </c>
    </row>
    <row r="17" spans="1:15" ht="19.5" thickBot="1" x14ac:dyDescent="0.35">
      <c r="A17" s="47" t="s">
        <v>16</v>
      </c>
      <c r="B17" s="49">
        <f>SUM(B6:B16)</f>
        <v>251</v>
      </c>
      <c r="C17" s="49">
        <f>SUM(C6:C16)</f>
        <v>138</v>
      </c>
      <c r="D17" s="49">
        <f>SUM(D6:D16)</f>
        <v>389</v>
      </c>
      <c r="E17" s="52">
        <f t="shared" ref="E17:K17" si="9">SUM(E6:E16)</f>
        <v>286</v>
      </c>
      <c r="F17" s="52">
        <f t="shared" si="9"/>
        <v>6526</v>
      </c>
      <c r="G17" s="52">
        <f t="shared" si="9"/>
        <v>3588</v>
      </c>
      <c r="H17" s="52">
        <f t="shared" si="9"/>
        <v>10114</v>
      </c>
      <c r="I17" s="43">
        <f t="shared" si="9"/>
        <v>4521</v>
      </c>
      <c r="J17" s="43">
        <f t="shared" si="9"/>
        <v>2591</v>
      </c>
      <c r="K17" s="43">
        <f t="shared" si="9"/>
        <v>7112</v>
      </c>
      <c r="L17" s="55">
        <f>J17/G17</f>
        <v>0.72212931995540686</v>
      </c>
      <c r="M17" s="55">
        <f>I17/F17</f>
        <v>0.69276739197057924</v>
      </c>
      <c r="N17" s="55">
        <f>AVERAGE(N6:N16)</f>
        <v>0.69957304667214615</v>
      </c>
      <c r="O17" s="58">
        <f>AVERAGE(O6:O16)</f>
        <v>0.71042569602629024</v>
      </c>
    </row>
    <row r="18" spans="1:15" ht="16.5" thickBot="1" x14ac:dyDescent="0.3">
      <c r="A18" s="46" t="s">
        <v>19</v>
      </c>
      <c r="B18" s="44">
        <v>1</v>
      </c>
      <c r="C18" s="44">
        <v>1</v>
      </c>
      <c r="D18" s="45">
        <v>1</v>
      </c>
      <c r="E18" s="44">
        <v>1</v>
      </c>
      <c r="F18" s="44">
        <v>1</v>
      </c>
      <c r="G18" s="45">
        <v>1</v>
      </c>
      <c r="H18" s="45">
        <v>1</v>
      </c>
      <c r="I18" s="45">
        <f>I17/F17</f>
        <v>0.69276739197057924</v>
      </c>
      <c r="J18" s="45">
        <f>J17/G17</f>
        <v>0.72212931995540686</v>
      </c>
      <c r="K18" s="45">
        <f>K17/H17</f>
        <v>0.70318370575439981</v>
      </c>
      <c r="L18" s="60">
        <v>0.54</v>
      </c>
      <c r="M18" s="55">
        <v>0.56000000000000005</v>
      </c>
      <c r="N18" s="55">
        <v>0.55000000000000004</v>
      </c>
      <c r="O18" s="59">
        <f>AVERAGE(L17:M17)</f>
        <v>0.70744835596299305</v>
      </c>
    </row>
    <row r="19" spans="1:15" x14ac:dyDescent="0.25">
      <c r="C19" s="32"/>
    </row>
  </sheetData>
  <mergeCells count="2">
    <mergeCell ref="A4:A5"/>
    <mergeCell ref="B4:O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FD99-49D7-41EB-A8AE-866D166DC500}">
  <sheetPr>
    <tabColor rgb="FFC00000"/>
  </sheetPr>
  <dimension ref="A1:ET68"/>
  <sheetViews>
    <sheetView topLeftCell="A2" workbookViewId="0">
      <pane xSplit="5" ySplit="4" topLeftCell="AA65" activePane="bottomRight" state="frozen"/>
      <selection activeCell="A2" sqref="A2"/>
      <selection pane="topRight" activeCell="F2" sqref="F2"/>
      <selection pane="bottomLeft" activeCell="A6" sqref="A6"/>
      <selection pane="bottomRight" activeCell="AX68" sqref="AX68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 customWidth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6" width="3.7109375" style="1" bestFit="1" customWidth="1"/>
    <col min="37" max="37" width="3.85546875" style="1" bestFit="1" customWidth="1"/>
    <col min="38" max="38" width="4.5703125" style="1" bestFit="1" customWidth="1"/>
    <col min="39" max="39" width="3.85546875" style="1" bestFit="1" customWidth="1"/>
    <col min="40" max="40" width="4.7109375" style="1" bestFit="1" customWidth="1"/>
    <col min="41" max="41" width="3.85546875" style="1" bestFit="1" customWidth="1"/>
    <col min="42" max="43" width="3.7109375" style="1" bestFit="1" customWidth="1"/>
    <col min="44" max="44" width="3.85546875" style="1" bestFit="1" customWidth="1"/>
    <col min="45" max="45" width="4.5703125" style="1" bestFit="1" customWidth="1"/>
    <col min="46" max="46" width="3.85546875" style="1" bestFit="1" customWidth="1"/>
    <col min="47" max="47" width="4.7109375" style="1" bestFit="1" customWidth="1"/>
    <col min="48" max="48" width="3.85546875" style="1" bestFit="1" customWidth="1"/>
    <col min="49" max="50" width="3.7109375" style="1" bestFit="1" customWidth="1"/>
    <col min="51" max="51" width="3.85546875" style="1" bestFit="1" customWidth="1"/>
    <col min="52" max="52" width="4.5703125" style="1" bestFit="1" customWidth="1"/>
    <col min="53" max="53" width="3.85546875" style="1" bestFit="1" customWidth="1"/>
    <col min="54" max="54" width="4.7109375" style="1" bestFit="1" customWidth="1"/>
    <col min="55" max="55" width="3.85546875" style="1" bestFit="1" customWidth="1"/>
    <col min="56" max="57" width="3.7109375" style="1" bestFit="1" customWidth="1"/>
    <col min="58" max="58" width="3.85546875" style="1" bestFit="1" customWidth="1"/>
    <col min="59" max="59" width="4.5703125" style="1" bestFit="1" customWidth="1"/>
    <col min="60" max="60" width="3.85546875" style="1" bestFit="1" customWidth="1"/>
    <col min="61" max="61" width="4.7109375" style="1" bestFit="1" customWidth="1"/>
    <col min="62" max="62" width="3.85546875" style="1" bestFit="1" customWidth="1"/>
    <col min="63" max="64" width="3.7109375" style="1" bestFit="1" customWidth="1"/>
    <col min="65" max="65" width="3.85546875" style="1" bestFit="1" customWidth="1"/>
    <col min="66" max="66" width="4.5703125" style="1" bestFit="1" customWidth="1"/>
    <col min="67" max="67" width="3.85546875" style="1" bestFit="1" customWidth="1"/>
    <col min="68" max="68" width="4.7109375" style="1" bestFit="1" customWidth="1"/>
    <col min="69" max="69" width="3.85546875" style="1" bestFit="1" customWidth="1"/>
    <col min="70" max="71" width="3.7109375" style="1" bestFit="1" customWidth="1"/>
    <col min="72" max="72" width="3.85546875" style="1" bestFit="1" customWidth="1"/>
    <col min="73" max="73" width="4.5703125" style="1" bestFit="1" customWidth="1"/>
    <col min="74" max="74" width="3.85546875" style="1" bestFit="1" customWidth="1"/>
    <col min="75" max="75" width="4.7109375" style="1" bestFit="1" customWidth="1"/>
    <col min="76" max="76" width="3.85546875" style="1" bestFit="1" customWidth="1"/>
    <col min="77" max="78" width="3.7109375" style="1" bestFit="1" customWidth="1"/>
    <col min="79" max="79" width="3.85546875" style="1" bestFit="1" customWidth="1"/>
    <col min="80" max="80" width="4.5703125" style="1" bestFit="1" customWidth="1"/>
    <col min="81" max="81" width="3.85546875" style="1" bestFit="1" customWidth="1"/>
    <col min="82" max="82" width="4.7109375" style="1" bestFit="1" customWidth="1"/>
    <col min="83" max="83" width="3.85546875" style="1" bestFit="1" customWidth="1"/>
    <col min="84" max="85" width="3.7109375" style="1" bestFit="1" customWidth="1"/>
    <col min="86" max="86" width="3.85546875" style="1" bestFit="1" customWidth="1"/>
    <col min="87" max="87" width="4.5703125" style="1" bestFit="1" customWidth="1"/>
    <col min="88" max="88" width="3.85546875" style="1" bestFit="1" customWidth="1"/>
    <col min="89" max="89" width="4.7109375" style="1" bestFit="1" customWidth="1"/>
    <col min="90" max="90" width="3.85546875" style="1" bestFit="1" customWidth="1"/>
    <col min="91" max="92" width="3.7109375" style="1" bestFit="1" customWidth="1"/>
    <col min="93" max="93" width="3.85546875" style="1" bestFit="1" customWidth="1"/>
    <col min="94" max="94" width="4.5703125" style="1" bestFit="1" customWidth="1"/>
    <col min="95" max="95" width="3.85546875" style="1" bestFit="1" customWidth="1"/>
    <col min="96" max="96" width="4.7109375" style="1" bestFit="1" customWidth="1"/>
    <col min="97" max="97" width="3.85546875" style="1" bestFit="1" customWidth="1"/>
    <col min="98" max="99" width="3.7109375" style="1" bestFit="1" customWidth="1"/>
    <col min="100" max="100" width="3.85546875" style="1" bestFit="1" customWidth="1"/>
    <col min="101" max="101" width="4.5703125" style="1" bestFit="1" customWidth="1"/>
    <col min="102" max="102" width="3.85546875" style="1" bestFit="1" customWidth="1"/>
    <col min="103" max="103" width="4.7109375" style="1" bestFit="1" customWidth="1"/>
    <col min="104" max="104" width="3.85546875" style="1" bestFit="1" customWidth="1"/>
    <col min="105" max="106" width="3.7109375" style="1" bestFit="1" customWidth="1"/>
    <col min="107" max="107" width="3.85546875" style="1" bestFit="1" customWidth="1"/>
    <col min="108" max="108" width="4.5703125" style="1" bestFit="1" customWidth="1"/>
    <col min="109" max="109" width="3.85546875" style="1" bestFit="1" customWidth="1"/>
    <col min="110" max="110" width="4.7109375" style="1" bestFit="1" customWidth="1"/>
    <col min="111" max="111" width="3.85546875" style="1" bestFit="1" customWidth="1"/>
    <col min="112" max="113" width="3.7109375" style="1" bestFit="1" customWidth="1"/>
    <col min="114" max="114" width="3.85546875" style="1" bestFit="1" customWidth="1"/>
    <col min="115" max="115" width="4.5703125" style="1" bestFit="1" customWidth="1"/>
    <col min="116" max="116" width="3.85546875" style="1" bestFit="1" customWidth="1"/>
    <col min="117" max="117" width="4.7109375" style="1" bestFit="1" customWidth="1"/>
    <col min="118" max="118" width="3.85546875" style="1" bestFit="1" customWidth="1"/>
    <col min="119" max="120" width="3.7109375" style="1" bestFit="1" customWidth="1"/>
    <col min="121" max="121" width="3.85546875" style="1" bestFit="1" customWidth="1"/>
    <col min="122" max="122" width="4.5703125" style="1" bestFit="1" customWidth="1"/>
    <col min="123" max="123" width="3.85546875" style="1" bestFit="1" customWidth="1"/>
    <col min="124" max="124" width="4.7109375" style="1" bestFit="1" customWidth="1"/>
    <col min="125" max="125" width="3.85546875" style="1" bestFit="1" customWidth="1"/>
    <col min="126" max="127" width="3.7109375" style="1" bestFit="1" customWidth="1"/>
    <col min="128" max="128" width="3.85546875" style="1" bestFit="1" customWidth="1"/>
    <col min="129" max="129" width="4.5703125" style="1" bestFit="1" customWidth="1"/>
    <col min="130" max="130" width="3.85546875" style="1" bestFit="1" customWidth="1"/>
    <col min="131" max="131" width="4.7109375" style="1" bestFit="1" customWidth="1"/>
    <col min="132" max="132" width="3.85546875" style="1" bestFit="1" customWidth="1"/>
    <col min="133" max="134" width="3.7109375" style="1" bestFit="1" customWidth="1"/>
    <col min="135" max="135" width="3.85546875" style="1" bestFit="1" customWidth="1"/>
    <col min="136" max="136" width="4.5703125" style="1" bestFit="1" customWidth="1"/>
    <col min="137" max="137" width="3.85546875" style="1" bestFit="1" customWidth="1"/>
    <col min="138" max="138" width="4.7109375" style="1" bestFit="1" customWidth="1"/>
    <col min="139" max="139" width="3.85546875" style="1" bestFit="1" customWidth="1"/>
    <col min="140" max="141" width="3.7109375" style="1" bestFit="1" customWidth="1"/>
    <col min="142" max="142" width="3.85546875" style="1" bestFit="1" customWidth="1"/>
    <col min="143" max="143" width="4.5703125" style="1" bestFit="1" customWidth="1"/>
    <col min="144" max="144" width="3.85546875" style="1" bestFit="1" customWidth="1"/>
    <col min="145" max="146" width="6.7109375" style="1" bestFit="1" customWidth="1"/>
    <col min="147" max="147" width="18.5703125" style="1" bestFit="1" customWidth="1"/>
    <col min="148" max="148" width="5.85546875" style="1" bestFit="1" customWidth="1"/>
    <col min="149" max="149" width="14.28515625" style="1" bestFit="1" customWidth="1"/>
    <col min="150" max="150" width="6.7109375" style="1" bestFit="1" customWidth="1"/>
    <col min="151" max="16384" width="3.85546875" style="1"/>
  </cols>
  <sheetData>
    <row r="1" spans="1:150" ht="17.25" x14ac:dyDescent="0.3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</row>
    <row r="2" spans="1:150" ht="17.25" x14ac:dyDescent="0.25">
      <c r="A2" s="101" t="s">
        <v>48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</row>
    <row r="3" spans="1:150" ht="17.25" x14ac:dyDescent="0.3">
      <c r="A3" s="102" t="s">
        <v>47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</row>
    <row r="4" spans="1:150" ht="15.75" x14ac:dyDescent="0.25">
      <c r="A4" s="106" t="s">
        <v>0</v>
      </c>
      <c r="B4" s="106" t="s">
        <v>1</v>
      </c>
      <c r="C4" s="106" t="s">
        <v>2</v>
      </c>
      <c r="D4" s="106" t="s">
        <v>3</v>
      </c>
      <c r="E4" s="106" t="s">
        <v>4</v>
      </c>
      <c r="F4" s="2" t="str">
        <f t="shared" ref="F4:AI4" si="0">TEXT(F5,"ddd")</f>
        <v>Thu</v>
      </c>
      <c r="G4" s="2" t="str">
        <f t="shared" si="0"/>
        <v>Fri</v>
      </c>
      <c r="H4" s="2" t="str">
        <f t="shared" si="0"/>
        <v>Sat</v>
      </c>
      <c r="I4" s="2" t="str">
        <f t="shared" si="0"/>
        <v>Sun</v>
      </c>
      <c r="J4" s="2" t="str">
        <f t="shared" si="0"/>
        <v>Mon</v>
      </c>
      <c r="K4" s="2" t="str">
        <f t="shared" si="0"/>
        <v>Tue</v>
      </c>
      <c r="L4" s="2" t="str">
        <f t="shared" si="0"/>
        <v>Wed</v>
      </c>
      <c r="M4" s="2" t="str">
        <f t="shared" si="0"/>
        <v>Thu</v>
      </c>
      <c r="N4" s="2" t="str">
        <f t="shared" si="0"/>
        <v>Fri</v>
      </c>
      <c r="O4" s="2" t="str">
        <f t="shared" si="0"/>
        <v>Sat</v>
      </c>
      <c r="P4" s="2" t="str">
        <f t="shared" si="0"/>
        <v>Sun</v>
      </c>
      <c r="Q4" s="2" t="str">
        <f t="shared" si="0"/>
        <v>Mon</v>
      </c>
      <c r="R4" s="2" t="str">
        <f t="shared" si="0"/>
        <v>Tue</v>
      </c>
      <c r="S4" s="2" t="str">
        <f t="shared" si="0"/>
        <v>Wed</v>
      </c>
      <c r="T4" s="2" t="str">
        <f t="shared" si="0"/>
        <v>Thu</v>
      </c>
      <c r="U4" s="2" t="str">
        <f t="shared" si="0"/>
        <v>Fri</v>
      </c>
      <c r="V4" s="2" t="str">
        <f t="shared" si="0"/>
        <v>Sat</v>
      </c>
      <c r="W4" s="2" t="str">
        <f t="shared" si="0"/>
        <v>Sun</v>
      </c>
      <c r="X4" s="2" t="str">
        <f t="shared" si="0"/>
        <v>Mon</v>
      </c>
      <c r="Y4" s="2" t="str">
        <f t="shared" si="0"/>
        <v>Tue</v>
      </c>
      <c r="Z4" s="2" t="str">
        <f t="shared" si="0"/>
        <v>Wed</v>
      </c>
      <c r="AA4" s="2" t="str">
        <f t="shared" si="0"/>
        <v>Thu</v>
      </c>
      <c r="AB4" s="2" t="str">
        <f t="shared" si="0"/>
        <v>Fri</v>
      </c>
      <c r="AC4" s="2" t="str">
        <f t="shared" si="0"/>
        <v>Sat</v>
      </c>
      <c r="AD4" s="2" t="str">
        <f t="shared" si="0"/>
        <v>Sun</v>
      </c>
      <c r="AE4" s="2" t="str">
        <f t="shared" si="0"/>
        <v>Mon</v>
      </c>
      <c r="AF4" s="2" t="str">
        <f t="shared" si="0"/>
        <v>Tue</v>
      </c>
      <c r="AG4" s="2" t="str">
        <f t="shared" si="0"/>
        <v>Wed</v>
      </c>
      <c r="AH4" s="2" t="str">
        <f t="shared" si="0"/>
        <v>Thu</v>
      </c>
      <c r="AI4" s="2" t="str">
        <f t="shared" si="0"/>
        <v>Fri</v>
      </c>
      <c r="AJ4" s="2" t="str">
        <f t="shared" ref="AJ4:CU4" si="1">TEXT(AJ5,"ddd")</f>
        <v>Sat</v>
      </c>
      <c r="AK4" s="2" t="str">
        <f t="shared" si="1"/>
        <v>Sun</v>
      </c>
      <c r="AL4" s="2" t="str">
        <f t="shared" si="1"/>
        <v>Mon</v>
      </c>
      <c r="AM4" s="2" t="str">
        <f t="shared" si="1"/>
        <v>Tue</v>
      </c>
      <c r="AN4" s="2" t="str">
        <f t="shared" si="1"/>
        <v>Wed</v>
      </c>
      <c r="AO4" s="2" t="str">
        <f t="shared" si="1"/>
        <v>Thu</v>
      </c>
      <c r="AP4" s="2" t="str">
        <f t="shared" si="1"/>
        <v>Fri</v>
      </c>
      <c r="AQ4" s="2" t="str">
        <f t="shared" si="1"/>
        <v>Sat</v>
      </c>
      <c r="AR4" s="2" t="str">
        <f t="shared" si="1"/>
        <v>Sun</v>
      </c>
      <c r="AS4" s="2" t="str">
        <f t="shared" si="1"/>
        <v>Mon</v>
      </c>
      <c r="AT4" s="2" t="str">
        <f t="shared" si="1"/>
        <v>Tue</v>
      </c>
      <c r="AU4" s="2" t="str">
        <f t="shared" si="1"/>
        <v>Wed</v>
      </c>
      <c r="AV4" s="2" t="str">
        <f t="shared" si="1"/>
        <v>Thu</v>
      </c>
      <c r="AW4" s="2" t="str">
        <f t="shared" si="1"/>
        <v>Fri</v>
      </c>
      <c r="AX4" s="2" t="str">
        <f t="shared" si="1"/>
        <v>Sat</v>
      </c>
      <c r="AY4" s="2" t="str">
        <f t="shared" si="1"/>
        <v>Sun</v>
      </c>
      <c r="AZ4" s="2" t="str">
        <f t="shared" si="1"/>
        <v>Mon</v>
      </c>
      <c r="BA4" s="2" t="str">
        <f t="shared" si="1"/>
        <v>Tue</v>
      </c>
      <c r="BB4" s="2" t="str">
        <f t="shared" si="1"/>
        <v>Wed</v>
      </c>
      <c r="BC4" s="2" t="str">
        <f t="shared" si="1"/>
        <v>Thu</v>
      </c>
      <c r="BD4" s="2" t="str">
        <f t="shared" si="1"/>
        <v>Fri</v>
      </c>
      <c r="BE4" s="2" t="str">
        <f t="shared" si="1"/>
        <v>Sat</v>
      </c>
      <c r="BF4" s="2" t="str">
        <f t="shared" si="1"/>
        <v>Sun</v>
      </c>
      <c r="BG4" s="2" t="str">
        <f t="shared" si="1"/>
        <v>Mon</v>
      </c>
      <c r="BH4" s="2" t="str">
        <f t="shared" si="1"/>
        <v>Tue</v>
      </c>
      <c r="BI4" s="2" t="str">
        <f t="shared" si="1"/>
        <v>Wed</v>
      </c>
      <c r="BJ4" s="2" t="str">
        <f t="shared" si="1"/>
        <v>Thu</v>
      </c>
      <c r="BK4" s="2" t="str">
        <f t="shared" si="1"/>
        <v>Fri</v>
      </c>
      <c r="BL4" s="2" t="str">
        <f t="shared" si="1"/>
        <v>Sat</v>
      </c>
      <c r="BM4" s="2" t="str">
        <f t="shared" si="1"/>
        <v>Sun</v>
      </c>
      <c r="BN4" s="2" t="str">
        <f t="shared" si="1"/>
        <v>Mon</v>
      </c>
      <c r="BO4" s="2" t="str">
        <f t="shared" si="1"/>
        <v>Tue</v>
      </c>
      <c r="BP4" s="2" t="str">
        <f t="shared" si="1"/>
        <v>Wed</v>
      </c>
      <c r="BQ4" s="2" t="str">
        <f t="shared" si="1"/>
        <v>Thu</v>
      </c>
      <c r="BR4" s="2" t="str">
        <f t="shared" si="1"/>
        <v>Fri</v>
      </c>
      <c r="BS4" s="2" t="str">
        <f t="shared" si="1"/>
        <v>Sat</v>
      </c>
      <c r="BT4" s="2" t="str">
        <f t="shared" si="1"/>
        <v>Sun</v>
      </c>
      <c r="BU4" s="2" t="str">
        <f t="shared" si="1"/>
        <v>Mon</v>
      </c>
      <c r="BV4" s="2" t="str">
        <f t="shared" si="1"/>
        <v>Tue</v>
      </c>
      <c r="BW4" s="2" t="str">
        <f t="shared" si="1"/>
        <v>Wed</v>
      </c>
      <c r="BX4" s="2" t="str">
        <f t="shared" si="1"/>
        <v>Thu</v>
      </c>
      <c r="BY4" s="2" t="str">
        <f t="shared" si="1"/>
        <v>Fri</v>
      </c>
      <c r="BZ4" s="2" t="str">
        <f t="shared" si="1"/>
        <v>Sat</v>
      </c>
      <c r="CA4" s="2" t="str">
        <f t="shared" si="1"/>
        <v>Sun</v>
      </c>
      <c r="CB4" s="2" t="str">
        <f t="shared" si="1"/>
        <v>Mon</v>
      </c>
      <c r="CC4" s="2" t="str">
        <f t="shared" si="1"/>
        <v>Tue</v>
      </c>
      <c r="CD4" s="2" t="str">
        <f t="shared" si="1"/>
        <v>Wed</v>
      </c>
      <c r="CE4" s="2" t="str">
        <f t="shared" si="1"/>
        <v>Thu</v>
      </c>
      <c r="CF4" s="2" t="str">
        <f t="shared" si="1"/>
        <v>Fri</v>
      </c>
      <c r="CG4" s="2" t="str">
        <f t="shared" si="1"/>
        <v>Sat</v>
      </c>
      <c r="CH4" s="2" t="str">
        <f t="shared" si="1"/>
        <v>Sun</v>
      </c>
      <c r="CI4" s="2" t="str">
        <f t="shared" si="1"/>
        <v>Mon</v>
      </c>
      <c r="CJ4" s="2" t="str">
        <f t="shared" si="1"/>
        <v>Tue</v>
      </c>
      <c r="CK4" s="2" t="str">
        <f t="shared" si="1"/>
        <v>Wed</v>
      </c>
      <c r="CL4" s="2" t="str">
        <f t="shared" si="1"/>
        <v>Thu</v>
      </c>
      <c r="CM4" s="2" t="str">
        <f t="shared" si="1"/>
        <v>Fri</v>
      </c>
      <c r="CN4" s="2" t="str">
        <f t="shared" si="1"/>
        <v>Sat</v>
      </c>
      <c r="CO4" s="2" t="str">
        <f t="shared" si="1"/>
        <v>Sun</v>
      </c>
      <c r="CP4" s="2" t="str">
        <f t="shared" si="1"/>
        <v>Mon</v>
      </c>
      <c r="CQ4" s="2" t="str">
        <f t="shared" si="1"/>
        <v>Tue</v>
      </c>
      <c r="CR4" s="2" t="str">
        <f t="shared" si="1"/>
        <v>Wed</v>
      </c>
      <c r="CS4" s="2" t="str">
        <f t="shared" si="1"/>
        <v>Thu</v>
      </c>
      <c r="CT4" s="2" t="str">
        <f t="shared" si="1"/>
        <v>Fri</v>
      </c>
      <c r="CU4" s="2" t="str">
        <f t="shared" si="1"/>
        <v>Sat</v>
      </c>
      <c r="CV4" s="2" t="str">
        <f t="shared" ref="CV4:EN4" si="2">TEXT(CV5,"ddd")</f>
        <v>Sun</v>
      </c>
      <c r="CW4" s="2" t="str">
        <f t="shared" si="2"/>
        <v>Mon</v>
      </c>
      <c r="CX4" s="2" t="str">
        <f t="shared" si="2"/>
        <v>Tue</v>
      </c>
      <c r="CY4" s="2" t="str">
        <f t="shared" si="2"/>
        <v>Wed</v>
      </c>
      <c r="CZ4" s="2" t="str">
        <f t="shared" si="2"/>
        <v>Thu</v>
      </c>
      <c r="DA4" s="2" t="str">
        <f t="shared" si="2"/>
        <v>Fri</v>
      </c>
      <c r="DB4" s="2" t="str">
        <f t="shared" si="2"/>
        <v>Sat</v>
      </c>
      <c r="DC4" s="2" t="str">
        <f t="shared" si="2"/>
        <v>Sun</v>
      </c>
      <c r="DD4" s="2" t="str">
        <f t="shared" si="2"/>
        <v>Mon</v>
      </c>
      <c r="DE4" s="2" t="str">
        <f t="shared" si="2"/>
        <v>Tue</v>
      </c>
      <c r="DF4" s="2" t="str">
        <f t="shared" si="2"/>
        <v>Wed</v>
      </c>
      <c r="DG4" s="2" t="str">
        <f t="shared" si="2"/>
        <v>Thu</v>
      </c>
      <c r="DH4" s="2" t="str">
        <f t="shared" si="2"/>
        <v>Fri</v>
      </c>
      <c r="DI4" s="2" t="str">
        <f t="shared" si="2"/>
        <v>Sat</v>
      </c>
      <c r="DJ4" s="2" t="str">
        <f t="shared" si="2"/>
        <v>Sun</v>
      </c>
      <c r="DK4" s="2" t="str">
        <f t="shared" si="2"/>
        <v>Mon</v>
      </c>
      <c r="DL4" s="2" t="str">
        <f t="shared" si="2"/>
        <v>Tue</v>
      </c>
      <c r="DM4" s="2" t="str">
        <f t="shared" si="2"/>
        <v>Wed</v>
      </c>
      <c r="DN4" s="2" t="str">
        <f t="shared" si="2"/>
        <v>Thu</v>
      </c>
      <c r="DO4" s="2" t="str">
        <f t="shared" si="2"/>
        <v>Fri</v>
      </c>
      <c r="DP4" s="2" t="str">
        <f t="shared" si="2"/>
        <v>Sat</v>
      </c>
      <c r="DQ4" s="2" t="str">
        <f t="shared" si="2"/>
        <v>Sun</v>
      </c>
      <c r="DR4" s="2" t="str">
        <f t="shared" si="2"/>
        <v>Mon</v>
      </c>
      <c r="DS4" s="2" t="str">
        <f t="shared" si="2"/>
        <v>Tue</v>
      </c>
      <c r="DT4" s="2" t="str">
        <f t="shared" si="2"/>
        <v>Wed</v>
      </c>
      <c r="DU4" s="2" t="str">
        <f t="shared" si="2"/>
        <v>Thu</v>
      </c>
      <c r="DV4" s="2" t="str">
        <f t="shared" si="2"/>
        <v>Fri</v>
      </c>
      <c r="DW4" s="2" t="str">
        <f t="shared" si="2"/>
        <v>Sat</v>
      </c>
      <c r="DX4" s="2" t="str">
        <f t="shared" si="2"/>
        <v>Sun</v>
      </c>
      <c r="DY4" s="2" t="str">
        <f t="shared" si="2"/>
        <v>Mon</v>
      </c>
      <c r="DZ4" s="2" t="str">
        <f t="shared" si="2"/>
        <v>Tue</v>
      </c>
      <c r="EA4" s="2" t="str">
        <f t="shared" si="2"/>
        <v>Wed</v>
      </c>
      <c r="EB4" s="2" t="str">
        <f t="shared" si="2"/>
        <v>Thu</v>
      </c>
      <c r="EC4" s="2" t="str">
        <f t="shared" si="2"/>
        <v>Fri</v>
      </c>
      <c r="ED4" s="2" t="str">
        <f t="shared" si="2"/>
        <v>Sat</v>
      </c>
      <c r="EE4" s="2" t="str">
        <f t="shared" si="2"/>
        <v>Sun</v>
      </c>
      <c r="EF4" s="2" t="str">
        <f t="shared" si="2"/>
        <v>Mon</v>
      </c>
      <c r="EG4" s="2" t="str">
        <f t="shared" si="2"/>
        <v>Tue</v>
      </c>
      <c r="EH4" s="2" t="str">
        <f t="shared" si="2"/>
        <v>Wed</v>
      </c>
      <c r="EI4" s="2" t="str">
        <f t="shared" si="2"/>
        <v>Thu</v>
      </c>
      <c r="EJ4" s="2" t="str">
        <f t="shared" si="2"/>
        <v>Fri</v>
      </c>
      <c r="EK4" s="2" t="str">
        <f t="shared" si="2"/>
        <v>Sat</v>
      </c>
      <c r="EL4" s="2" t="str">
        <f t="shared" si="2"/>
        <v>Sun</v>
      </c>
      <c r="EM4" s="2" t="str">
        <f t="shared" si="2"/>
        <v>Mon</v>
      </c>
      <c r="EN4" s="2" t="str">
        <f t="shared" si="2"/>
        <v>Tue</v>
      </c>
      <c r="EO4" s="114" t="s">
        <v>5</v>
      </c>
      <c r="EP4" s="114" t="s">
        <v>6</v>
      </c>
      <c r="EQ4" s="103" t="s">
        <v>45</v>
      </c>
      <c r="ER4" s="104"/>
      <c r="ES4" s="3"/>
      <c r="ET4" s="3"/>
    </row>
    <row r="5" spans="1:150" ht="37.5" x14ac:dyDescent="0.25">
      <c r="A5" s="107"/>
      <c r="B5" s="107"/>
      <c r="C5" s="107"/>
      <c r="D5" s="107"/>
      <c r="E5" s="107"/>
      <c r="F5" s="77">
        <v>45519</v>
      </c>
      <c r="G5" s="77">
        <v>45520</v>
      </c>
      <c r="H5" s="77">
        <v>45521</v>
      </c>
      <c r="I5" s="77">
        <v>45522</v>
      </c>
      <c r="J5" s="77">
        <v>45523</v>
      </c>
      <c r="K5" s="77">
        <v>45524</v>
      </c>
      <c r="L5" s="77">
        <v>45525</v>
      </c>
      <c r="M5" s="77">
        <v>45526</v>
      </c>
      <c r="N5" s="77">
        <v>45527</v>
      </c>
      <c r="O5" s="77">
        <v>45528</v>
      </c>
      <c r="P5" s="77">
        <v>45529</v>
      </c>
      <c r="Q5" s="77">
        <v>45530</v>
      </c>
      <c r="R5" s="77">
        <v>45531</v>
      </c>
      <c r="S5" s="77">
        <v>45532</v>
      </c>
      <c r="T5" s="77">
        <v>45533</v>
      </c>
      <c r="U5" s="77">
        <v>45534</v>
      </c>
      <c r="V5" s="77">
        <v>45535</v>
      </c>
      <c r="W5" s="77">
        <v>45536</v>
      </c>
      <c r="X5" s="77">
        <v>45537</v>
      </c>
      <c r="Y5" s="77">
        <v>45538</v>
      </c>
      <c r="Z5" s="77">
        <v>45539</v>
      </c>
      <c r="AA5" s="77">
        <v>45540</v>
      </c>
      <c r="AB5" s="77">
        <v>45541</v>
      </c>
      <c r="AC5" s="77">
        <v>45542</v>
      </c>
      <c r="AD5" s="77">
        <v>45543</v>
      </c>
      <c r="AE5" s="77">
        <v>45544</v>
      </c>
      <c r="AF5" s="77">
        <v>45545</v>
      </c>
      <c r="AG5" s="77">
        <v>45546</v>
      </c>
      <c r="AH5" s="77">
        <v>45547</v>
      </c>
      <c r="AI5" s="77">
        <v>45548</v>
      </c>
      <c r="AJ5" s="77">
        <v>45549</v>
      </c>
      <c r="AK5" s="77">
        <v>45550</v>
      </c>
      <c r="AL5" s="77">
        <v>45551</v>
      </c>
      <c r="AM5" s="77">
        <v>45552</v>
      </c>
      <c r="AN5" s="77">
        <v>45553</v>
      </c>
      <c r="AO5" s="77">
        <v>45554</v>
      </c>
      <c r="AP5" s="77">
        <v>45555</v>
      </c>
      <c r="AQ5" s="77">
        <v>45556</v>
      </c>
      <c r="AR5" s="77">
        <v>45557</v>
      </c>
      <c r="AS5" s="77">
        <v>45558</v>
      </c>
      <c r="AT5" s="77">
        <v>45559</v>
      </c>
      <c r="AU5" s="77">
        <v>45560</v>
      </c>
      <c r="AV5" s="77">
        <v>45561</v>
      </c>
      <c r="AW5" s="77">
        <v>45562</v>
      </c>
      <c r="AX5" s="77">
        <v>45563</v>
      </c>
      <c r="AY5" s="77">
        <v>45564</v>
      </c>
      <c r="AZ5" s="77">
        <v>45565</v>
      </c>
      <c r="BA5" s="77">
        <v>45566</v>
      </c>
      <c r="BB5" s="77">
        <v>45567</v>
      </c>
      <c r="BC5" s="77">
        <v>45568</v>
      </c>
      <c r="BD5" s="77">
        <v>45569</v>
      </c>
      <c r="BE5" s="77">
        <v>45570</v>
      </c>
      <c r="BF5" s="77">
        <v>45571</v>
      </c>
      <c r="BG5" s="77">
        <v>45572</v>
      </c>
      <c r="BH5" s="77">
        <v>45573</v>
      </c>
      <c r="BI5" s="77">
        <v>45574</v>
      </c>
      <c r="BJ5" s="77">
        <v>45575</v>
      </c>
      <c r="BK5" s="77">
        <v>45576</v>
      </c>
      <c r="BL5" s="77">
        <v>45577</v>
      </c>
      <c r="BM5" s="77">
        <v>45578</v>
      </c>
      <c r="BN5" s="77">
        <v>45579</v>
      </c>
      <c r="BO5" s="77">
        <v>45580</v>
      </c>
      <c r="BP5" s="77">
        <v>45581</v>
      </c>
      <c r="BQ5" s="77">
        <v>45582</v>
      </c>
      <c r="BR5" s="77">
        <v>45583</v>
      </c>
      <c r="BS5" s="77">
        <v>45584</v>
      </c>
      <c r="BT5" s="77">
        <v>45585</v>
      </c>
      <c r="BU5" s="77">
        <v>45586</v>
      </c>
      <c r="BV5" s="77">
        <v>45587</v>
      </c>
      <c r="BW5" s="77">
        <v>45588</v>
      </c>
      <c r="BX5" s="77">
        <v>45589</v>
      </c>
      <c r="BY5" s="77">
        <v>45590</v>
      </c>
      <c r="BZ5" s="77">
        <v>45591</v>
      </c>
      <c r="CA5" s="77">
        <v>45592</v>
      </c>
      <c r="CB5" s="77">
        <v>45593</v>
      </c>
      <c r="CC5" s="77">
        <v>45594</v>
      </c>
      <c r="CD5" s="77">
        <v>45595</v>
      </c>
      <c r="CE5" s="77">
        <v>45596</v>
      </c>
      <c r="CF5" s="77">
        <v>45597</v>
      </c>
      <c r="CG5" s="77">
        <v>45598</v>
      </c>
      <c r="CH5" s="77">
        <v>45599</v>
      </c>
      <c r="CI5" s="77">
        <v>45600</v>
      </c>
      <c r="CJ5" s="77">
        <v>45601</v>
      </c>
      <c r="CK5" s="77">
        <v>45602</v>
      </c>
      <c r="CL5" s="77">
        <v>45603</v>
      </c>
      <c r="CM5" s="77">
        <v>45604</v>
      </c>
      <c r="CN5" s="77">
        <v>45605</v>
      </c>
      <c r="CO5" s="77">
        <v>45606</v>
      </c>
      <c r="CP5" s="77">
        <v>45607</v>
      </c>
      <c r="CQ5" s="77">
        <v>45608</v>
      </c>
      <c r="CR5" s="77">
        <v>45609</v>
      </c>
      <c r="CS5" s="77">
        <v>45610</v>
      </c>
      <c r="CT5" s="77">
        <v>45611</v>
      </c>
      <c r="CU5" s="77">
        <v>45612</v>
      </c>
      <c r="CV5" s="77">
        <v>45613</v>
      </c>
      <c r="CW5" s="77">
        <v>45614</v>
      </c>
      <c r="CX5" s="77">
        <v>45615</v>
      </c>
      <c r="CY5" s="77">
        <v>45616</v>
      </c>
      <c r="CZ5" s="77">
        <v>45617</v>
      </c>
      <c r="DA5" s="77">
        <v>45618</v>
      </c>
      <c r="DB5" s="77">
        <v>45619</v>
      </c>
      <c r="DC5" s="77">
        <v>45620</v>
      </c>
      <c r="DD5" s="77">
        <v>45621</v>
      </c>
      <c r="DE5" s="77">
        <v>45622</v>
      </c>
      <c r="DF5" s="77">
        <v>45623</v>
      </c>
      <c r="DG5" s="77">
        <v>45624</v>
      </c>
      <c r="DH5" s="77">
        <v>45625</v>
      </c>
      <c r="DI5" s="77">
        <v>45626</v>
      </c>
      <c r="DJ5" s="77">
        <v>45627</v>
      </c>
      <c r="DK5" s="77">
        <v>45628</v>
      </c>
      <c r="DL5" s="77">
        <v>45629</v>
      </c>
      <c r="DM5" s="77">
        <v>45630</v>
      </c>
      <c r="DN5" s="77">
        <v>45631</v>
      </c>
      <c r="DO5" s="77">
        <v>45632</v>
      </c>
      <c r="DP5" s="77">
        <v>45633</v>
      </c>
      <c r="DQ5" s="77">
        <v>45634</v>
      </c>
      <c r="DR5" s="77">
        <v>45635</v>
      </c>
      <c r="DS5" s="77">
        <v>45636</v>
      </c>
      <c r="DT5" s="77">
        <v>45637</v>
      </c>
      <c r="DU5" s="77">
        <v>45638</v>
      </c>
      <c r="DV5" s="77">
        <v>45639</v>
      </c>
      <c r="DW5" s="77">
        <v>45640</v>
      </c>
      <c r="DX5" s="77">
        <v>45641</v>
      </c>
      <c r="DY5" s="77">
        <v>45642</v>
      </c>
      <c r="DZ5" s="77">
        <v>45643</v>
      </c>
      <c r="EA5" s="77">
        <v>45644</v>
      </c>
      <c r="EB5" s="77">
        <v>45645</v>
      </c>
      <c r="EC5" s="77">
        <v>45646</v>
      </c>
      <c r="ED5" s="77">
        <v>45647</v>
      </c>
      <c r="EE5" s="77">
        <v>45648</v>
      </c>
      <c r="EF5" s="77">
        <v>45649</v>
      </c>
      <c r="EG5" s="77">
        <v>45650</v>
      </c>
      <c r="EH5" s="77">
        <v>45651</v>
      </c>
      <c r="EI5" s="77">
        <v>45652</v>
      </c>
      <c r="EJ5" s="77">
        <v>45653</v>
      </c>
      <c r="EK5" s="77">
        <v>45654</v>
      </c>
      <c r="EL5" s="77">
        <v>45655</v>
      </c>
      <c r="EM5" s="77">
        <v>45656</v>
      </c>
      <c r="EN5" s="77">
        <v>45657</v>
      </c>
      <c r="EO5" s="114"/>
      <c r="EP5" s="114"/>
      <c r="EQ5" s="4" t="s">
        <v>7</v>
      </c>
      <c r="ER5" s="5">
        <v>31</v>
      </c>
      <c r="ES5" s="3"/>
      <c r="ET5" s="3"/>
    </row>
    <row r="6" spans="1:150" ht="15" customHeight="1" x14ac:dyDescent="0.25">
      <c r="A6" s="6">
        <v>1</v>
      </c>
      <c r="B6" s="7"/>
      <c r="C6" s="8" t="s">
        <v>50</v>
      </c>
      <c r="D6" s="9" t="s">
        <v>51</v>
      </c>
      <c r="E6" s="10" t="s">
        <v>8</v>
      </c>
      <c r="F6" s="16" t="s">
        <v>165</v>
      </c>
      <c r="G6" s="16" t="s">
        <v>165</v>
      </c>
      <c r="H6" s="16" t="s">
        <v>165</v>
      </c>
      <c r="I6" s="108" t="s">
        <v>170</v>
      </c>
      <c r="J6" s="16" t="s">
        <v>166</v>
      </c>
      <c r="K6" s="111" t="s">
        <v>167</v>
      </c>
      <c r="L6" s="16" t="s">
        <v>166</v>
      </c>
      <c r="M6" s="16" t="s">
        <v>165</v>
      </c>
      <c r="N6" s="16" t="s">
        <v>166</v>
      </c>
      <c r="O6" s="16" t="s">
        <v>166</v>
      </c>
      <c r="P6" s="108" t="s">
        <v>170</v>
      </c>
      <c r="Q6" s="111" t="s">
        <v>168</v>
      </c>
      <c r="R6" s="16" t="s">
        <v>166</v>
      </c>
      <c r="S6" s="16" t="s">
        <v>165</v>
      </c>
      <c r="T6" s="16" t="s">
        <v>166</v>
      </c>
      <c r="U6" s="111" t="s">
        <v>169</v>
      </c>
      <c r="V6" s="16" t="s">
        <v>165</v>
      </c>
      <c r="W6" s="108" t="s">
        <v>170</v>
      </c>
      <c r="X6" s="16" t="s">
        <v>165</v>
      </c>
      <c r="Y6" s="16" t="s">
        <v>165</v>
      </c>
      <c r="Z6" s="16" t="s">
        <v>166</v>
      </c>
      <c r="AA6" s="16" t="s">
        <v>166</v>
      </c>
      <c r="AB6" s="16" t="s">
        <v>166</v>
      </c>
      <c r="AC6" s="16" t="s">
        <v>166</v>
      </c>
      <c r="AD6" s="108" t="s">
        <v>170</v>
      </c>
      <c r="AE6" s="16" t="s">
        <v>166</v>
      </c>
      <c r="AF6" s="16" t="s">
        <v>166</v>
      </c>
      <c r="AG6" s="16" t="s">
        <v>166</v>
      </c>
      <c r="AH6" s="16" t="s">
        <v>166</v>
      </c>
      <c r="AI6" s="16" t="s">
        <v>165</v>
      </c>
      <c r="AJ6" s="16" t="s">
        <v>165</v>
      </c>
      <c r="AK6" s="108" t="s">
        <v>170</v>
      </c>
      <c r="AL6" s="16" t="s">
        <v>165</v>
      </c>
      <c r="AM6" s="16" t="s">
        <v>166</v>
      </c>
      <c r="AN6" s="16" t="s">
        <v>166</v>
      </c>
      <c r="AO6" s="16" t="s">
        <v>166</v>
      </c>
      <c r="AP6" s="16" t="s">
        <v>166</v>
      </c>
      <c r="AQ6" s="16" t="s">
        <v>165</v>
      </c>
      <c r="AR6" s="108" t="s">
        <v>170</v>
      </c>
      <c r="AS6" s="16" t="s">
        <v>166</v>
      </c>
      <c r="AT6" s="16" t="s">
        <v>166</v>
      </c>
      <c r="AU6" s="16" t="s">
        <v>166</v>
      </c>
      <c r="AV6" s="16" t="s">
        <v>166</v>
      </c>
      <c r="AW6" s="16"/>
      <c r="AX6" s="16"/>
      <c r="AY6" s="108" t="s">
        <v>170</v>
      </c>
      <c r="AZ6" s="16"/>
      <c r="BA6" s="16"/>
      <c r="BB6" s="16"/>
      <c r="BC6" s="16"/>
      <c r="BD6" s="16"/>
      <c r="BE6" s="16"/>
      <c r="BF6" s="108" t="s">
        <v>170</v>
      </c>
      <c r="BG6" s="16"/>
      <c r="BH6" s="16"/>
      <c r="BI6" s="16"/>
      <c r="BJ6" s="16"/>
      <c r="BK6" s="16"/>
      <c r="BL6" s="16"/>
      <c r="BM6" s="108" t="s">
        <v>170</v>
      </c>
      <c r="BN6" s="16"/>
      <c r="BO6" s="16"/>
      <c r="BP6" s="16"/>
      <c r="BQ6" s="16"/>
      <c r="BR6" s="16"/>
      <c r="BS6" s="16"/>
      <c r="BT6" s="108" t="s">
        <v>170</v>
      </c>
      <c r="BU6" s="16"/>
      <c r="BV6" s="16"/>
      <c r="BW6" s="16"/>
      <c r="BX6" s="16"/>
      <c r="BY6" s="16"/>
      <c r="BZ6" s="16"/>
      <c r="CA6" s="108" t="s">
        <v>170</v>
      </c>
      <c r="CB6" s="16"/>
      <c r="CC6" s="16"/>
      <c r="CD6" s="16"/>
      <c r="CE6" s="16"/>
      <c r="CF6" s="16"/>
      <c r="CG6" s="16"/>
      <c r="CH6" s="108" t="s">
        <v>170</v>
      </c>
      <c r="CI6" s="16"/>
      <c r="CJ6" s="16"/>
      <c r="CK6" s="16"/>
      <c r="CL6" s="16"/>
      <c r="CM6" s="16"/>
      <c r="CN6" s="16"/>
      <c r="CO6" s="108" t="s">
        <v>170</v>
      </c>
      <c r="CP6" s="16"/>
      <c r="CQ6" s="16"/>
      <c r="CR6" s="16"/>
      <c r="CS6" s="16"/>
      <c r="CT6" s="16"/>
      <c r="CU6" s="16"/>
      <c r="CV6" s="108" t="s">
        <v>170</v>
      </c>
      <c r="CW6" s="16"/>
      <c r="CX6" s="16"/>
      <c r="CY6" s="16"/>
      <c r="CZ6" s="16"/>
      <c r="DA6" s="16"/>
      <c r="DB6" s="16"/>
      <c r="DC6" s="108" t="s">
        <v>170</v>
      </c>
      <c r="DD6" s="16"/>
      <c r="DE6" s="16"/>
      <c r="DF6" s="16"/>
      <c r="DG6" s="16"/>
      <c r="DH6" s="16"/>
      <c r="DI6" s="16"/>
      <c r="DJ6" s="108" t="s">
        <v>170</v>
      </c>
      <c r="DK6" s="16"/>
      <c r="DL6" s="16"/>
      <c r="DM6" s="16"/>
      <c r="DN6" s="16"/>
      <c r="DO6" s="16"/>
      <c r="DP6" s="16"/>
      <c r="DQ6" s="108" t="s">
        <v>170</v>
      </c>
      <c r="DR6" s="16"/>
      <c r="DS6" s="16"/>
      <c r="DT6" s="16"/>
      <c r="DU6" s="16"/>
      <c r="DV6" s="16"/>
      <c r="DW6" s="16"/>
      <c r="DX6" s="108" t="s">
        <v>170</v>
      </c>
      <c r="DY6" s="16"/>
      <c r="DZ6" s="16"/>
      <c r="EA6" s="16"/>
      <c r="EB6" s="16"/>
      <c r="EC6" s="16"/>
      <c r="ED6" s="16"/>
      <c r="EE6" s="108" t="s">
        <v>170</v>
      </c>
      <c r="EF6" s="16"/>
      <c r="EG6" s="16"/>
      <c r="EH6" s="16"/>
      <c r="EI6" s="16"/>
      <c r="EJ6" s="16"/>
      <c r="EK6" s="16"/>
      <c r="EL6" s="108" t="s">
        <v>170</v>
      </c>
      <c r="EM6" s="16"/>
      <c r="EN6" s="16"/>
      <c r="EO6" s="5">
        <f t="shared" ref="EO6:EO37" si="3">COUNTIF(F6:EN6,"P")</f>
        <v>22</v>
      </c>
      <c r="EP6" s="5">
        <f t="shared" ref="EP6:EP37" si="4">COUNTIF(F6:EN6,"A")</f>
        <v>12</v>
      </c>
      <c r="EQ6" s="5" t="s">
        <v>9</v>
      </c>
      <c r="ER6" s="17">
        <v>26</v>
      </c>
      <c r="ES6" s="18" t="s">
        <v>10</v>
      </c>
      <c r="ET6" s="3"/>
    </row>
    <row r="7" spans="1:150" x14ac:dyDescent="0.25">
      <c r="A7" s="17">
        <v>2</v>
      </c>
      <c r="B7" s="19"/>
      <c r="C7" s="20" t="s">
        <v>52</v>
      </c>
      <c r="D7" s="21" t="s">
        <v>53</v>
      </c>
      <c r="E7" s="11" t="s">
        <v>8</v>
      </c>
      <c r="F7" s="16" t="s">
        <v>166</v>
      </c>
      <c r="G7" s="16" t="s">
        <v>166</v>
      </c>
      <c r="H7" s="16" t="s">
        <v>166</v>
      </c>
      <c r="I7" s="109"/>
      <c r="J7" s="16" t="s">
        <v>165</v>
      </c>
      <c r="K7" s="112"/>
      <c r="L7" s="16" t="s">
        <v>166</v>
      </c>
      <c r="M7" s="16" t="s">
        <v>166</v>
      </c>
      <c r="N7" s="16" t="s">
        <v>166</v>
      </c>
      <c r="O7" s="16" t="s">
        <v>166</v>
      </c>
      <c r="P7" s="109"/>
      <c r="Q7" s="112"/>
      <c r="R7" s="16" t="s">
        <v>166</v>
      </c>
      <c r="S7" s="16" t="s">
        <v>165</v>
      </c>
      <c r="T7" s="16" t="s">
        <v>165</v>
      </c>
      <c r="U7" s="112"/>
      <c r="V7" s="16" t="s">
        <v>165</v>
      </c>
      <c r="W7" s="109"/>
      <c r="X7" s="16" t="s">
        <v>166</v>
      </c>
      <c r="Y7" s="16" t="s">
        <v>166</v>
      </c>
      <c r="Z7" s="16" t="s">
        <v>166</v>
      </c>
      <c r="AA7" s="16" t="s">
        <v>166</v>
      </c>
      <c r="AB7" s="16" t="s">
        <v>166</v>
      </c>
      <c r="AC7" s="16" t="s">
        <v>166</v>
      </c>
      <c r="AD7" s="109"/>
      <c r="AE7" s="16" t="s">
        <v>166</v>
      </c>
      <c r="AF7" s="16" t="s">
        <v>166</v>
      </c>
      <c r="AG7" s="16" t="s">
        <v>166</v>
      </c>
      <c r="AH7" s="16" t="s">
        <v>166</v>
      </c>
      <c r="AI7" s="16" t="s">
        <v>166</v>
      </c>
      <c r="AJ7" s="16" t="s">
        <v>166</v>
      </c>
      <c r="AK7" s="109"/>
      <c r="AL7" s="16" t="s">
        <v>165</v>
      </c>
      <c r="AM7" s="16" t="s">
        <v>166</v>
      </c>
      <c r="AN7" s="16" t="s">
        <v>166</v>
      </c>
      <c r="AO7" s="16" t="s">
        <v>166</v>
      </c>
      <c r="AP7" s="16" t="s">
        <v>166</v>
      </c>
      <c r="AQ7" s="16" t="s">
        <v>166</v>
      </c>
      <c r="AR7" s="109"/>
      <c r="AS7" s="16" t="s">
        <v>166</v>
      </c>
      <c r="AT7" s="16" t="s">
        <v>166</v>
      </c>
      <c r="AU7" s="16" t="s">
        <v>166</v>
      </c>
      <c r="AV7" s="16" t="s">
        <v>166</v>
      </c>
      <c r="AW7" s="16"/>
      <c r="AX7" s="16"/>
      <c r="AY7" s="109"/>
      <c r="AZ7" s="16"/>
      <c r="BA7" s="16"/>
      <c r="BB7" s="16"/>
      <c r="BC7" s="16"/>
      <c r="BD7" s="16"/>
      <c r="BE7" s="16"/>
      <c r="BF7" s="109"/>
      <c r="BG7" s="16"/>
      <c r="BH7" s="16"/>
      <c r="BI7" s="16"/>
      <c r="BJ7" s="16"/>
      <c r="BK7" s="16"/>
      <c r="BL7" s="16"/>
      <c r="BM7" s="109"/>
      <c r="BN7" s="16"/>
      <c r="BO7" s="16"/>
      <c r="BP7" s="16"/>
      <c r="BQ7" s="16"/>
      <c r="BR7" s="16"/>
      <c r="BS7" s="16"/>
      <c r="BT7" s="109"/>
      <c r="BU7" s="16"/>
      <c r="BV7" s="16"/>
      <c r="BW7" s="16"/>
      <c r="BX7" s="16"/>
      <c r="BY7" s="16"/>
      <c r="BZ7" s="16"/>
      <c r="CA7" s="109"/>
      <c r="CB7" s="16"/>
      <c r="CC7" s="16"/>
      <c r="CD7" s="16"/>
      <c r="CE7" s="16"/>
      <c r="CF7" s="16"/>
      <c r="CG7" s="16"/>
      <c r="CH7" s="109"/>
      <c r="CI7" s="16"/>
      <c r="CJ7" s="16"/>
      <c r="CK7" s="16"/>
      <c r="CL7" s="16"/>
      <c r="CM7" s="16"/>
      <c r="CN7" s="16"/>
      <c r="CO7" s="109"/>
      <c r="CP7" s="16"/>
      <c r="CQ7" s="16"/>
      <c r="CR7" s="16"/>
      <c r="CS7" s="16"/>
      <c r="CT7" s="16"/>
      <c r="CU7" s="16"/>
      <c r="CV7" s="109"/>
      <c r="CW7" s="16"/>
      <c r="CX7" s="16"/>
      <c r="CY7" s="16"/>
      <c r="CZ7" s="16"/>
      <c r="DA7" s="16"/>
      <c r="DB7" s="16"/>
      <c r="DC7" s="109"/>
      <c r="DD7" s="16"/>
      <c r="DE7" s="16"/>
      <c r="DF7" s="16"/>
      <c r="DG7" s="16"/>
      <c r="DH7" s="16"/>
      <c r="DI7" s="16"/>
      <c r="DJ7" s="109"/>
      <c r="DK7" s="16"/>
      <c r="DL7" s="16"/>
      <c r="DM7" s="16"/>
      <c r="DN7" s="16"/>
      <c r="DO7" s="16"/>
      <c r="DP7" s="16"/>
      <c r="DQ7" s="109"/>
      <c r="DR7" s="16"/>
      <c r="DS7" s="16"/>
      <c r="DT7" s="16"/>
      <c r="DU7" s="16"/>
      <c r="DV7" s="16"/>
      <c r="DW7" s="16"/>
      <c r="DX7" s="109"/>
      <c r="DY7" s="16"/>
      <c r="DZ7" s="16"/>
      <c r="EA7" s="16"/>
      <c r="EB7" s="16"/>
      <c r="EC7" s="16"/>
      <c r="ED7" s="16"/>
      <c r="EE7" s="109"/>
      <c r="EF7" s="16"/>
      <c r="EG7" s="16"/>
      <c r="EH7" s="16"/>
      <c r="EI7" s="16"/>
      <c r="EJ7" s="16"/>
      <c r="EK7" s="16"/>
      <c r="EL7" s="109"/>
      <c r="EM7" s="16"/>
      <c r="EN7" s="16"/>
      <c r="EO7" s="5">
        <f t="shared" si="3"/>
        <v>29</v>
      </c>
      <c r="EP7" s="5">
        <f t="shared" si="4"/>
        <v>5</v>
      </c>
      <c r="EQ7" s="5" t="s">
        <v>11</v>
      </c>
      <c r="ER7" s="17">
        <v>4</v>
      </c>
      <c r="ES7" s="3"/>
      <c r="ET7" s="3"/>
    </row>
    <row r="8" spans="1:150" x14ac:dyDescent="0.25">
      <c r="A8" s="6">
        <v>3</v>
      </c>
      <c r="B8" s="19"/>
      <c r="C8" s="20" t="s">
        <v>54</v>
      </c>
      <c r="D8" s="21" t="s">
        <v>55</v>
      </c>
      <c r="E8" s="11" t="s">
        <v>8</v>
      </c>
      <c r="F8" s="16" t="s">
        <v>165</v>
      </c>
      <c r="G8" s="16" t="s">
        <v>165</v>
      </c>
      <c r="H8" s="16" t="s">
        <v>165</v>
      </c>
      <c r="I8" s="109"/>
      <c r="J8" s="16" t="s">
        <v>165</v>
      </c>
      <c r="K8" s="112"/>
      <c r="L8" s="16" t="s">
        <v>166</v>
      </c>
      <c r="M8" s="16" t="s">
        <v>166</v>
      </c>
      <c r="N8" s="16" t="s">
        <v>166</v>
      </c>
      <c r="O8" s="16" t="s">
        <v>165</v>
      </c>
      <c r="P8" s="109"/>
      <c r="Q8" s="112"/>
      <c r="R8" s="16" t="s">
        <v>166</v>
      </c>
      <c r="S8" s="16" t="s">
        <v>165</v>
      </c>
      <c r="T8" s="16" t="s">
        <v>166</v>
      </c>
      <c r="U8" s="112"/>
      <c r="V8" s="16" t="s">
        <v>165</v>
      </c>
      <c r="W8" s="109"/>
      <c r="X8" s="16" t="s">
        <v>166</v>
      </c>
      <c r="Y8" s="16" t="s">
        <v>166</v>
      </c>
      <c r="Z8" s="16" t="s">
        <v>166</v>
      </c>
      <c r="AA8" s="16" t="s">
        <v>166</v>
      </c>
      <c r="AB8" s="16" t="s">
        <v>165</v>
      </c>
      <c r="AC8" s="16" t="s">
        <v>165</v>
      </c>
      <c r="AD8" s="109"/>
      <c r="AE8" s="16" t="s">
        <v>166</v>
      </c>
      <c r="AF8" s="16" t="s">
        <v>166</v>
      </c>
      <c r="AG8" s="16" t="s">
        <v>165</v>
      </c>
      <c r="AH8" s="16" t="s">
        <v>166</v>
      </c>
      <c r="AI8" s="16" t="s">
        <v>165</v>
      </c>
      <c r="AJ8" s="16" t="s">
        <v>165</v>
      </c>
      <c r="AK8" s="109"/>
      <c r="AL8" s="16" t="s">
        <v>166</v>
      </c>
      <c r="AM8" s="16" t="s">
        <v>166</v>
      </c>
      <c r="AN8" s="16" t="s">
        <v>166</v>
      </c>
      <c r="AO8" s="16" t="s">
        <v>166</v>
      </c>
      <c r="AP8" s="16" t="s">
        <v>166</v>
      </c>
      <c r="AQ8" s="16" t="s">
        <v>165</v>
      </c>
      <c r="AR8" s="109"/>
      <c r="AS8" s="16" t="s">
        <v>166</v>
      </c>
      <c r="AT8" s="16" t="s">
        <v>166</v>
      </c>
      <c r="AU8" s="16" t="s">
        <v>166</v>
      </c>
      <c r="AV8" s="16" t="s">
        <v>166</v>
      </c>
      <c r="AW8" s="16"/>
      <c r="AX8" s="16"/>
      <c r="AY8" s="109"/>
      <c r="AZ8" s="16"/>
      <c r="BA8" s="16"/>
      <c r="BB8" s="16"/>
      <c r="BC8" s="16"/>
      <c r="BD8" s="16"/>
      <c r="BE8" s="16"/>
      <c r="BF8" s="109"/>
      <c r="BG8" s="16"/>
      <c r="BH8" s="16"/>
      <c r="BI8" s="16"/>
      <c r="BJ8" s="16"/>
      <c r="BK8" s="16"/>
      <c r="BL8" s="16"/>
      <c r="BM8" s="109"/>
      <c r="BN8" s="16"/>
      <c r="BO8" s="16"/>
      <c r="BP8" s="16"/>
      <c r="BQ8" s="16"/>
      <c r="BR8" s="16"/>
      <c r="BS8" s="16"/>
      <c r="BT8" s="109"/>
      <c r="BU8" s="16"/>
      <c r="BV8" s="16"/>
      <c r="BW8" s="16"/>
      <c r="BX8" s="16"/>
      <c r="BY8" s="16"/>
      <c r="BZ8" s="16"/>
      <c r="CA8" s="109"/>
      <c r="CB8" s="16"/>
      <c r="CC8" s="16"/>
      <c r="CD8" s="16"/>
      <c r="CE8" s="16"/>
      <c r="CF8" s="16"/>
      <c r="CG8" s="16"/>
      <c r="CH8" s="109"/>
      <c r="CI8" s="16"/>
      <c r="CJ8" s="16"/>
      <c r="CK8" s="16"/>
      <c r="CL8" s="16"/>
      <c r="CM8" s="16"/>
      <c r="CN8" s="16"/>
      <c r="CO8" s="109"/>
      <c r="CP8" s="16"/>
      <c r="CQ8" s="16"/>
      <c r="CR8" s="16"/>
      <c r="CS8" s="16"/>
      <c r="CT8" s="16"/>
      <c r="CU8" s="16"/>
      <c r="CV8" s="109"/>
      <c r="CW8" s="16"/>
      <c r="CX8" s="16"/>
      <c r="CY8" s="16"/>
      <c r="CZ8" s="16"/>
      <c r="DA8" s="16"/>
      <c r="DB8" s="16"/>
      <c r="DC8" s="109"/>
      <c r="DD8" s="16"/>
      <c r="DE8" s="16"/>
      <c r="DF8" s="16"/>
      <c r="DG8" s="16"/>
      <c r="DH8" s="16"/>
      <c r="DI8" s="16"/>
      <c r="DJ8" s="109"/>
      <c r="DK8" s="16"/>
      <c r="DL8" s="16"/>
      <c r="DM8" s="16"/>
      <c r="DN8" s="16"/>
      <c r="DO8" s="16"/>
      <c r="DP8" s="16"/>
      <c r="DQ8" s="109"/>
      <c r="DR8" s="16"/>
      <c r="DS8" s="16"/>
      <c r="DT8" s="16"/>
      <c r="DU8" s="16"/>
      <c r="DV8" s="16"/>
      <c r="DW8" s="16"/>
      <c r="DX8" s="109"/>
      <c r="DY8" s="16"/>
      <c r="DZ8" s="16"/>
      <c r="EA8" s="16"/>
      <c r="EB8" s="16"/>
      <c r="EC8" s="16"/>
      <c r="ED8" s="16"/>
      <c r="EE8" s="109"/>
      <c r="EF8" s="16"/>
      <c r="EG8" s="16"/>
      <c r="EH8" s="16"/>
      <c r="EI8" s="16"/>
      <c r="EJ8" s="16"/>
      <c r="EK8" s="16"/>
      <c r="EL8" s="109"/>
      <c r="EM8" s="16"/>
      <c r="EN8" s="16"/>
      <c r="EO8" s="5">
        <f t="shared" si="3"/>
        <v>21</v>
      </c>
      <c r="EP8" s="5">
        <f t="shared" si="4"/>
        <v>13</v>
      </c>
      <c r="EQ8" s="3"/>
      <c r="ER8" s="3"/>
      <c r="ES8" s="3"/>
      <c r="ET8" s="3"/>
    </row>
    <row r="9" spans="1:150" ht="15.75" x14ac:dyDescent="0.25">
      <c r="A9" s="17">
        <v>4</v>
      </c>
      <c r="B9" s="19">
        <v>135</v>
      </c>
      <c r="C9" s="20" t="s">
        <v>56</v>
      </c>
      <c r="D9" s="21" t="s">
        <v>57</v>
      </c>
      <c r="E9" s="11" t="s">
        <v>8</v>
      </c>
      <c r="F9" s="16" t="s">
        <v>166</v>
      </c>
      <c r="G9" s="16" t="s">
        <v>166</v>
      </c>
      <c r="H9" s="16" t="s">
        <v>165</v>
      </c>
      <c r="I9" s="109"/>
      <c r="J9" s="16" t="s">
        <v>166</v>
      </c>
      <c r="K9" s="112"/>
      <c r="L9" s="16" t="s">
        <v>166</v>
      </c>
      <c r="M9" s="16" t="s">
        <v>166</v>
      </c>
      <c r="N9" s="16" t="s">
        <v>166</v>
      </c>
      <c r="O9" s="16" t="s">
        <v>165</v>
      </c>
      <c r="P9" s="109"/>
      <c r="Q9" s="112"/>
      <c r="R9" s="16" t="s">
        <v>166</v>
      </c>
      <c r="S9" s="16" t="s">
        <v>165</v>
      </c>
      <c r="T9" s="16" t="s">
        <v>166</v>
      </c>
      <c r="U9" s="112"/>
      <c r="V9" s="16" t="s">
        <v>165</v>
      </c>
      <c r="W9" s="109"/>
      <c r="X9" s="16" t="s">
        <v>166</v>
      </c>
      <c r="Y9" s="16" t="s">
        <v>166</v>
      </c>
      <c r="Z9" s="16" t="s">
        <v>166</v>
      </c>
      <c r="AA9" s="16" t="s">
        <v>166</v>
      </c>
      <c r="AB9" s="16" t="s">
        <v>165</v>
      </c>
      <c r="AC9" s="16" t="s">
        <v>166</v>
      </c>
      <c r="AD9" s="109"/>
      <c r="AE9" s="16" t="s">
        <v>166</v>
      </c>
      <c r="AF9" s="16" t="s">
        <v>165</v>
      </c>
      <c r="AG9" s="16" t="s">
        <v>166</v>
      </c>
      <c r="AH9" s="16" t="s">
        <v>165</v>
      </c>
      <c r="AI9" s="16" t="s">
        <v>166</v>
      </c>
      <c r="AJ9" s="16" t="s">
        <v>166</v>
      </c>
      <c r="AK9" s="109"/>
      <c r="AL9" s="16" t="s">
        <v>166</v>
      </c>
      <c r="AM9" s="16" t="s">
        <v>166</v>
      </c>
      <c r="AN9" s="16" t="s">
        <v>166</v>
      </c>
      <c r="AO9" s="16" t="s">
        <v>166</v>
      </c>
      <c r="AP9" s="16" t="s">
        <v>166</v>
      </c>
      <c r="AQ9" s="16" t="s">
        <v>166</v>
      </c>
      <c r="AR9" s="109"/>
      <c r="AS9" s="16" t="s">
        <v>166</v>
      </c>
      <c r="AT9" s="16" t="s">
        <v>166</v>
      </c>
      <c r="AU9" s="16"/>
      <c r="AV9" s="16" t="s">
        <v>166</v>
      </c>
      <c r="AW9" s="16"/>
      <c r="AX9" s="16"/>
      <c r="AY9" s="109"/>
      <c r="AZ9" s="16"/>
      <c r="BA9" s="16"/>
      <c r="BB9" s="16"/>
      <c r="BC9" s="16"/>
      <c r="BD9" s="16"/>
      <c r="BE9" s="16"/>
      <c r="BF9" s="109"/>
      <c r="BG9" s="16"/>
      <c r="BH9" s="16"/>
      <c r="BI9" s="16"/>
      <c r="BJ9" s="16"/>
      <c r="BK9" s="16"/>
      <c r="BL9" s="16"/>
      <c r="BM9" s="109"/>
      <c r="BN9" s="16"/>
      <c r="BO9" s="16"/>
      <c r="BP9" s="16"/>
      <c r="BQ9" s="16"/>
      <c r="BR9" s="16"/>
      <c r="BS9" s="16"/>
      <c r="BT9" s="109"/>
      <c r="BU9" s="16"/>
      <c r="BV9" s="16"/>
      <c r="BW9" s="16"/>
      <c r="BX9" s="16"/>
      <c r="BY9" s="16"/>
      <c r="BZ9" s="16"/>
      <c r="CA9" s="109"/>
      <c r="CB9" s="16"/>
      <c r="CC9" s="16"/>
      <c r="CD9" s="16"/>
      <c r="CE9" s="16"/>
      <c r="CF9" s="16"/>
      <c r="CG9" s="16"/>
      <c r="CH9" s="109"/>
      <c r="CI9" s="16"/>
      <c r="CJ9" s="16"/>
      <c r="CK9" s="16"/>
      <c r="CL9" s="16"/>
      <c r="CM9" s="16"/>
      <c r="CN9" s="16"/>
      <c r="CO9" s="109"/>
      <c r="CP9" s="16"/>
      <c r="CQ9" s="16"/>
      <c r="CR9" s="16"/>
      <c r="CS9" s="16"/>
      <c r="CT9" s="16"/>
      <c r="CU9" s="16"/>
      <c r="CV9" s="109"/>
      <c r="CW9" s="16"/>
      <c r="CX9" s="16"/>
      <c r="CY9" s="16"/>
      <c r="CZ9" s="16"/>
      <c r="DA9" s="16"/>
      <c r="DB9" s="16"/>
      <c r="DC9" s="109"/>
      <c r="DD9" s="16"/>
      <c r="DE9" s="16"/>
      <c r="DF9" s="16"/>
      <c r="DG9" s="16"/>
      <c r="DH9" s="16"/>
      <c r="DI9" s="16"/>
      <c r="DJ9" s="109"/>
      <c r="DK9" s="16"/>
      <c r="DL9" s="16"/>
      <c r="DM9" s="16"/>
      <c r="DN9" s="16"/>
      <c r="DO9" s="16"/>
      <c r="DP9" s="16"/>
      <c r="DQ9" s="109"/>
      <c r="DR9" s="16"/>
      <c r="DS9" s="16"/>
      <c r="DT9" s="16"/>
      <c r="DU9" s="16"/>
      <c r="DV9" s="16"/>
      <c r="DW9" s="16"/>
      <c r="DX9" s="109"/>
      <c r="DY9" s="16"/>
      <c r="DZ9" s="16"/>
      <c r="EA9" s="16"/>
      <c r="EB9" s="16"/>
      <c r="EC9" s="16"/>
      <c r="ED9" s="16"/>
      <c r="EE9" s="109"/>
      <c r="EF9" s="16"/>
      <c r="EG9" s="16"/>
      <c r="EH9" s="16"/>
      <c r="EI9" s="16"/>
      <c r="EJ9" s="16"/>
      <c r="EK9" s="16"/>
      <c r="EL9" s="109"/>
      <c r="EM9" s="16"/>
      <c r="EN9" s="16"/>
      <c r="EO9" s="5">
        <f t="shared" si="3"/>
        <v>26</v>
      </c>
      <c r="EP9" s="5">
        <f t="shared" si="4"/>
        <v>7</v>
      </c>
      <c r="EQ9" s="103" t="s">
        <v>12</v>
      </c>
      <c r="ER9" s="105"/>
      <c r="ES9" s="105"/>
      <c r="ET9" s="104"/>
    </row>
    <row r="10" spans="1:150" x14ac:dyDescent="0.25">
      <c r="A10" s="6">
        <v>5</v>
      </c>
      <c r="B10" s="19">
        <v>136</v>
      </c>
      <c r="C10" s="20" t="s">
        <v>58</v>
      </c>
      <c r="D10" s="21" t="s">
        <v>59</v>
      </c>
      <c r="E10" s="11" t="s">
        <v>8</v>
      </c>
      <c r="F10" s="16" t="s">
        <v>166</v>
      </c>
      <c r="G10" s="16" t="s">
        <v>166</v>
      </c>
      <c r="H10" s="16" t="s">
        <v>166</v>
      </c>
      <c r="I10" s="109"/>
      <c r="J10" s="16" t="s">
        <v>166</v>
      </c>
      <c r="K10" s="112"/>
      <c r="L10" s="16" t="s">
        <v>166</v>
      </c>
      <c r="M10" s="16" t="s">
        <v>166</v>
      </c>
      <c r="N10" s="16" t="s">
        <v>166</v>
      </c>
      <c r="O10" s="16" t="s">
        <v>165</v>
      </c>
      <c r="P10" s="109"/>
      <c r="Q10" s="112"/>
      <c r="R10" s="16" t="s">
        <v>166</v>
      </c>
      <c r="S10" s="16" t="s">
        <v>165</v>
      </c>
      <c r="T10" s="16" t="s">
        <v>166</v>
      </c>
      <c r="U10" s="112"/>
      <c r="V10" s="16" t="s">
        <v>165</v>
      </c>
      <c r="W10" s="109"/>
      <c r="X10" s="16" t="s">
        <v>166</v>
      </c>
      <c r="Y10" s="16" t="s">
        <v>165</v>
      </c>
      <c r="Z10" s="16" t="s">
        <v>166</v>
      </c>
      <c r="AA10" s="16" t="s">
        <v>166</v>
      </c>
      <c r="AB10" s="16" t="s">
        <v>165</v>
      </c>
      <c r="AC10" s="16" t="s">
        <v>165</v>
      </c>
      <c r="AD10" s="109"/>
      <c r="AE10" s="16" t="s">
        <v>166</v>
      </c>
      <c r="AF10" s="16" t="s">
        <v>166</v>
      </c>
      <c r="AG10" s="16" t="s">
        <v>166</v>
      </c>
      <c r="AH10" s="16" t="s">
        <v>166</v>
      </c>
      <c r="AI10" s="16" t="s">
        <v>166</v>
      </c>
      <c r="AJ10" s="16" t="s">
        <v>166</v>
      </c>
      <c r="AK10" s="109"/>
      <c r="AL10" s="16" t="s">
        <v>166</v>
      </c>
      <c r="AM10" s="16" t="s">
        <v>166</v>
      </c>
      <c r="AN10" s="16" t="s">
        <v>166</v>
      </c>
      <c r="AO10" s="16" t="s">
        <v>166</v>
      </c>
      <c r="AP10" s="16" t="s">
        <v>166</v>
      </c>
      <c r="AQ10" s="16" t="s">
        <v>165</v>
      </c>
      <c r="AR10" s="109"/>
      <c r="AS10" s="16" t="s">
        <v>166</v>
      </c>
      <c r="AT10" s="16" t="s">
        <v>166</v>
      </c>
      <c r="AU10" s="16"/>
      <c r="AV10" s="16" t="s">
        <v>166</v>
      </c>
      <c r="AW10" s="16"/>
      <c r="AX10" s="16"/>
      <c r="AY10" s="109"/>
      <c r="AZ10" s="16"/>
      <c r="BA10" s="16"/>
      <c r="BB10" s="16"/>
      <c r="BC10" s="16"/>
      <c r="BD10" s="16"/>
      <c r="BE10" s="16"/>
      <c r="BF10" s="109"/>
      <c r="BG10" s="16"/>
      <c r="BH10" s="16"/>
      <c r="BI10" s="16"/>
      <c r="BJ10" s="16"/>
      <c r="BK10" s="16"/>
      <c r="BL10" s="16"/>
      <c r="BM10" s="109"/>
      <c r="BN10" s="16"/>
      <c r="BO10" s="16"/>
      <c r="BP10" s="16"/>
      <c r="BQ10" s="16"/>
      <c r="BR10" s="16"/>
      <c r="BS10" s="16"/>
      <c r="BT10" s="109"/>
      <c r="BU10" s="16"/>
      <c r="BV10" s="16"/>
      <c r="BW10" s="16"/>
      <c r="BX10" s="16"/>
      <c r="BY10" s="16"/>
      <c r="BZ10" s="16"/>
      <c r="CA10" s="109"/>
      <c r="CB10" s="16"/>
      <c r="CC10" s="16"/>
      <c r="CD10" s="16"/>
      <c r="CE10" s="16"/>
      <c r="CF10" s="16"/>
      <c r="CG10" s="16"/>
      <c r="CH10" s="109"/>
      <c r="CI10" s="16"/>
      <c r="CJ10" s="16"/>
      <c r="CK10" s="16"/>
      <c r="CL10" s="16"/>
      <c r="CM10" s="16"/>
      <c r="CN10" s="16"/>
      <c r="CO10" s="109"/>
      <c r="CP10" s="16"/>
      <c r="CQ10" s="16"/>
      <c r="CR10" s="16"/>
      <c r="CS10" s="16"/>
      <c r="CT10" s="16"/>
      <c r="CU10" s="16"/>
      <c r="CV10" s="109"/>
      <c r="CW10" s="16"/>
      <c r="CX10" s="16"/>
      <c r="CY10" s="16"/>
      <c r="CZ10" s="16"/>
      <c r="DA10" s="16"/>
      <c r="DB10" s="16"/>
      <c r="DC10" s="109"/>
      <c r="DD10" s="16"/>
      <c r="DE10" s="16"/>
      <c r="DF10" s="16"/>
      <c r="DG10" s="16"/>
      <c r="DH10" s="16"/>
      <c r="DI10" s="16"/>
      <c r="DJ10" s="109"/>
      <c r="DK10" s="16"/>
      <c r="DL10" s="16"/>
      <c r="DM10" s="16"/>
      <c r="DN10" s="16"/>
      <c r="DO10" s="16"/>
      <c r="DP10" s="16"/>
      <c r="DQ10" s="109"/>
      <c r="DR10" s="16"/>
      <c r="DS10" s="16"/>
      <c r="DT10" s="16"/>
      <c r="DU10" s="16"/>
      <c r="DV10" s="16"/>
      <c r="DW10" s="16"/>
      <c r="DX10" s="109"/>
      <c r="DY10" s="16"/>
      <c r="DZ10" s="16"/>
      <c r="EA10" s="16"/>
      <c r="EB10" s="16"/>
      <c r="EC10" s="16"/>
      <c r="ED10" s="16"/>
      <c r="EE10" s="109"/>
      <c r="EF10" s="16"/>
      <c r="EG10" s="16"/>
      <c r="EH10" s="16"/>
      <c r="EI10" s="16"/>
      <c r="EJ10" s="16"/>
      <c r="EK10" s="16"/>
      <c r="EL10" s="109"/>
      <c r="EM10" s="16"/>
      <c r="EN10" s="16"/>
      <c r="EO10" s="5">
        <f t="shared" si="3"/>
        <v>26</v>
      </c>
      <c r="EP10" s="5">
        <f t="shared" si="4"/>
        <v>7</v>
      </c>
      <c r="EQ10" s="5" t="s">
        <v>13</v>
      </c>
      <c r="ER10" s="5" t="s">
        <v>14</v>
      </c>
      <c r="ES10" s="5" t="s">
        <v>15</v>
      </c>
      <c r="ET10" s="5" t="s">
        <v>16</v>
      </c>
    </row>
    <row r="11" spans="1:150" x14ac:dyDescent="0.25">
      <c r="A11" s="17">
        <v>6</v>
      </c>
      <c r="B11" s="19">
        <v>137</v>
      </c>
      <c r="C11" s="20" t="s">
        <v>60</v>
      </c>
      <c r="D11" s="21" t="s">
        <v>61</v>
      </c>
      <c r="E11" s="11" t="s">
        <v>8</v>
      </c>
      <c r="F11" s="16" t="s">
        <v>165</v>
      </c>
      <c r="G11" s="16" t="s">
        <v>165</v>
      </c>
      <c r="H11" s="16" t="s">
        <v>165</v>
      </c>
      <c r="I11" s="109"/>
      <c r="J11" s="16" t="s">
        <v>166</v>
      </c>
      <c r="K11" s="112"/>
      <c r="L11" s="16" t="s">
        <v>166</v>
      </c>
      <c r="M11" s="16" t="s">
        <v>166</v>
      </c>
      <c r="N11" s="16" t="s">
        <v>166</v>
      </c>
      <c r="O11" s="16" t="s">
        <v>166</v>
      </c>
      <c r="P11" s="109"/>
      <c r="Q11" s="112"/>
      <c r="R11" s="16" t="s">
        <v>166</v>
      </c>
      <c r="S11" s="16" t="s">
        <v>166</v>
      </c>
      <c r="T11" s="16" t="s">
        <v>165</v>
      </c>
      <c r="U11" s="112"/>
      <c r="V11" s="16" t="s">
        <v>165</v>
      </c>
      <c r="W11" s="109"/>
      <c r="X11" s="16" t="s">
        <v>165</v>
      </c>
      <c r="Y11" s="16" t="s">
        <v>166</v>
      </c>
      <c r="Z11" s="16" t="s">
        <v>166</v>
      </c>
      <c r="AA11" s="16" t="s">
        <v>166</v>
      </c>
      <c r="AB11" s="16" t="s">
        <v>166</v>
      </c>
      <c r="AC11" s="16" t="s">
        <v>166</v>
      </c>
      <c r="AD11" s="109"/>
      <c r="AE11" s="16" t="s">
        <v>166</v>
      </c>
      <c r="AF11" s="16" t="s">
        <v>165</v>
      </c>
      <c r="AG11" s="16" t="s">
        <v>166</v>
      </c>
      <c r="AH11" s="16" t="s">
        <v>166</v>
      </c>
      <c r="AI11" s="16" t="s">
        <v>166</v>
      </c>
      <c r="AJ11" s="16" t="s">
        <v>166</v>
      </c>
      <c r="AK11" s="109"/>
      <c r="AL11" s="16" t="s">
        <v>165</v>
      </c>
      <c r="AM11" s="16"/>
      <c r="AN11" s="16" t="s">
        <v>165</v>
      </c>
      <c r="AO11" s="16" t="s">
        <v>165</v>
      </c>
      <c r="AP11" s="16" t="s">
        <v>165</v>
      </c>
      <c r="AQ11" s="16" t="s">
        <v>165</v>
      </c>
      <c r="AR11" s="109"/>
      <c r="AS11" s="16" t="s">
        <v>166</v>
      </c>
      <c r="AT11" s="16" t="s">
        <v>165</v>
      </c>
      <c r="AU11" s="16"/>
      <c r="AV11" s="16" t="s">
        <v>166</v>
      </c>
      <c r="AW11" s="16"/>
      <c r="AX11" s="16"/>
      <c r="AY11" s="109"/>
      <c r="AZ11" s="16"/>
      <c r="BA11" s="16"/>
      <c r="BB11" s="16"/>
      <c r="BC11" s="16"/>
      <c r="BD11" s="16"/>
      <c r="BE11" s="16"/>
      <c r="BF11" s="109"/>
      <c r="BG11" s="16"/>
      <c r="BH11" s="16"/>
      <c r="BI11" s="16"/>
      <c r="BJ11" s="16"/>
      <c r="BK11" s="16"/>
      <c r="BL11" s="16"/>
      <c r="BM11" s="109"/>
      <c r="BN11" s="16"/>
      <c r="BO11" s="16"/>
      <c r="BP11" s="16"/>
      <c r="BQ11" s="16"/>
      <c r="BR11" s="16"/>
      <c r="BS11" s="16"/>
      <c r="BT11" s="109"/>
      <c r="BU11" s="16"/>
      <c r="BV11" s="16"/>
      <c r="BW11" s="16"/>
      <c r="BX11" s="16"/>
      <c r="BY11" s="16"/>
      <c r="BZ11" s="16"/>
      <c r="CA11" s="109"/>
      <c r="CB11" s="16"/>
      <c r="CC11" s="16"/>
      <c r="CD11" s="16"/>
      <c r="CE11" s="16"/>
      <c r="CF11" s="16"/>
      <c r="CG11" s="16"/>
      <c r="CH11" s="109"/>
      <c r="CI11" s="16"/>
      <c r="CJ11" s="16"/>
      <c r="CK11" s="16"/>
      <c r="CL11" s="16"/>
      <c r="CM11" s="16"/>
      <c r="CN11" s="16"/>
      <c r="CO11" s="109"/>
      <c r="CP11" s="16"/>
      <c r="CQ11" s="16"/>
      <c r="CR11" s="16"/>
      <c r="CS11" s="16"/>
      <c r="CT11" s="16"/>
      <c r="CU11" s="16"/>
      <c r="CV11" s="109"/>
      <c r="CW11" s="16"/>
      <c r="CX11" s="16"/>
      <c r="CY11" s="16"/>
      <c r="CZ11" s="16"/>
      <c r="DA11" s="16"/>
      <c r="DB11" s="16"/>
      <c r="DC11" s="109"/>
      <c r="DD11" s="16"/>
      <c r="DE11" s="16"/>
      <c r="DF11" s="16"/>
      <c r="DG11" s="16"/>
      <c r="DH11" s="16"/>
      <c r="DI11" s="16"/>
      <c r="DJ11" s="109"/>
      <c r="DK11" s="16"/>
      <c r="DL11" s="16"/>
      <c r="DM11" s="16"/>
      <c r="DN11" s="16"/>
      <c r="DO11" s="16"/>
      <c r="DP11" s="16"/>
      <c r="DQ11" s="109"/>
      <c r="DR11" s="16"/>
      <c r="DS11" s="16"/>
      <c r="DT11" s="16"/>
      <c r="DU11" s="16"/>
      <c r="DV11" s="16"/>
      <c r="DW11" s="16"/>
      <c r="DX11" s="109"/>
      <c r="DY11" s="16"/>
      <c r="DZ11" s="16"/>
      <c r="EA11" s="16"/>
      <c r="EB11" s="16"/>
      <c r="EC11" s="16"/>
      <c r="ED11" s="16"/>
      <c r="EE11" s="109"/>
      <c r="EF11" s="16"/>
      <c r="EG11" s="16"/>
      <c r="EH11" s="16"/>
      <c r="EI11" s="16"/>
      <c r="EJ11" s="16"/>
      <c r="EK11" s="16"/>
      <c r="EL11" s="109"/>
      <c r="EM11" s="16"/>
      <c r="EN11" s="16"/>
      <c r="EO11" s="5">
        <f t="shared" si="3"/>
        <v>19</v>
      </c>
      <c r="EP11" s="5">
        <f t="shared" si="4"/>
        <v>13</v>
      </c>
      <c r="EQ11" s="5" t="s">
        <v>17</v>
      </c>
      <c r="ER11" s="17">
        <f>19*26</f>
        <v>494</v>
      </c>
      <c r="ES11" s="17">
        <f>21*26</f>
        <v>546</v>
      </c>
      <c r="ET11" s="17">
        <f>SUM(ER11:ES11)</f>
        <v>1040</v>
      </c>
    </row>
    <row r="12" spans="1:150" x14ac:dyDescent="0.25">
      <c r="A12" s="6">
        <v>7</v>
      </c>
      <c r="B12" s="19">
        <v>139</v>
      </c>
      <c r="C12" s="20" t="s">
        <v>62</v>
      </c>
      <c r="D12" s="21" t="s">
        <v>63</v>
      </c>
      <c r="E12" s="11" t="s">
        <v>8</v>
      </c>
      <c r="F12" s="16" t="s">
        <v>165</v>
      </c>
      <c r="G12" s="16" t="s">
        <v>165</v>
      </c>
      <c r="H12" s="16" t="s">
        <v>166</v>
      </c>
      <c r="I12" s="109"/>
      <c r="J12" s="16" t="s">
        <v>166</v>
      </c>
      <c r="K12" s="112"/>
      <c r="L12" s="16" t="s">
        <v>166</v>
      </c>
      <c r="M12" s="16" t="s">
        <v>166</v>
      </c>
      <c r="N12" s="16" t="s">
        <v>166</v>
      </c>
      <c r="O12" s="16" t="s">
        <v>165</v>
      </c>
      <c r="P12" s="109"/>
      <c r="Q12" s="112"/>
      <c r="R12" s="16" t="s">
        <v>166</v>
      </c>
      <c r="S12" s="16" t="s">
        <v>165</v>
      </c>
      <c r="T12" s="16" t="s">
        <v>166</v>
      </c>
      <c r="U12" s="112"/>
      <c r="V12" s="16" t="s">
        <v>165</v>
      </c>
      <c r="W12" s="109"/>
      <c r="X12" s="16" t="s">
        <v>166</v>
      </c>
      <c r="Y12" s="16" t="s">
        <v>166</v>
      </c>
      <c r="Z12" s="16" t="s">
        <v>165</v>
      </c>
      <c r="AA12" s="16" t="s">
        <v>166</v>
      </c>
      <c r="AB12" s="16" t="s">
        <v>166</v>
      </c>
      <c r="AC12" s="16" t="s">
        <v>165</v>
      </c>
      <c r="AD12" s="109"/>
      <c r="AE12" s="16" t="s">
        <v>166</v>
      </c>
      <c r="AF12" s="16" t="s">
        <v>166</v>
      </c>
      <c r="AG12" s="16" t="s">
        <v>166</v>
      </c>
      <c r="AH12" s="16" t="s">
        <v>166</v>
      </c>
      <c r="AI12" s="16" t="s">
        <v>165</v>
      </c>
      <c r="AJ12" s="16" t="s">
        <v>165</v>
      </c>
      <c r="AK12" s="109"/>
      <c r="AL12" s="16" t="s">
        <v>165</v>
      </c>
      <c r="AM12" s="16" t="s">
        <v>166</v>
      </c>
      <c r="AN12" s="16" t="s">
        <v>166</v>
      </c>
      <c r="AO12" s="16" t="s">
        <v>166</v>
      </c>
      <c r="AP12" s="16" t="s">
        <v>166</v>
      </c>
      <c r="AQ12" s="16" t="s">
        <v>165</v>
      </c>
      <c r="AR12" s="109"/>
      <c r="AS12" s="16" t="s">
        <v>166</v>
      </c>
      <c r="AT12" s="16" t="s">
        <v>166</v>
      </c>
      <c r="AU12" s="16" t="s">
        <v>166</v>
      </c>
      <c r="AV12" s="16" t="s">
        <v>166</v>
      </c>
      <c r="AW12" s="16"/>
      <c r="AX12" s="16"/>
      <c r="AY12" s="109"/>
      <c r="AZ12" s="16"/>
      <c r="BA12" s="16"/>
      <c r="BB12" s="16"/>
      <c r="BC12" s="16"/>
      <c r="BD12" s="16"/>
      <c r="BE12" s="16"/>
      <c r="BF12" s="109"/>
      <c r="BG12" s="16"/>
      <c r="BH12" s="16"/>
      <c r="BI12" s="16"/>
      <c r="BJ12" s="16"/>
      <c r="BK12" s="16"/>
      <c r="BL12" s="16"/>
      <c r="BM12" s="109"/>
      <c r="BN12" s="16"/>
      <c r="BO12" s="16"/>
      <c r="BP12" s="16"/>
      <c r="BQ12" s="16"/>
      <c r="BR12" s="16"/>
      <c r="BS12" s="16"/>
      <c r="BT12" s="109"/>
      <c r="BU12" s="16"/>
      <c r="BV12" s="16"/>
      <c r="BW12" s="16"/>
      <c r="BX12" s="16"/>
      <c r="BY12" s="16"/>
      <c r="BZ12" s="16"/>
      <c r="CA12" s="109"/>
      <c r="CB12" s="16"/>
      <c r="CC12" s="16"/>
      <c r="CD12" s="16"/>
      <c r="CE12" s="16"/>
      <c r="CF12" s="16"/>
      <c r="CG12" s="16"/>
      <c r="CH12" s="109"/>
      <c r="CI12" s="16"/>
      <c r="CJ12" s="16"/>
      <c r="CK12" s="16"/>
      <c r="CL12" s="16"/>
      <c r="CM12" s="16"/>
      <c r="CN12" s="16"/>
      <c r="CO12" s="109"/>
      <c r="CP12" s="16"/>
      <c r="CQ12" s="16"/>
      <c r="CR12" s="16"/>
      <c r="CS12" s="16"/>
      <c r="CT12" s="16"/>
      <c r="CU12" s="16"/>
      <c r="CV12" s="109"/>
      <c r="CW12" s="16"/>
      <c r="CX12" s="16"/>
      <c r="CY12" s="16"/>
      <c r="CZ12" s="16"/>
      <c r="DA12" s="16"/>
      <c r="DB12" s="16"/>
      <c r="DC12" s="109"/>
      <c r="DD12" s="16"/>
      <c r="DE12" s="16"/>
      <c r="DF12" s="16"/>
      <c r="DG12" s="16"/>
      <c r="DH12" s="16"/>
      <c r="DI12" s="16"/>
      <c r="DJ12" s="109"/>
      <c r="DK12" s="16"/>
      <c r="DL12" s="16"/>
      <c r="DM12" s="16"/>
      <c r="DN12" s="16"/>
      <c r="DO12" s="16"/>
      <c r="DP12" s="16"/>
      <c r="DQ12" s="109"/>
      <c r="DR12" s="16"/>
      <c r="DS12" s="16"/>
      <c r="DT12" s="16"/>
      <c r="DU12" s="16"/>
      <c r="DV12" s="16"/>
      <c r="DW12" s="16"/>
      <c r="DX12" s="109"/>
      <c r="DY12" s="16"/>
      <c r="DZ12" s="16"/>
      <c r="EA12" s="16"/>
      <c r="EB12" s="16"/>
      <c r="EC12" s="16"/>
      <c r="ED12" s="16"/>
      <c r="EE12" s="109"/>
      <c r="EF12" s="16"/>
      <c r="EG12" s="16"/>
      <c r="EH12" s="16"/>
      <c r="EI12" s="16"/>
      <c r="EJ12" s="16"/>
      <c r="EK12" s="16"/>
      <c r="EL12" s="109"/>
      <c r="EM12" s="16"/>
      <c r="EN12" s="16"/>
      <c r="EO12" s="5">
        <f t="shared" si="3"/>
        <v>23</v>
      </c>
      <c r="EP12" s="5">
        <f t="shared" si="4"/>
        <v>11</v>
      </c>
      <c r="EQ12" s="5" t="s">
        <v>18</v>
      </c>
      <c r="ER12" s="17">
        <f>EO7+EO8+EO9+EO12+EO13+EO14+EO16+EO20+EO21+EO22+EO23+EO24+EO25+EO26+EO27+EO29+EO30+EO32+EO43</f>
        <v>435</v>
      </c>
      <c r="ES12" s="17">
        <f>EO6+EO10+EO11+EO15+EO17+EO18+EO19+EO28+EO31+EO33+EO34+EO35+EO36+EO37+EO38+EO39+EO40+EO41+EO42+EO44+EO45</f>
        <v>455</v>
      </c>
      <c r="ET12" s="17">
        <f>ER12+ES12</f>
        <v>890</v>
      </c>
    </row>
    <row r="13" spans="1:150" x14ac:dyDescent="0.25">
      <c r="A13" s="17">
        <v>8</v>
      </c>
      <c r="B13" s="19"/>
      <c r="C13" s="20" t="s">
        <v>64</v>
      </c>
      <c r="D13" s="21" t="s">
        <v>65</v>
      </c>
      <c r="E13" s="11" t="s">
        <v>8</v>
      </c>
      <c r="F13" s="16" t="s">
        <v>165</v>
      </c>
      <c r="G13" s="16" t="s">
        <v>165</v>
      </c>
      <c r="H13" s="16" t="s">
        <v>166</v>
      </c>
      <c r="I13" s="109"/>
      <c r="J13" s="16" t="s">
        <v>165</v>
      </c>
      <c r="K13" s="112"/>
      <c r="L13" s="16" t="s">
        <v>166</v>
      </c>
      <c r="M13" s="16" t="s">
        <v>166</v>
      </c>
      <c r="N13" s="16" t="s">
        <v>166</v>
      </c>
      <c r="O13" s="16" t="s">
        <v>166</v>
      </c>
      <c r="P13" s="109"/>
      <c r="Q13" s="112"/>
      <c r="R13" s="16" t="s">
        <v>166</v>
      </c>
      <c r="S13" s="16" t="s">
        <v>165</v>
      </c>
      <c r="T13" s="16" t="s">
        <v>166</v>
      </c>
      <c r="U13" s="112"/>
      <c r="V13" s="16" t="s">
        <v>165</v>
      </c>
      <c r="W13" s="109"/>
      <c r="X13" s="16" t="s">
        <v>166</v>
      </c>
      <c r="Y13" s="16" t="s">
        <v>166</v>
      </c>
      <c r="Z13" s="16" t="s">
        <v>166</v>
      </c>
      <c r="AA13" s="16" t="s">
        <v>166</v>
      </c>
      <c r="AB13" s="16" t="s">
        <v>166</v>
      </c>
      <c r="AC13" s="16" t="s">
        <v>166</v>
      </c>
      <c r="AD13" s="109"/>
      <c r="AE13" s="16" t="s">
        <v>166</v>
      </c>
      <c r="AF13" s="16" t="s">
        <v>166</v>
      </c>
      <c r="AG13" s="16" t="s">
        <v>166</v>
      </c>
      <c r="AH13" s="16" t="s">
        <v>166</v>
      </c>
      <c r="AI13" s="16" t="s">
        <v>166</v>
      </c>
      <c r="AJ13" s="16" t="s">
        <v>166</v>
      </c>
      <c r="AK13" s="109"/>
      <c r="AL13" s="16" t="s">
        <v>166</v>
      </c>
      <c r="AM13" s="16" t="s">
        <v>166</v>
      </c>
      <c r="AN13" s="16" t="s">
        <v>166</v>
      </c>
      <c r="AO13" s="16" t="s">
        <v>166</v>
      </c>
      <c r="AP13" s="16" t="s">
        <v>166</v>
      </c>
      <c r="AQ13" s="16" t="s">
        <v>165</v>
      </c>
      <c r="AR13" s="109"/>
      <c r="AS13" s="16" t="s">
        <v>166</v>
      </c>
      <c r="AT13" s="16" t="s">
        <v>166</v>
      </c>
      <c r="AU13" s="16"/>
      <c r="AV13" s="16" t="s">
        <v>166</v>
      </c>
      <c r="AW13" s="16"/>
      <c r="AX13" s="16"/>
      <c r="AY13" s="109"/>
      <c r="AZ13" s="16"/>
      <c r="BA13" s="16"/>
      <c r="BB13" s="16"/>
      <c r="BC13" s="16"/>
      <c r="BD13" s="16"/>
      <c r="BE13" s="16"/>
      <c r="BF13" s="109"/>
      <c r="BG13" s="16"/>
      <c r="BH13" s="16"/>
      <c r="BI13" s="16"/>
      <c r="BJ13" s="16"/>
      <c r="BK13" s="16"/>
      <c r="BL13" s="16"/>
      <c r="BM13" s="109"/>
      <c r="BN13" s="16"/>
      <c r="BO13" s="16"/>
      <c r="BP13" s="16"/>
      <c r="BQ13" s="16"/>
      <c r="BR13" s="16"/>
      <c r="BS13" s="16"/>
      <c r="BT13" s="109"/>
      <c r="BU13" s="16"/>
      <c r="BV13" s="16"/>
      <c r="BW13" s="16"/>
      <c r="BX13" s="16"/>
      <c r="BY13" s="16"/>
      <c r="BZ13" s="16"/>
      <c r="CA13" s="109"/>
      <c r="CB13" s="16"/>
      <c r="CC13" s="16"/>
      <c r="CD13" s="16"/>
      <c r="CE13" s="16"/>
      <c r="CF13" s="16"/>
      <c r="CG13" s="16"/>
      <c r="CH13" s="109"/>
      <c r="CI13" s="16"/>
      <c r="CJ13" s="16"/>
      <c r="CK13" s="16"/>
      <c r="CL13" s="16"/>
      <c r="CM13" s="16"/>
      <c r="CN13" s="16"/>
      <c r="CO13" s="109"/>
      <c r="CP13" s="16"/>
      <c r="CQ13" s="16"/>
      <c r="CR13" s="16"/>
      <c r="CS13" s="16"/>
      <c r="CT13" s="16"/>
      <c r="CU13" s="16"/>
      <c r="CV13" s="109"/>
      <c r="CW13" s="16"/>
      <c r="CX13" s="16"/>
      <c r="CY13" s="16"/>
      <c r="CZ13" s="16"/>
      <c r="DA13" s="16"/>
      <c r="DB13" s="16"/>
      <c r="DC13" s="109"/>
      <c r="DD13" s="16"/>
      <c r="DE13" s="16"/>
      <c r="DF13" s="16"/>
      <c r="DG13" s="16"/>
      <c r="DH13" s="16"/>
      <c r="DI13" s="16"/>
      <c r="DJ13" s="109"/>
      <c r="DK13" s="16"/>
      <c r="DL13" s="16"/>
      <c r="DM13" s="16"/>
      <c r="DN13" s="16"/>
      <c r="DO13" s="16"/>
      <c r="DP13" s="16"/>
      <c r="DQ13" s="109"/>
      <c r="DR13" s="16"/>
      <c r="DS13" s="16"/>
      <c r="DT13" s="16"/>
      <c r="DU13" s="16"/>
      <c r="DV13" s="16"/>
      <c r="DW13" s="16"/>
      <c r="DX13" s="109"/>
      <c r="DY13" s="16"/>
      <c r="DZ13" s="16"/>
      <c r="EA13" s="16"/>
      <c r="EB13" s="16"/>
      <c r="EC13" s="16"/>
      <c r="ED13" s="16"/>
      <c r="EE13" s="109"/>
      <c r="EF13" s="16"/>
      <c r="EG13" s="16"/>
      <c r="EH13" s="16"/>
      <c r="EI13" s="16"/>
      <c r="EJ13" s="16"/>
      <c r="EK13" s="16"/>
      <c r="EL13" s="109"/>
      <c r="EM13" s="16"/>
      <c r="EN13" s="16"/>
      <c r="EO13" s="5">
        <f t="shared" si="3"/>
        <v>27</v>
      </c>
      <c r="EP13" s="5">
        <f t="shared" si="4"/>
        <v>6</v>
      </c>
      <c r="EQ13" s="5" t="s">
        <v>19</v>
      </c>
      <c r="ER13" s="17">
        <f>ER12/ER11</f>
        <v>0.88056680161943324</v>
      </c>
      <c r="ES13" s="17">
        <f>ES12/ES11</f>
        <v>0.83333333333333337</v>
      </c>
      <c r="ET13" s="17">
        <f>ET12/ET11</f>
        <v>0.85576923076923073</v>
      </c>
    </row>
    <row r="14" spans="1:150" x14ac:dyDescent="0.25">
      <c r="A14" s="6">
        <v>9</v>
      </c>
      <c r="B14" s="19">
        <v>142</v>
      </c>
      <c r="C14" s="20" t="s">
        <v>66</v>
      </c>
      <c r="D14" s="21" t="s">
        <v>67</v>
      </c>
      <c r="E14" s="11" t="s">
        <v>8</v>
      </c>
      <c r="F14" s="16" t="s">
        <v>165</v>
      </c>
      <c r="G14" s="16" t="s">
        <v>165</v>
      </c>
      <c r="H14" s="16" t="s">
        <v>166</v>
      </c>
      <c r="I14" s="109"/>
      <c r="J14" s="16" t="s">
        <v>166</v>
      </c>
      <c r="K14" s="112"/>
      <c r="L14" s="16" t="s">
        <v>166</v>
      </c>
      <c r="M14" s="16" t="s">
        <v>166</v>
      </c>
      <c r="N14" s="16" t="s">
        <v>166</v>
      </c>
      <c r="O14" s="16" t="s">
        <v>166</v>
      </c>
      <c r="P14" s="109"/>
      <c r="Q14" s="112"/>
      <c r="R14" s="16" t="s">
        <v>166</v>
      </c>
      <c r="S14" s="16" t="s">
        <v>166</v>
      </c>
      <c r="T14" s="16" t="s">
        <v>166</v>
      </c>
      <c r="U14" s="112"/>
      <c r="V14" s="16" t="s">
        <v>165</v>
      </c>
      <c r="W14" s="109"/>
      <c r="X14" s="16" t="s">
        <v>166</v>
      </c>
      <c r="Y14" s="16" t="s">
        <v>166</v>
      </c>
      <c r="Z14" s="16" t="s">
        <v>166</v>
      </c>
      <c r="AA14" s="16" t="s">
        <v>166</v>
      </c>
      <c r="AB14" s="16" t="s">
        <v>166</v>
      </c>
      <c r="AC14" s="16" t="s">
        <v>166</v>
      </c>
      <c r="AD14" s="109"/>
      <c r="AE14" s="16" t="s">
        <v>166</v>
      </c>
      <c r="AF14" s="16" t="s">
        <v>166</v>
      </c>
      <c r="AG14" s="16" t="s">
        <v>166</v>
      </c>
      <c r="AH14" s="16" t="s">
        <v>166</v>
      </c>
      <c r="AI14" s="16" t="s">
        <v>166</v>
      </c>
      <c r="AJ14" s="16" t="s">
        <v>166</v>
      </c>
      <c r="AK14" s="109"/>
      <c r="AL14" s="16" t="s">
        <v>166</v>
      </c>
      <c r="AM14" s="16" t="s">
        <v>166</v>
      </c>
      <c r="AN14" s="16" t="s">
        <v>166</v>
      </c>
      <c r="AO14" s="16" t="s">
        <v>166</v>
      </c>
      <c r="AP14" s="16" t="s">
        <v>166</v>
      </c>
      <c r="AQ14" s="16" t="s">
        <v>166</v>
      </c>
      <c r="AR14" s="109"/>
      <c r="AS14" s="16" t="s">
        <v>166</v>
      </c>
      <c r="AT14" s="16" t="s">
        <v>166</v>
      </c>
      <c r="AU14" s="16" t="s">
        <v>166</v>
      </c>
      <c r="AV14" s="16" t="s">
        <v>166</v>
      </c>
      <c r="AW14" s="16"/>
      <c r="AX14" s="16"/>
      <c r="AY14" s="109"/>
      <c r="AZ14" s="16"/>
      <c r="BA14" s="16"/>
      <c r="BB14" s="16"/>
      <c r="BC14" s="16"/>
      <c r="BD14" s="16"/>
      <c r="BE14" s="16"/>
      <c r="BF14" s="109"/>
      <c r="BG14" s="16"/>
      <c r="BH14" s="16"/>
      <c r="BI14" s="16"/>
      <c r="BJ14" s="16"/>
      <c r="BK14" s="16"/>
      <c r="BL14" s="16"/>
      <c r="BM14" s="109"/>
      <c r="BN14" s="16"/>
      <c r="BO14" s="16"/>
      <c r="BP14" s="16"/>
      <c r="BQ14" s="16"/>
      <c r="BR14" s="16"/>
      <c r="BS14" s="16"/>
      <c r="BT14" s="109"/>
      <c r="BU14" s="16"/>
      <c r="BV14" s="16"/>
      <c r="BW14" s="16"/>
      <c r="BX14" s="16"/>
      <c r="BY14" s="16"/>
      <c r="BZ14" s="16"/>
      <c r="CA14" s="109"/>
      <c r="CB14" s="16"/>
      <c r="CC14" s="16"/>
      <c r="CD14" s="16"/>
      <c r="CE14" s="16"/>
      <c r="CF14" s="16"/>
      <c r="CG14" s="16"/>
      <c r="CH14" s="109"/>
      <c r="CI14" s="16"/>
      <c r="CJ14" s="16"/>
      <c r="CK14" s="16"/>
      <c r="CL14" s="16"/>
      <c r="CM14" s="16"/>
      <c r="CN14" s="16"/>
      <c r="CO14" s="109"/>
      <c r="CP14" s="16"/>
      <c r="CQ14" s="16"/>
      <c r="CR14" s="16"/>
      <c r="CS14" s="16"/>
      <c r="CT14" s="16"/>
      <c r="CU14" s="16"/>
      <c r="CV14" s="109"/>
      <c r="CW14" s="16"/>
      <c r="CX14" s="16"/>
      <c r="CY14" s="16"/>
      <c r="CZ14" s="16"/>
      <c r="DA14" s="16"/>
      <c r="DB14" s="16"/>
      <c r="DC14" s="109"/>
      <c r="DD14" s="16"/>
      <c r="DE14" s="16"/>
      <c r="DF14" s="16"/>
      <c r="DG14" s="16"/>
      <c r="DH14" s="16"/>
      <c r="DI14" s="16"/>
      <c r="DJ14" s="109"/>
      <c r="DK14" s="16"/>
      <c r="DL14" s="16"/>
      <c r="DM14" s="16"/>
      <c r="DN14" s="16"/>
      <c r="DO14" s="16"/>
      <c r="DP14" s="16"/>
      <c r="DQ14" s="109"/>
      <c r="DR14" s="16"/>
      <c r="DS14" s="16"/>
      <c r="DT14" s="16"/>
      <c r="DU14" s="16"/>
      <c r="DV14" s="16"/>
      <c r="DW14" s="16"/>
      <c r="DX14" s="109"/>
      <c r="DY14" s="16"/>
      <c r="DZ14" s="16"/>
      <c r="EA14" s="16"/>
      <c r="EB14" s="16"/>
      <c r="EC14" s="16"/>
      <c r="ED14" s="16"/>
      <c r="EE14" s="109"/>
      <c r="EF14" s="16"/>
      <c r="EG14" s="16"/>
      <c r="EH14" s="16"/>
      <c r="EI14" s="16"/>
      <c r="EJ14" s="16"/>
      <c r="EK14" s="16"/>
      <c r="EL14" s="109"/>
      <c r="EM14" s="16"/>
      <c r="EN14" s="16"/>
      <c r="EO14" s="5">
        <f t="shared" si="3"/>
        <v>31</v>
      </c>
      <c r="EP14" s="5">
        <f t="shared" si="4"/>
        <v>3</v>
      </c>
      <c r="EQ14" s="3"/>
      <c r="ER14" s="24"/>
      <c r="ES14" s="24"/>
      <c r="ET14" s="24"/>
    </row>
    <row r="15" spans="1:150" x14ac:dyDescent="0.25">
      <c r="A15" s="17">
        <v>10</v>
      </c>
      <c r="B15" s="25">
        <v>143</v>
      </c>
      <c r="C15" s="20" t="s">
        <v>68</v>
      </c>
      <c r="D15" s="21" t="s">
        <v>69</v>
      </c>
      <c r="E15" s="11" t="s">
        <v>8</v>
      </c>
      <c r="F15" s="16" t="s">
        <v>165</v>
      </c>
      <c r="G15" s="16" t="s">
        <v>165</v>
      </c>
      <c r="H15" s="16" t="s">
        <v>166</v>
      </c>
      <c r="I15" s="109"/>
      <c r="J15" s="16" t="s">
        <v>166</v>
      </c>
      <c r="K15" s="112"/>
      <c r="L15" s="16" t="s">
        <v>166</v>
      </c>
      <c r="M15" s="16" t="s">
        <v>166</v>
      </c>
      <c r="N15" s="16" t="s">
        <v>166</v>
      </c>
      <c r="O15" s="16" t="s">
        <v>166</v>
      </c>
      <c r="P15" s="109"/>
      <c r="Q15" s="112"/>
      <c r="R15" s="16" t="s">
        <v>166</v>
      </c>
      <c r="S15" s="16" t="s">
        <v>166</v>
      </c>
      <c r="T15" s="16" t="s">
        <v>166</v>
      </c>
      <c r="U15" s="112"/>
      <c r="V15" s="16" t="s">
        <v>165</v>
      </c>
      <c r="W15" s="109"/>
      <c r="X15" s="16" t="s">
        <v>166</v>
      </c>
      <c r="Y15" s="16" t="s">
        <v>166</v>
      </c>
      <c r="Z15" s="16" t="s">
        <v>166</v>
      </c>
      <c r="AA15" s="16" t="s">
        <v>166</v>
      </c>
      <c r="AB15" s="16" t="s">
        <v>166</v>
      </c>
      <c r="AC15" s="16" t="s">
        <v>166</v>
      </c>
      <c r="AD15" s="109"/>
      <c r="AE15" s="16" t="s">
        <v>166</v>
      </c>
      <c r="AF15" s="16" t="s">
        <v>166</v>
      </c>
      <c r="AG15" s="16" t="s">
        <v>166</v>
      </c>
      <c r="AH15" s="16" t="s">
        <v>166</v>
      </c>
      <c r="AI15" s="16" t="s">
        <v>166</v>
      </c>
      <c r="AJ15" s="16" t="s">
        <v>166</v>
      </c>
      <c r="AK15" s="109"/>
      <c r="AL15" s="16" t="s">
        <v>166</v>
      </c>
      <c r="AM15" s="16" t="s">
        <v>166</v>
      </c>
      <c r="AN15" s="16" t="s">
        <v>166</v>
      </c>
      <c r="AO15" s="16" t="s">
        <v>166</v>
      </c>
      <c r="AP15" s="16" t="s">
        <v>166</v>
      </c>
      <c r="AQ15" s="16" t="s">
        <v>166</v>
      </c>
      <c r="AR15" s="109"/>
      <c r="AS15" s="16" t="s">
        <v>166</v>
      </c>
      <c r="AT15" s="16" t="s">
        <v>166</v>
      </c>
      <c r="AU15" s="16" t="s">
        <v>166</v>
      </c>
      <c r="AV15" s="16" t="s">
        <v>166</v>
      </c>
      <c r="AW15" s="16"/>
      <c r="AX15" s="16"/>
      <c r="AY15" s="109"/>
      <c r="AZ15" s="16"/>
      <c r="BA15" s="16"/>
      <c r="BB15" s="16"/>
      <c r="BC15" s="16"/>
      <c r="BD15" s="16"/>
      <c r="BE15" s="16"/>
      <c r="BF15" s="109"/>
      <c r="BG15" s="16"/>
      <c r="BH15" s="16"/>
      <c r="BI15" s="16"/>
      <c r="BJ15" s="16"/>
      <c r="BK15" s="16"/>
      <c r="BL15" s="16"/>
      <c r="BM15" s="109"/>
      <c r="BN15" s="16"/>
      <c r="BO15" s="16"/>
      <c r="BP15" s="16"/>
      <c r="BQ15" s="16"/>
      <c r="BR15" s="16"/>
      <c r="BS15" s="16"/>
      <c r="BT15" s="109"/>
      <c r="BU15" s="16"/>
      <c r="BV15" s="16"/>
      <c r="BW15" s="16"/>
      <c r="BX15" s="16"/>
      <c r="BY15" s="16"/>
      <c r="BZ15" s="16"/>
      <c r="CA15" s="109"/>
      <c r="CB15" s="16"/>
      <c r="CC15" s="16"/>
      <c r="CD15" s="16"/>
      <c r="CE15" s="16"/>
      <c r="CF15" s="16"/>
      <c r="CG15" s="16"/>
      <c r="CH15" s="109"/>
      <c r="CI15" s="16"/>
      <c r="CJ15" s="16"/>
      <c r="CK15" s="16"/>
      <c r="CL15" s="16"/>
      <c r="CM15" s="16"/>
      <c r="CN15" s="16"/>
      <c r="CO15" s="109"/>
      <c r="CP15" s="16"/>
      <c r="CQ15" s="16"/>
      <c r="CR15" s="16"/>
      <c r="CS15" s="16"/>
      <c r="CT15" s="16"/>
      <c r="CU15" s="16"/>
      <c r="CV15" s="109"/>
      <c r="CW15" s="16"/>
      <c r="CX15" s="16"/>
      <c r="CY15" s="16"/>
      <c r="CZ15" s="16"/>
      <c r="DA15" s="16"/>
      <c r="DB15" s="16"/>
      <c r="DC15" s="109"/>
      <c r="DD15" s="16"/>
      <c r="DE15" s="16"/>
      <c r="DF15" s="16"/>
      <c r="DG15" s="16"/>
      <c r="DH15" s="16"/>
      <c r="DI15" s="16"/>
      <c r="DJ15" s="109"/>
      <c r="DK15" s="16"/>
      <c r="DL15" s="16"/>
      <c r="DM15" s="16"/>
      <c r="DN15" s="16"/>
      <c r="DO15" s="16"/>
      <c r="DP15" s="16"/>
      <c r="DQ15" s="109"/>
      <c r="DR15" s="16"/>
      <c r="DS15" s="16"/>
      <c r="DT15" s="16"/>
      <c r="DU15" s="16"/>
      <c r="DV15" s="16"/>
      <c r="DW15" s="16"/>
      <c r="DX15" s="109"/>
      <c r="DY15" s="16"/>
      <c r="DZ15" s="16"/>
      <c r="EA15" s="16"/>
      <c r="EB15" s="16"/>
      <c r="EC15" s="16"/>
      <c r="ED15" s="16"/>
      <c r="EE15" s="109"/>
      <c r="EF15" s="16"/>
      <c r="EG15" s="16"/>
      <c r="EH15" s="16"/>
      <c r="EI15" s="16"/>
      <c r="EJ15" s="16"/>
      <c r="EK15" s="16"/>
      <c r="EL15" s="109"/>
      <c r="EM15" s="16"/>
      <c r="EN15" s="16"/>
      <c r="EO15" s="5">
        <f t="shared" si="3"/>
        <v>31</v>
      </c>
      <c r="EP15" s="5">
        <f t="shared" si="4"/>
        <v>3</v>
      </c>
      <c r="EQ15" s="26"/>
      <c r="ER15" s="26"/>
      <c r="ES15" s="26"/>
      <c r="ET15" s="26"/>
    </row>
    <row r="16" spans="1:150" x14ac:dyDescent="0.25">
      <c r="A16" s="6">
        <v>11</v>
      </c>
      <c r="B16" s="25">
        <v>144</v>
      </c>
      <c r="C16" s="20" t="s">
        <v>70</v>
      </c>
      <c r="D16" s="21" t="s">
        <v>71</v>
      </c>
      <c r="E16" s="11" t="s">
        <v>8</v>
      </c>
      <c r="F16" s="16" t="s">
        <v>165</v>
      </c>
      <c r="G16" s="16" t="s">
        <v>165</v>
      </c>
      <c r="H16" s="16" t="s">
        <v>166</v>
      </c>
      <c r="I16" s="109"/>
      <c r="J16" s="16" t="s">
        <v>166</v>
      </c>
      <c r="K16" s="112"/>
      <c r="L16" s="16" t="s">
        <v>166</v>
      </c>
      <c r="M16" s="16" t="s">
        <v>166</v>
      </c>
      <c r="N16" s="16" t="s">
        <v>166</v>
      </c>
      <c r="O16" s="16" t="s">
        <v>165</v>
      </c>
      <c r="P16" s="109"/>
      <c r="Q16" s="112"/>
      <c r="R16" s="16" t="s">
        <v>166</v>
      </c>
      <c r="S16" s="16" t="s">
        <v>165</v>
      </c>
      <c r="T16" s="16" t="s">
        <v>165</v>
      </c>
      <c r="U16" s="112"/>
      <c r="V16" s="16" t="s">
        <v>165</v>
      </c>
      <c r="W16" s="109"/>
      <c r="X16" s="16" t="s">
        <v>166</v>
      </c>
      <c r="Y16" s="16" t="s">
        <v>166</v>
      </c>
      <c r="Z16" s="16" t="s">
        <v>166</v>
      </c>
      <c r="AA16" s="16" t="s">
        <v>166</v>
      </c>
      <c r="AB16" s="16" t="s">
        <v>166</v>
      </c>
      <c r="AC16" s="16" t="s">
        <v>165</v>
      </c>
      <c r="AD16" s="109"/>
      <c r="AE16" s="16" t="s">
        <v>165</v>
      </c>
      <c r="AF16" s="16" t="s">
        <v>165</v>
      </c>
      <c r="AG16" s="16" t="s">
        <v>165</v>
      </c>
      <c r="AH16" s="16" t="s">
        <v>165</v>
      </c>
      <c r="AI16" s="16" t="s">
        <v>165</v>
      </c>
      <c r="AJ16" s="16" t="s">
        <v>165</v>
      </c>
      <c r="AK16" s="109"/>
      <c r="AL16" s="16" t="s">
        <v>166</v>
      </c>
      <c r="AM16" s="16" t="s">
        <v>166</v>
      </c>
      <c r="AN16" s="16" t="s">
        <v>165</v>
      </c>
      <c r="AO16" s="16" t="s">
        <v>165</v>
      </c>
      <c r="AP16" s="16" t="s">
        <v>166</v>
      </c>
      <c r="AQ16" s="16" t="s">
        <v>166</v>
      </c>
      <c r="AR16" s="109"/>
      <c r="AS16" s="16" t="s">
        <v>166</v>
      </c>
      <c r="AT16" s="16" t="s">
        <v>166</v>
      </c>
      <c r="AU16" s="16" t="s">
        <v>166</v>
      </c>
      <c r="AV16" s="16" t="s">
        <v>166</v>
      </c>
      <c r="AW16" s="16"/>
      <c r="AX16" s="16"/>
      <c r="AY16" s="109"/>
      <c r="AZ16" s="16"/>
      <c r="BA16" s="16"/>
      <c r="BB16" s="16"/>
      <c r="BC16" s="16"/>
      <c r="BD16" s="16"/>
      <c r="BE16" s="16"/>
      <c r="BF16" s="109"/>
      <c r="BG16" s="16"/>
      <c r="BH16" s="16"/>
      <c r="BI16" s="16"/>
      <c r="BJ16" s="16"/>
      <c r="BK16" s="16"/>
      <c r="BL16" s="16"/>
      <c r="BM16" s="109"/>
      <c r="BN16" s="16"/>
      <c r="BO16" s="16"/>
      <c r="BP16" s="16"/>
      <c r="BQ16" s="16"/>
      <c r="BR16" s="16"/>
      <c r="BS16" s="16"/>
      <c r="BT16" s="109"/>
      <c r="BU16" s="16"/>
      <c r="BV16" s="16"/>
      <c r="BW16" s="16"/>
      <c r="BX16" s="16"/>
      <c r="BY16" s="16"/>
      <c r="BZ16" s="16"/>
      <c r="CA16" s="109"/>
      <c r="CB16" s="16"/>
      <c r="CC16" s="16"/>
      <c r="CD16" s="16"/>
      <c r="CE16" s="16"/>
      <c r="CF16" s="16"/>
      <c r="CG16" s="16"/>
      <c r="CH16" s="109"/>
      <c r="CI16" s="16"/>
      <c r="CJ16" s="16"/>
      <c r="CK16" s="16"/>
      <c r="CL16" s="16"/>
      <c r="CM16" s="16"/>
      <c r="CN16" s="16"/>
      <c r="CO16" s="109"/>
      <c r="CP16" s="16"/>
      <c r="CQ16" s="16"/>
      <c r="CR16" s="16"/>
      <c r="CS16" s="16"/>
      <c r="CT16" s="16"/>
      <c r="CU16" s="16"/>
      <c r="CV16" s="109"/>
      <c r="CW16" s="16"/>
      <c r="CX16" s="16"/>
      <c r="CY16" s="16"/>
      <c r="CZ16" s="16"/>
      <c r="DA16" s="16"/>
      <c r="DB16" s="16"/>
      <c r="DC16" s="109"/>
      <c r="DD16" s="16"/>
      <c r="DE16" s="16"/>
      <c r="DF16" s="16"/>
      <c r="DG16" s="16"/>
      <c r="DH16" s="16"/>
      <c r="DI16" s="16"/>
      <c r="DJ16" s="109"/>
      <c r="DK16" s="16"/>
      <c r="DL16" s="16"/>
      <c r="DM16" s="16"/>
      <c r="DN16" s="16"/>
      <c r="DO16" s="16"/>
      <c r="DP16" s="16"/>
      <c r="DQ16" s="109"/>
      <c r="DR16" s="16"/>
      <c r="DS16" s="16"/>
      <c r="DT16" s="16"/>
      <c r="DU16" s="16"/>
      <c r="DV16" s="16"/>
      <c r="DW16" s="16"/>
      <c r="DX16" s="109"/>
      <c r="DY16" s="16"/>
      <c r="DZ16" s="16"/>
      <c r="EA16" s="16"/>
      <c r="EB16" s="16"/>
      <c r="EC16" s="16"/>
      <c r="ED16" s="16"/>
      <c r="EE16" s="109"/>
      <c r="EF16" s="16"/>
      <c r="EG16" s="16"/>
      <c r="EH16" s="16"/>
      <c r="EI16" s="16"/>
      <c r="EJ16" s="16"/>
      <c r="EK16" s="16"/>
      <c r="EL16" s="109"/>
      <c r="EM16" s="16"/>
      <c r="EN16" s="16"/>
      <c r="EO16" s="5">
        <f t="shared" si="3"/>
        <v>19</v>
      </c>
      <c r="EP16" s="5">
        <f t="shared" si="4"/>
        <v>15</v>
      </c>
      <c r="EQ16" s="3"/>
      <c r="ER16" s="3"/>
      <c r="ES16" s="3"/>
      <c r="ET16" s="3"/>
    </row>
    <row r="17" spans="1:150" ht="15.75" x14ac:dyDescent="0.25">
      <c r="A17" s="17">
        <v>12</v>
      </c>
      <c r="B17" s="25">
        <v>145</v>
      </c>
      <c r="C17" s="20" t="s">
        <v>72</v>
      </c>
      <c r="D17" s="21" t="s">
        <v>73</v>
      </c>
      <c r="E17" s="11" t="s">
        <v>8</v>
      </c>
      <c r="F17" s="16" t="s">
        <v>165</v>
      </c>
      <c r="G17" s="16" t="s">
        <v>165</v>
      </c>
      <c r="H17" s="16" t="s">
        <v>165</v>
      </c>
      <c r="I17" s="109"/>
      <c r="J17" s="16" t="s">
        <v>166</v>
      </c>
      <c r="K17" s="112"/>
      <c r="L17" s="16" t="s">
        <v>166</v>
      </c>
      <c r="M17" s="16" t="s">
        <v>166</v>
      </c>
      <c r="N17" s="16" t="s">
        <v>166</v>
      </c>
      <c r="O17" s="16" t="s">
        <v>166</v>
      </c>
      <c r="P17" s="109"/>
      <c r="Q17" s="112"/>
      <c r="R17" s="16" t="s">
        <v>166</v>
      </c>
      <c r="S17" s="16" t="s">
        <v>166</v>
      </c>
      <c r="T17" s="16" t="s">
        <v>166</v>
      </c>
      <c r="U17" s="112"/>
      <c r="V17" s="16" t="s">
        <v>165</v>
      </c>
      <c r="W17" s="109"/>
      <c r="X17" s="16" t="s">
        <v>166</v>
      </c>
      <c r="Y17" s="16" t="s">
        <v>166</v>
      </c>
      <c r="Z17" s="16" t="s">
        <v>165</v>
      </c>
      <c r="AA17" s="16" t="s">
        <v>166</v>
      </c>
      <c r="AB17" s="16" t="s">
        <v>166</v>
      </c>
      <c r="AC17" s="16" t="s">
        <v>166</v>
      </c>
      <c r="AD17" s="109"/>
      <c r="AE17" s="16" t="s">
        <v>166</v>
      </c>
      <c r="AF17" s="16" t="s">
        <v>166</v>
      </c>
      <c r="AG17" s="16" t="s">
        <v>166</v>
      </c>
      <c r="AH17" s="16" t="s">
        <v>166</v>
      </c>
      <c r="AI17" s="16" t="s">
        <v>165</v>
      </c>
      <c r="AJ17" s="16" t="s">
        <v>166</v>
      </c>
      <c r="AK17" s="109"/>
      <c r="AL17" s="16" t="s">
        <v>166</v>
      </c>
      <c r="AM17" s="16" t="s">
        <v>166</v>
      </c>
      <c r="AN17" s="16" t="s">
        <v>166</v>
      </c>
      <c r="AO17" s="16" t="s">
        <v>166</v>
      </c>
      <c r="AP17" s="16" t="s">
        <v>166</v>
      </c>
      <c r="AQ17" s="16" t="s">
        <v>166</v>
      </c>
      <c r="AR17" s="109"/>
      <c r="AS17" s="16" t="s">
        <v>166</v>
      </c>
      <c r="AT17" s="16" t="s">
        <v>166</v>
      </c>
      <c r="AU17" s="16" t="s">
        <v>166</v>
      </c>
      <c r="AV17" s="16" t="s">
        <v>166</v>
      </c>
      <c r="AW17" s="16"/>
      <c r="AX17" s="16"/>
      <c r="AY17" s="109"/>
      <c r="AZ17" s="16"/>
      <c r="BA17" s="16"/>
      <c r="BB17" s="16"/>
      <c r="BC17" s="16"/>
      <c r="BD17" s="16"/>
      <c r="BE17" s="16"/>
      <c r="BF17" s="109"/>
      <c r="BG17" s="16"/>
      <c r="BH17" s="16"/>
      <c r="BI17" s="16"/>
      <c r="BJ17" s="16"/>
      <c r="BK17" s="16"/>
      <c r="BL17" s="16"/>
      <c r="BM17" s="109"/>
      <c r="BN17" s="16"/>
      <c r="BO17" s="16"/>
      <c r="BP17" s="16"/>
      <c r="BQ17" s="16"/>
      <c r="BR17" s="16"/>
      <c r="BS17" s="16"/>
      <c r="BT17" s="109"/>
      <c r="BU17" s="16"/>
      <c r="BV17" s="16"/>
      <c r="BW17" s="16"/>
      <c r="BX17" s="16"/>
      <c r="BY17" s="16"/>
      <c r="BZ17" s="16"/>
      <c r="CA17" s="109"/>
      <c r="CB17" s="16"/>
      <c r="CC17" s="16"/>
      <c r="CD17" s="16"/>
      <c r="CE17" s="16"/>
      <c r="CF17" s="16"/>
      <c r="CG17" s="16"/>
      <c r="CH17" s="109"/>
      <c r="CI17" s="16"/>
      <c r="CJ17" s="16"/>
      <c r="CK17" s="16"/>
      <c r="CL17" s="16"/>
      <c r="CM17" s="16"/>
      <c r="CN17" s="16"/>
      <c r="CO17" s="109"/>
      <c r="CP17" s="16"/>
      <c r="CQ17" s="16"/>
      <c r="CR17" s="16"/>
      <c r="CS17" s="16"/>
      <c r="CT17" s="16"/>
      <c r="CU17" s="16"/>
      <c r="CV17" s="109"/>
      <c r="CW17" s="16"/>
      <c r="CX17" s="16"/>
      <c r="CY17" s="16"/>
      <c r="CZ17" s="16"/>
      <c r="DA17" s="16"/>
      <c r="DB17" s="16"/>
      <c r="DC17" s="109"/>
      <c r="DD17" s="16"/>
      <c r="DE17" s="16"/>
      <c r="DF17" s="16"/>
      <c r="DG17" s="16"/>
      <c r="DH17" s="16"/>
      <c r="DI17" s="16"/>
      <c r="DJ17" s="109"/>
      <c r="DK17" s="16"/>
      <c r="DL17" s="16"/>
      <c r="DM17" s="16"/>
      <c r="DN17" s="16"/>
      <c r="DO17" s="16"/>
      <c r="DP17" s="16"/>
      <c r="DQ17" s="109"/>
      <c r="DR17" s="16"/>
      <c r="DS17" s="16"/>
      <c r="DT17" s="16"/>
      <c r="DU17" s="16"/>
      <c r="DV17" s="16"/>
      <c r="DW17" s="16"/>
      <c r="DX17" s="109"/>
      <c r="DY17" s="16"/>
      <c r="DZ17" s="16"/>
      <c r="EA17" s="16"/>
      <c r="EB17" s="16"/>
      <c r="EC17" s="16"/>
      <c r="ED17" s="16"/>
      <c r="EE17" s="109"/>
      <c r="EF17" s="16"/>
      <c r="EG17" s="16"/>
      <c r="EH17" s="16"/>
      <c r="EI17" s="16"/>
      <c r="EJ17" s="16"/>
      <c r="EK17" s="16"/>
      <c r="EL17" s="109"/>
      <c r="EM17" s="16"/>
      <c r="EN17" s="16"/>
      <c r="EO17" s="5">
        <f t="shared" si="3"/>
        <v>28</v>
      </c>
      <c r="EP17" s="5">
        <f t="shared" si="4"/>
        <v>6</v>
      </c>
      <c r="EQ17" s="103" t="s">
        <v>6</v>
      </c>
      <c r="ER17" s="105"/>
      <c r="ES17" s="105"/>
      <c r="ET17" s="104"/>
    </row>
    <row r="18" spans="1:150" x14ac:dyDescent="0.25">
      <c r="A18" s="6">
        <v>13</v>
      </c>
      <c r="B18" s="25">
        <v>146</v>
      </c>
      <c r="C18" s="20" t="s">
        <v>74</v>
      </c>
      <c r="D18" s="21" t="s">
        <v>75</v>
      </c>
      <c r="E18" s="11" t="s">
        <v>8</v>
      </c>
      <c r="F18" s="16" t="s">
        <v>165</v>
      </c>
      <c r="G18" s="16" t="s">
        <v>165</v>
      </c>
      <c r="H18" s="16" t="s">
        <v>165</v>
      </c>
      <c r="I18" s="109"/>
      <c r="J18" s="16" t="s">
        <v>166</v>
      </c>
      <c r="K18" s="112"/>
      <c r="L18" s="16" t="s">
        <v>166</v>
      </c>
      <c r="M18" s="16" t="s">
        <v>166</v>
      </c>
      <c r="N18" s="16" t="s">
        <v>166</v>
      </c>
      <c r="O18" s="16" t="s">
        <v>166</v>
      </c>
      <c r="P18" s="109"/>
      <c r="Q18" s="112"/>
      <c r="R18" s="16" t="s">
        <v>165</v>
      </c>
      <c r="S18" s="16" t="s">
        <v>165</v>
      </c>
      <c r="T18" s="16" t="s">
        <v>165</v>
      </c>
      <c r="U18" s="112"/>
      <c r="V18" s="16" t="s">
        <v>165</v>
      </c>
      <c r="W18" s="109"/>
      <c r="X18" s="16" t="s">
        <v>166</v>
      </c>
      <c r="Y18" s="16" t="s">
        <v>166</v>
      </c>
      <c r="Z18" s="16" t="s">
        <v>166</v>
      </c>
      <c r="AA18" s="16" t="s">
        <v>166</v>
      </c>
      <c r="AB18" s="16" t="s">
        <v>165</v>
      </c>
      <c r="AC18" s="16" t="s">
        <v>166</v>
      </c>
      <c r="AD18" s="109"/>
      <c r="AE18" s="16" t="s">
        <v>166</v>
      </c>
      <c r="AF18" s="16" t="s">
        <v>166</v>
      </c>
      <c r="AG18" s="16" t="s">
        <v>166</v>
      </c>
      <c r="AH18" s="16" t="s">
        <v>166</v>
      </c>
      <c r="AI18" s="16" t="s">
        <v>165</v>
      </c>
      <c r="AJ18" s="16" t="s">
        <v>166</v>
      </c>
      <c r="AK18" s="109"/>
      <c r="AL18" s="16" t="s">
        <v>166</v>
      </c>
      <c r="AM18" s="16" t="s">
        <v>166</v>
      </c>
      <c r="AN18" s="16" t="s">
        <v>166</v>
      </c>
      <c r="AO18" s="16" t="s">
        <v>166</v>
      </c>
      <c r="AP18" s="16" t="s">
        <v>166</v>
      </c>
      <c r="AQ18" s="16" t="s">
        <v>165</v>
      </c>
      <c r="AR18" s="109"/>
      <c r="AS18" s="16" t="s">
        <v>166</v>
      </c>
      <c r="AT18" s="16" t="s">
        <v>166</v>
      </c>
      <c r="AU18" s="16" t="s">
        <v>166</v>
      </c>
      <c r="AV18" s="16" t="s">
        <v>166</v>
      </c>
      <c r="AW18" s="16"/>
      <c r="AX18" s="16"/>
      <c r="AY18" s="109"/>
      <c r="AZ18" s="16"/>
      <c r="BA18" s="16"/>
      <c r="BB18" s="16"/>
      <c r="BC18" s="16"/>
      <c r="BD18" s="16"/>
      <c r="BE18" s="16"/>
      <c r="BF18" s="109"/>
      <c r="BG18" s="16"/>
      <c r="BH18" s="16"/>
      <c r="BI18" s="16"/>
      <c r="BJ18" s="16"/>
      <c r="BK18" s="16"/>
      <c r="BL18" s="16"/>
      <c r="BM18" s="109"/>
      <c r="BN18" s="16"/>
      <c r="BO18" s="16"/>
      <c r="BP18" s="16"/>
      <c r="BQ18" s="16"/>
      <c r="BR18" s="16"/>
      <c r="BS18" s="16"/>
      <c r="BT18" s="109"/>
      <c r="BU18" s="16"/>
      <c r="BV18" s="16"/>
      <c r="BW18" s="16"/>
      <c r="BX18" s="16"/>
      <c r="BY18" s="16"/>
      <c r="BZ18" s="16"/>
      <c r="CA18" s="109"/>
      <c r="CB18" s="16"/>
      <c r="CC18" s="16"/>
      <c r="CD18" s="16"/>
      <c r="CE18" s="16"/>
      <c r="CF18" s="16"/>
      <c r="CG18" s="16"/>
      <c r="CH18" s="109"/>
      <c r="CI18" s="16"/>
      <c r="CJ18" s="16"/>
      <c r="CK18" s="16"/>
      <c r="CL18" s="16"/>
      <c r="CM18" s="16"/>
      <c r="CN18" s="16"/>
      <c r="CO18" s="109"/>
      <c r="CP18" s="16"/>
      <c r="CQ18" s="16"/>
      <c r="CR18" s="16"/>
      <c r="CS18" s="16"/>
      <c r="CT18" s="16"/>
      <c r="CU18" s="16"/>
      <c r="CV18" s="109"/>
      <c r="CW18" s="16"/>
      <c r="CX18" s="16"/>
      <c r="CY18" s="16"/>
      <c r="CZ18" s="16"/>
      <c r="DA18" s="16"/>
      <c r="DB18" s="16"/>
      <c r="DC18" s="109"/>
      <c r="DD18" s="16"/>
      <c r="DE18" s="16"/>
      <c r="DF18" s="16"/>
      <c r="DG18" s="16"/>
      <c r="DH18" s="16"/>
      <c r="DI18" s="16"/>
      <c r="DJ18" s="109"/>
      <c r="DK18" s="16"/>
      <c r="DL18" s="16"/>
      <c r="DM18" s="16"/>
      <c r="DN18" s="16"/>
      <c r="DO18" s="16"/>
      <c r="DP18" s="16"/>
      <c r="DQ18" s="109"/>
      <c r="DR18" s="16"/>
      <c r="DS18" s="16"/>
      <c r="DT18" s="16"/>
      <c r="DU18" s="16"/>
      <c r="DV18" s="16"/>
      <c r="DW18" s="16"/>
      <c r="DX18" s="109"/>
      <c r="DY18" s="16"/>
      <c r="DZ18" s="16"/>
      <c r="EA18" s="16"/>
      <c r="EB18" s="16"/>
      <c r="EC18" s="16"/>
      <c r="ED18" s="16"/>
      <c r="EE18" s="109"/>
      <c r="EF18" s="16"/>
      <c r="EG18" s="16"/>
      <c r="EH18" s="16"/>
      <c r="EI18" s="16"/>
      <c r="EJ18" s="16"/>
      <c r="EK18" s="16"/>
      <c r="EL18" s="109"/>
      <c r="EM18" s="16"/>
      <c r="EN18" s="16"/>
      <c r="EO18" s="5">
        <f t="shared" si="3"/>
        <v>24</v>
      </c>
      <c r="EP18" s="5">
        <f t="shared" si="4"/>
        <v>10</v>
      </c>
      <c r="EQ18" s="5" t="s">
        <v>13</v>
      </c>
      <c r="ER18" s="5" t="s">
        <v>14</v>
      </c>
      <c r="ES18" s="5" t="s">
        <v>15</v>
      </c>
      <c r="ET18" s="5" t="s">
        <v>16</v>
      </c>
    </row>
    <row r="19" spans="1:150" x14ac:dyDescent="0.25">
      <c r="A19" s="17">
        <v>14</v>
      </c>
      <c r="B19" s="25">
        <v>148</v>
      </c>
      <c r="C19" s="20" t="s">
        <v>76</v>
      </c>
      <c r="D19" s="21" t="s">
        <v>77</v>
      </c>
      <c r="E19" s="11" t="s">
        <v>8</v>
      </c>
      <c r="F19" s="16" t="s">
        <v>165</v>
      </c>
      <c r="G19" s="16" t="s">
        <v>165</v>
      </c>
      <c r="H19" s="16" t="s">
        <v>165</v>
      </c>
      <c r="I19" s="109"/>
      <c r="J19" s="16" t="s">
        <v>166</v>
      </c>
      <c r="K19" s="112"/>
      <c r="L19" s="16" t="s">
        <v>166</v>
      </c>
      <c r="M19" s="16" t="s">
        <v>166</v>
      </c>
      <c r="N19" s="16" t="s">
        <v>166</v>
      </c>
      <c r="O19" s="16" t="s">
        <v>166</v>
      </c>
      <c r="P19" s="109"/>
      <c r="Q19" s="112"/>
      <c r="R19" s="16" t="s">
        <v>166</v>
      </c>
      <c r="S19" s="16" t="s">
        <v>165</v>
      </c>
      <c r="T19" s="16" t="s">
        <v>165</v>
      </c>
      <c r="U19" s="112"/>
      <c r="V19" s="16" t="s">
        <v>165</v>
      </c>
      <c r="W19" s="109"/>
      <c r="X19" s="16" t="s">
        <v>166</v>
      </c>
      <c r="Y19" s="16" t="s">
        <v>166</v>
      </c>
      <c r="Z19" s="16" t="s">
        <v>166</v>
      </c>
      <c r="AA19" s="16" t="s">
        <v>166</v>
      </c>
      <c r="AB19" s="16" t="s">
        <v>166</v>
      </c>
      <c r="AC19" s="16" t="s">
        <v>165</v>
      </c>
      <c r="AD19" s="109"/>
      <c r="AE19" s="16" t="s">
        <v>166</v>
      </c>
      <c r="AF19" s="16" t="s">
        <v>166</v>
      </c>
      <c r="AG19" s="16" t="s">
        <v>166</v>
      </c>
      <c r="AH19" s="16" t="s">
        <v>166</v>
      </c>
      <c r="AI19" s="16" t="s">
        <v>166</v>
      </c>
      <c r="AJ19" s="16" t="s">
        <v>166</v>
      </c>
      <c r="AK19" s="109"/>
      <c r="AL19" s="16" t="s">
        <v>165</v>
      </c>
      <c r="AM19" s="16"/>
      <c r="AN19" s="16" t="s">
        <v>165</v>
      </c>
      <c r="AO19" s="16" t="s">
        <v>166</v>
      </c>
      <c r="AP19" s="16" t="s">
        <v>165</v>
      </c>
      <c r="AQ19" s="16" t="s">
        <v>166</v>
      </c>
      <c r="AR19" s="109"/>
      <c r="AS19" s="16" t="s">
        <v>166</v>
      </c>
      <c r="AT19" s="16" t="s">
        <v>166</v>
      </c>
      <c r="AU19" s="16" t="s">
        <v>166</v>
      </c>
      <c r="AV19" s="16" t="s">
        <v>166</v>
      </c>
      <c r="AW19" s="16"/>
      <c r="AX19" s="16"/>
      <c r="AY19" s="109"/>
      <c r="AZ19" s="16"/>
      <c r="BA19" s="16"/>
      <c r="BB19" s="16"/>
      <c r="BC19" s="16"/>
      <c r="BD19" s="16"/>
      <c r="BE19" s="16"/>
      <c r="BF19" s="109"/>
      <c r="BG19" s="16"/>
      <c r="BH19" s="16"/>
      <c r="BI19" s="16"/>
      <c r="BJ19" s="16"/>
      <c r="BK19" s="16"/>
      <c r="BL19" s="16"/>
      <c r="BM19" s="109"/>
      <c r="BN19" s="16"/>
      <c r="BO19" s="16"/>
      <c r="BP19" s="16"/>
      <c r="BQ19" s="16"/>
      <c r="BR19" s="16"/>
      <c r="BS19" s="16"/>
      <c r="BT19" s="109"/>
      <c r="BU19" s="16"/>
      <c r="BV19" s="16"/>
      <c r="BW19" s="16"/>
      <c r="BX19" s="16"/>
      <c r="BY19" s="16"/>
      <c r="BZ19" s="16"/>
      <c r="CA19" s="109"/>
      <c r="CB19" s="16"/>
      <c r="CC19" s="16"/>
      <c r="CD19" s="16"/>
      <c r="CE19" s="16"/>
      <c r="CF19" s="16"/>
      <c r="CG19" s="16"/>
      <c r="CH19" s="109"/>
      <c r="CI19" s="16"/>
      <c r="CJ19" s="16"/>
      <c r="CK19" s="16"/>
      <c r="CL19" s="16"/>
      <c r="CM19" s="16"/>
      <c r="CN19" s="16"/>
      <c r="CO19" s="109"/>
      <c r="CP19" s="16"/>
      <c r="CQ19" s="16"/>
      <c r="CR19" s="16"/>
      <c r="CS19" s="16"/>
      <c r="CT19" s="16"/>
      <c r="CU19" s="16"/>
      <c r="CV19" s="109"/>
      <c r="CW19" s="16"/>
      <c r="CX19" s="16"/>
      <c r="CY19" s="16"/>
      <c r="CZ19" s="16"/>
      <c r="DA19" s="16"/>
      <c r="DB19" s="16"/>
      <c r="DC19" s="109"/>
      <c r="DD19" s="16"/>
      <c r="DE19" s="16"/>
      <c r="DF19" s="16"/>
      <c r="DG19" s="16"/>
      <c r="DH19" s="16"/>
      <c r="DI19" s="16"/>
      <c r="DJ19" s="109"/>
      <c r="DK19" s="16"/>
      <c r="DL19" s="16"/>
      <c r="DM19" s="16"/>
      <c r="DN19" s="16"/>
      <c r="DO19" s="16"/>
      <c r="DP19" s="16"/>
      <c r="DQ19" s="109"/>
      <c r="DR19" s="16"/>
      <c r="DS19" s="16"/>
      <c r="DT19" s="16"/>
      <c r="DU19" s="16"/>
      <c r="DV19" s="16"/>
      <c r="DW19" s="16"/>
      <c r="DX19" s="109"/>
      <c r="DY19" s="16"/>
      <c r="DZ19" s="16"/>
      <c r="EA19" s="16"/>
      <c r="EB19" s="16"/>
      <c r="EC19" s="16"/>
      <c r="ED19" s="16"/>
      <c r="EE19" s="109"/>
      <c r="EF19" s="16"/>
      <c r="EG19" s="16"/>
      <c r="EH19" s="16"/>
      <c r="EI19" s="16"/>
      <c r="EJ19" s="16"/>
      <c r="EK19" s="16"/>
      <c r="EL19" s="109"/>
      <c r="EM19" s="16"/>
      <c r="EN19" s="16"/>
      <c r="EO19" s="5">
        <f t="shared" si="3"/>
        <v>23</v>
      </c>
      <c r="EP19" s="5">
        <f t="shared" si="4"/>
        <v>10</v>
      </c>
      <c r="EQ19" s="5" t="s">
        <v>17</v>
      </c>
      <c r="ER19" s="17">
        <f>19*26</f>
        <v>494</v>
      </c>
      <c r="ES19" s="17">
        <f>21*26</f>
        <v>546</v>
      </c>
      <c r="ET19" s="17">
        <f>ER19+ES19</f>
        <v>1040</v>
      </c>
    </row>
    <row r="20" spans="1:150" x14ac:dyDescent="0.25">
      <c r="A20" s="6">
        <v>15</v>
      </c>
      <c r="B20" s="25">
        <v>150</v>
      </c>
      <c r="C20" s="20" t="s">
        <v>78</v>
      </c>
      <c r="D20" s="21" t="s">
        <v>79</v>
      </c>
      <c r="E20" s="11" t="s">
        <v>8</v>
      </c>
      <c r="F20" s="16" t="s">
        <v>165</v>
      </c>
      <c r="G20" s="16" t="s">
        <v>166</v>
      </c>
      <c r="H20" s="16" t="s">
        <v>166</v>
      </c>
      <c r="I20" s="109"/>
      <c r="J20" s="16" t="s">
        <v>166</v>
      </c>
      <c r="K20" s="112"/>
      <c r="L20" s="16" t="s">
        <v>166</v>
      </c>
      <c r="M20" s="16" t="s">
        <v>166</v>
      </c>
      <c r="N20" s="16" t="s">
        <v>166</v>
      </c>
      <c r="O20" s="16" t="s">
        <v>166</v>
      </c>
      <c r="P20" s="109"/>
      <c r="Q20" s="112"/>
      <c r="R20" s="16" t="s">
        <v>166</v>
      </c>
      <c r="S20" s="16" t="s">
        <v>165</v>
      </c>
      <c r="T20" s="16" t="s">
        <v>166</v>
      </c>
      <c r="U20" s="112"/>
      <c r="V20" s="16" t="s">
        <v>165</v>
      </c>
      <c r="W20" s="109"/>
      <c r="X20" s="16" t="s">
        <v>166</v>
      </c>
      <c r="Y20" s="16" t="s">
        <v>166</v>
      </c>
      <c r="Z20" s="16" t="s">
        <v>166</v>
      </c>
      <c r="AA20" s="16" t="s">
        <v>166</v>
      </c>
      <c r="AB20" s="16" t="s">
        <v>165</v>
      </c>
      <c r="AC20" s="16" t="s">
        <v>165</v>
      </c>
      <c r="AD20" s="109"/>
      <c r="AE20" s="16" t="s">
        <v>171</v>
      </c>
      <c r="AF20" s="16" t="s">
        <v>171</v>
      </c>
      <c r="AG20" s="16" t="s">
        <v>165</v>
      </c>
      <c r="AH20" s="16" t="s">
        <v>165</v>
      </c>
      <c r="AI20" s="16" t="s">
        <v>165</v>
      </c>
      <c r="AJ20" s="16" t="s">
        <v>166</v>
      </c>
      <c r="AK20" s="109"/>
      <c r="AL20" s="16" t="s">
        <v>166</v>
      </c>
      <c r="AM20" s="16"/>
      <c r="AN20" s="16" t="s">
        <v>166</v>
      </c>
      <c r="AO20" s="16" t="s">
        <v>166</v>
      </c>
      <c r="AP20" s="16" t="s">
        <v>166</v>
      </c>
      <c r="AQ20" s="16" t="s">
        <v>166</v>
      </c>
      <c r="AR20" s="109"/>
      <c r="AS20" s="16" t="s">
        <v>166</v>
      </c>
      <c r="AT20" s="16" t="s">
        <v>166</v>
      </c>
      <c r="AU20" s="16" t="s">
        <v>166</v>
      </c>
      <c r="AV20" s="16" t="s">
        <v>166</v>
      </c>
      <c r="AW20" s="16"/>
      <c r="AX20" s="16"/>
      <c r="AY20" s="109"/>
      <c r="AZ20" s="16"/>
      <c r="BA20" s="16"/>
      <c r="BB20" s="16"/>
      <c r="BC20" s="16"/>
      <c r="BD20" s="16"/>
      <c r="BE20" s="16"/>
      <c r="BF20" s="109"/>
      <c r="BG20" s="16"/>
      <c r="BH20" s="16"/>
      <c r="BI20" s="16"/>
      <c r="BJ20" s="16"/>
      <c r="BK20" s="16"/>
      <c r="BL20" s="16"/>
      <c r="BM20" s="109"/>
      <c r="BN20" s="16"/>
      <c r="BO20" s="16"/>
      <c r="BP20" s="16"/>
      <c r="BQ20" s="16"/>
      <c r="BR20" s="16"/>
      <c r="BS20" s="16"/>
      <c r="BT20" s="109"/>
      <c r="BU20" s="16"/>
      <c r="BV20" s="16"/>
      <c r="BW20" s="16"/>
      <c r="BX20" s="16"/>
      <c r="BY20" s="16"/>
      <c r="BZ20" s="16"/>
      <c r="CA20" s="109"/>
      <c r="CB20" s="16"/>
      <c r="CC20" s="16"/>
      <c r="CD20" s="16"/>
      <c r="CE20" s="16"/>
      <c r="CF20" s="16"/>
      <c r="CG20" s="16"/>
      <c r="CH20" s="109"/>
      <c r="CI20" s="16"/>
      <c r="CJ20" s="16"/>
      <c r="CK20" s="16"/>
      <c r="CL20" s="16"/>
      <c r="CM20" s="16"/>
      <c r="CN20" s="16"/>
      <c r="CO20" s="109"/>
      <c r="CP20" s="16"/>
      <c r="CQ20" s="16"/>
      <c r="CR20" s="16"/>
      <c r="CS20" s="16"/>
      <c r="CT20" s="16"/>
      <c r="CU20" s="16"/>
      <c r="CV20" s="109"/>
      <c r="CW20" s="16"/>
      <c r="CX20" s="16"/>
      <c r="CY20" s="16"/>
      <c r="CZ20" s="16"/>
      <c r="DA20" s="16"/>
      <c r="DB20" s="16"/>
      <c r="DC20" s="109"/>
      <c r="DD20" s="16"/>
      <c r="DE20" s="16"/>
      <c r="DF20" s="16"/>
      <c r="DG20" s="16"/>
      <c r="DH20" s="16"/>
      <c r="DI20" s="16"/>
      <c r="DJ20" s="109"/>
      <c r="DK20" s="16"/>
      <c r="DL20" s="16"/>
      <c r="DM20" s="16"/>
      <c r="DN20" s="16"/>
      <c r="DO20" s="16"/>
      <c r="DP20" s="16"/>
      <c r="DQ20" s="109"/>
      <c r="DR20" s="16"/>
      <c r="DS20" s="16"/>
      <c r="DT20" s="16"/>
      <c r="DU20" s="16"/>
      <c r="DV20" s="16"/>
      <c r="DW20" s="16"/>
      <c r="DX20" s="109"/>
      <c r="DY20" s="16"/>
      <c r="DZ20" s="16"/>
      <c r="EA20" s="16"/>
      <c r="EB20" s="16"/>
      <c r="EC20" s="16"/>
      <c r="ED20" s="16"/>
      <c r="EE20" s="109"/>
      <c r="EF20" s="16"/>
      <c r="EG20" s="16"/>
      <c r="EH20" s="16"/>
      <c r="EI20" s="16"/>
      <c r="EJ20" s="16"/>
      <c r="EK20" s="16"/>
      <c r="EL20" s="109"/>
      <c r="EM20" s="16"/>
      <c r="EN20" s="16"/>
      <c r="EO20" s="5">
        <f t="shared" si="3"/>
        <v>23</v>
      </c>
      <c r="EP20" s="5">
        <f t="shared" si="4"/>
        <v>8</v>
      </c>
      <c r="EQ20" s="5" t="s">
        <v>20</v>
      </c>
      <c r="ER20" s="17">
        <f>ER19-ER12</f>
        <v>59</v>
      </c>
      <c r="ES20" s="17">
        <f>ES19-ES12</f>
        <v>91</v>
      </c>
      <c r="ET20" s="17">
        <f>ER20+ES20</f>
        <v>150</v>
      </c>
    </row>
    <row r="21" spans="1:150" x14ac:dyDescent="0.25">
      <c r="A21" s="17">
        <v>16</v>
      </c>
      <c r="B21" s="25">
        <v>151</v>
      </c>
      <c r="C21" s="20" t="s">
        <v>80</v>
      </c>
      <c r="D21" s="21" t="s">
        <v>81</v>
      </c>
      <c r="E21" s="11" t="s">
        <v>8</v>
      </c>
      <c r="F21" s="16" t="s">
        <v>165</v>
      </c>
      <c r="G21" s="16" t="s">
        <v>165</v>
      </c>
      <c r="H21" s="16" t="s">
        <v>165</v>
      </c>
      <c r="I21" s="109"/>
      <c r="J21" s="16" t="s">
        <v>166</v>
      </c>
      <c r="K21" s="112"/>
      <c r="L21" s="16" t="s">
        <v>166</v>
      </c>
      <c r="M21" s="16" t="s">
        <v>166</v>
      </c>
      <c r="N21" s="16" t="s">
        <v>166</v>
      </c>
      <c r="O21" s="16" t="s">
        <v>166</v>
      </c>
      <c r="P21" s="109"/>
      <c r="Q21" s="112"/>
      <c r="R21" s="16" t="s">
        <v>166</v>
      </c>
      <c r="S21" s="16" t="s">
        <v>165</v>
      </c>
      <c r="T21" s="16" t="s">
        <v>166</v>
      </c>
      <c r="U21" s="112"/>
      <c r="V21" s="16" t="s">
        <v>165</v>
      </c>
      <c r="W21" s="109"/>
      <c r="X21" s="16" t="s">
        <v>166</v>
      </c>
      <c r="Y21" s="16" t="s">
        <v>166</v>
      </c>
      <c r="Z21" s="16" t="s">
        <v>166</v>
      </c>
      <c r="AA21" s="16" t="s">
        <v>165</v>
      </c>
      <c r="AB21" s="16" t="s">
        <v>165</v>
      </c>
      <c r="AC21" s="16" t="s">
        <v>166</v>
      </c>
      <c r="AD21" s="109"/>
      <c r="AE21" s="16" t="s">
        <v>166</v>
      </c>
      <c r="AF21" s="16" t="s">
        <v>166</v>
      </c>
      <c r="AG21" s="16" t="s">
        <v>166</v>
      </c>
      <c r="AH21" s="16" t="s">
        <v>166</v>
      </c>
      <c r="AI21" s="16" t="s">
        <v>166</v>
      </c>
      <c r="AJ21" s="16" t="s">
        <v>166</v>
      </c>
      <c r="AK21" s="109"/>
      <c r="AL21" s="16" t="s">
        <v>166</v>
      </c>
      <c r="AM21" s="16"/>
      <c r="AN21" s="16" t="s">
        <v>166</v>
      </c>
      <c r="AO21" s="16" t="s">
        <v>166</v>
      </c>
      <c r="AP21" s="16" t="s">
        <v>166</v>
      </c>
      <c r="AQ21" s="16" t="s">
        <v>166</v>
      </c>
      <c r="AR21" s="109"/>
      <c r="AS21" s="16" t="s">
        <v>165</v>
      </c>
      <c r="AT21" s="16" t="s">
        <v>166</v>
      </c>
      <c r="AU21" s="16" t="s">
        <v>166</v>
      </c>
      <c r="AV21" s="16" t="s">
        <v>166</v>
      </c>
      <c r="AW21" s="16"/>
      <c r="AX21" s="16"/>
      <c r="AY21" s="109"/>
      <c r="AZ21" s="16"/>
      <c r="BA21" s="16"/>
      <c r="BB21" s="16"/>
      <c r="BC21" s="16"/>
      <c r="BD21" s="16"/>
      <c r="BE21" s="16"/>
      <c r="BF21" s="109"/>
      <c r="BG21" s="16"/>
      <c r="BH21" s="16"/>
      <c r="BI21" s="16"/>
      <c r="BJ21" s="16"/>
      <c r="BK21" s="16"/>
      <c r="BL21" s="16"/>
      <c r="BM21" s="109"/>
      <c r="BN21" s="16"/>
      <c r="BO21" s="16"/>
      <c r="BP21" s="16"/>
      <c r="BQ21" s="16"/>
      <c r="BR21" s="16"/>
      <c r="BS21" s="16"/>
      <c r="BT21" s="109"/>
      <c r="BU21" s="16"/>
      <c r="BV21" s="16"/>
      <c r="BW21" s="16"/>
      <c r="BX21" s="16"/>
      <c r="BY21" s="16"/>
      <c r="BZ21" s="16"/>
      <c r="CA21" s="109"/>
      <c r="CB21" s="16"/>
      <c r="CC21" s="16"/>
      <c r="CD21" s="16"/>
      <c r="CE21" s="16"/>
      <c r="CF21" s="16"/>
      <c r="CG21" s="16"/>
      <c r="CH21" s="109"/>
      <c r="CI21" s="16"/>
      <c r="CJ21" s="16"/>
      <c r="CK21" s="16"/>
      <c r="CL21" s="16"/>
      <c r="CM21" s="16"/>
      <c r="CN21" s="16"/>
      <c r="CO21" s="109"/>
      <c r="CP21" s="16"/>
      <c r="CQ21" s="16"/>
      <c r="CR21" s="16"/>
      <c r="CS21" s="16"/>
      <c r="CT21" s="16"/>
      <c r="CU21" s="16"/>
      <c r="CV21" s="109"/>
      <c r="CW21" s="16"/>
      <c r="CX21" s="16"/>
      <c r="CY21" s="16"/>
      <c r="CZ21" s="16"/>
      <c r="DA21" s="16"/>
      <c r="DB21" s="16"/>
      <c r="DC21" s="109"/>
      <c r="DD21" s="16"/>
      <c r="DE21" s="16"/>
      <c r="DF21" s="16"/>
      <c r="DG21" s="16"/>
      <c r="DH21" s="16"/>
      <c r="DI21" s="16"/>
      <c r="DJ21" s="109"/>
      <c r="DK21" s="16"/>
      <c r="DL21" s="16"/>
      <c r="DM21" s="16"/>
      <c r="DN21" s="16"/>
      <c r="DO21" s="16"/>
      <c r="DP21" s="16"/>
      <c r="DQ21" s="109"/>
      <c r="DR21" s="16"/>
      <c r="DS21" s="16"/>
      <c r="DT21" s="16"/>
      <c r="DU21" s="16"/>
      <c r="DV21" s="16"/>
      <c r="DW21" s="16"/>
      <c r="DX21" s="109"/>
      <c r="DY21" s="16"/>
      <c r="DZ21" s="16"/>
      <c r="EA21" s="16"/>
      <c r="EB21" s="16"/>
      <c r="EC21" s="16"/>
      <c r="ED21" s="16"/>
      <c r="EE21" s="109"/>
      <c r="EF21" s="16"/>
      <c r="EG21" s="16"/>
      <c r="EH21" s="16"/>
      <c r="EI21" s="16"/>
      <c r="EJ21" s="16"/>
      <c r="EK21" s="16"/>
      <c r="EL21" s="109"/>
      <c r="EM21" s="16"/>
      <c r="EN21" s="16"/>
      <c r="EO21" s="5">
        <f t="shared" si="3"/>
        <v>25</v>
      </c>
      <c r="EP21" s="5">
        <f t="shared" si="4"/>
        <v>8</v>
      </c>
      <c r="EQ21" s="5" t="s">
        <v>16</v>
      </c>
      <c r="ER21" s="27">
        <f>ER20/ER19</f>
        <v>0.1194331983805668</v>
      </c>
      <c r="ES21" s="27">
        <f>ES20/ES19</f>
        <v>0.16666666666666666</v>
      </c>
      <c r="ET21" s="27">
        <f>ET20/ET19</f>
        <v>0.14423076923076922</v>
      </c>
    </row>
    <row r="22" spans="1:150" x14ac:dyDescent="0.25">
      <c r="A22" s="6">
        <v>17</v>
      </c>
      <c r="B22" s="25">
        <v>152</v>
      </c>
      <c r="C22" s="20" t="s">
        <v>82</v>
      </c>
      <c r="D22" s="21" t="s">
        <v>83</v>
      </c>
      <c r="E22" s="11" t="s">
        <v>8</v>
      </c>
      <c r="F22" s="16" t="s">
        <v>165</v>
      </c>
      <c r="G22" s="16" t="s">
        <v>165</v>
      </c>
      <c r="H22" s="16" t="s">
        <v>165</v>
      </c>
      <c r="I22" s="109"/>
      <c r="J22" s="16" t="s">
        <v>166</v>
      </c>
      <c r="K22" s="112"/>
      <c r="L22" s="16" t="s">
        <v>166</v>
      </c>
      <c r="M22" s="16" t="s">
        <v>165</v>
      </c>
      <c r="N22" s="16" t="s">
        <v>166</v>
      </c>
      <c r="O22" s="16" t="s">
        <v>166</v>
      </c>
      <c r="P22" s="109"/>
      <c r="Q22" s="112"/>
      <c r="R22" s="16" t="s">
        <v>165</v>
      </c>
      <c r="S22" s="16" t="s">
        <v>165</v>
      </c>
      <c r="T22" s="16" t="s">
        <v>165</v>
      </c>
      <c r="U22" s="112"/>
      <c r="V22" s="16" t="s">
        <v>165</v>
      </c>
      <c r="W22" s="109"/>
      <c r="X22" s="16" t="s">
        <v>166</v>
      </c>
      <c r="Y22" s="16" t="s">
        <v>166</v>
      </c>
      <c r="Z22" s="16" t="s">
        <v>166</v>
      </c>
      <c r="AA22" s="16" t="s">
        <v>166</v>
      </c>
      <c r="AB22" s="16" t="s">
        <v>166</v>
      </c>
      <c r="AC22" s="16" t="s">
        <v>165</v>
      </c>
      <c r="AD22" s="109"/>
      <c r="AE22" s="16" t="s">
        <v>166</v>
      </c>
      <c r="AF22" s="16" t="s">
        <v>166</v>
      </c>
      <c r="AG22" s="16" t="s">
        <v>166</v>
      </c>
      <c r="AH22" s="16" t="s">
        <v>166</v>
      </c>
      <c r="AI22" s="16" t="s">
        <v>166</v>
      </c>
      <c r="AJ22" s="16" t="s">
        <v>166</v>
      </c>
      <c r="AK22" s="109"/>
      <c r="AL22" s="16" t="s">
        <v>166</v>
      </c>
      <c r="AM22" s="16"/>
      <c r="AN22" s="16" t="s">
        <v>166</v>
      </c>
      <c r="AO22" s="16" t="s">
        <v>166</v>
      </c>
      <c r="AP22" s="16" t="s">
        <v>166</v>
      </c>
      <c r="AQ22" s="16" t="s">
        <v>166</v>
      </c>
      <c r="AR22" s="109"/>
      <c r="AS22" s="16" t="s">
        <v>166</v>
      </c>
      <c r="AT22" s="16" t="s">
        <v>166</v>
      </c>
      <c r="AU22" s="16" t="s">
        <v>166</v>
      </c>
      <c r="AV22" s="16" t="s">
        <v>166</v>
      </c>
      <c r="AW22" s="16"/>
      <c r="AX22" s="16"/>
      <c r="AY22" s="109"/>
      <c r="AZ22" s="16"/>
      <c r="BA22" s="16"/>
      <c r="BB22" s="16"/>
      <c r="BC22" s="16"/>
      <c r="BD22" s="16"/>
      <c r="BE22" s="16"/>
      <c r="BF22" s="109"/>
      <c r="BG22" s="16"/>
      <c r="BH22" s="16"/>
      <c r="BI22" s="16"/>
      <c r="BJ22" s="16"/>
      <c r="BK22" s="16"/>
      <c r="BL22" s="16"/>
      <c r="BM22" s="109"/>
      <c r="BN22" s="16"/>
      <c r="BO22" s="16"/>
      <c r="BP22" s="16"/>
      <c r="BQ22" s="16"/>
      <c r="BR22" s="16"/>
      <c r="BS22" s="16"/>
      <c r="BT22" s="109"/>
      <c r="BU22" s="16"/>
      <c r="BV22" s="16"/>
      <c r="BW22" s="16"/>
      <c r="BX22" s="16"/>
      <c r="BY22" s="16"/>
      <c r="BZ22" s="16"/>
      <c r="CA22" s="109"/>
      <c r="CB22" s="16"/>
      <c r="CC22" s="16"/>
      <c r="CD22" s="16"/>
      <c r="CE22" s="16"/>
      <c r="CF22" s="16"/>
      <c r="CG22" s="16"/>
      <c r="CH22" s="109"/>
      <c r="CI22" s="16"/>
      <c r="CJ22" s="16"/>
      <c r="CK22" s="16"/>
      <c r="CL22" s="16"/>
      <c r="CM22" s="16"/>
      <c r="CN22" s="16"/>
      <c r="CO22" s="109"/>
      <c r="CP22" s="16"/>
      <c r="CQ22" s="16"/>
      <c r="CR22" s="16"/>
      <c r="CS22" s="16"/>
      <c r="CT22" s="16"/>
      <c r="CU22" s="16"/>
      <c r="CV22" s="109"/>
      <c r="CW22" s="16"/>
      <c r="CX22" s="16"/>
      <c r="CY22" s="16"/>
      <c r="CZ22" s="16"/>
      <c r="DA22" s="16"/>
      <c r="DB22" s="16"/>
      <c r="DC22" s="109"/>
      <c r="DD22" s="16"/>
      <c r="DE22" s="16"/>
      <c r="DF22" s="16"/>
      <c r="DG22" s="16"/>
      <c r="DH22" s="16"/>
      <c r="DI22" s="16"/>
      <c r="DJ22" s="109"/>
      <c r="DK22" s="16"/>
      <c r="DL22" s="16"/>
      <c r="DM22" s="16"/>
      <c r="DN22" s="16"/>
      <c r="DO22" s="16"/>
      <c r="DP22" s="16"/>
      <c r="DQ22" s="109"/>
      <c r="DR22" s="16"/>
      <c r="DS22" s="16"/>
      <c r="DT22" s="16"/>
      <c r="DU22" s="16"/>
      <c r="DV22" s="16"/>
      <c r="DW22" s="16"/>
      <c r="DX22" s="109"/>
      <c r="DY22" s="16"/>
      <c r="DZ22" s="16"/>
      <c r="EA22" s="16"/>
      <c r="EB22" s="16"/>
      <c r="EC22" s="16"/>
      <c r="ED22" s="16"/>
      <c r="EE22" s="109"/>
      <c r="EF22" s="16"/>
      <c r="EG22" s="16"/>
      <c r="EH22" s="16"/>
      <c r="EI22" s="16"/>
      <c r="EJ22" s="16"/>
      <c r="EK22" s="16"/>
      <c r="EL22" s="109"/>
      <c r="EM22" s="16"/>
      <c r="EN22" s="16"/>
      <c r="EO22" s="5">
        <f t="shared" si="3"/>
        <v>24</v>
      </c>
      <c r="EP22" s="5">
        <f t="shared" si="4"/>
        <v>9</v>
      </c>
    </row>
    <row r="23" spans="1:150" x14ac:dyDescent="0.25">
      <c r="A23" s="17">
        <v>18</v>
      </c>
      <c r="B23" s="25">
        <v>153</v>
      </c>
      <c r="C23" s="20" t="s">
        <v>84</v>
      </c>
      <c r="D23" s="21" t="s">
        <v>85</v>
      </c>
      <c r="E23" s="11" t="s">
        <v>8</v>
      </c>
      <c r="F23" s="16" t="s">
        <v>165</v>
      </c>
      <c r="G23" s="16" t="s">
        <v>166</v>
      </c>
      <c r="H23" s="16" t="s">
        <v>166</v>
      </c>
      <c r="I23" s="109"/>
      <c r="J23" s="16" t="s">
        <v>166</v>
      </c>
      <c r="K23" s="112"/>
      <c r="L23" s="16" t="s">
        <v>166</v>
      </c>
      <c r="M23" s="16" t="s">
        <v>166</v>
      </c>
      <c r="N23" s="16" t="s">
        <v>166</v>
      </c>
      <c r="O23" s="16" t="s">
        <v>165</v>
      </c>
      <c r="P23" s="109"/>
      <c r="Q23" s="112"/>
      <c r="R23" s="16" t="s">
        <v>166</v>
      </c>
      <c r="S23" s="16" t="s">
        <v>165</v>
      </c>
      <c r="T23" s="16" t="s">
        <v>165</v>
      </c>
      <c r="U23" s="112"/>
      <c r="V23" s="16" t="s">
        <v>165</v>
      </c>
      <c r="W23" s="109"/>
      <c r="X23" s="16" t="s">
        <v>166</v>
      </c>
      <c r="Y23" s="16" t="s">
        <v>166</v>
      </c>
      <c r="Z23" s="16" t="s">
        <v>166</v>
      </c>
      <c r="AA23" s="16" t="s">
        <v>166</v>
      </c>
      <c r="AB23" s="16" t="s">
        <v>166</v>
      </c>
      <c r="AC23" s="16" t="s">
        <v>166</v>
      </c>
      <c r="AD23" s="109"/>
      <c r="AE23" s="16" t="s">
        <v>166</v>
      </c>
      <c r="AF23" s="16" t="s">
        <v>166</v>
      </c>
      <c r="AG23" s="16" t="s">
        <v>166</v>
      </c>
      <c r="AH23" s="16" t="s">
        <v>166</v>
      </c>
      <c r="AI23" s="16" t="s">
        <v>166</v>
      </c>
      <c r="AJ23" s="16" t="s">
        <v>166</v>
      </c>
      <c r="AK23" s="109"/>
      <c r="AL23" s="16" t="s">
        <v>166</v>
      </c>
      <c r="AM23" s="16"/>
      <c r="AN23" s="16" t="s">
        <v>165</v>
      </c>
      <c r="AO23" s="16" t="s">
        <v>165</v>
      </c>
      <c r="AP23" s="16" t="s">
        <v>165</v>
      </c>
      <c r="AQ23" s="16" t="s">
        <v>165</v>
      </c>
      <c r="AR23" s="109"/>
      <c r="AS23" s="16" t="s">
        <v>166</v>
      </c>
      <c r="AT23" s="16" t="s">
        <v>166</v>
      </c>
      <c r="AU23" s="16" t="s">
        <v>166</v>
      </c>
      <c r="AV23" s="16" t="s">
        <v>166</v>
      </c>
      <c r="AW23" s="16"/>
      <c r="AX23" s="16"/>
      <c r="AY23" s="109"/>
      <c r="AZ23" s="16"/>
      <c r="BA23" s="16"/>
      <c r="BB23" s="16"/>
      <c r="BC23" s="16"/>
      <c r="BD23" s="16"/>
      <c r="BE23" s="16"/>
      <c r="BF23" s="109"/>
      <c r="BG23" s="16"/>
      <c r="BH23" s="16"/>
      <c r="BI23" s="16"/>
      <c r="BJ23" s="16"/>
      <c r="BK23" s="16"/>
      <c r="BL23" s="16"/>
      <c r="BM23" s="109"/>
      <c r="BN23" s="16"/>
      <c r="BO23" s="16"/>
      <c r="BP23" s="16"/>
      <c r="BQ23" s="16"/>
      <c r="BR23" s="16"/>
      <c r="BS23" s="16"/>
      <c r="BT23" s="109"/>
      <c r="BU23" s="16"/>
      <c r="BV23" s="16"/>
      <c r="BW23" s="16"/>
      <c r="BX23" s="16"/>
      <c r="BY23" s="16"/>
      <c r="BZ23" s="16"/>
      <c r="CA23" s="109"/>
      <c r="CB23" s="16"/>
      <c r="CC23" s="16"/>
      <c r="CD23" s="16"/>
      <c r="CE23" s="16"/>
      <c r="CF23" s="16"/>
      <c r="CG23" s="16"/>
      <c r="CH23" s="109"/>
      <c r="CI23" s="16"/>
      <c r="CJ23" s="16"/>
      <c r="CK23" s="16"/>
      <c r="CL23" s="16"/>
      <c r="CM23" s="16"/>
      <c r="CN23" s="16"/>
      <c r="CO23" s="109"/>
      <c r="CP23" s="16"/>
      <c r="CQ23" s="16"/>
      <c r="CR23" s="16"/>
      <c r="CS23" s="16"/>
      <c r="CT23" s="16"/>
      <c r="CU23" s="16"/>
      <c r="CV23" s="109"/>
      <c r="CW23" s="16"/>
      <c r="CX23" s="16"/>
      <c r="CY23" s="16"/>
      <c r="CZ23" s="16"/>
      <c r="DA23" s="16"/>
      <c r="DB23" s="16"/>
      <c r="DC23" s="109"/>
      <c r="DD23" s="16"/>
      <c r="DE23" s="16"/>
      <c r="DF23" s="16"/>
      <c r="DG23" s="16"/>
      <c r="DH23" s="16"/>
      <c r="DI23" s="16"/>
      <c r="DJ23" s="109"/>
      <c r="DK23" s="16"/>
      <c r="DL23" s="16"/>
      <c r="DM23" s="16"/>
      <c r="DN23" s="16"/>
      <c r="DO23" s="16"/>
      <c r="DP23" s="16"/>
      <c r="DQ23" s="109"/>
      <c r="DR23" s="16"/>
      <c r="DS23" s="16"/>
      <c r="DT23" s="16"/>
      <c r="DU23" s="16"/>
      <c r="DV23" s="16"/>
      <c r="DW23" s="16"/>
      <c r="DX23" s="109"/>
      <c r="DY23" s="16"/>
      <c r="DZ23" s="16"/>
      <c r="EA23" s="16"/>
      <c r="EB23" s="16"/>
      <c r="EC23" s="16"/>
      <c r="ED23" s="16"/>
      <c r="EE23" s="109"/>
      <c r="EF23" s="16"/>
      <c r="EG23" s="16"/>
      <c r="EH23" s="16"/>
      <c r="EI23" s="16"/>
      <c r="EJ23" s="16"/>
      <c r="EK23" s="16"/>
      <c r="EL23" s="109"/>
      <c r="EM23" s="16"/>
      <c r="EN23" s="16"/>
      <c r="EO23" s="5">
        <f t="shared" si="3"/>
        <v>24</v>
      </c>
      <c r="EP23" s="5">
        <f t="shared" si="4"/>
        <v>9</v>
      </c>
    </row>
    <row r="24" spans="1:150" x14ac:dyDescent="0.25">
      <c r="A24" s="6">
        <v>19</v>
      </c>
      <c r="B24" s="25">
        <v>154</v>
      </c>
      <c r="C24" s="20" t="s">
        <v>86</v>
      </c>
      <c r="D24" s="21" t="s">
        <v>87</v>
      </c>
      <c r="E24" s="11" t="s">
        <v>8</v>
      </c>
      <c r="F24" s="16" t="s">
        <v>166</v>
      </c>
      <c r="G24" s="16" t="s">
        <v>166</v>
      </c>
      <c r="H24" s="16" t="s">
        <v>166</v>
      </c>
      <c r="I24" s="109"/>
      <c r="J24" s="16" t="s">
        <v>166</v>
      </c>
      <c r="K24" s="112"/>
      <c r="L24" s="16" t="s">
        <v>166</v>
      </c>
      <c r="M24" s="16" t="s">
        <v>166</v>
      </c>
      <c r="N24" s="16" t="s">
        <v>166</v>
      </c>
      <c r="O24" s="16" t="s">
        <v>166</v>
      </c>
      <c r="P24" s="109"/>
      <c r="Q24" s="112"/>
      <c r="R24" s="16" t="s">
        <v>166</v>
      </c>
      <c r="S24" s="16" t="s">
        <v>165</v>
      </c>
      <c r="T24" s="16" t="s">
        <v>166</v>
      </c>
      <c r="U24" s="112"/>
      <c r="V24" s="16" t="s">
        <v>165</v>
      </c>
      <c r="W24" s="109"/>
      <c r="X24" s="16" t="s">
        <v>166</v>
      </c>
      <c r="Y24" s="16" t="s">
        <v>166</v>
      </c>
      <c r="Z24" s="16" t="s">
        <v>165</v>
      </c>
      <c r="AA24" s="16" t="s">
        <v>166</v>
      </c>
      <c r="AB24" s="16" t="s">
        <v>165</v>
      </c>
      <c r="AC24" s="16" t="s">
        <v>165</v>
      </c>
      <c r="AD24" s="109"/>
      <c r="AE24" s="16" t="s">
        <v>166</v>
      </c>
      <c r="AF24" s="16" t="s">
        <v>166</v>
      </c>
      <c r="AG24" s="16" t="s">
        <v>166</v>
      </c>
      <c r="AH24" s="16" t="s">
        <v>166</v>
      </c>
      <c r="AI24" s="16" t="s">
        <v>166</v>
      </c>
      <c r="AJ24" s="16" t="s">
        <v>166</v>
      </c>
      <c r="AK24" s="109"/>
      <c r="AL24" s="16" t="s">
        <v>166</v>
      </c>
      <c r="AM24" s="16"/>
      <c r="AN24" s="16" t="s">
        <v>166</v>
      </c>
      <c r="AO24" s="16" t="s">
        <v>166</v>
      </c>
      <c r="AP24" s="16" t="s">
        <v>166</v>
      </c>
      <c r="AQ24" s="16" t="s">
        <v>166</v>
      </c>
      <c r="AR24" s="109"/>
      <c r="AS24" s="16" t="s">
        <v>166</v>
      </c>
      <c r="AT24" s="16" t="s">
        <v>166</v>
      </c>
      <c r="AU24" s="16" t="s">
        <v>166</v>
      </c>
      <c r="AV24" s="16" t="s">
        <v>166</v>
      </c>
      <c r="AW24" s="16"/>
      <c r="AX24" s="16"/>
      <c r="AY24" s="109"/>
      <c r="AZ24" s="16"/>
      <c r="BA24" s="16"/>
      <c r="BB24" s="16"/>
      <c r="BC24" s="16"/>
      <c r="BD24" s="16"/>
      <c r="BE24" s="16"/>
      <c r="BF24" s="109"/>
      <c r="BG24" s="16"/>
      <c r="BH24" s="16"/>
      <c r="BI24" s="16"/>
      <c r="BJ24" s="16"/>
      <c r="BK24" s="16"/>
      <c r="BL24" s="16"/>
      <c r="BM24" s="109"/>
      <c r="BN24" s="16"/>
      <c r="BO24" s="16"/>
      <c r="BP24" s="16"/>
      <c r="BQ24" s="16"/>
      <c r="BR24" s="16"/>
      <c r="BS24" s="16"/>
      <c r="BT24" s="109"/>
      <c r="BU24" s="16"/>
      <c r="BV24" s="16"/>
      <c r="BW24" s="16"/>
      <c r="BX24" s="16"/>
      <c r="BY24" s="16"/>
      <c r="BZ24" s="16"/>
      <c r="CA24" s="109"/>
      <c r="CB24" s="16"/>
      <c r="CC24" s="16"/>
      <c r="CD24" s="16"/>
      <c r="CE24" s="16"/>
      <c r="CF24" s="16"/>
      <c r="CG24" s="16"/>
      <c r="CH24" s="109"/>
      <c r="CI24" s="16"/>
      <c r="CJ24" s="16"/>
      <c r="CK24" s="16"/>
      <c r="CL24" s="16"/>
      <c r="CM24" s="16"/>
      <c r="CN24" s="16"/>
      <c r="CO24" s="109"/>
      <c r="CP24" s="16"/>
      <c r="CQ24" s="16"/>
      <c r="CR24" s="16"/>
      <c r="CS24" s="16"/>
      <c r="CT24" s="16"/>
      <c r="CU24" s="16"/>
      <c r="CV24" s="109"/>
      <c r="CW24" s="16"/>
      <c r="CX24" s="16"/>
      <c r="CY24" s="16"/>
      <c r="CZ24" s="16"/>
      <c r="DA24" s="16"/>
      <c r="DB24" s="16"/>
      <c r="DC24" s="109"/>
      <c r="DD24" s="16"/>
      <c r="DE24" s="16"/>
      <c r="DF24" s="16"/>
      <c r="DG24" s="16"/>
      <c r="DH24" s="16"/>
      <c r="DI24" s="16"/>
      <c r="DJ24" s="109"/>
      <c r="DK24" s="16"/>
      <c r="DL24" s="16"/>
      <c r="DM24" s="16"/>
      <c r="DN24" s="16"/>
      <c r="DO24" s="16"/>
      <c r="DP24" s="16"/>
      <c r="DQ24" s="109"/>
      <c r="DR24" s="16"/>
      <c r="DS24" s="16"/>
      <c r="DT24" s="16"/>
      <c r="DU24" s="16"/>
      <c r="DV24" s="16"/>
      <c r="DW24" s="16"/>
      <c r="DX24" s="109"/>
      <c r="DY24" s="16"/>
      <c r="DZ24" s="16"/>
      <c r="EA24" s="16"/>
      <c r="EB24" s="16"/>
      <c r="EC24" s="16"/>
      <c r="ED24" s="16"/>
      <c r="EE24" s="109"/>
      <c r="EF24" s="16"/>
      <c r="EG24" s="16"/>
      <c r="EH24" s="16"/>
      <c r="EI24" s="16"/>
      <c r="EJ24" s="16"/>
      <c r="EK24" s="16"/>
      <c r="EL24" s="109"/>
      <c r="EM24" s="16"/>
      <c r="EN24" s="16"/>
      <c r="EO24" s="5">
        <f t="shared" si="3"/>
        <v>28</v>
      </c>
      <c r="EP24" s="5">
        <f t="shared" si="4"/>
        <v>5</v>
      </c>
    </row>
    <row r="25" spans="1:150" x14ac:dyDescent="0.25">
      <c r="A25" s="17">
        <v>20</v>
      </c>
      <c r="B25" s="25">
        <v>155</v>
      </c>
      <c r="C25" s="20" t="s">
        <v>88</v>
      </c>
      <c r="D25" s="21" t="s">
        <v>89</v>
      </c>
      <c r="E25" s="11" t="s">
        <v>8</v>
      </c>
      <c r="F25" s="16" t="s">
        <v>165</v>
      </c>
      <c r="G25" s="16" t="s">
        <v>166</v>
      </c>
      <c r="H25" s="16" t="s">
        <v>166</v>
      </c>
      <c r="I25" s="109"/>
      <c r="J25" s="16"/>
      <c r="K25" s="112"/>
      <c r="L25" s="16" t="s">
        <v>166</v>
      </c>
      <c r="M25" s="16" t="s">
        <v>166</v>
      </c>
      <c r="N25" s="16" t="s">
        <v>166</v>
      </c>
      <c r="O25" s="16" t="s">
        <v>166</v>
      </c>
      <c r="P25" s="109"/>
      <c r="Q25" s="112"/>
      <c r="R25" s="16" t="s">
        <v>166</v>
      </c>
      <c r="S25" s="16" t="s">
        <v>166</v>
      </c>
      <c r="T25" s="16" t="s">
        <v>165</v>
      </c>
      <c r="U25" s="112"/>
      <c r="V25" s="16" t="s">
        <v>165</v>
      </c>
      <c r="W25" s="109"/>
      <c r="X25" s="16" t="s">
        <v>166</v>
      </c>
      <c r="Y25" s="16" t="s">
        <v>166</v>
      </c>
      <c r="Z25" s="16" t="s">
        <v>166</v>
      </c>
      <c r="AA25" s="16" t="s">
        <v>166</v>
      </c>
      <c r="AB25" s="16" t="s">
        <v>166</v>
      </c>
      <c r="AC25" s="16" t="s">
        <v>166</v>
      </c>
      <c r="AD25" s="109"/>
      <c r="AE25" s="16" t="s">
        <v>166</v>
      </c>
      <c r="AF25" s="16" t="s">
        <v>166</v>
      </c>
      <c r="AG25" s="16" t="s">
        <v>166</v>
      </c>
      <c r="AH25" s="16" t="s">
        <v>166</v>
      </c>
      <c r="AI25" s="16" t="s">
        <v>166</v>
      </c>
      <c r="AJ25" s="16" t="s">
        <v>166</v>
      </c>
      <c r="AK25" s="109"/>
      <c r="AL25" s="16" t="s">
        <v>166</v>
      </c>
      <c r="AM25" s="16"/>
      <c r="AN25" s="16" t="s">
        <v>166</v>
      </c>
      <c r="AO25" s="16" t="s">
        <v>166</v>
      </c>
      <c r="AP25" s="16" t="s">
        <v>166</v>
      </c>
      <c r="AQ25" s="16" t="s">
        <v>166</v>
      </c>
      <c r="AR25" s="109"/>
      <c r="AS25" s="16" t="s">
        <v>166</v>
      </c>
      <c r="AT25" s="16" t="s">
        <v>166</v>
      </c>
      <c r="AU25" s="16" t="s">
        <v>166</v>
      </c>
      <c r="AV25" s="16" t="s">
        <v>166</v>
      </c>
      <c r="AW25" s="16"/>
      <c r="AX25" s="16"/>
      <c r="AY25" s="109"/>
      <c r="AZ25" s="16"/>
      <c r="BA25" s="16"/>
      <c r="BB25" s="16"/>
      <c r="BC25" s="16"/>
      <c r="BD25" s="16"/>
      <c r="BE25" s="16"/>
      <c r="BF25" s="109"/>
      <c r="BG25" s="16"/>
      <c r="BH25" s="16"/>
      <c r="BI25" s="16"/>
      <c r="BJ25" s="16"/>
      <c r="BK25" s="16"/>
      <c r="BL25" s="16"/>
      <c r="BM25" s="109"/>
      <c r="BN25" s="16"/>
      <c r="BO25" s="16"/>
      <c r="BP25" s="16"/>
      <c r="BQ25" s="16"/>
      <c r="BR25" s="16"/>
      <c r="BS25" s="16"/>
      <c r="BT25" s="109"/>
      <c r="BU25" s="16"/>
      <c r="BV25" s="16"/>
      <c r="BW25" s="16"/>
      <c r="BX25" s="16"/>
      <c r="BY25" s="16"/>
      <c r="BZ25" s="16"/>
      <c r="CA25" s="109"/>
      <c r="CB25" s="16"/>
      <c r="CC25" s="16"/>
      <c r="CD25" s="16"/>
      <c r="CE25" s="16"/>
      <c r="CF25" s="16"/>
      <c r="CG25" s="16"/>
      <c r="CH25" s="109"/>
      <c r="CI25" s="16"/>
      <c r="CJ25" s="16"/>
      <c r="CK25" s="16"/>
      <c r="CL25" s="16"/>
      <c r="CM25" s="16"/>
      <c r="CN25" s="16"/>
      <c r="CO25" s="109"/>
      <c r="CP25" s="16"/>
      <c r="CQ25" s="16"/>
      <c r="CR25" s="16"/>
      <c r="CS25" s="16"/>
      <c r="CT25" s="16"/>
      <c r="CU25" s="16"/>
      <c r="CV25" s="109"/>
      <c r="CW25" s="16"/>
      <c r="CX25" s="16"/>
      <c r="CY25" s="16"/>
      <c r="CZ25" s="16"/>
      <c r="DA25" s="16"/>
      <c r="DB25" s="16"/>
      <c r="DC25" s="109"/>
      <c r="DD25" s="16"/>
      <c r="DE25" s="16"/>
      <c r="DF25" s="16"/>
      <c r="DG25" s="16"/>
      <c r="DH25" s="16"/>
      <c r="DI25" s="16"/>
      <c r="DJ25" s="109"/>
      <c r="DK25" s="16"/>
      <c r="DL25" s="16"/>
      <c r="DM25" s="16"/>
      <c r="DN25" s="16"/>
      <c r="DO25" s="16"/>
      <c r="DP25" s="16"/>
      <c r="DQ25" s="109"/>
      <c r="DR25" s="16"/>
      <c r="DS25" s="16"/>
      <c r="DT25" s="16"/>
      <c r="DU25" s="16"/>
      <c r="DV25" s="16"/>
      <c r="DW25" s="16"/>
      <c r="DX25" s="109"/>
      <c r="DY25" s="16"/>
      <c r="DZ25" s="16"/>
      <c r="EA25" s="16"/>
      <c r="EB25" s="16"/>
      <c r="EC25" s="16"/>
      <c r="ED25" s="16"/>
      <c r="EE25" s="109"/>
      <c r="EF25" s="16"/>
      <c r="EG25" s="16"/>
      <c r="EH25" s="16"/>
      <c r="EI25" s="16"/>
      <c r="EJ25" s="16"/>
      <c r="EK25" s="16"/>
      <c r="EL25" s="109"/>
      <c r="EM25" s="16"/>
      <c r="EN25" s="16"/>
      <c r="EO25" s="5">
        <f t="shared" si="3"/>
        <v>29</v>
      </c>
      <c r="EP25" s="5">
        <f t="shared" si="4"/>
        <v>3</v>
      </c>
    </row>
    <row r="26" spans="1:150" x14ac:dyDescent="0.25">
      <c r="A26" s="6">
        <v>21</v>
      </c>
      <c r="B26" s="25">
        <v>156</v>
      </c>
      <c r="C26" s="20" t="s">
        <v>90</v>
      </c>
      <c r="D26" s="21" t="s">
        <v>91</v>
      </c>
      <c r="E26" s="11" t="s">
        <v>8</v>
      </c>
      <c r="F26" s="16" t="s">
        <v>165</v>
      </c>
      <c r="G26" s="16" t="s">
        <v>165</v>
      </c>
      <c r="H26" s="16" t="s">
        <v>166</v>
      </c>
      <c r="I26" s="109"/>
      <c r="J26" s="16" t="s">
        <v>166</v>
      </c>
      <c r="K26" s="112"/>
      <c r="L26" s="16" t="s">
        <v>166</v>
      </c>
      <c r="M26" s="16" t="s">
        <v>166</v>
      </c>
      <c r="N26" s="16" t="s">
        <v>166</v>
      </c>
      <c r="O26" s="16" t="s">
        <v>165</v>
      </c>
      <c r="P26" s="109"/>
      <c r="Q26" s="112"/>
      <c r="R26" s="16" t="s">
        <v>166</v>
      </c>
      <c r="S26" s="16" t="s">
        <v>165</v>
      </c>
      <c r="T26" s="16" t="s">
        <v>166</v>
      </c>
      <c r="U26" s="112"/>
      <c r="V26" s="16" t="s">
        <v>165</v>
      </c>
      <c r="W26" s="109"/>
      <c r="X26" s="16" t="s">
        <v>166</v>
      </c>
      <c r="Y26" s="16" t="s">
        <v>166</v>
      </c>
      <c r="Z26" s="16" t="s">
        <v>166</v>
      </c>
      <c r="AA26" s="16" t="s">
        <v>165</v>
      </c>
      <c r="AB26" s="16" t="s">
        <v>165</v>
      </c>
      <c r="AC26" s="16" t="s">
        <v>166</v>
      </c>
      <c r="AD26" s="109"/>
      <c r="AE26" s="16" t="s">
        <v>166</v>
      </c>
      <c r="AF26" s="16" t="s">
        <v>166</v>
      </c>
      <c r="AG26" s="16" t="s">
        <v>166</v>
      </c>
      <c r="AH26" s="16" t="s">
        <v>166</v>
      </c>
      <c r="AI26" s="16" t="s">
        <v>166</v>
      </c>
      <c r="AJ26" s="16" t="s">
        <v>166</v>
      </c>
      <c r="AK26" s="109"/>
      <c r="AL26" s="16" t="s">
        <v>166</v>
      </c>
      <c r="AM26" s="16"/>
      <c r="AN26" s="16" t="s">
        <v>166</v>
      </c>
      <c r="AO26" s="16" t="s">
        <v>166</v>
      </c>
      <c r="AP26" s="16" t="s">
        <v>166</v>
      </c>
      <c r="AQ26" s="16" t="s">
        <v>166</v>
      </c>
      <c r="AR26" s="109"/>
      <c r="AS26" s="16" t="s">
        <v>166</v>
      </c>
      <c r="AT26" s="16" t="s">
        <v>166</v>
      </c>
      <c r="AU26" s="16" t="s">
        <v>166</v>
      </c>
      <c r="AV26" s="16" t="s">
        <v>166</v>
      </c>
      <c r="AW26" s="16"/>
      <c r="AX26" s="16"/>
      <c r="AY26" s="109"/>
      <c r="AZ26" s="16"/>
      <c r="BA26" s="16"/>
      <c r="BB26" s="16"/>
      <c r="BC26" s="16"/>
      <c r="BD26" s="16"/>
      <c r="BE26" s="16"/>
      <c r="BF26" s="109"/>
      <c r="BG26" s="16"/>
      <c r="BH26" s="16"/>
      <c r="BI26" s="16"/>
      <c r="BJ26" s="16"/>
      <c r="BK26" s="16"/>
      <c r="BL26" s="16"/>
      <c r="BM26" s="109"/>
      <c r="BN26" s="16"/>
      <c r="BO26" s="16"/>
      <c r="BP26" s="16"/>
      <c r="BQ26" s="16"/>
      <c r="BR26" s="16"/>
      <c r="BS26" s="16"/>
      <c r="BT26" s="109"/>
      <c r="BU26" s="16"/>
      <c r="BV26" s="16"/>
      <c r="BW26" s="16"/>
      <c r="BX26" s="16"/>
      <c r="BY26" s="16"/>
      <c r="BZ26" s="16"/>
      <c r="CA26" s="109"/>
      <c r="CB26" s="16"/>
      <c r="CC26" s="16"/>
      <c r="CD26" s="16"/>
      <c r="CE26" s="16"/>
      <c r="CF26" s="16"/>
      <c r="CG26" s="16"/>
      <c r="CH26" s="109"/>
      <c r="CI26" s="16"/>
      <c r="CJ26" s="16"/>
      <c r="CK26" s="16"/>
      <c r="CL26" s="16"/>
      <c r="CM26" s="16"/>
      <c r="CN26" s="16"/>
      <c r="CO26" s="109"/>
      <c r="CP26" s="16"/>
      <c r="CQ26" s="16"/>
      <c r="CR26" s="16"/>
      <c r="CS26" s="16"/>
      <c r="CT26" s="16"/>
      <c r="CU26" s="16"/>
      <c r="CV26" s="109"/>
      <c r="CW26" s="16"/>
      <c r="CX26" s="16"/>
      <c r="CY26" s="16"/>
      <c r="CZ26" s="16"/>
      <c r="DA26" s="16"/>
      <c r="DB26" s="16"/>
      <c r="DC26" s="109"/>
      <c r="DD26" s="16"/>
      <c r="DE26" s="16"/>
      <c r="DF26" s="16"/>
      <c r="DG26" s="16"/>
      <c r="DH26" s="16"/>
      <c r="DI26" s="16"/>
      <c r="DJ26" s="109"/>
      <c r="DK26" s="16"/>
      <c r="DL26" s="16"/>
      <c r="DM26" s="16"/>
      <c r="DN26" s="16"/>
      <c r="DO26" s="16"/>
      <c r="DP26" s="16"/>
      <c r="DQ26" s="109"/>
      <c r="DR26" s="16"/>
      <c r="DS26" s="16"/>
      <c r="DT26" s="16"/>
      <c r="DU26" s="16"/>
      <c r="DV26" s="16"/>
      <c r="DW26" s="16"/>
      <c r="DX26" s="109"/>
      <c r="DY26" s="16"/>
      <c r="DZ26" s="16"/>
      <c r="EA26" s="16"/>
      <c r="EB26" s="16"/>
      <c r="EC26" s="16"/>
      <c r="ED26" s="16"/>
      <c r="EE26" s="109"/>
      <c r="EF26" s="16"/>
      <c r="EG26" s="16"/>
      <c r="EH26" s="16"/>
      <c r="EI26" s="16"/>
      <c r="EJ26" s="16"/>
      <c r="EK26" s="16"/>
      <c r="EL26" s="109"/>
      <c r="EM26" s="16"/>
      <c r="EN26" s="16"/>
      <c r="EO26" s="5">
        <f t="shared" si="3"/>
        <v>26</v>
      </c>
      <c r="EP26" s="5">
        <f t="shared" si="4"/>
        <v>7</v>
      </c>
    </row>
    <row r="27" spans="1:150" s="85" customFormat="1" x14ac:dyDescent="0.25">
      <c r="A27" s="78">
        <v>22</v>
      </c>
      <c r="B27" s="79">
        <v>157</v>
      </c>
      <c r="C27" s="80" t="s">
        <v>92</v>
      </c>
      <c r="D27" s="81" t="s">
        <v>93</v>
      </c>
      <c r="E27" s="82" t="s">
        <v>8</v>
      </c>
      <c r="F27" s="83" t="s">
        <v>165</v>
      </c>
      <c r="G27" s="83" t="s">
        <v>165</v>
      </c>
      <c r="H27" s="83"/>
      <c r="I27" s="109"/>
      <c r="J27" s="83" t="s">
        <v>165</v>
      </c>
      <c r="K27" s="112"/>
      <c r="L27" s="83" t="s">
        <v>165</v>
      </c>
      <c r="M27" s="83" t="s">
        <v>165</v>
      </c>
      <c r="N27" s="83" t="s">
        <v>166</v>
      </c>
      <c r="O27" s="83" t="s">
        <v>165</v>
      </c>
      <c r="P27" s="109"/>
      <c r="Q27" s="112"/>
      <c r="R27" s="83" t="s">
        <v>165</v>
      </c>
      <c r="S27" s="83" t="s">
        <v>165</v>
      </c>
      <c r="T27" s="83" t="s">
        <v>166</v>
      </c>
      <c r="U27" s="112"/>
      <c r="V27" s="83" t="s">
        <v>165</v>
      </c>
      <c r="W27" s="109"/>
      <c r="X27" s="83" t="s">
        <v>165</v>
      </c>
      <c r="Y27" s="83" t="s">
        <v>166</v>
      </c>
      <c r="Z27" s="83" t="s">
        <v>165</v>
      </c>
      <c r="AA27" s="83" t="s">
        <v>165</v>
      </c>
      <c r="AB27" s="83" t="s">
        <v>165</v>
      </c>
      <c r="AC27" s="83" t="s">
        <v>165</v>
      </c>
      <c r="AD27" s="109"/>
      <c r="AE27" s="83" t="s">
        <v>165</v>
      </c>
      <c r="AF27" s="83" t="s">
        <v>165</v>
      </c>
      <c r="AG27" s="83" t="s">
        <v>165</v>
      </c>
      <c r="AH27" s="83" t="s">
        <v>165</v>
      </c>
      <c r="AI27" s="83" t="s">
        <v>165</v>
      </c>
      <c r="AJ27" s="83" t="s">
        <v>165</v>
      </c>
      <c r="AK27" s="109"/>
      <c r="AL27" s="83" t="s">
        <v>165</v>
      </c>
      <c r="AM27" s="83" t="s">
        <v>165</v>
      </c>
      <c r="AN27" s="83" t="s">
        <v>165</v>
      </c>
      <c r="AO27" s="83"/>
      <c r="AP27" s="83"/>
      <c r="AQ27" s="83"/>
      <c r="AR27" s="109"/>
      <c r="AS27" s="83"/>
      <c r="AT27" s="83"/>
      <c r="AU27" s="83"/>
      <c r="AV27" s="83"/>
      <c r="AW27" s="83"/>
      <c r="AX27" s="83"/>
      <c r="AY27" s="109"/>
      <c r="AZ27" s="83"/>
      <c r="BA27" s="83"/>
      <c r="BB27" s="83"/>
      <c r="BC27" s="83"/>
      <c r="BD27" s="83"/>
      <c r="BE27" s="83"/>
      <c r="BF27" s="109"/>
      <c r="BG27" s="83"/>
      <c r="BH27" s="83"/>
      <c r="BI27" s="83"/>
      <c r="BJ27" s="83"/>
      <c r="BK27" s="83"/>
      <c r="BL27" s="83"/>
      <c r="BM27" s="109"/>
      <c r="BN27" s="83"/>
      <c r="BO27" s="83"/>
      <c r="BP27" s="83"/>
      <c r="BQ27" s="83"/>
      <c r="BR27" s="83"/>
      <c r="BS27" s="83"/>
      <c r="BT27" s="109"/>
      <c r="BU27" s="83"/>
      <c r="BV27" s="83"/>
      <c r="BW27" s="83"/>
      <c r="BX27" s="83"/>
      <c r="BY27" s="83"/>
      <c r="BZ27" s="83"/>
      <c r="CA27" s="109"/>
      <c r="CB27" s="83"/>
      <c r="CC27" s="83"/>
      <c r="CD27" s="83"/>
      <c r="CE27" s="83"/>
      <c r="CF27" s="83"/>
      <c r="CG27" s="83"/>
      <c r="CH27" s="109"/>
      <c r="CI27" s="83"/>
      <c r="CJ27" s="83"/>
      <c r="CK27" s="83"/>
      <c r="CL27" s="83"/>
      <c r="CM27" s="83"/>
      <c r="CN27" s="83"/>
      <c r="CO27" s="109"/>
      <c r="CP27" s="83"/>
      <c r="CQ27" s="83"/>
      <c r="CR27" s="83"/>
      <c r="CS27" s="83"/>
      <c r="CT27" s="83"/>
      <c r="CU27" s="83"/>
      <c r="CV27" s="109"/>
      <c r="CW27" s="83"/>
      <c r="CX27" s="83"/>
      <c r="CY27" s="83"/>
      <c r="CZ27" s="83"/>
      <c r="DA27" s="83"/>
      <c r="DB27" s="83"/>
      <c r="DC27" s="109"/>
      <c r="DD27" s="83"/>
      <c r="DE27" s="83"/>
      <c r="DF27" s="83"/>
      <c r="DG27" s="83"/>
      <c r="DH27" s="83"/>
      <c r="DI27" s="83"/>
      <c r="DJ27" s="109"/>
      <c r="DK27" s="83"/>
      <c r="DL27" s="83"/>
      <c r="DM27" s="83"/>
      <c r="DN27" s="83"/>
      <c r="DO27" s="83"/>
      <c r="DP27" s="83"/>
      <c r="DQ27" s="109"/>
      <c r="DR27" s="83"/>
      <c r="DS27" s="83"/>
      <c r="DT27" s="83"/>
      <c r="DU27" s="83"/>
      <c r="DV27" s="83"/>
      <c r="DW27" s="83"/>
      <c r="DX27" s="109"/>
      <c r="DY27" s="83"/>
      <c r="DZ27" s="83"/>
      <c r="EA27" s="83"/>
      <c r="EB27" s="83"/>
      <c r="EC27" s="83"/>
      <c r="ED27" s="83"/>
      <c r="EE27" s="109"/>
      <c r="EF27" s="83"/>
      <c r="EG27" s="83"/>
      <c r="EH27" s="83"/>
      <c r="EI27" s="83"/>
      <c r="EJ27" s="83"/>
      <c r="EK27" s="83"/>
      <c r="EL27" s="109"/>
      <c r="EM27" s="83"/>
      <c r="EN27" s="83"/>
      <c r="EO27" s="84">
        <f t="shared" si="3"/>
        <v>3</v>
      </c>
      <c r="EP27" s="84">
        <f t="shared" si="4"/>
        <v>23</v>
      </c>
    </row>
    <row r="28" spans="1:150" x14ac:dyDescent="0.25">
      <c r="A28" s="6">
        <v>23</v>
      </c>
      <c r="B28" s="25">
        <v>158</v>
      </c>
      <c r="C28" s="20" t="s">
        <v>94</v>
      </c>
      <c r="D28" s="21" t="s">
        <v>95</v>
      </c>
      <c r="E28" s="11" t="s">
        <v>8</v>
      </c>
      <c r="F28" s="16"/>
      <c r="G28" s="16"/>
      <c r="H28" s="16"/>
      <c r="I28" s="109"/>
      <c r="J28" s="16"/>
      <c r="K28" s="112"/>
      <c r="L28" s="16"/>
      <c r="M28" s="16"/>
      <c r="N28" s="16"/>
      <c r="O28" s="16"/>
      <c r="P28" s="109"/>
      <c r="Q28" s="112"/>
      <c r="R28" s="16" t="s">
        <v>166</v>
      </c>
      <c r="S28" s="16" t="s">
        <v>165</v>
      </c>
      <c r="T28" s="16" t="s">
        <v>165</v>
      </c>
      <c r="U28" s="112"/>
      <c r="V28" s="16" t="s">
        <v>165</v>
      </c>
      <c r="W28" s="109"/>
      <c r="X28" s="16" t="s">
        <v>166</v>
      </c>
      <c r="Y28" s="16" t="s">
        <v>165</v>
      </c>
      <c r="Z28" s="16" t="s">
        <v>166</v>
      </c>
      <c r="AA28" s="16" t="s">
        <v>166</v>
      </c>
      <c r="AB28" s="16" t="s">
        <v>165</v>
      </c>
      <c r="AC28" s="16" t="s">
        <v>166</v>
      </c>
      <c r="AD28" s="109"/>
      <c r="AE28" s="16" t="s">
        <v>166</v>
      </c>
      <c r="AF28" s="16" t="s">
        <v>166</v>
      </c>
      <c r="AG28" s="16" t="s">
        <v>166</v>
      </c>
      <c r="AH28" s="16" t="s">
        <v>166</v>
      </c>
      <c r="AI28" s="16" t="s">
        <v>166</v>
      </c>
      <c r="AJ28" s="16" t="s">
        <v>166</v>
      </c>
      <c r="AK28" s="109"/>
      <c r="AL28" s="16" t="s">
        <v>165</v>
      </c>
      <c r="AM28" s="16"/>
      <c r="AN28" s="16" t="s">
        <v>166</v>
      </c>
      <c r="AO28" s="16" t="s">
        <v>166</v>
      </c>
      <c r="AP28" s="16" t="s">
        <v>166</v>
      </c>
      <c r="AQ28" s="16" t="s">
        <v>166</v>
      </c>
      <c r="AR28" s="109"/>
      <c r="AS28" s="16" t="s">
        <v>166</v>
      </c>
      <c r="AT28" s="16" t="s">
        <v>166</v>
      </c>
      <c r="AU28" s="16" t="s">
        <v>166</v>
      </c>
      <c r="AV28" s="16" t="s">
        <v>166</v>
      </c>
      <c r="AW28" s="16"/>
      <c r="AX28" s="16"/>
      <c r="AY28" s="109"/>
      <c r="AZ28" s="16"/>
      <c r="BA28" s="16"/>
      <c r="BB28" s="16"/>
      <c r="BC28" s="16"/>
      <c r="BD28" s="16"/>
      <c r="BE28" s="16"/>
      <c r="BF28" s="109"/>
      <c r="BG28" s="16"/>
      <c r="BH28" s="16"/>
      <c r="BI28" s="16"/>
      <c r="BJ28" s="16"/>
      <c r="BK28" s="16"/>
      <c r="BL28" s="16"/>
      <c r="BM28" s="109"/>
      <c r="BN28" s="16"/>
      <c r="BO28" s="16"/>
      <c r="BP28" s="16"/>
      <c r="BQ28" s="16"/>
      <c r="BR28" s="16"/>
      <c r="BS28" s="16"/>
      <c r="BT28" s="109"/>
      <c r="BU28" s="16"/>
      <c r="BV28" s="16"/>
      <c r="BW28" s="16"/>
      <c r="BX28" s="16"/>
      <c r="BY28" s="16"/>
      <c r="BZ28" s="16"/>
      <c r="CA28" s="109"/>
      <c r="CB28" s="16"/>
      <c r="CC28" s="16"/>
      <c r="CD28" s="16"/>
      <c r="CE28" s="16"/>
      <c r="CF28" s="16"/>
      <c r="CG28" s="16"/>
      <c r="CH28" s="109"/>
      <c r="CI28" s="16"/>
      <c r="CJ28" s="16"/>
      <c r="CK28" s="16"/>
      <c r="CL28" s="16"/>
      <c r="CM28" s="16"/>
      <c r="CN28" s="16"/>
      <c r="CO28" s="109"/>
      <c r="CP28" s="16"/>
      <c r="CQ28" s="16"/>
      <c r="CR28" s="16"/>
      <c r="CS28" s="16"/>
      <c r="CT28" s="16"/>
      <c r="CU28" s="16"/>
      <c r="CV28" s="109"/>
      <c r="CW28" s="16"/>
      <c r="CX28" s="16"/>
      <c r="CY28" s="16"/>
      <c r="CZ28" s="16"/>
      <c r="DA28" s="16"/>
      <c r="DB28" s="16"/>
      <c r="DC28" s="109"/>
      <c r="DD28" s="16"/>
      <c r="DE28" s="16"/>
      <c r="DF28" s="16"/>
      <c r="DG28" s="16"/>
      <c r="DH28" s="16"/>
      <c r="DI28" s="16"/>
      <c r="DJ28" s="109"/>
      <c r="DK28" s="16"/>
      <c r="DL28" s="16"/>
      <c r="DM28" s="16"/>
      <c r="DN28" s="16"/>
      <c r="DO28" s="16"/>
      <c r="DP28" s="16"/>
      <c r="DQ28" s="109"/>
      <c r="DR28" s="16"/>
      <c r="DS28" s="16"/>
      <c r="DT28" s="16"/>
      <c r="DU28" s="16"/>
      <c r="DV28" s="16"/>
      <c r="DW28" s="16"/>
      <c r="DX28" s="109"/>
      <c r="DY28" s="16"/>
      <c r="DZ28" s="16"/>
      <c r="EA28" s="16"/>
      <c r="EB28" s="16"/>
      <c r="EC28" s="16"/>
      <c r="ED28" s="16"/>
      <c r="EE28" s="109"/>
      <c r="EF28" s="16"/>
      <c r="EG28" s="16"/>
      <c r="EH28" s="16"/>
      <c r="EI28" s="16"/>
      <c r="EJ28" s="16"/>
      <c r="EK28" s="16"/>
      <c r="EL28" s="109"/>
      <c r="EM28" s="16"/>
      <c r="EN28" s="16"/>
      <c r="EO28" s="5">
        <f t="shared" si="3"/>
        <v>19</v>
      </c>
      <c r="EP28" s="5">
        <f t="shared" si="4"/>
        <v>6</v>
      </c>
    </row>
    <row r="29" spans="1:150" x14ac:dyDescent="0.25">
      <c r="A29" s="17">
        <v>24</v>
      </c>
      <c r="B29" s="19">
        <v>159</v>
      </c>
      <c r="C29" s="20" t="s">
        <v>96</v>
      </c>
      <c r="D29" s="21" t="s">
        <v>97</v>
      </c>
      <c r="E29" s="11" t="s">
        <v>8</v>
      </c>
      <c r="F29" s="16"/>
      <c r="G29" s="16"/>
      <c r="H29" s="16"/>
      <c r="I29" s="109"/>
      <c r="J29" s="16"/>
      <c r="K29" s="112"/>
      <c r="L29" s="16"/>
      <c r="M29" s="16"/>
      <c r="N29" s="16"/>
      <c r="O29" s="16"/>
      <c r="P29" s="109"/>
      <c r="Q29" s="112"/>
      <c r="R29" s="16"/>
      <c r="S29" s="16"/>
      <c r="T29" s="16"/>
      <c r="U29" s="112"/>
      <c r="V29" s="16"/>
      <c r="W29" s="109"/>
      <c r="X29" s="16" t="s">
        <v>165</v>
      </c>
      <c r="Y29" s="16" t="s">
        <v>165</v>
      </c>
      <c r="Z29" s="16" t="s">
        <v>165</v>
      </c>
      <c r="AA29" s="16" t="s">
        <v>165</v>
      </c>
      <c r="AB29" s="16" t="s">
        <v>165</v>
      </c>
      <c r="AC29" s="16" t="s">
        <v>165</v>
      </c>
      <c r="AD29" s="109"/>
      <c r="AE29" s="16" t="s">
        <v>165</v>
      </c>
      <c r="AF29" s="16" t="s">
        <v>165</v>
      </c>
      <c r="AG29" s="16" t="s">
        <v>165</v>
      </c>
      <c r="AH29" s="16" t="s">
        <v>165</v>
      </c>
      <c r="AI29" s="16" t="s">
        <v>165</v>
      </c>
      <c r="AJ29" s="16" t="s">
        <v>165</v>
      </c>
      <c r="AK29" s="109"/>
      <c r="AL29" s="16" t="s">
        <v>165</v>
      </c>
      <c r="AM29" s="16" t="s">
        <v>165</v>
      </c>
      <c r="AN29" s="16" t="s">
        <v>165</v>
      </c>
      <c r="AO29" s="16" t="s">
        <v>165</v>
      </c>
      <c r="AP29" s="16" t="s">
        <v>165</v>
      </c>
      <c r="AQ29" s="16" t="s">
        <v>165</v>
      </c>
      <c r="AR29" s="109"/>
      <c r="AS29" s="16" t="s">
        <v>165</v>
      </c>
      <c r="AT29" s="16" t="s">
        <v>166</v>
      </c>
      <c r="AU29" s="16" t="s">
        <v>165</v>
      </c>
      <c r="AV29" s="16" t="s">
        <v>166</v>
      </c>
      <c r="AW29" s="16"/>
      <c r="AX29" s="16"/>
      <c r="AY29" s="109"/>
      <c r="AZ29" s="16"/>
      <c r="BA29" s="16"/>
      <c r="BB29" s="16"/>
      <c r="BC29" s="16"/>
      <c r="BD29" s="16"/>
      <c r="BE29" s="16"/>
      <c r="BF29" s="109"/>
      <c r="BG29" s="16"/>
      <c r="BH29" s="16"/>
      <c r="BI29" s="16"/>
      <c r="BJ29" s="16"/>
      <c r="BK29" s="16"/>
      <c r="BL29" s="16"/>
      <c r="BM29" s="109"/>
      <c r="BN29" s="16"/>
      <c r="BO29" s="16"/>
      <c r="BP29" s="16"/>
      <c r="BQ29" s="16"/>
      <c r="BR29" s="16"/>
      <c r="BS29" s="16"/>
      <c r="BT29" s="109"/>
      <c r="BU29" s="16"/>
      <c r="BV29" s="16"/>
      <c r="BW29" s="16"/>
      <c r="BX29" s="16"/>
      <c r="BY29" s="16"/>
      <c r="BZ29" s="16"/>
      <c r="CA29" s="109"/>
      <c r="CB29" s="16"/>
      <c r="CC29" s="16"/>
      <c r="CD29" s="16"/>
      <c r="CE29" s="16"/>
      <c r="CF29" s="16"/>
      <c r="CG29" s="16"/>
      <c r="CH29" s="109"/>
      <c r="CI29" s="16"/>
      <c r="CJ29" s="16"/>
      <c r="CK29" s="16"/>
      <c r="CL29" s="16"/>
      <c r="CM29" s="16"/>
      <c r="CN29" s="16"/>
      <c r="CO29" s="109"/>
      <c r="CP29" s="16"/>
      <c r="CQ29" s="16"/>
      <c r="CR29" s="16"/>
      <c r="CS29" s="16"/>
      <c r="CT29" s="16"/>
      <c r="CU29" s="16"/>
      <c r="CV29" s="109"/>
      <c r="CW29" s="16"/>
      <c r="CX29" s="16"/>
      <c r="CY29" s="16"/>
      <c r="CZ29" s="16"/>
      <c r="DA29" s="16"/>
      <c r="DB29" s="16"/>
      <c r="DC29" s="109"/>
      <c r="DD29" s="16"/>
      <c r="DE29" s="16"/>
      <c r="DF29" s="16"/>
      <c r="DG29" s="16"/>
      <c r="DH29" s="16"/>
      <c r="DI29" s="16"/>
      <c r="DJ29" s="109"/>
      <c r="DK29" s="16"/>
      <c r="DL29" s="16"/>
      <c r="DM29" s="16"/>
      <c r="DN29" s="16"/>
      <c r="DO29" s="16"/>
      <c r="DP29" s="16"/>
      <c r="DQ29" s="109"/>
      <c r="DR29" s="16"/>
      <c r="DS29" s="16"/>
      <c r="DT29" s="16"/>
      <c r="DU29" s="16"/>
      <c r="DV29" s="16"/>
      <c r="DW29" s="16"/>
      <c r="DX29" s="109"/>
      <c r="DY29" s="16"/>
      <c r="DZ29" s="16"/>
      <c r="EA29" s="16"/>
      <c r="EB29" s="16"/>
      <c r="EC29" s="16"/>
      <c r="ED29" s="16"/>
      <c r="EE29" s="109"/>
      <c r="EF29" s="16"/>
      <c r="EG29" s="16"/>
      <c r="EH29" s="16"/>
      <c r="EI29" s="16"/>
      <c r="EJ29" s="16"/>
      <c r="EK29" s="16"/>
      <c r="EL29" s="109"/>
      <c r="EM29" s="16"/>
      <c r="EN29" s="16"/>
      <c r="EO29" s="5">
        <f t="shared" si="3"/>
        <v>2</v>
      </c>
      <c r="EP29" s="5">
        <f t="shared" si="4"/>
        <v>20</v>
      </c>
    </row>
    <row r="30" spans="1:150" x14ac:dyDescent="0.25">
      <c r="A30" s="6">
        <v>25</v>
      </c>
      <c r="B30" s="19">
        <v>160</v>
      </c>
      <c r="C30" s="20" t="s">
        <v>98</v>
      </c>
      <c r="D30" s="21" t="s">
        <v>99</v>
      </c>
      <c r="E30" s="11" t="s">
        <v>8</v>
      </c>
      <c r="F30" s="16" t="s">
        <v>165</v>
      </c>
      <c r="G30" s="16" t="s">
        <v>166</v>
      </c>
      <c r="H30" s="16" t="s">
        <v>166</v>
      </c>
      <c r="I30" s="109"/>
      <c r="J30" s="16" t="s">
        <v>166</v>
      </c>
      <c r="K30" s="112"/>
      <c r="L30" s="16" t="s">
        <v>166</v>
      </c>
      <c r="M30" s="16" t="s">
        <v>166</v>
      </c>
      <c r="N30" s="16" t="s">
        <v>166</v>
      </c>
      <c r="O30" s="16" t="s">
        <v>166</v>
      </c>
      <c r="P30" s="109"/>
      <c r="Q30" s="112"/>
      <c r="R30" s="16" t="s">
        <v>166</v>
      </c>
      <c r="S30" s="16" t="s">
        <v>166</v>
      </c>
      <c r="T30" s="16" t="s">
        <v>166</v>
      </c>
      <c r="U30" s="112"/>
      <c r="V30" s="16" t="s">
        <v>165</v>
      </c>
      <c r="W30" s="109"/>
      <c r="X30" s="16" t="s">
        <v>166</v>
      </c>
      <c r="Y30" s="16" t="s">
        <v>166</v>
      </c>
      <c r="Z30" s="16" t="s">
        <v>166</v>
      </c>
      <c r="AA30" s="16" t="s">
        <v>166</v>
      </c>
      <c r="AB30" s="16" t="s">
        <v>166</v>
      </c>
      <c r="AC30" s="16" t="s">
        <v>165</v>
      </c>
      <c r="AD30" s="109"/>
      <c r="AE30" s="16" t="s">
        <v>166</v>
      </c>
      <c r="AF30" s="16" t="s">
        <v>166</v>
      </c>
      <c r="AG30" s="16" t="s">
        <v>166</v>
      </c>
      <c r="AH30" s="16" t="s">
        <v>166</v>
      </c>
      <c r="AI30" s="16" t="s">
        <v>166</v>
      </c>
      <c r="AJ30" s="16" t="s">
        <v>166</v>
      </c>
      <c r="AK30" s="109"/>
      <c r="AL30" s="16" t="s">
        <v>166</v>
      </c>
      <c r="AM30" s="16"/>
      <c r="AN30" s="16" t="s">
        <v>166</v>
      </c>
      <c r="AO30" s="16" t="s">
        <v>166</v>
      </c>
      <c r="AP30" s="16" t="s">
        <v>166</v>
      </c>
      <c r="AQ30" s="16" t="s">
        <v>166</v>
      </c>
      <c r="AR30" s="109"/>
      <c r="AS30" s="16" t="s">
        <v>166</v>
      </c>
      <c r="AT30" s="16" t="s">
        <v>166</v>
      </c>
      <c r="AU30" s="16" t="s">
        <v>166</v>
      </c>
      <c r="AV30" s="16" t="s">
        <v>166</v>
      </c>
      <c r="AW30" s="16"/>
      <c r="AX30" s="16"/>
      <c r="AY30" s="109"/>
      <c r="AZ30" s="16"/>
      <c r="BA30" s="16"/>
      <c r="BB30" s="16"/>
      <c r="BC30" s="16"/>
      <c r="BD30" s="16"/>
      <c r="BE30" s="16"/>
      <c r="BF30" s="109"/>
      <c r="BG30" s="16"/>
      <c r="BH30" s="16"/>
      <c r="BI30" s="16"/>
      <c r="BJ30" s="16"/>
      <c r="BK30" s="16"/>
      <c r="BL30" s="16"/>
      <c r="BM30" s="109"/>
      <c r="BN30" s="16"/>
      <c r="BO30" s="16"/>
      <c r="BP30" s="16"/>
      <c r="BQ30" s="16"/>
      <c r="BR30" s="16"/>
      <c r="BS30" s="16"/>
      <c r="BT30" s="109"/>
      <c r="BU30" s="16"/>
      <c r="BV30" s="16"/>
      <c r="BW30" s="16"/>
      <c r="BX30" s="16"/>
      <c r="BY30" s="16"/>
      <c r="BZ30" s="16"/>
      <c r="CA30" s="109"/>
      <c r="CB30" s="16"/>
      <c r="CC30" s="16"/>
      <c r="CD30" s="16"/>
      <c r="CE30" s="16"/>
      <c r="CF30" s="16"/>
      <c r="CG30" s="16"/>
      <c r="CH30" s="109"/>
      <c r="CI30" s="16"/>
      <c r="CJ30" s="16"/>
      <c r="CK30" s="16"/>
      <c r="CL30" s="16"/>
      <c r="CM30" s="16"/>
      <c r="CN30" s="16"/>
      <c r="CO30" s="109"/>
      <c r="CP30" s="16"/>
      <c r="CQ30" s="16"/>
      <c r="CR30" s="16"/>
      <c r="CS30" s="16"/>
      <c r="CT30" s="16"/>
      <c r="CU30" s="16"/>
      <c r="CV30" s="109"/>
      <c r="CW30" s="16"/>
      <c r="CX30" s="16"/>
      <c r="CY30" s="16"/>
      <c r="CZ30" s="16"/>
      <c r="DA30" s="16"/>
      <c r="DB30" s="16"/>
      <c r="DC30" s="109"/>
      <c r="DD30" s="16"/>
      <c r="DE30" s="16"/>
      <c r="DF30" s="16"/>
      <c r="DG30" s="16"/>
      <c r="DH30" s="16"/>
      <c r="DI30" s="16"/>
      <c r="DJ30" s="109"/>
      <c r="DK30" s="16"/>
      <c r="DL30" s="16"/>
      <c r="DM30" s="16"/>
      <c r="DN30" s="16"/>
      <c r="DO30" s="16"/>
      <c r="DP30" s="16"/>
      <c r="DQ30" s="109"/>
      <c r="DR30" s="16"/>
      <c r="DS30" s="16"/>
      <c r="DT30" s="16"/>
      <c r="DU30" s="16"/>
      <c r="DV30" s="16"/>
      <c r="DW30" s="16"/>
      <c r="DX30" s="109"/>
      <c r="DY30" s="16"/>
      <c r="DZ30" s="16"/>
      <c r="EA30" s="16"/>
      <c r="EB30" s="16"/>
      <c r="EC30" s="16"/>
      <c r="ED30" s="16"/>
      <c r="EE30" s="109"/>
      <c r="EF30" s="16"/>
      <c r="EG30" s="16"/>
      <c r="EH30" s="16"/>
      <c r="EI30" s="16"/>
      <c r="EJ30" s="16"/>
      <c r="EK30" s="16"/>
      <c r="EL30" s="109"/>
      <c r="EM30" s="16"/>
      <c r="EN30" s="16"/>
      <c r="EO30" s="5">
        <f t="shared" si="3"/>
        <v>30</v>
      </c>
      <c r="EP30" s="5">
        <f t="shared" si="4"/>
        <v>3</v>
      </c>
    </row>
    <row r="31" spans="1:150" x14ac:dyDescent="0.25">
      <c r="A31" s="17">
        <v>26</v>
      </c>
      <c r="B31" s="19">
        <v>161</v>
      </c>
      <c r="C31" s="20" t="s">
        <v>100</v>
      </c>
      <c r="D31" s="21" t="s">
        <v>101</v>
      </c>
      <c r="E31" s="11" t="s">
        <v>8</v>
      </c>
      <c r="F31" s="16" t="s">
        <v>166</v>
      </c>
      <c r="G31" s="16" t="s">
        <v>166</v>
      </c>
      <c r="H31" s="16" t="s">
        <v>165</v>
      </c>
      <c r="I31" s="109"/>
      <c r="J31" s="16"/>
      <c r="K31" s="112"/>
      <c r="L31" s="16" t="s">
        <v>165</v>
      </c>
      <c r="M31" s="16" t="s">
        <v>165</v>
      </c>
      <c r="N31" s="16" t="s">
        <v>165</v>
      </c>
      <c r="O31" s="16" t="s">
        <v>166</v>
      </c>
      <c r="P31" s="109"/>
      <c r="Q31" s="112"/>
      <c r="R31" s="16" t="s">
        <v>165</v>
      </c>
      <c r="S31" s="16" t="s">
        <v>165</v>
      </c>
      <c r="T31" s="16" t="s">
        <v>166</v>
      </c>
      <c r="U31" s="112"/>
      <c r="V31" s="16" t="s">
        <v>165</v>
      </c>
      <c r="W31" s="109"/>
      <c r="X31" s="16" t="s">
        <v>166</v>
      </c>
      <c r="Y31" s="16" t="s">
        <v>165</v>
      </c>
      <c r="Z31" s="16" t="s">
        <v>165</v>
      </c>
      <c r="AA31" s="16" t="s">
        <v>166</v>
      </c>
      <c r="AB31" s="16" t="s">
        <v>165</v>
      </c>
      <c r="AC31" s="16" t="s">
        <v>166</v>
      </c>
      <c r="AD31" s="109"/>
      <c r="AE31" s="16" t="s">
        <v>166</v>
      </c>
      <c r="AF31" s="16" t="s">
        <v>166</v>
      </c>
      <c r="AG31" s="16" t="s">
        <v>166</v>
      </c>
      <c r="AH31" s="16" t="s">
        <v>166</v>
      </c>
      <c r="AI31" s="16" t="s">
        <v>166</v>
      </c>
      <c r="AJ31" s="16" t="s">
        <v>166</v>
      </c>
      <c r="AK31" s="109"/>
      <c r="AL31" s="16" t="s">
        <v>166</v>
      </c>
      <c r="AM31" s="16"/>
      <c r="AN31" s="16" t="s">
        <v>166</v>
      </c>
      <c r="AO31" s="16" t="s">
        <v>166</v>
      </c>
      <c r="AP31" s="16" t="s">
        <v>165</v>
      </c>
      <c r="AQ31" s="16" t="s">
        <v>166</v>
      </c>
      <c r="AR31" s="109"/>
      <c r="AS31" s="16" t="s">
        <v>166</v>
      </c>
      <c r="AT31" s="16" t="s">
        <v>166</v>
      </c>
      <c r="AU31" s="16" t="s">
        <v>166</v>
      </c>
      <c r="AV31" s="16" t="s">
        <v>166</v>
      </c>
      <c r="AW31" s="16"/>
      <c r="AX31" s="16"/>
      <c r="AY31" s="109"/>
      <c r="AZ31" s="16"/>
      <c r="BA31" s="16"/>
      <c r="BB31" s="16"/>
      <c r="BC31" s="16"/>
      <c r="BD31" s="16"/>
      <c r="BE31" s="16"/>
      <c r="BF31" s="109"/>
      <c r="BG31" s="16"/>
      <c r="BH31" s="16"/>
      <c r="BI31" s="16"/>
      <c r="BJ31" s="16"/>
      <c r="BK31" s="16"/>
      <c r="BL31" s="16"/>
      <c r="BM31" s="109"/>
      <c r="BN31" s="16"/>
      <c r="BO31" s="16"/>
      <c r="BP31" s="16"/>
      <c r="BQ31" s="16"/>
      <c r="BR31" s="16"/>
      <c r="BS31" s="16"/>
      <c r="BT31" s="109"/>
      <c r="BU31" s="16"/>
      <c r="BV31" s="16"/>
      <c r="BW31" s="16"/>
      <c r="BX31" s="16"/>
      <c r="BY31" s="16"/>
      <c r="BZ31" s="16"/>
      <c r="CA31" s="109"/>
      <c r="CB31" s="16"/>
      <c r="CC31" s="16"/>
      <c r="CD31" s="16"/>
      <c r="CE31" s="16"/>
      <c r="CF31" s="16"/>
      <c r="CG31" s="16"/>
      <c r="CH31" s="109"/>
      <c r="CI31" s="16"/>
      <c r="CJ31" s="16"/>
      <c r="CK31" s="16"/>
      <c r="CL31" s="16"/>
      <c r="CM31" s="16"/>
      <c r="CN31" s="16"/>
      <c r="CO31" s="109"/>
      <c r="CP31" s="16"/>
      <c r="CQ31" s="16"/>
      <c r="CR31" s="16"/>
      <c r="CS31" s="16"/>
      <c r="CT31" s="16"/>
      <c r="CU31" s="16"/>
      <c r="CV31" s="109"/>
      <c r="CW31" s="16"/>
      <c r="CX31" s="16"/>
      <c r="CY31" s="16"/>
      <c r="CZ31" s="16"/>
      <c r="DA31" s="16"/>
      <c r="DB31" s="16"/>
      <c r="DC31" s="109"/>
      <c r="DD31" s="16"/>
      <c r="DE31" s="16"/>
      <c r="DF31" s="16"/>
      <c r="DG31" s="16"/>
      <c r="DH31" s="16"/>
      <c r="DI31" s="16"/>
      <c r="DJ31" s="109"/>
      <c r="DK31" s="16"/>
      <c r="DL31" s="16"/>
      <c r="DM31" s="16"/>
      <c r="DN31" s="16"/>
      <c r="DO31" s="16"/>
      <c r="DP31" s="16"/>
      <c r="DQ31" s="109"/>
      <c r="DR31" s="16"/>
      <c r="DS31" s="16"/>
      <c r="DT31" s="16"/>
      <c r="DU31" s="16"/>
      <c r="DV31" s="16"/>
      <c r="DW31" s="16"/>
      <c r="DX31" s="109"/>
      <c r="DY31" s="16"/>
      <c r="DZ31" s="16"/>
      <c r="EA31" s="16"/>
      <c r="EB31" s="16"/>
      <c r="EC31" s="16"/>
      <c r="ED31" s="16"/>
      <c r="EE31" s="109"/>
      <c r="EF31" s="16"/>
      <c r="EG31" s="16"/>
      <c r="EH31" s="16"/>
      <c r="EI31" s="16"/>
      <c r="EJ31" s="16"/>
      <c r="EK31" s="16"/>
      <c r="EL31" s="109"/>
      <c r="EM31" s="16"/>
      <c r="EN31" s="16"/>
      <c r="EO31" s="5">
        <f t="shared" si="3"/>
        <v>21</v>
      </c>
      <c r="EP31" s="5">
        <f t="shared" si="4"/>
        <v>11</v>
      </c>
    </row>
    <row r="32" spans="1:150" x14ac:dyDescent="0.25">
      <c r="A32" s="6">
        <v>27</v>
      </c>
      <c r="B32" s="19">
        <v>162</v>
      </c>
      <c r="C32" s="20" t="s">
        <v>102</v>
      </c>
      <c r="D32" s="21" t="s">
        <v>103</v>
      </c>
      <c r="E32" s="11" t="s">
        <v>8</v>
      </c>
      <c r="F32" s="16" t="s">
        <v>166</v>
      </c>
      <c r="G32" s="16" t="s">
        <v>166</v>
      </c>
      <c r="H32" s="16" t="s">
        <v>166</v>
      </c>
      <c r="I32" s="109"/>
      <c r="J32" s="16" t="s">
        <v>166</v>
      </c>
      <c r="K32" s="112"/>
      <c r="L32" s="16" t="s">
        <v>166</v>
      </c>
      <c r="M32" s="16" t="s">
        <v>166</v>
      </c>
      <c r="N32" s="16" t="s">
        <v>165</v>
      </c>
      <c r="O32" s="16" t="s">
        <v>171</v>
      </c>
      <c r="P32" s="109"/>
      <c r="Q32" s="112"/>
      <c r="R32" s="16" t="s">
        <v>165</v>
      </c>
      <c r="S32" s="16" t="s">
        <v>166</v>
      </c>
      <c r="T32" s="16" t="s">
        <v>165</v>
      </c>
      <c r="U32" s="112"/>
      <c r="V32" s="16" t="s">
        <v>165</v>
      </c>
      <c r="W32" s="109"/>
      <c r="X32" s="16" t="s">
        <v>166</v>
      </c>
      <c r="Y32" s="16" t="s">
        <v>166</v>
      </c>
      <c r="Z32" s="16" t="s">
        <v>166</v>
      </c>
      <c r="AA32" s="16" t="s">
        <v>166</v>
      </c>
      <c r="AB32" s="16" t="s">
        <v>166</v>
      </c>
      <c r="AC32" s="16" t="s">
        <v>166</v>
      </c>
      <c r="AD32" s="109"/>
      <c r="AE32" s="16" t="s">
        <v>166</v>
      </c>
      <c r="AF32" s="16" t="s">
        <v>166</v>
      </c>
      <c r="AG32" s="16" t="s">
        <v>166</v>
      </c>
      <c r="AH32" s="16" t="s">
        <v>166</v>
      </c>
      <c r="AI32" s="16" t="s">
        <v>166</v>
      </c>
      <c r="AJ32" s="16" t="s">
        <v>166</v>
      </c>
      <c r="AK32" s="109"/>
      <c r="AL32" s="16" t="s">
        <v>166</v>
      </c>
      <c r="AM32" s="16"/>
      <c r="AN32" s="16" t="s">
        <v>166</v>
      </c>
      <c r="AO32" s="16" t="s">
        <v>166</v>
      </c>
      <c r="AP32" s="16" t="s">
        <v>166</v>
      </c>
      <c r="AQ32" s="16" t="s">
        <v>165</v>
      </c>
      <c r="AR32" s="109"/>
      <c r="AS32" s="16" t="s">
        <v>165</v>
      </c>
      <c r="AT32" s="16" t="s">
        <v>165</v>
      </c>
      <c r="AU32" s="16" t="s">
        <v>166</v>
      </c>
      <c r="AV32" s="16" t="s">
        <v>166</v>
      </c>
      <c r="AW32" s="16"/>
      <c r="AX32" s="16"/>
      <c r="AY32" s="109"/>
      <c r="AZ32" s="16"/>
      <c r="BA32" s="16"/>
      <c r="BB32" s="16"/>
      <c r="BC32" s="16"/>
      <c r="BD32" s="16"/>
      <c r="BE32" s="16"/>
      <c r="BF32" s="109"/>
      <c r="BG32" s="16"/>
      <c r="BH32" s="16"/>
      <c r="BI32" s="16"/>
      <c r="BJ32" s="16"/>
      <c r="BK32" s="16"/>
      <c r="BL32" s="16"/>
      <c r="BM32" s="109"/>
      <c r="BN32" s="16"/>
      <c r="BO32" s="16"/>
      <c r="BP32" s="16"/>
      <c r="BQ32" s="16"/>
      <c r="BR32" s="16"/>
      <c r="BS32" s="16"/>
      <c r="BT32" s="109"/>
      <c r="BU32" s="16"/>
      <c r="BV32" s="16"/>
      <c r="BW32" s="16"/>
      <c r="BX32" s="16"/>
      <c r="BY32" s="16"/>
      <c r="BZ32" s="16"/>
      <c r="CA32" s="109"/>
      <c r="CB32" s="16"/>
      <c r="CC32" s="16"/>
      <c r="CD32" s="16"/>
      <c r="CE32" s="16"/>
      <c r="CF32" s="16"/>
      <c r="CG32" s="16"/>
      <c r="CH32" s="109"/>
      <c r="CI32" s="16"/>
      <c r="CJ32" s="16"/>
      <c r="CK32" s="16"/>
      <c r="CL32" s="16"/>
      <c r="CM32" s="16"/>
      <c r="CN32" s="16"/>
      <c r="CO32" s="109"/>
      <c r="CP32" s="16"/>
      <c r="CQ32" s="16"/>
      <c r="CR32" s="16"/>
      <c r="CS32" s="16"/>
      <c r="CT32" s="16"/>
      <c r="CU32" s="16"/>
      <c r="CV32" s="109"/>
      <c r="CW32" s="16"/>
      <c r="CX32" s="16"/>
      <c r="CY32" s="16"/>
      <c r="CZ32" s="16"/>
      <c r="DA32" s="16"/>
      <c r="DB32" s="16"/>
      <c r="DC32" s="109"/>
      <c r="DD32" s="16"/>
      <c r="DE32" s="16"/>
      <c r="DF32" s="16"/>
      <c r="DG32" s="16"/>
      <c r="DH32" s="16"/>
      <c r="DI32" s="16"/>
      <c r="DJ32" s="109"/>
      <c r="DK32" s="16"/>
      <c r="DL32" s="16"/>
      <c r="DM32" s="16"/>
      <c r="DN32" s="16"/>
      <c r="DO32" s="16"/>
      <c r="DP32" s="16"/>
      <c r="DQ32" s="109"/>
      <c r="DR32" s="16"/>
      <c r="DS32" s="16"/>
      <c r="DT32" s="16"/>
      <c r="DU32" s="16"/>
      <c r="DV32" s="16"/>
      <c r="DW32" s="16"/>
      <c r="DX32" s="109"/>
      <c r="DY32" s="16"/>
      <c r="DZ32" s="16"/>
      <c r="EA32" s="16"/>
      <c r="EB32" s="16"/>
      <c r="EC32" s="16"/>
      <c r="ED32" s="16"/>
      <c r="EE32" s="109"/>
      <c r="EF32" s="16"/>
      <c r="EG32" s="16"/>
      <c r="EH32" s="16"/>
      <c r="EI32" s="16"/>
      <c r="EJ32" s="16"/>
      <c r="EK32" s="16"/>
      <c r="EL32" s="109"/>
      <c r="EM32" s="16"/>
      <c r="EN32" s="16"/>
      <c r="EO32" s="5">
        <f t="shared" si="3"/>
        <v>25</v>
      </c>
      <c r="EP32" s="5">
        <f t="shared" si="4"/>
        <v>7</v>
      </c>
    </row>
    <row r="33" spans="1:146" x14ac:dyDescent="0.25">
      <c r="A33" s="17">
        <v>28</v>
      </c>
      <c r="B33" s="19">
        <v>163</v>
      </c>
      <c r="C33" s="20" t="s">
        <v>104</v>
      </c>
      <c r="D33" s="21" t="s">
        <v>105</v>
      </c>
      <c r="E33" s="11" t="s">
        <v>8</v>
      </c>
      <c r="F33" s="16" t="s">
        <v>165</v>
      </c>
      <c r="G33" s="16" t="s">
        <v>165</v>
      </c>
      <c r="H33" s="16" t="s">
        <v>165</v>
      </c>
      <c r="I33" s="109"/>
      <c r="J33" s="16" t="s">
        <v>166</v>
      </c>
      <c r="K33" s="112"/>
      <c r="L33" s="16" t="s">
        <v>166</v>
      </c>
      <c r="M33" s="16" t="s">
        <v>166</v>
      </c>
      <c r="N33" s="16" t="s">
        <v>166</v>
      </c>
      <c r="O33" s="16" t="s">
        <v>166</v>
      </c>
      <c r="P33" s="109"/>
      <c r="Q33" s="112"/>
      <c r="R33" s="16" t="s">
        <v>166</v>
      </c>
      <c r="S33" s="16" t="s">
        <v>165</v>
      </c>
      <c r="T33" s="16" t="s">
        <v>165</v>
      </c>
      <c r="U33" s="112"/>
      <c r="V33" s="16" t="s">
        <v>165</v>
      </c>
      <c r="W33" s="109"/>
      <c r="X33" s="16" t="s">
        <v>166</v>
      </c>
      <c r="Y33" s="16" t="s">
        <v>166</v>
      </c>
      <c r="Z33" s="16" t="s">
        <v>166</v>
      </c>
      <c r="AA33" s="16" t="s">
        <v>166</v>
      </c>
      <c r="AB33" s="16" t="s">
        <v>166</v>
      </c>
      <c r="AC33" s="16" t="s">
        <v>166</v>
      </c>
      <c r="AD33" s="109"/>
      <c r="AE33" s="16" t="s">
        <v>166</v>
      </c>
      <c r="AF33" s="16" t="s">
        <v>166</v>
      </c>
      <c r="AG33" s="16" t="s">
        <v>166</v>
      </c>
      <c r="AH33" s="16" t="s">
        <v>166</v>
      </c>
      <c r="AI33" s="16" t="s">
        <v>166</v>
      </c>
      <c r="AJ33" s="16" t="s">
        <v>166</v>
      </c>
      <c r="AK33" s="109"/>
      <c r="AL33" s="16" t="s">
        <v>166</v>
      </c>
      <c r="AM33" s="16"/>
      <c r="AN33" s="16" t="s">
        <v>166</v>
      </c>
      <c r="AO33" s="16" t="s">
        <v>166</v>
      </c>
      <c r="AP33" s="16" t="s">
        <v>166</v>
      </c>
      <c r="AQ33" s="16" t="s">
        <v>166</v>
      </c>
      <c r="AR33" s="109"/>
      <c r="AS33" s="16" t="s">
        <v>165</v>
      </c>
      <c r="AT33" s="16" t="s">
        <v>166</v>
      </c>
      <c r="AU33" s="16" t="s">
        <v>166</v>
      </c>
      <c r="AV33" s="16" t="s">
        <v>166</v>
      </c>
      <c r="AW33" s="16"/>
      <c r="AX33" s="16"/>
      <c r="AY33" s="109"/>
      <c r="AZ33" s="16"/>
      <c r="BA33" s="16"/>
      <c r="BB33" s="16"/>
      <c r="BC33" s="16"/>
      <c r="BD33" s="16"/>
      <c r="BE33" s="16"/>
      <c r="BF33" s="109"/>
      <c r="BG33" s="16"/>
      <c r="BH33" s="16"/>
      <c r="BI33" s="16"/>
      <c r="BJ33" s="16"/>
      <c r="BK33" s="16"/>
      <c r="BL33" s="16"/>
      <c r="BM33" s="109"/>
      <c r="BN33" s="16"/>
      <c r="BO33" s="16"/>
      <c r="BP33" s="16"/>
      <c r="BQ33" s="16"/>
      <c r="BR33" s="16"/>
      <c r="BS33" s="16"/>
      <c r="BT33" s="109"/>
      <c r="BU33" s="16"/>
      <c r="BV33" s="16"/>
      <c r="BW33" s="16"/>
      <c r="BX33" s="16"/>
      <c r="BY33" s="16"/>
      <c r="BZ33" s="16"/>
      <c r="CA33" s="109"/>
      <c r="CB33" s="16"/>
      <c r="CC33" s="16"/>
      <c r="CD33" s="16"/>
      <c r="CE33" s="16"/>
      <c r="CF33" s="16"/>
      <c r="CG33" s="16"/>
      <c r="CH33" s="109"/>
      <c r="CI33" s="16"/>
      <c r="CJ33" s="16"/>
      <c r="CK33" s="16"/>
      <c r="CL33" s="16"/>
      <c r="CM33" s="16"/>
      <c r="CN33" s="16"/>
      <c r="CO33" s="109"/>
      <c r="CP33" s="16"/>
      <c r="CQ33" s="16"/>
      <c r="CR33" s="16"/>
      <c r="CS33" s="16"/>
      <c r="CT33" s="16"/>
      <c r="CU33" s="16"/>
      <c r="CV33" s="109"/>
      <c r="CW33" s="16"/>
      <c r="CX33" s="16"/>
      <c r="CY33" s="16"/>
      <c r="CZ33" s="16"/>
      <c r="DA33" s="16"/>
      <c r="DB33" s="16"/>
      <c r="DC33" s="109"/>
      <c r="DD33" s="16"/>
      <c r="DE33" s="16"/>
      <c r="DF33" s="16"/>
      <c r="DG33" s="16"/>
      <c r="DH33" s="16"/>
      <c r="DI33" s="16"/>
      <c r="DJ33" s="109"/>
      <c r="DK33" s="16"/>
      <c r="DL33" s="16"/>
      <c r="DM33" s="16"/>
      <c r="DN33" s="16"/>
      <c r="DO33" s="16"/>
      <c r="DP33" s="16"/>
      <c r="DQ33" s="109"/>
      <c r="DR33" s="16"/>
      <c r="DS33" s="16"/>
      <c r="DT33" s="16"/>
      <c r="DU33" s="16"/>
      <c r="DV33" s="16"/>
      <c r="DW33" s="16"/>
      <c r="DX33" s="109"/>
      <c r="DY33" s="16"/>
      <c r="DZ33" s="16"/>
      <c r="EA33" s="16"/>
      <c r="EB33" s="16"/>
      <c r="EC33" s="16"/>
      <c r="ED33" s="16"/>
      <c r="EE33" s="109"/>
      <c r="EF33" s="16"/>
      <c r="EG33" s="16"/>
      <c r="EH33" s="16"/>
      <c r="EI33" s="16"/>
      <c r="EJ33" s="16"/>
      <c r="EK33" s="16"/>
      <c r="EL33" s="109"/>
      <c r="EM33" s="16"/>
      <c r="EN33" s="16"/>
      <c r="EO33" s="5">
        <f t="shared" si="3"/>
        <v>26</v>
      </c>
      <c r="EP33" s="5">
        <f t="shared" si="4"/>
        <v>7</v>
      </c>
    </row>
    <row r="34" spans="1:146" s="85" customFormat="1" x14ac:dyDescent="0.25">
      <c r="A34" s="86">
        <v>29</v>
      </c>
      <c r="B34" s="79">
        <v>164</v>
      </c>
      <c r="C34" s="80" t="s">
        <v>106</v>
      </c>
      <c r="D34" s="81" t="s">
        <v>107</v>
      </c>
      <c r="E34" s="82" t="s">
        <v>8</v>
      </c>
      <c r="F34" s="83"/>
      <c r="G34" s="83"/>
      <c r="H34" s="83"/>
      <c r="I34" s="109"/>
      <c r="J34" s="83"/>
      <c r="K34" s="112"/>
      <c r="L34" s="83"/>
      <c r="M34" s="83"/>
      <c r="N34" s="83"/>
      <c r="O34" s="83"/>
      <c r="P34" s="109"/>
      <c r="Q34" s="112"/>
      <c r="R34" s="83"/>
      <c r="S34" s="83"/>
      <c r="T34" s="83" t="s">
        <v>166</v>
      </c>
      <c r="U34" s="112"/>
      <c r="V34" s="83" t="s">
        <v>166</v>
      </c>
      <c r="W34" s="109"/>
      <c r="X34" s="83" t="s">
        <v>166</v>
      </c>
      <c r="Y34" s="83" t="s">
        <v>166</v>
      </c>
      <c r="Z34" s="83" t="s">
        <v>166</v>
      </c>
      <c r="AA34" s="83" t="s">
        <v>166</v>
      </c>
      <c r="AB34" s="83" t="s">
        <v>166</v>
      </c>
      <c r="AC34" s="83" t="s">
        <v>166</v>
      </c>
      <c r="AD34" s="109"/>
      <c r="AE34" s="83" t="s">
        <v>166</v>
      </c>
      <c r="AF34" s="83" t="s">
        <v>166</v>
      </c>
      <c r="AG34" s="83" t="s">
        <v>166</v>
      </c>
      <c r="AH34" s="83" t="s">
        <v>166</v>
      </c>
      <c r="AI34" s="83" t="s">
        <v>166</v>
      </c>
      <c r="AJ34" s="83" t="s">
        <v>166</v>
      </c>
      <c r="AK34" s="109"/>
      <c r="AL34" s="83"/>
      <c r="AM34" s="83"/>
      <c r="AN34" s="83"/>
      <c r="AO34" s="83"/>
      <c r="AP34" s="83"/>
      <c r="AQ34" s="83"/>
      <c r="AR34" s="109"/>
      <c r="AS34" s="83"/>
      <c r="AT34" s="83"/>
      <c r="AU34" s="83"/>
      <c r="AV34" s="83"/>
      <c r="AW34" s="83"/>
      <c r="AX34" s="83"/>
      <c r="AY34" s="109"/>
      <c r="AZ34" s="83"/>
      <c r="BA34" s="83"/>
      <c r="BB34" s="83"/>
      <c r="BC34" s="83"/>
      <c r="BD34" s="83"/>
      <c r="BE34" s="83"/>
      <c r="BF34" s="109"/>
      <c r="BG34" s="83"/>
      <c r="BH34" s="83"/>
      <c r="BI34" s="83"/>
      <c r="BJ34" s="83"/>
      <c r="BK34" s="83"/>
      <c r="BL34" s="83"/>
      <c r="BM34" s="109"/>
      <c r="BN34" s="83"/>
      <c r="BO34" s="83"/>
      <c r="BP34" s="83"/>
      <c r="BQ34" s="83"/>
      <c r="BR34" s="83"/>
      <c r="BS34" s="83"/>
      <c r="BT34" s="109"/>
      <c r="BU34" s="83"/>
      <c r="BV34" s="83"/>
      <c r="BW34" s="83"/>
      <c r="BX34" s="83"/>
      <c r="BY34" s="83"/>
      <c r="BZ34" s="83"/>
      <c r="CA34" s="109"/>
      <c r="CB34" s="83"/>
      <c r="CC34" s="83"/>
      <c r="CD34" s="83"/>
      <c r="CE34" s="83"/>
      <c r="CF34" s="83"/>
      <c r="CG34" s="83"/>
      <c r="CH34" s="109"/>
      <c r="CI34" s="83"/>
      <c r="CJ34" s="83"/>
      <c r="CK34" s="83"/>
      <c r="CL34" s="83"/>
      <c r="CM34" s="83"/>
      <c r="CN34" s="83"/>
      <c r="CO34" s="109"/>
      <c r="CP34" s="83"/>
      <c r="CQ34" s="83"/>
      <c r="CR34" s="83"/>
      <c r="CS34" s="83"/>
      <c r="CT34" s="83"/>
      <c r="CU34" s="83"/>
      <c r="CV34" s="109"/>
      <c r="CW34" s="83"/>
      <c r="CX34" s="83"/>
      <c r="CY34" s="83"/>
      <c r="CZ34" s="83"/>
      <c r="DA34" s="83"/>
      <c r="DB34" s="83"/>
      <c r="DC34" s="109"/>
      <c r="DD34" s="83"/>
      <c r="DE34" s="83"/>
      <c r="DF34" s="83"/>
      <c r="DG34" s="83"/>
      <c r="DH34" s="83"/>
      <c r="DI34" s="83"/>
      <c r="DJ34" s="109"/>
      <c r="DK34" s="83"/>
      <c r="DL34" s="83"/>
      <c r="DM34" s="83"/>
      <c r="DN34" s="83"/>
      <c r="DO34" s="83"/>
      <c r="DP34" s="83"/>
      <c r="DQ34" s="109"/>
      <c r="DR34" s="83"/>
      <c r="DS34" s="83"/>
      <c r="DT34" s="83"/>
      <c r="DU34" s="83"/>
      <c r="DV34" s="83"/>
      <c r="DW34" s="83"/>
      <c r="DX34" s="109"/>
      <c r="DY34" s="83"/>
      <c r="DZ34" s="83"/>
      <c r="EA34" s="83"/>
      <c r="EB34" s="83"/>
      <c r="EC34" s="83"/>
      <c r="ED34" s="83"/>
      <c r="EE34" s="109"/>
      <c r="EF34" s="83"/>
      <c r="EG34" s="83"/>
      <c r="EH34" s="83"/>
      <c r="EI34" s="83"/>
      <c r="EJ34" s="83"/>
      <c r="EK34" s="83"/>
      <c r="EL34" s="109"/>
      <c r="EM34" s="83"/>
      <c r="EN34" s="83"/>
      <c r="EO34" s="84">
        <f t="shared" si="3"/>
        <v>14</v>
      </c>
      <c r="EP34" s="84">
        <f t="shared" si="4"/>
        <v>0</v>
      </c>
    </row>
    <row r="35" spans="1:146" x14ac:dyDescent="0.25">
      <c r="A35" s="17">
        <v>30</v>
      </c>
      <c r="B35" s="19">
        <v>165</v>
      </c>
      <c r="C35" s="20" t="s">
        <v>108</v>
      </c>
      <c r="D35" s="21" t="s">
        <v>109</v>
      </c>
      <c r="E35" s="11" t="s">
        <v>8</v>
      </c>
      <c r="F35" s="16" t="s">
        <v>165</v>
      </c>
      <c r="G35" s="16" t="s">
        <v>165</v>
      </c>
      <c r="H35" s="16" t="s">
        <v>165</v>
      </c>
      <c r="I35" s="109"/>
      <c r="J35" s="16" t="s">
        <v>166</v>
      </c>
      <c r="K35" s="112"/>
      <c r="L35" s="16" t="s">
        <v>166</v>
      </c>
      <c r="M35" s="16" t="s">
        <v>165</v>
      </c>
      <c r="N35" s="16" t="s">
        <v>166</v>
      </c>
      <c r="O35" s="16" t="s">
        <v>165</v>
      </c>
      <c r="P35" s="109"/>
      <c r="Q35" s="112"/>
      <c r="R35" s="16" t="s">
        <v>165</v>
      </c>
      <c r="S35" s="16" t="s">
        <v>165</v>
      </c>
      <c r="T35" s="16" t="s">
        <v>165</v>
      </c>
      <c r="U35" s="112"/>
      <c r="V35" s="16" t="s">
        <v>165</v>
      </c>
      <c r="W35" s="109"/>
      <c r="X35" s="16" t="s">
        <v>166</v>
      </c>
      <c r="Y35" s="16" t="s">
        <v>166</v>
      </c>
      <c r="Z35" s="16" t="s">
        <v>166</v>
      </c>
      <c r="AA35" s="16" t="s">
        <v>166</v>
      </c>
      <c r="AB35" s="16" t="s">
        <v>165</v>
      </c>
      <c r="AC35" s="16" t="s">
        <v>166</v>
      </c>
      <c r="AD35" s="109"/>
      <c r="AE35" s="16" t="s">
        <v>166</v>
      </c>
      <c r="AF35" s="16" t="s">
        <v>166</v>
      </c>
      <c r="AG35" s="16" t="s">
        <v>166</v>
      </c>
      <c r="AH35" s="16" t="s">
        <v>166</v>
      </c>
      <c r="AI35" s="16" t="s">
        <v>166</v>
      </c>
      <c r="AJ35" s="16" t="s">
        <v>166</v>
      </c>
      <c r="AK35" s="109"/>
      <c r="AL35" s="16" t="s">
        <v>166</v>
      </c>
      <c r="AM35" s="16"/>
      <c r="AN35" s="16" t="s">
        <v>166</v>
      </c>
      <c r="AO35" s="16" t="s">
        <v>166</v>
      </c>
      <c r="AP35" s="16" t="s">
        <v>165</v>
      </c>
      <c r="AQ35" s="16" t="s">
        <v>166</v>
      </c>
      <c r="AR35" s="109"/>
      <c r="AS35" s="16" t="s">
        <v>166</v>
      </c>
      <c r="AT35" s="16" t="s">
        <v>166</v>
      </c>
      <c r="AU35" s="16" t="s">
        <v>166</v>
      </c>
      <c r="AV35" s="16" t="s">
        <v>165</v>
      </c>
      <c r="AW35" s="16"/>
      <c r="AX35" s="16"/>
      <c r="AY35" s="109"/>
      <c r="AZ35" s="16"/>
      <c r="BA35" s="16"/>
      <c r="BB35" s="16"/>
      <c r="BC35" s="16"/>
      <c r="BD35" s="16"/>
      <c r="BE35" s="16"/>
      <c r="BF35" s="109"/>
      <c r="BG35" s="16"/>
      <c r="BH35" s="16"/>
      <c r="BI35" s="16"/>
      <c r="BJ35" s="16"/>
      <c r="BK35" s="16"/>
      <c r="BL35" s="16"/>
      <c r="BM35" s="109"/>
      <c r="BN35" s="16"/>
      <c r="BO35" s="16"/>
      <c r="BP35" s="16"/>
      <c r="BQ35" s="16"/>
      <c r="BR35" s="16"/>
      <c r="BS35" s="16"/>
      <c r="BT35" s="109"/>
      <c r="BU35" s="16"/>
      <c r="BV35" s="16"/>
      <c r="BW35" s="16"/>
      <c r="BX35" s="16"/>
      <c r="BY35" s="16"/>
      <c r="BZ35" s="16"/>
      <c r="CA35" s="109"/>
      <c r="CB35" s="16"/>
      <c r="CC35" s="16"/>
      <c r="CD35" s="16"/>
      <c r="CE35" s="16"/>
      <c r="CF35" s="16"/>
      <c r="CG35" s="16"/>
      <c r="CH35" s="109"/>
      <c r="CI35" s="16"/>
      <c r="CJ35" s="16"/>
      <c r="CK35" s="16"/>
      <c r="CL35" s="16"/>
      <c r="CM35" s="16"/>
      <c r="CN35" s="16"/>
      <c r="CO35" s="109"/>
      <c r="CP35" s="16"/>
      <c r="CQ35" s="16"/>
      <c r="CR35" s="16"/>
      <c r="CS35" s="16"/>
      <c r="CT35" s="16"/>
      <c r="CU35" s="16"/>
      <c r="CV35" s="109"/>
      <c r="CW35" s="16"/>
      <c r="CX35" s="16"/>
      <c r="CY35" s="16"/>
      <c r="CZ35" s="16"/>
      <c r="DA35" s="16"/>
      <c r="DB35" s="16"/>
      <c r="DC35" s="109"/>
      <c r="DD35" s="16"/>
      <c r="DE35" s="16"/>
      <c r="DF35" s="16"/>
      <c r="DG35" s="16"/>
      <c r="DH35" s="16"/>
      <c r="DI35" s="16"/>
      <c r="DJ35" s="109"/>
      <c r="DK35" s="16"/>
      <c r="DL35" s="16"/>
      <c r="DM35" s="16"/>
      <c r="DN35" s="16"/>
      <c r="DO35" s="16"/>
      <c r="DP35" s="16"/>
      <c r="DQ35" s="109"/>
      <c r="DR35" s="16"/>
      <c r="DS35" s="16"/>
      <c r="DT35" s="16"/>
      <c r="DU35" s="16"/>
      <c r="DV35" s="16"/>
      <c r="DW35" s="16"/>
      <c r="DX35" s="109"/>
      <c r="DY35" s="16"/>
      <c r="DZ35" s="16"/>
      <c r="EA35" s="16"/>
      <c r="EB35" s="16"/>
      <c r="EC35" s="16"/>
      <c r="ED35" s="16"/>
      <c r="EE35" s="109"/>
      <c r="EF35" s="16"/>
      <c r="EG35" s="16"/>
      <c r="EH35" s="16"/>
      <c r="EI35" s="16"/>
      <c r="EJ35" s="16"/>
      <c r="EK35" s="16"/>
      <c r="EL35" s="109"/>
      <c r="EM35" s="16"/>
      <c r="EN35" s="16"/>
      <c r="EO35" s="5">
        <f t="shared" si="3"/>
        <v>21</v>
      </c>
      <c r="EP35" s="5">
        <f t="shared" si="4"/>
        <v>12</v>
      </c>
    </row>
    <row r="36" spans="1:146" x14ac:dyDescent="0.25">
      <c r="A36" s="6">
        <v>31</v>
      </c>
      <c r="B36" s="19">
        <v>166</v>
      </c>
      <c r="C36" s="20" t="s">
        <v>110</v>
      </c>
      <c r="D36" s="21" t="s">
        <v>111</v>
      </c>
      <c r="E36" s="11" t="s">
        <v>8</v>
      </c>
      <c r="F36" s="16" t="s">
        <v>166</v>
      </c>
      <c r="G36" s="16" t="s">
        <v>166</v>
      </c>
      <c r="H36" s="16" t="s">
        <v>166</v>
      </c>
      <c r="I36" s="109"/>
      <c r="J36" s="16" t="s">
        <v>166</v>
      </c>
      <c r="K36" s="112"/>
      <c r="L36" s="16" t="s">
        <v>166</v>
      </c>
      <c r="M36" s="16" t="s">
        <v>166</v>
      </c>
      <c r="N36" s="16" t="s">
        <v>166</v>
      </c>
      <c r="O36" s="16" t="s">
        <v>166</v>
      </c>
      <c r="P36" s="109"/>
      <c r="Q36" s="112"/>
      <c r="R36" s="16" t="s">
        <v>166</v>
      </c>
      <c r="S36" s="16" t="s">
        <v>165</v>
      </c>
      <c r="T36" s="16" t="s">
        <v>165</v>
      </c>
      <c r="U36" s="112"/>
      <c r="V36" s="16" t="s">
        <v>165</v>
      </c>
      <c r="W36" s="109"/>
      <c r="X36" s="16" t="s">
        <v>166</v>
      </c>
      <c r="Y36" s="16" t="s">
        <v>166</v>
      </c>
      <c r="Z36" s="16" t="s">
        <v>166</v>
      </c>
      <c r="AA36" s="16" t="s">
        <v>166</v>
      </c>
      <c r="AB36" s="16" t="s">
        <v>166</v>
      </c>
      <c r="AC36" s="16" t="s">
        <v>166</v>
      </c>
      <c r="AD36" s="109"/>
      <c r="AE36" s="16" t="s">
        <v>166</v>
      </c>
      <c r="AF36" s="16" t="s">
        <v>166</v>
      </c>
      <c r="AG36" s="16" t="s">
        <v>166</v>
      </c>
      <c r="AH36" s="16" t="s">
        <v>166</v>
      </c>
      <c r="AI36" s="16" t="s">
        <v>166</v>
      </c>
      <c r="AJ36" s="16" t="s">
        <v>166</v>
      </c>
      <c r="AK36" s="109"/>
      <c r="AL36" s="16" t="s">
        <v>166</v>
      </c>
      <c r="AM36" s="16"/>
      <c r="AN36" s="16" t="s">
        <v>166</v>
      </c>
      <c r="AO36" s="16" t="s">
        <v>166</v>
      </c>
      <c r="AP36" s="16" t="s">
        <v>171</v>
      </c>
      <c r="AQ36" s="16" t="s">
        <v>171</v>
      </c>
      <c r="AR36" s="109"/>
      <c r="AS36" s="16" t="s">
        <v>165</v>
      </c>
      <c r="AT36" s="16" t="s">
        <v>166</v>
      </c>
      <c r="AU36" s="16" t="s">
        <v>166</v>
      </c>
      <c r="AV36" s="16" t="s">
        <v>166</v>
      </c>
      <c r="AW36" s="16"/>
      <c r="AX36" s="16"/>
      <c r="AY36" s="109"/>
      <c r="AZ36" s="16"/>
      <c r="BA36" s="16"/>
      <c r="BB36" s="16"/>
      <c r="BC36" s="16"/>
      <c r="BD36" s="16"/>
      <c r="BE36" s="16"/>
      <c r="BF36" s="109"/>
      <c r="BG36" s="16"/>
      <c r="BH36" s="16"/>
      <c r="BI36" s="16"/>
      <c r="BJ36" s="16"/>
      <c r="BK36" s="16"/>
      <c r="BL36" s="16"/>
      <c r="BM36" s="109"/>
      <c r="BN36" s="16"/>
      <c r="BO36" s="16"/>
      <c r="BP36" s="16"/>
      <c r="BQ36" s="16"/>
      <c r="BR36" s="16"/>
      <c r="BS36" s="16"/>
      <c r="BT36" s="109"/>
      <c r="BU36" s="16"/>
      <c r="BV36" s="16"/>
      <c r="BW36" s="16"/>
      <c r="BX36" s="16"/>
      <c r="BY36" s="16"/>
      <c r="BZ36" s="16"/>
      <c r="CA36" s="109"/>
      <c r="CB36" s="16"/>
      <c r="CC36" s="16"/>
      <c r="CD36" s="16"/>
      <c r="CE36" s="16"/>
      <c r="CF36" s="16"/>
      <c r="CG36" s="16"/>
      <c r="CH36" s="109"/>
      <c r="CI36" s="16"/>
      <c r="CJ36" s="16"/>
      <c r="CK36" s="16"/>
      <c r="CL36" s="16"/>
      <c r="CM36" s="16"/>
      <c r="CN36" s="16"/>
      <c r="CO36" s="109"/>
      <c r="CP36" s="16"/>
      <c r="CQ36" s="16"/>
      <c r="CR36" s="16"/>
      <c r="CS36" s="16"/>
      <c r="CT36" s="16"/>
      <c r="CU36" s="16"/>
      <c r="CV36" s="109"/>
      <c r="CW36" s="16"/>
      <c r="CX36" s="16"/>
      <c r="CY36" s="16"/>
      <c r="CZ36" s="16"/>
      <c r="DA36" s="16"/>
      <c r="DB36" s="16"/>
      <c r="DC36" s="109"/>
      <c r="DD36" s="16"/>
      <c r="DE36" s="16"/>
      <c r="DF36" s="16"/>
      <c r="DG36" s="16"/>
      <c r="DH36" s="16"/>
      <c r="DI36" s="16"/>
      <c r="DJ36" s="109"/>
      <c r="DK36" s="16"/>
      <c r="DL36" s="16"/>
      <c r="DM36" s="16"/>
      <c r="DN36" s="16"/>
      <c r="DO36" s="16"/>
      <c r="DP36" s="16"/>
      <c r="DQ36" s="109"/>
      <c r="DR36" s="16"/>
      <c r="DS36" s="16"/>
      <c r="DT36" s="16"/>
      <c r="DU36" s="16"/>
      <c r="DV36" s="16"/>
      <c r="DW36" s="16"/>
      <c r="DX36" s="109"/>
      <c r="DY36" s="16"/>
      <c r="DZ36" s="16"/>
      <c r="EA36" s="16"/>
      <c r="EB36" s="16"/>
      <c r="EC36" s="16"/>
      <c r="ED36" s="16"/>
      <c r="EE36" s="109"/>
      <c r="EF36" s="16"/>
      <c r="EG36" s="16"/>
      <c r="EH36" s="16"/>
      <c r="EI36" s="16"/>
      <c r="EJ36" s="16"/>
      <c r="EK36" s="16"/>
      <c r="EL36" s="109"/>
      <c r="EM36" s="16"/>
      <c r="EN36" s="16"/>
      <c r="EO36" s="5">
        <f t="shared" si="3"/>
        <v>27</v>
      </c>
      <c r="EP36" s="5">
        <f t="shared" si="4"/>
        <v>4</v>
      </c>
    </row>
    <row r="37" spans="1:146" x14ac:dyDescent="0.25">
      <c r="A37" s="17">
        <v>32</v>
      </c>
      <c r="B37" s="19">
        <v>167</v>
      </c>
      <c r="C37" s="20" t="s">
        <v>122</v>
      </c>
      <c r="D37" s="21" t="s">
        <v>111</v>
      </c>
      <c r="E37" s="11" t="s">
        <v>8</v>
      </c>
      <c r="F37" s="16" t="s">
        <v>166</v>
      </c>
      <c r="G37" s="16" t="s">
        <v>166</v>
      </c>
      <c r="H37" s="16" t="s">
        <v>166</v>
      </c>
      <c r="I37" s="109"/>
      <c r="J37" s="16" t="s">
        <v>166</v>
      </c>
      <c r="K37" s="112"/>
      <c r="L37" s="16" t="s">
        <v>166</v>
      </c>
      <c r="M37" s="16" t="s">
        <v>166</v>
      </c>
      <c r="N37" s="16" t="s">
        <v>171</v>
      </c>
      <c r="O37" s="16" t="s">
        <v>166</v>
      </c>
      <c r="P37" s="109"/>
      <c r="Q37" s="112"/>
      <c r="R37" s="16" t="s">
        <v>166</v>
      </c>
      <c r="S37" s="16" t="s">
        <v>165</v>
      </c>
      <c r="T37" s="16" t="s">
        <v>165</v>
      </c>
      <c r="U37" s="112"/>
      <c r="V37" s="16" t="s">
        <v>165</v>
      </c>
      <c r="W37" s="109"/>
      <c r="X37" s="16" t="s">
        <v>166</v>
      </c>
      <c r="Y37" s="16" t="s">
        <v>166</v>
      </c>
      <c r="Z37" s="16" t="s">
        <v>166</v>
      </c>
      <c r="AA37" s="16" t="s">
        <v>166</v>
      </c>
      <c r="AB37" s="16" t="s">
        <v>166</v>
      </c>
      <c r="AC37" s="16" t="s">
        <v>166</v>
      </c>
      <c r="AD37" s="109"/>
      <c r="AE37" s="16" t="s">
        <v>166</v>
      </c>
      <c r="AF37" s="16" t="s">
        <v>166</v>
      </c>
      <c r="AG37" s="16" t="s">
        <v>166</v>
      </c>
      <c r="AH37" s="16" t="s">
        <v>166</v>
      </c>
      <c r="AI37" s="16" t="s">
        <v>166</v>
      </c>
      <c r="AJ37" s="16" t="s">
        <v>166</v>
      </c>
      <c r="AK37" s="109"/>
      <c r="AL37" s="16" t="s">
        <v>166</v>
      </c>
      <c r="AM37" s="16"/>
      <c r="AN37" s="16" t="s">
        <v>166</v>
      </c>
      <c r="AO37" s="16" t="s">
        <v>166</v>
      </c>
      <c r="AP37" s="16" t="s">
        <v>171</v>
      </c>
      <c r="AQ37" s="16" t="s">
        <v>171</v>
      </c>
      <c r="AR37" s="109"/>
      <c r="AS37" s="16" t="s">
        <v>165</v>
      </c>
      <c r="AT37" s="16" t="s">
        <v>166</v>
      </c>
      <c r="AU37" s="16" t="s">
        <v>166</v>
      </c>
      <c r="AV37" s="16" t="s">
        <v>166</v>
      </c>
      <c r="AW37" s="16"/>
      <c r="AX37" s="16"/>
      <c r="AY37" s="109"/>
      <c r="AZ37" s="16"/>
      <c r="BA37" s="16"/>
      <c r="BB37" s="16"/>
      <c r="BC37" s="16"/>
      <c r="BD37" s="16"/>
      <c r="BE37" s="16"/>
      <c r="BF37" s="109"/>
      <c r="BG37" s="16"/>
      <c r="BH37" s="16"/>
      <c r="BI37" s="16"/>
      <c r="BJ37" s="16"/>
      <c r="BK37" s="16"/>
      <c r="BL37" s="16"/>
      <c r="BM37" s="109"/>
      <c r="BN37" s="16"/>
      <c r="BO37" s="16"/>
      <c r="BP37" s="16"/>
      <c r="BQ37" s="16"/>
      <c r="BR37" s="16"/>
      <c r="BS37" s="16"/>
      <c r="BT37" s="109"/>
      <c r="BU37" s="16"/>
      <c r="BV37" s="16"/>
      <c r="BW37" s="16"/>
      <c r="BX37" s="16"/>
      <c r="BY37" s="16"/>
      <c r="BZ37" s="16"/>
      <c r="CA37" s="109"/>
      <c r="CB37" s="16"/>
      <c r="CC37" s="16"/>
      <c r="CD37" s="16"/>
      <c r="CE37" s="16"/>
      <c r="CF37" s="16"/>
      <c r="CG37" s="16"/>
      <c r="CH37" s="109"/>
      <c r="CI37" s="16"/>
      <c r="CJ37" s="16"/>
      <c r="CK37" s="16"/>
      <c r="CL37" s="16"/>
      <c r="CM37" s="16"/>
      <c r="CN37" s="16"/>
      <c r="CO37" s="109"/>
      <c r="CP37" s="16"/>
      <c r="CQ37" s="16"/>
      <c r="CR37" s="16"/>
      <c r="CS37" s="16"/>
      <c r="CT37" s="16"/>
      <c r="CU37" s="16"/>
      <c r="CV37" s="109"/>
      <c r="CW37" s="16"/>
      <c r="CX37" s="16"/>
      <c r="CY37" s="16"/>
      <c r="CZ37" s="16"/>
      <c r="DA37" s="16"/>
      <c r="DB37" s="16"/>
      <c r="DC37" s="109"/>
      <c r="DD37" s="16"/>
      <c r="DE37" s="16"/>
      <c r="DF37" s="16"/>
      <c r="DG37" s="16"/>
      <c r="DH37" s="16"/>
      <c r="DI37" s="16"/>
      <c r="DJ37" s="109"/>
      <c r="DK37" s="16"/>
      <c r="DL37" s="16"/>
      <c r="DM37" s="16"/>
      <c r="DN37" s="16"/>
      <c r="DO37" s="16"/>
      <c r="DP37" s="16"/>
      <c r="DQ37" s="109"/>
      <c r="DR37" s="16"/>
      <c r="DS37" s="16"/>
      <c r="DT37" s="16"/>
      <c r="DU37" s="16"/>
      <c r="DV37" s="16"/>
      <c r="DW37" s="16"/>
      <c r="DX37" s="109"/>
      <c r="DY37" s="16"/>
      <c r="DZ37" s="16"/>
      <c r="EA37" s="16"/>
      <c r="EB37" s="16"/>
      <c r="EC37" s="16"/>
      <c r="ED37" s="16"/>
      <c r="EE37" s="109"/>
      <c r="EF37" s="16"/>
      <c r="EG37" s="16"/>
      <c r="EH37" s="16"/>
      <c r="EI37" s="16"/>
      <c r="EJ37" s="16"/>
      <c r="EK37" s="16"/>
      <c r="EL37" s="109"/>
      <c r="EM37" s="16"/>
      <c r="EN37" s="16"/>
      <c r="EO37" s="5">
        <f t="shared" si="3"/>
        <v>26</v>
      </c>
      <c r="EP37" s="5">
        <f t="shared" si="4"/>
        <v>4</v>
      </c>
    </row>
    <row r="38" spans="1:146" x14ac:dyDescent="0.25">
      <c r="A38" s="6">
        <v>33</v>
      </c>
      <c r="B38" s="19">
        <v>168</v>
      </c>
      <c r="C38" s="20" t="s">
        <v>112</v>
      </c>
      <c r="D38" s="21" t="s">
        <v>113</v>
      </c>
      <c r="E38" s="11" t="s">
        <v>8</v>
      </c>
      <c r="F38" s="16" t="s">
        <v>165</v>
      </c>
      <c r="G38" s="16" t="s">
        <v>165</v>
      </c>
      <c r="H38" s="16" t="s">
        <v>165</v>
      </c>
      <c r="I38" s="109"/>
      <c r="J38" s="16" t="s">
        <v>166</v>
      </c>
      <c r="K38" s="112"/>
      <c r="L38" s="16" t="s">
        <v>166</v>
      </c>
      <c r="M38" s="16" t="s">
        <v>166</v>
      </c>
      <c r="N38" s="16" t="s">
        <v>166</v>
      </c>
      <c r="O38" s="16" t="s">
        <v>166</v>
      </c>
      <c r="P38" s="109"/>
      <c r="Q38" s="112"/>
      <c r="R38" s="16" t="s">
        <v>165</v>
      </c>
      <c r="S38" s="16" t="s">
        <v>165</v>
      </c>
      <c r="T38" s="16" t="s">
        <v>166</v>
      </c>
      <c r="U38" s="112"/>
      <c r="V38" s="16" t="s">
        <v>165</v>
      </c>
      <c r="W38" s="109"/>
      <c r="X38" s="16" t="s">
        <v>165</v>
      </c>
      <c r="Y38" s="16" t="s">
        <v>166</v>
      </c>
      <c r="Z38" s="16" t="s">
        <v>166</v>
      </c>
      <c r="AA38" s="16" t="s">
        <v>166</v>
      </c>
      <c r="AB38" s="16" t="s">
        <v>166</v>
      </c>
      <c r="AC38" s="16" t="s">
        <v>166</v>
      </c>
      <c r="AD38" s="109"/>
      <c r="AE38" s="16" t="s">
        <v>166</v>
      </c>
      <c r="AF38" s="16" t="s">
        <v>166</v>
      </c>
      <c r="AG38" s="16" t="s">
        <v>166</v>
      </c>
      <c r="AH38" s="16" t="s">
        <v>166</v>
      </c>
      <c r="AI38" s="16" t="s">
        <v>166</v>
      </c>
      <c r="AJ38" s="16" t="s">
        <v>166</v>
      </c>
      <c r="AK38" s="109"/>
      <c r="AL38" s="16" t="s">
        <v>166</v>
      </c>
      <c r="AM38" s="16"/>
      <c r="AN38" s="16" t="s">
        <v>166</v>
      </c>
      <c r="AO38" s="16" t="s">
        <v>166</v>
      </c>
      <c r="AP38" s="16" t="s">
        <v>166</v>
      </c>
      <c r="AQ38" s="16" t="s">
        <v>166</v>
      </c>
      <c r="AR38" s="109"/>
      <c r="AS38" s="16" t="s">
        <v>165</v>
      </c>
      <c r="AT38" s="16" t="s">
        <v>166</v>
      </c>
      <c r="AU38" s="16" t="s">
        <v>166</v>
      </c>
      <c r="AV38" s="16" t="s">
        <v>166</v>
      </c>
      <c r="AW38" s="16"/>
      <c r="AX38" s="16"/>
      <c r="AY38" s="109"/>
      <c r="AZ38" s="16"/>
      <c r="BA38" s="16"/>
      <c r="BB38" s="16"/>
      <c r="BC38" s="16"/>
      <c r="BD38" s="16"/>
      <c r="BE38" s="16"/>
      <c r="BF38" s="109"/>
      <c r="BG38" s="16"/>
      <c r="BH38" s="16"/>
      <c r="BI38" s="16"/>
      <c r="BJ38" s="16"/>
      <c r="BK38" s="16"/>
      <c r="BL38" s="16"/>
      <c r="BM38" s="109"/>
      <c r="BN38" s="16"/>
      <c r="BO38" s="16"/>
      <c r="BP38" s="16"/>
      <c r="BQ38" s="16"/>
      <c r="BR38" s="16"/>
      <c r="BS38" s="16"/>
      <c r="BT38" s="109"/>
      <c r="BU38" s="16"/>
      <c r="BV38" s="16"/>
      <c r="BW38" s="16"/>
      <c r="BX38" s="16"/>
      <c r="BY38" s="16"/>
      <c r="BZ38" s="16"/>
      <c r="CA38" s="109"/>
      <c r="CB38" s="16"/>
      <c r="CC38" s="16"/>
      <c r="CD38" s="16"/>
      <c r="CE38" s="16"/>
      <c r="CF38" s="16"/>
      <c r="CG38" s="16"/>
      <c r="CH38" s="109"/>
      <c r="CI38" s="16"/>
      <c r="CJ38" s="16"/>
      <c r="CK38" s="16"/>
      <c r="CL38" s="16"/>
      <c r="CM38" s="16"/>
      <c r="CN38" s="16"/>
      <c r="CO38" s="109"/>
      <c r="CP38" s="16"/>
      <c r="CQ38" s="16"/>
      <c r="CR38" s="16"/>
      <c r="CS38" s="16"/>
      <c r="CT38" s="16"/>
      <c r="CU38" s="16"/>
      <c r="CV38" s="109"/>
      <c r="CW38" s="16"/>
      <c r="CX38" s="16"/>
      <c r="CY38" s="16"/>
      <c r="CZ38" s="16"/>
      <c r="DA38" s="16"/>
      <c r="DB38" s="16"/>
      <c r="DC38" s="109"/>
      <c r="DD38" s="16"/>
      <c r="DE38" s="16"/>
      <c r="DF38" s="16"/>
      <c r="DG38" s="16"/>
      <c r="DH38" s="16"/>
      <c r="DI38" s="16"/>
      <c r="DJ38" s="109"/>
      <c r="DK38" s="16"/>
      <c r="DL38" s="16"/>
      <c r="DM38" s="16"/>
      <c r="DN38" s="16"/>
      <c r="DO38" s="16"/>
      <c r="DP38" s="16"/>
      <c r="DQ38" s="109"/>
      <c r="DR38" s="16"/>
      <c r="DS38" s="16"/>
      <c r="DT38" s="16"/>
      <c r="DU38" s="16"/>
      <c r="DV38" s="16"/>
      <c r="DW38" s="16"/>
      <c r="DX38" s="109"/>
      <c r="DY38" s="16"/>
      <c r="DZ38" s="16"/>
      <c r="EA38" s="16"/>
      <c r="EB38" s="16"/>
      <c r="EC38" s="16"/>
      <c r="ED38" s="16"/>
      <c r="EE38" s="109"/>
      <c r="EF38" s="16"/>
      <c r="EG38" s="16"/>
      <c r="EH38" s="16"/>
      <c r="EI38" s="16"/>
      <c r="EJ38" s="16"/>
      <c r="EK38" s="16"/>
      <c r="EL38" s="109"/>
      <c r="EM38" s="16"/>
      <c r="EN38" s="16"/>
      <c r="EO38" s="5">
        <f t="shared" ref="EO38:EO68" si="5">COUNTIF(F38:EN38,"P")</f>
        <v>25</v>
      </c>
      <c r="EP38" s="5">
        <f t="shared" ref="EP38:EP68" si="6">COUNTIF(F38:EN38,"A")</f>
        <v>8</v>
      </c>
    </row>
    <row r="39" spans="1:146" x14ac:dyDescent="0.25">
      <c r="A39" s="17">
        <v>34</v>
      </c>
      <c r="B39" s="19">
        <v>169</v>
      </c>
      <c r="C39" s="20" t="s">
        <v>114</v>
      </c>
      <c r="D39" s="21" t="s">
        <v>115</v>
      </c>
      <c r="E39" s="11" t="s">
        <v>8</v>
      </c>
      <c r="F39" s="16" t="s">
        <v>165</v>
      </c>
      <c r="G39" s="16" t="s">
        <v>165</v>
      </c>
      <c r="H39" s="16" t="s">
        <v>165</v>
      </c>
      <c r="I39" s="109"/>
      <c r="J39" s="16"/>
      <c r="K39" s="112"/>
      <c r="L39" s="16" t="s">
        <v>165</v>
      </c>
      <c r="M39" s="16" t="s">
        <v>166</v>
      </c>
      <c r="N39" s="16" t="s">
        <v>166</v>
      </c>
      <c r="O39" s="16" t="s">
        <v>165</v>
      </c>
      <c r="P39" s="109"/>
      <c r="Q39" s="112"/>
      <c r="R39" s="16" t="s">
        <v>166</v>
      </c>
      <c r="S39" s="16" t="s">
        <v>165</v>
      </c>
      <c r="T39" s="16" t="s">
        <v>165</v>
      </c>
      <c r="U39" s="112"/>
      <c r="V39" s="16" t="s">
        <v>165</v>
      </c>
      <c r="W39" s="109"/>
      <c r="X39" s="16" t="s">
        <v>166</v>
      </c>
      <c r="Y39" s="16" t="s">
        <v>166</v>
      </c>
      <c r="Z39" s="16" t="s">
        <v>166</v>
      </c>
      <c r="AA39" s="16" t="s">
        <v>166</v>
      </c>
      <c r="AB39" s="16" t="s">
        <v>165</v>
      </c>
      <c r="AC39" s="16" t="s">
        <v>166</v>
      </c>
      <c r="AD39" s="109"/>
      <c r="AE39" s="16" t="s">
        <v>166</v>
      </c>
      <c r="AF39" s="16" t="s">
        <v>165</v>
      </c>
      <c r="AG39" s="16" t="s">
        <v>166</v>
      </c>
      <c r="AH39" s="16" t="s">
        <v>166</v>
      </c>
      <c r="AI39" s="16" t="s">
        <v>166</v>
      </c>
      <c r="AJ39" s="16" t="s">
        <v>166</v>
      </c>
      <c r="AK39" s="109"/>
      <c r="AL39" s="16" t="s">
        <v>166</v>
      </c>
      <c r="AM39" s="16"/>
      <c r="AN39" s="16" t="s">
        <v>166</v>
      </c>
      <c r="AO39" s="16" t="s">
        <v>166</v>
      </c>
      <c r="AP39" s="16" t="s">
        <v>166</v>
      </c>
      <c r="AQ39" s="16" t="s">
        <v>166</v>
      </c>
      <c r="AR39" s="109"/>
      <c r="AS39" s="16" t="s">
        <v>166</v>
      </c>
      <c r="AT39" s="16" t="s">
        <v>166</v>
      </c>
      <c r="AU39" s="16" t="s">
        <v>166</v>
      </c>
      <c r="AV39" s="16" t="s">
        <v>166</v>
      </c>
      <c r="AW39" s="16"/>
      <c r="AX39" s="16"/>
      <c r="AY39" s="109"/>
      <c r="AZ39" s="16"/>
      <c r="BA39" s="16"/>
      <c r="BB39" s="16"/>
      <c r="BC39" s="16"/>
      <c r="BD39" s="16"/>
      <c r="BE39" s="16"/>
      <c r="BF39" s="109"/>
      <c r="BG39" s="16"/>
      <c r="BH39" s="16"/>
      <c r="BI39" s="16"/>
      <c r="BJ39" s="16"/>
      <c r="BK39" s="16"/>
      <c r="BL39" s="16"/>
      <c r="BM39" s="109"/>
      <c r="BN39" s="16"/>
      <c r="BO39" s="16"/>
      <c r="BP39" s="16"/>
      <c r="BQ39" s="16"/>
      <c r="BR39" s="16"/>
      <c r="BS39" s="16"/>
      <c r="BT39" s="109"/>
      <c r="BU39" s="16"/>
      <c r="BV39" s="16"/>
      <c r="BW39" s="16"/>
      <c r="BX39" s="16"/>
      <c r="BY39" s="16"/>
      <c r="BZ39" s="16"/>
      <c r="CA39" s="109"/>
      <c r="CB39" s="16"/>
      <c r="CC39" s="16"/>
      <c r="CD39" s="16"/>
      <c r="CE39" s="16"/>
      <c r="CF39" s="16"/>
      <c r="CG39" s="16"/>
      <c r="CH39" s="109"/>
      <c r="CI39" s="16"/>
      <c r="CJ39" s="16"/>
      <c r="CK39" s="16"/>
      <c r="CL39" s="16"/>
      <c r="CM39" s="16"/>
      <c r="CN39" s="16"/>
      <c r="CO39" s="109"/>
      <c r="CP39" s="16"/>
      <c r="CQ39" s="16"/>
      <c r="CR39" s="16"/>
      <c r="CS39" s="16"/>
      <c r="CT39" s="16"/>
      <c r="CU39" s="16"/>
      <c r="CV39" s="109"/>
      <c r="CW39" s="16"/>
      <c r="CX39" s="16"/>
      <c r="CY39" s="16"/>
      <c r="CZ39" s="16"/>
      <c r="DA39" s="16"/>
      <c r="DB39" s="16"/>
      <c r="DC39" s="109"/>
      <c r="DD39" s="16"/>
      <c r="DE39" s="16"/>
      <c r="DF39" s="16"/>
      <c r="DG39" s="16"/>
      <c r="DH39" s="16"/>
      <c r="DI39" s="16"/>
      <c r="DJ39" s="109"/>
      <c r="DK39" s="16"/>
      <c r="DL39" s="16"/>
      <c r="DM39" s="16"/>
      <c r="DN39" s="16"/>
      <c r="DO39" s="16"/>
      <c r="DP39" s="16"/>
      <c r="DQ39" s="109"/>
      <c r="DR39" s="16"/>
      <c r="DS39" s="16"/>
      <c r="DT39" s="16"/>
      <c r="DU39" s="16"/>
      <c r="DV39" s="16"/>
      <c r="DW39" s="16"/>
      <c r="DX39" s="109"/>
      <c r="DY39" s="16"/>
      <c r="DZ39" s="16"/>
      <c r="EA39" s="16"/>
      <c r="EB39" s="16"/>
      <c r="EC39" s="16"/>
      <c r="ED39" s="16"/>
      <c r="EE39" s="109"/>
      <c r="EF39" s="16"/>
      <c r="EG39" s="16"/>
      <c r="EH39" s="16"/>
      <c r="EI39" s="16"/>
      <c r="EJ39" s="16"/>
      <c r="EK39" s="16"/>
      <c r="EL39" s="109"/>
      <c r="EM39" s="16"/>
      <c r="EN39" s="16"/>
      <c r="EO39" s="5">
        <f t="shared" si="5"/>
        <v>22</v>
      </c>
      <c r="EP39" s="5">
        <f t="shared" si="6"/>
        <v>10</v>
      </c>
    </row>
    <row r="40" spans="1:146" x14ac:dyDescent="0.25">
      <c r="A40" s="6">
        <v>35</v>
      </c>
      <c r="B40" s="19">
        <v>170</v>
      </c>
      <c r="C40" s="20" t="s">
        <v>116</v>
      </c>
      <c r="D40" s="21" t="s">
        <v>117</v>
      </c>
      <c r="E40" s="11" t="s">
        <v>8</v>
      </c>
      <c r="F40" s="16" t="s">
        <v>166</v>
      </c>
      <c r="G40" s="16" t="s">
        <v>166</v>
      </c>
      <c r="H40" s="16" t="s">
        <v>166</v>
      </c>
      <c r="I40" s="109"/>
      <c r="J40" s="16" t="s">
        <v>166</v>
      </c>
      <c r="K40" s="112"/>
      <c r="L40" s="16" t="s">
        <v>166</v>
      </c>
      <c r="M40" s="16" t="s">
        <v>166</v>
      </c>
      <c r="N40" s="16" t="s">
        <v>165</v>
      </c>
      <c r="O40" s="16" t="s">
        <v>165</v>
      </c>
      <c r="P40" s="109"/>
      <c r="Q40" s="112"/>
      <c r="R40" s="16" t="s">
        <v>166</v>
      </c>
      <c r="S40" s="16" t="s">
        <v>166</v>
      </c>
      <c r="T40" s="16" t="s">
        <v>166</v>
      </c>
      <c r="U40" s="112"/>
      <c r="V40" s="16" t="s">
        <v>165</v>
      </c>
      <c r="W40" s="109"/>
      <c r="X40" s="16" t="s">
        <v>166</v>
      </c>
      <c r="Y40" s="16" t="s">
        <v>166</v>
      </c>
      <c r="Z40" s="16" t="s">
        <v>166</v>
      </c>
      <c r="AA40" s="16" t="s">
        <v>166</v>
      </c>
      <c r="AB40" s="16" t="s">
        <v>166</v>
      </c>
      <c r="AC40" s="16" t="s">
        <v>166</v>
      </c>
      <c r="AD40" s="109"/>
      <c r="AE40" s="16" t="s">
        <v>166</v>
      </c>
      <c r="AF40" s="16" t="s">
        <v>166</v>
      </c>
      <c r="AG40" s="16" t="s">
        <v>166</v>
      </c>
      <c r="AH40" s="16" t="s">
        <v>166</v>
      </c>
      <c r="AI40" s="16" t="s">
        <v>166</v>
      </c>
      <c r="AJ40" s="16" t="s">
        <v>166</v>
      </c>
      <c r="AK40" s="109"/>
      <c r="AL40" s="16" t="s">
        <v>166</v>
      </c>
      <c r="AM40" s="16"/>
      <c r="AN40" s="16" t="s">
        <v>165</v>
      </c>
      <c r="AO40" s="16" t="s">
        <v>166</v>
      </c>
      <c r="AP40" s="16" t="s">
        <v>166</v>
      </c>
      <c r="AQ40" s="16" t="s">
        <v>166</v>
      </c>
      <c r="AR40" s="109"/>
      <c r="AS40" s="16" t="s">
        <v>166</v>
      </c>
      <c r="AT40" s="16" t="s">
        <v>166</v>
      </c>
      <c r="AU40" s="16" t="s">
        <v>166</v>
      </c>
      <c r="AV40" s="16" t="s">
        <v>166</v>
      </c>
      <c r="AW40" s="16"/>
      <c r="AX40" s="16"/>
      <c r="AY40" s="109"/>
      <c r="AZ40" s="16"/>
      <c r="BA40" s="16"/>
      <c r="BB40" s="16"/>
      <c r="BC40" s="16"/>
      <c r="BD40" s="16"/>
      <c r="BE40" s="16"/>
      <c r="BF40" s="109"/>
      <c r="BG40" s="16"/>
      <c r="BH40" s="16"/>
      <c r="BI40" s="16"/>
      <c r="BJ40" s="16"/>
      <c r="BK40" s="16"/>
      <c r="BL40" s="16"/>
      <c r="BM40" s="109"/>
      <c r="BN40" s="16"/>
      <c r="BO40" s="16"/>
      <c r="BP40" s="16"/>
      <c r="BQ40" s="16"/>
      <c r="BR40" s="16"/>
      <c r="BS40" s="16"/>
      <c r="BT40" s="109"/>
      <c r="BU40" s="16"/>
      <c r="BV40" s="16"/>
      <c r="BW40" s="16"/>
      <c r="BX40" s="16"/>
      <c r="BY40" s="16"/>
      <c r="BZ40" s="16"/>
      <c r="CA40" s="109"/>
      <c r="CB40" s="16"/>
      <c r="CC40" s="16"/>
      <c r="CD40" s="16"/>
      <c r="CE40" s="16"/>
      <c r="CF40" s="16"/>
      <c r="CG40" s="16"/>
      <c r="CH40" s="109"/>
      <c r="CI40" s="16"/>
      <c r="CJ40" s="16"/>
      <c r="CK40" s="16"/>
      <c r="CL40" s="16"/>
      <c r="CM40" s="16"/>
      <c r="CN40" s="16"/>
      <c r="CO40" s="109"/>
      <c r="CP40" s="16"/>
      <c r="CQ40" s="16"/>
      <c r="CR40" s="16"/>
      <c r="CS40" s="16"/>
      <c r="CT40" s="16"/>
      <c r="CU40" s="16"/>
      <c r="CV40" s="109"/>
      <c r="CW40" s="16"/>
      <c r="CX40" s="16"/>
      <c r="CY40" s="16"/>
      <c r="CZ40" s="16"/>
      <c r="DA40" s="16"/>
      <c r="DB40" s="16"/>
      <c r="DC40" s="109"/>
      <c r="DD40" s="16"/>
      <c r="DE40" s="16"/>
      <c r="DF40" s="16"/>
      <c r="DG40" s="16"/>
      <c r="DH40" s="16"/>
      <c r="DI40" s="16"/>
      <c r="DJ40" s="109"/>
      <c r="DK40" s="16"/>
      <c r="DL40" s="16"/>
      <c r="DM40" s="16"/>
      <c r="DN40" s="16"/>
      <c r="DO40" s="16"/>
      <c r="DP40" s="16"/>
      <c r="DQ40" s="109"/>
      <c r="DR40" s="16"/>
      <c r="DS40" s="16"/>
      <c r="DT40" s="16"/>
      <c r="DU40" s="16"/>
      <c r="DV40" s="16"/>
      <c r="DW40" s="16"/>
      <c r="DX40" s="109"/>
      <c r="DY40" s="16"/>
      <c r="DZ40" s="16"/>
      <c r="EA40" s="16"/>
      <c r="EB40" s="16"/>
      <c r="EC40" s="16"/>
      <c r="ED40" s="16"/>
      <c r="EE40" s="109"/>
      <c r="EF40" s="16"/>
      <c r="EG40" s="16"/>
      <c r="EH40" s="16"/>
      <c r="EI40" s="16"/>
      <c r="EJ40" s="16"/>
      <c r="EK40" s="16"/>
      <c r="EL40" s="109"/>
      <c r="EM40" s="16"/>
      <c r="EN40" s="16"/>
      <c r="EO40" s="5">
        <f t="shared" si="5"/>
        <v>29</v>
      </c>
      <c r="EP40" s="5">
        <f t="shared" si="6"/>
        <v>4</v>
      </c>
    </row>
    <row r="41" spans="1:146" x14ac:dyDescent="0.25">
      <c r="A41" s="17">
        <v>36</v>
      </c>
      <c r="B41" s="19">
        <v>171</v>
      </c>
      <c r="C41" s="20" t="s">
        <v>118</v>
      </c>
      <c r="D41" s="21" t="s">
        <v>119</v>
      </c>
      <c r="E41" s="11" t="s">
        <v>8</v>
      </c>
      <c r="F41" s="16"/>
      <c r="G41" s="16"/>
      <c r="H41" s="16"/>
      <c r="I41" s="109"/>
      <c r="J41" s="16"/>
      <c r="K41" s="112"/>
      <c r="L41" s="16"/>
      <c r="M41" s="16"/>
      <c r="N41" s="16"/>
      <c r="O41" s="16"/>
      <c r="P41" s="109"/>
      <c r="Q41" s="112"/>
      <c r="R41" s="16"/>
      <c r="S41" s="16"/>
      <c r="T41" s="16"/>
      <c r="U41" s="112"/>
      <c r="V41" s="16"/>
      <c r="W41" s="109"/>
      <c r="X41" s="16" t="s">
        <v>165</v>
      </c>
      <c r="Y41" s="16"/>
      <c r="Z41" s="16" t="s">
        <v>166</v>
      </c>
      <c r="AA41" s="16" t="s">
        <v>166</v>
      </c>
      <c r="AB41" s="16" t="s">
        <v>165</v>
      </c>
      <c r="AC41" s="16" t="s">
        <v>165</v>
      </c>
      <c r="AD41" s="109"/>
      <c r="AE41" s="16" t="s">
        <v>165</v>
      </c>
      <c r="AF41" s="16" t="s">
        <v>166</v>
      </c>
      <c r="AG41" s="16" t="s">
        <v>166</v>
      </c>
      <c r="AH41" s="16" t="s">
        <v>166</v>
      </c>
      <c r="AI41" s="16" t="s">
        <v>166</v>
      </c>
      <c r="AJ41" s="16" t="s">
        <v>166</v>
      </c>
      <c r="AK41" s="109"/>
      <c r="AL41" s="16" t="s">
        <v>165</v>
      </c>
      <c r="AM41" s="16"/>
      <c r="AN41" s="16" t="s">
        <v>166</v>
      </c>
      <c r="AO41" s="16" t="s">
        <v>166</v>
      </c>
      <c r="AP41" s="16" t="s">
        <v>165</v>
      </c>
      <c r="AQ41" s="16" t="s">
        <v>165</v>
      </c>
      <c r="AR41" s="109"/>
      <c r="AS41" s="16" t="s">
        <v>165</v>
      </c>
      <c r="AT41" s="16" t="s">
        <v>165</v>
      </c>
      <c r="AU41" s="16" t="s">
        <v>165</v>
      </c>
      <c r="AV41" s="16" t="s">
        <v>165</v>
      </c>
      <c r="AW41" s="16"/>
      <c r="AX41" s="16"/>
      <c r="AY41" s="109"/>
      <c r="AZ41" s="16"/>
      <c r="BA41" s="16"/>
      <c r="BB41" s="16"/>
      <c r="BC41" s="16"/>
      <c r="BD41" s="16"/>
      <c r="BE41" s="16"/>
      <c r="BF41" s="109"/>
      <c r="BG41" s="16"/>
      <c r="BH41" s="16"/>
      <c r="BI41" s="16"/>
      <c r="BJ41" s="16"/>
      <c r="BK41" s="16"/>
      <c r="BL41" s="16"/>
      <c r="BM41" s="109"/>
      <c r="BN41" s="16"/>
      <c r="BO41" s="16"/>
      <c r="BP41" s="16"/>
      <c r="BQ41" s="16"/>
      <c r="BR41" s="16"/>
      <c r="BS41" s="16"/>
      <c r="BT41" s="109"/>
      <c r="BU41" s="16"/>
      <c r="BV41" s="16"/>
      <c r="BW41" s="16"/>
      <c r="BX41" s="16"/>
      <c r="BY41" s="16"/>
      <c r="BZ41" s="16"/>
      <c r="CA41" s="109"/>
      <c r="CB41" s="16"/>
      <c r="CC41" s="16"/>
      <c r="CD41" s="16"/>
      <c r="CE41" s="16"/>
      <c r="CF41" s="16"/>
      <c r="CG41" s="16"/>
      <c r="CH41" s="109"/>
      <c r="CI41" s="16"/>
      <c r="CJ41" s="16"/>
      <c r="CK41" s="16"/>
      <c r="CL41" s="16"/>
      <c r="CM41" s="16"/>
      <c r="CN41" s="16"/>
      <c r="CO41" s="109"/>
      <c r="CP41" s="16"/>
      <c r="CQ41" s="16"/>
      <c r="CR41" s="16"/>
      <c r="CS41" s="16"/>
      <c r="CT41" s="16"/>
      <c r="CU41" s="16"/>
      <c r="CV41" s="109"/>
      <c r="CW41" s="16"/>
      <c r="CX41" s="16"/>
      <c r="CY41" s="16"/>
      <c r="CZ41" s="16"/>
      <c r="DA41" s="16"/>
      <c r="DB41" s="16"/>
      <c r="DC41" s="109"/>
      <c r="DD41" s="16"/>
      <c r="DE41" s="16"/>
      <c r="DF41" s="16"/>
      <c r="DG41" s="16"/>
      <c r="DH41" s="16"/>
      <c r="DI41" s="16"/>
      <c r="DJ41" s="109"/>
      <c r="DK41" s="16"/>
      <c r="DL41" s="16"/>
      <c r="DM41" s="16"/>
      <c r="DN41" s="16"/>
      <c r="DO41" s="16"/>
      <c r="DP41" s="16"/>
      <c r="DQ41" s="109"/>
      <c r="DR41" s="16"/>
      <c r="DS41" s="16"/>
      <c r="DT41" s="16"/>
      <c r="DU41" s="16"/>
      <c r="DV41" s="16"/>
      <c r="DW41" s="16"/>
      <c r="DX41" s="109"/>
      <c r="DY41" s="16"/>
      <c r="DZ41" s="16"/>
      <c r="EA41" s="16"/>
      <c r="EB41" s="16"/>
      <c r="EC41" s="16"/>
      <c r="ED41" s="16"/>
      <c r="EE41" s="109"/>
      <c r="EF41" s="16"/>
      <c r="EG41" s="16"/>
      <c r="EH41" s="16"/>
      <c r="EI41" s="16"/>
      <c r="EJ41" s="16"/>
      <c r="EK41" s="16"/>
      <c r="EL41" s="109"/>
      <c r="EM41" s="16"/>
      <c r="EN41" s="16"/>
      <c r="EO41" s="5">
        <f t="shared" si="5"/>
        <v>9</v>
      </c>
      <c r="EP41" s="5">
        <f t="shared" si="6"/>
        <v>11</v>
      </c>
    </row>
    <row r="42" spans="1:146" x14ac:dyDescent="0.25">
      <c r="A42" s="6">
        <v>37</v>
      </c>
      <c r="B42" s="19">
        <v>172</v>
      </c>
      <c r="C42" s="20" t="s">
        <v>120</v>
      </c>
      <c r="D42" s="21" t="s">
        <v>121</v>
      </c>
      <c r="E42" s="11" t="s">
        <v>8</v>
      </c>
      <c r="F42" s="16"/>
      <c r="G42" s="16"/>
      <c r="H42" s="16"/>
      <c r="I42" s="109"/>
      <c r="J42" s="16"/>
      <c r="K42" s="112"/>
      <c r="L42" s="16"/>
      <c r="M42" s="16"/>
      <c r="N42" s="16"/>
      <c r="O42" s="16"/>
      <c r="P42" s="109"/>
      <c r="Q42" s="112"/>
      <c r="R42" s="16"/>
      <c r="S42" s="16"/>
      <c r="T42" s="16"/>
      <c r="U42" s="112"/>
      <c r="V42" s="16"/>
      <c r="W42" s="109"/>
      <c r="X42" s="16" t="s">
        <v>166</v>
      </c>
      <c r="Y42" s="16" t="s">
        <v>166</v>
      </c>
      <c r="Z42" s="16" t="s">
        <v>166</v>
      </c>
      <c r="AA42" s="16" t="s">
        <v>166</v>
      </c>
      <c r="AB42" s="16" t="s">
        <v>166</v>
      </c>
      <c r="AC42" s="16" t="s">
        <v>166</v>
      </c>
      <c r="AD42" s="109"/>
      <c r="AE42" s="16" t="s">
        <v>166</v>
      </c>
      <c r="AF42" s="16" t="s">
        <v>166</v>
      </c>
      <c r="AG42" s="16" t="s">
        <v>166</v>
      </c>
      <c r="AH42" s="16" t="s">
        <v>166</v>
      </c>
      <c r="AI42" s="16" t="s">
        <v>166</v>
      </c>
      <c r="AJ42" s="16" t="s">
        <v>166</v>
      </c>
      <c r="AK42" s="109"/>
      <c r="AL42" s="16" t="s">
        <v>166</v>
      </c>
      <c r="AM42" s="16"/>
      <c r="AN42" s="16" t="s">
        <v>165</v>
      </c>
      <c r="AO42" s="16" t="s">
        <v>166</v>
      </c>
      <c r="AP42" s="16" t="s">
        <v>166</v>
      </c>
      <c r="AQ42" s="16" t="s">
        <v>166</v>
      </c>
      <c r="AR42" s="109"/>
      <c r="AS42" s="16" t="s">
        <v>166</v>
      </c>
      <c r="AT42" s="16" t="s">
        <v>166</v>
      </c>
      <c r="AU42" s="16" t="s">
        <v>166</v>
      </c>
      <c r="AV42" s="16" t="s">
        <v>166</v>
      </c>
      <c r="AW42" s="16"/>
      <c r="AX42" s="16"/>
      <c r="AY42" s="109"/>
      <c r="AZ42" s="16"/>
      <c r="BA42" s="16"/>
      <c r="BB42" s="16"/>
      <c r="BC42" s="16"/>
      <c r="BD42" s="16"/>
      <c r="BE42" s="16"/>
      <c r="BF42" s="109"/>
      <c r="BG42" s="16"/>
      <c r="BH42" s="16"/>
      <c r="BI42" s="16"/>
      <c r="BJ42" s="16"/>
      <c r="BK42" s="16"/>
      <c r="BL42" s="16"/>
      <c r="BM42" s="109"/>
      <c r="BN42" s="16"/>
      <c r="BO42" s="16"/>
      <c r="BP42" s="16"/>
      <c r="BQ42" s="16"/>
      <c r="BR42" s="16"/>
      <c r="BS42" s="16"/>
      <c r="BT42" s="109"/>
      <c r="BU42" s="16"/>
      <c r="BV42" s="16"/>
      <c r="BW42" s="16"/>
      <c r="BX42" s="16"/>
      <c r="BY42" s="16"/>
      <c r="BZ42" s="16"/>
      <c r="CA42" s="109"/>
      <c r="CB42" s="16"/>
      <c r="CC42" s="16"/>
      <c r="CD42" s="16"/>
      <c r="CE42" s="16"/>
      <c r="CF42" s="16"/>
      <c r="CG42" s="16"/>
      <c r="CH42" s="109"/>
      <c r="CI42" s="16"/>
      <c r="CJ42" s="16"/>
      <c r="CK42" s="16"/>
      <c r="CL42" s="16"/>
      <c r="CM42" s="16"/>
      <c r="CN42" s="16"/>
      <c r="CO42" s="109"/>
      <c r="CP42" s="16"/>
      <c r="CQ42" s="16"/>
      <c r="CR42" s="16"/>
      <c r="CS42" s="16"/>
      <c r="CT42" s="16"/>
      <c r="CU42" s="16"/>
      <c r="CV42" s="109"/>
      <c r="CW42" s="16"/>
      <c r="CX42" s="16"/>
      <c r="CY42" s="16"/>
      <c r="CZ42" s="16"/>
      <c r="DA42" s="16"/>
      <c r="DB42" s="16"/>
      <c r="DC42" s="109"/>
      <c r="DD42" s="16"/>
      <c r="DE42" s="16"/>
      <c r="DF42" s="16"/>
      <c r="DG42" s="16"/>
      <c r="DH42" s="16"/>
      <c r="DI42" s="16"/>
      <c r="DJ42" s="109"/>
      <c r="DK42" s="16"/>
      <c r="DL42" s="16"/>
      <c r="DM42" s="16"/>
      <c r="DN42" s="16"/>
      <c r="DO42" s="16"/>
      <c r="DP42" s="16"/>
      <c r="DQ42" s="109"/>
      <c r="DR42" s="16"/>
      <c r="DS42" s="16"/>
      <c r="DT42" s="16"/>
      <c r="DU42" s="16"/>
      <c r="DV42" s="16"/>
      <c r="DW42" s="16"/>
      <c r="DX42" s="109"/>
      <c r="DY42" s="16"/>
      <c r="DZ42" s="16"/>
      <c r="EA42" s="16"/>
      <c r="EB42" s="16"/>
      <c r="EC42" s="16"/>
      <c r="ED42" s="16"/>
      <c r="EE42" s="109"/>
      <c r="EF42" s="16"/>
      <c r="EG42" s="16"/>
      <c r="EH42" s="16"/>
      <c r="EI42" s="16"/>
      <c r="EJ42" s="16"/>
      <c r="EK42" s="16"/>
      <c r="EL42" s="109"/>
      <c r="EM42" s="16"/>
      <c r="EN42" s="16"/>
      <c r="EO42" s="5">
        <f t="shared" si="5"/>
        <v>20</v>
      </c>
      <c r="EP42" s="5">
        <f t="shared" si="6"/>
        <v>1</v>
      </c>
    </row>
    <row r="43" spans="1:146" x14ac:dyDescent="0.25">
      <c r="A43" s="17">
        <v>38</v>
      </c>
      <c r="B43" s="19">
        <v>196</v>
      </c>
      <c r="C43" s="20" t="s">
        <v>123</v>
      </c>
      <c r="D43" s="21" t="s">
        <v>124</v>
      </c>
      <c r="E43" s="11" t="s">
        <v>8</v>
      </c>
      <c r="F43" s="16"/>
      <c r="G43" s="16"/>
      <c r="H43" s="16"/>
      <c r="I43" s="109"/>
      <c r="J43" s="16"/>
      <c r="K43" s="112"/>
      <c r="L43" s="16"/>
      <c r="M43" s="16"/>
      <c r="N43" s="16" t="s">
        <v>166</v>
      </c>
      <c r="O43" s="16" t="s">
        <v>166</v>
      </c>
      <c r="P43" s="109"/>
      <c r="Q43" s="112"/>
      <c r="R43" s="16" t="s">
        <v>165</v>
      </c>
      <c r="S43" s="16" t="s">
        <v>166</v>
      </c>
      <c r="T43" s="16" t="s">
        <v>166</v>
      </c>
      <c r="U43" s="112"/>
      <c r="V43" s="16" t="s">
        <v>165</v>
      </c>
      <c r="W43" s="109"/>
      <c r="X43" s="16" t="s">
        <v>166</v>
      </c>
      <c r="Y43" s="16" t="s">
        <v>166</v>
      </c>
      <c r="Z43" s="16" t="s">
        <v>165</v>
      </c>
      <c r="AA43" s="16" t="s">
        <v>166</v>
      </c>
      <c r="AB43" s="16" t="s">
        <v>165</v>
      </c>
      <c r="AC43" s="16" t="s">
        <v>166</v>
      </c>
      <c r="AD43" s="109"/>
      <c r="AE43" s="16" t="s">
        <v>166</v>
      </c>
      <c r="AF43" s="16" t="s">
        <v>166</v>
      </c>
      <c r="AG43" s="16" t="s">
        <v>166</v>
      </c>
      <c r="AH43" s="16" t="s">
        <v>166</v>
      </c>
      <c r="AI43" s="16" t="s">
        <v>166</v>
      </c>
      <c r="AJ43" s="16" t="s">
        <v>166</v>
      </c>
      <c r="AK43" s="109"/>
      <c r="AL43" s="16" t="s">
        <v>166</v>
      </c>
      <c r="AM43" s="16"/>
      <c r="AN43" s="16" t="s">
        <v>166</v>
      </c>
      <c r="AO43" s="16" t="s">
        <v>166</v>
      </c>
      <c r="AP43" s="16" t="s">
        <v>166</v>
      </c>
      <c r="AQ43" s="16" t="s">
        <v>166</v>
      </c>
      <c r="AR43" s="109"/>
      <c r="AS43" s="16" t="s">
        <v>165</v>
      </c>
      <c r="AT43" s="16" t="s">
        <v>165</v>
      </c>
      <c r="AU43" s="16" t="s">
        <v>165</v>
      </c>
      <c r="AV43" s="16" t="s">
        <v>166</v>
      </c>
      <c r="AW43" s="16"/>
      <c r="AX43" s="16"/>
      <c r="AY43" s="109"/>
      <c r="AZ43" s="16"/>
      <c r="BA43" s="16"/>
      <c r="BB43" s="16"/>
      <c r="BC43" s="16"/>
      <c r="BD43" s="16"/>
      <c r="BE43" s="16"/>
      <c r="BF43" s="109"/>
      <c r="BG43" s="16"/>
      <c r="BH43" s="16"/>
      <c r="BI43" s="16"/>
      <c r="BJ43" s="16"/>
      <c r="BK43" s="16"/>
      <c r="BL43" s="16"/>
      <c r="BM43" s="109"/>
      <c r="BN43" s="16"/>
      <c r="BO43" s="16"/>
      <c r="BP43" s="16"/>
      <c r="BQ43" s="16"/>
      <c r="BR43" s="16"/>
      <c r="BS43" s="16"/>
      <c r="BT43" s="109"/>
      <c r="BU43" s="16"/>
      <c r="BV43" s="16"/>
      <c r="BW43" s="16"/>
      <c r="BX43" s="16"/>
      <c r="BY43" s="16"/>
      <c r="BZ43" s="16"/>
      <c r="CA43" s="109"/>
      <c r="CB43" s="16"/>
      <c r="CC43" s="16"/>
      <c r="CD43" s="16"/>
      <c r="CE43" s="16"/>
      <c r="CF43" s="16"/>
      <c r="CG43" s="16"/>
      <c r="CH43" s="109"/>
      <c r="CI43" s="16"/>
      <c r="CJ43" s="16"/>
      <c r="CK43" s="16"/>
      <c r="CL43" s="16"/>
      <c r="CM43" s="16"/>
      <c r="CN43" s="16"/>
      <c r="CO43" s="109"/>
      <c r="CP43" s="16"/>
      <c r="CQ43" s="16"/>
      <c r="CR43" s="16"/>
      <c r="CS43" s="16"/>
      <c r="CT43" s="16"/>
      <c r="CU43" s="16"/>
      <c r="CV43" s="109"/>
      <c r="CW43" s="16"/>
      <c r="CX43" s="16"/>
      <c r="CY43" s="16"/>
      <c r="CZ43" s="16"/>
      <c r="DA43" s="16"/>
      <c r="DB43" s="16"/>
      <c r="DC43" s="109"/>
      <c r="DD43" s="16"/>
      <c r="DE43" s="16"/>
      <c r="DF43" s="16"/>
      <c r="DG43" s="16"/>
      <c r="DH43" s="16"/>
      <c r="DI43" s="16"/>
      <c r="DJ43" s="109"/>
      <c r="DK43" s="16"/>
      <c r="DL43" s="16"/>
      <c r="DM43" s="16"/>
      <c r="DN43" s="16"/>
      <c r="DO43" s="16"/>
      <c r="DP43" s="16"/>
      <c r="DQ43" s="109"/>
      <c r="DR43" s="16"/>
      <c r="DS43" s="16"/>
      <c r="DT43" s="16"/>
      <c r="DU43" s="16"/>
      <c r="DV43" s="16"/>
      <c r="DW43" s="16"/>
      <c r="DX43" s="109"/>
      <c r="DY43" s="16"/>
      <c r="DZ43" s="16"/>
      <c r="EA43" s="16"/>
      <c r="EB43" s="16"/>
      <c r="EC43" s="16"/>
      <c r="ED43" s="16"/>
      <c r="EE43" s="109"/>
      <c r="EF43" s="16"/>
      <c r="EG43" s="16"/>
      <c r="EH43" s="16"/>
      <c r="EI43" s="16"/>
      <c r="EJ43" s="16"/>
      <c r="EK43" s="16"/>
      <c r="EL43" s="109"/>
      <c r="EM43" s="16"/>
      <c r="EN43" s="16"/>
      <c r="EO43" s="5">
        <f t="shared" si="5"/>
        <v>20</v>
      </c>
      <c r="EP43" s="5">
        <f t="shared" si="6"/>
        <v>7</v>
      </c>
    </row>
    <row r="44" spans="1:146" x14ac:dyDescent="0.25">
      <c r="A44" s="28">
        <v>39</v>
      </c>
      <c r="B44" s="19">
        <v>197</v>
      </c>
      <c r="C44" s="20" t="s">
        <v>125</v>
      </c>
      <c r="D44" s="21"/>
      <c r="E44" s="11" t="s">
        <v>8</v>
      </c>
      <c r="F44" s="16"/>
      <c r="G44" s="16"/>
      <c r="H44" s="16"/>
      <c r="I44" s="109"/>
      <c r="J44" s="16"/>
      <c r="K44" s="112"/>
      <c r="L44" s="16"/>
      <c r="M44" s="16"/>
      <c r="N44" s="16" t="s">
        <v>166</v>
      </c>
      <c r="O44" s="16" t="s">
        <v>166</v>
      </c>
      <c r="P44" s="109"/>
      <c r="Q44" s="112"/>
      <c r="R44" s="16" t="s">
        <v>165</v>
      </c>
      <c r="S44" s="16" t="s">
        <v>166</v>
      </c>
      <c r="T44" s="16" t="s">
        <v>166</v>
      </c>
      <c r="U44" s="112"/>
      <c r="V44" s="16" t="s">
        <v>165</v>
      </c>
      <c r="W44" s="109"/>
      <c r="X44" s="16" t="s">
        <v>166</v>
      </c>
      <c r="Y44" s="16" t="s">
        <v>166</v>
      </c>
      <c r="Z44" s="16" t="s">
        <v>166</v>
      </c>
      <c r="AA44" s="16" t="s">
        <v>166</v>
      </c>
      <c r="AB44" s="16" t="s">
        <v>165</v>
      </c>
      <c r="AC44" s="16" t="s">
        <v>166</v>
      </c>
      <c r="AD44" s="109"/>
      <c r="AE44" s="16" t="s">
        <v>166</v>
      </c>
      <c r="AF44" s="16" t="s">
        <v>166</v>
      </c>
      <c r="AG44" s="16" t="s">
        <v>166</v>
      </c>
      <c r="AH44" s="16" t="s">
        <v>166</v>
      </c>
      <c r="AI44" s="16" t="s">
        <v>166</v>
      </c>
      <c r="AJ44" s="16" t="s">
        <v>166</v>
      </c>
      <c r="AK44" s="109"/>
      <c r="AL44" s="16" t="s">
        <v>166</v>
      </c>
      <c r="AM44" s="16"/>
      <c r="AN44" s="16" t="s">
        <v>166</v>
      </c>
      <c r="AO44" s="16" t="s">
        <v>166</v>
      </c>
      <c r="AP44" s="16" t="s">
        <v>166</v>
      </c>
      <c r="AQ44" s="16" t="s">
        <v>166</v>
      </c>
      <c r="AR44" s="109"/>
      <c r="AS44" s="16" t="s">
        <v>165</v>
      </c>
      <c r="AT44" s="16" t="s">
        <v>166</v>
      </c>
      <c r="AU44" s="16" t="s">
        <v>166</v>
      </c>
      <c r="AV44" s="16" t="s">
        <v>166</v>
      </c>
      <c r="AW44" s="16"/>
      <c r="AX44" s="16"/>
      <c r="AY44" s="109"/>
      <c r="AZ44" s="16"/>
      <c r="BA44" s="16"/>
      <c r="BB44" s="16"/>
      <c r="BC44" s="16"/>
      <c r="BD44" s="16"/>
      <c r="BE44" s="16"/>
      <c r="BF44" s="109"/>
      <c r="BG44" s="16"/>
      <c r="BH44" s="16"/>
      <c r="BI44" s="16"/>
      <c r="BJ44" s="16"/>
      <c r="BK44" s="16"/>
      <c r="BL44" s="16"/>
      <c r="BM44" s="109"/>
      <c r="BN44" s="16"/>
      <c r="BO44" s="16"/>
      <c r="BP44" s="16"/>
      <c r="BQ44" s="16"/>
      <c r="BR44" s="16"/>
      <c r="BS44" s="16"/>
      <c r="BT44" s="109"/>
      <c r="BU44" s="16"/>
      <c r="BV44" s="16"/>
      <c r="BW44" s="16"/>
      <c r="BX44" s="16"/>
      <c r="BY44" s="16"/>
      <c r="BZ44" s="16"/>
      <c r="CA44" s="109"/>
      <c r="CB44" s="16"/>
      <c r="CC44" s="16"/>
      <c r="CD44" s="16"/>
      <c r="CE44" s="16"/>
      <c r="CF44" s="16"/>
      <c r="CG44" s="16"/>
      <c r="CH44" s="109"/>
      <c r="CI44" s="16"/>
      <c r="CJ44" s="16"/>
      <c r="CK44" s="16"/>
      <c r="CL44" s="16"/>
      <c r="CM44" s="16"/>
      <c r="CN44" s="16"/>
      <c r="CO44" s="109"/>
      <c r="CP44" s="16"/>
      <c r="CQ44" s="16"/>
      <c r="CR44" s="16"/>
      <c r="CS44" s="16"/>
      <c r="CT44" s="16"/>
      <c r="CU44" s="16"/>
      <c r="CV44" s="109"/>
      <c r="CW44" s="16"/>
      <c r="CX44" s="16"/>
      <c r="CY44" s="16"/>
      <c r="CZ44" s="16"/>
      <c r="DA44" s="16"/>
      <c r="DB44" s="16"/>
      <c r="DC44" s="109"/>
      <c r="DD44" s="16"/>
      <c r="DE44" s="16"/>
      <c r="DF44" s="16"/>
      <c r="DG44" s="16"/>
      <c r="DH44" s="16"/>
      <c r="DI44" s="16"/>
      <c r="DJ44" s="109"/>
      <c r="DK44" s="16"/>
      <c r="DL44" s="16"/>
      <c r="DM44" s="16"/>
      <c r="DN44" s="16"/>
      <c r="DO44" s="16"/>
      <c r="DP44" s="16"/>
      <c r="DQ44" s="109"/>
      <c r="DR44" s="16"/>
      <c r="DS44" s="16"/>
      <c r="DT44" s="16"/>
      <c r="DU44" s="16"/>
      <c r="DV44" s="16"/>
      <c r="DW44" s="16"/>
      <c r="DX44" s="109"/>
      <c r="DY44" s="16"/>
      <c r="DZ44" s="16"/>
      <c r="EA44" s="16"/>
      <c r="EB44" s="16"/>
      <c r="EC44" s="16"/>
      <c r="ED44" s="16"/>
      <c r="EE44" s="109"/>
      <c r="EF44" s="16"/>
      <c r="EG44" s="16"/>
      <c r="EH44" s="16"/>
      <c r="EI44" s="16"/>
      <c r="EJ44" s="16"/>
      <c r="EK44" s="16"/>
      <c r="EL44" s="109"/>
      <c r="EM44" s="16"/>
      <c r="EN44" s="16"/>
      <c r="EO44" s="5">
        <f t="shared" si="5"/>
        <v>23</v>
      </c>
      <c r="EP44" s="5">
        <f t="shared" si="6"/>
        <v>4</v>
      </c>
    </row>
    <row r="45" spans="1:146" s="85" customFormat="1" x14ac:dyDescent="0.25">
      <c r="A45" s="78">
        <v>40</v>
      </c>
      <c r="B45" s="79">
        <v>175</v>
      </c>
      <c r="C45" s="80" t="s">
        <v>126</v>
      </c>
      <c r="D45" s="81" t="s">
        <v>127</v>
      </c>
      <c r="E45" s="82" t="s">
        <v>8</v>
      </c>
      <c r="F45" s="83"/>
      <c r="G45" s="83"/>
      <c r="H45" s="83"/>
      <c r="I45" s="109"/>
      <c r="J45" s="83"/>
      <c r="K45" s="112"/>
      <c r="L45" s="83"/>
      <c r="M45" s="83"/>
      <c r="N45" s="83"/>
      <c r="O45" s="83"/>
      <c r="P45" s="109"/>
      <c r="Q45" s="112"/>
      <c r="R45" s="83"/>
      <c r="S45" s="83"/>
      <c r="T45" s="83"/>
      <c r="U45" s="112"/>
      <c r="V45" s="83"/>
      <c r="W45" s="109"/>
      <c r="X45" s="83" t="s">
        <v>165</v>
      </c>
      <c r="Y45" s="83" t="s">
        <v>165</v>
      </c>
      <c r="Z45" s="83" t="s">
        <v>165</v>
      </c>
      <c r="AA45" s="83" t="s">
        <v>165</v>
      </c>
      <c r="AB45" s="83" t="s">
        <v>165</v>
      </c>
      <c r="AC45" s="83" t="s">
        <v>165</v>
      </c>
      <c r="AD45" s="109"/>
      <c r="AE45" s="83" t="s">
        <v>165</v>
      </c>
      <c r="AF45" s="83" t="s">
        <v>165</v>
      </c>
      <c r="AG45" s="83" t="s">
        <v>165</v>
      </c>
      <c r="AH45" s="83" t="s">
        <v>165</v>
      </c>
      <c r="AI45" s="83" t="s">
        <v>165</v>
      </c>
      <c r="AJ45" s="83" t="s">
        <v>165</v>
      </c>
      <c r="AK45" s="109"/>
      <c r="AL45" s="83"/>
      <c r="AM45" s="83"/>
      <c r="AN45" s="83"/>
      <c r="AO45" s="83"/>
      <c r="AP45" s="83"/>
      <c r="AQ45" s="83"/>
      <c r="AR45" s="109"/>
      <c r="AS45" s="83"/>
      <c r="AT45" s="83"/>
      <c r="AU45" s="83"/>
      <c r="AV45" s="83"/>
      <c r="AW45" s="83"/>
      <c r="AX45" s="83"/>
      <c r="AY45" s="109"/>
      <c r="AZ45" s="83"/>
      <c r="BA45" s="83"/>
      <c r="BB45" s="83"/>
      <c r="BC45" s="83"/>
      <c r="BD45" s="83"/>
      <c r="BE45" s="83"/>
      <c r="BF45" s="109"/>
      <c r="BG45" s="83"/>
      <c r="BH45" s="83"/>
      <c r="BI45" s="83"/>
      <c r="BJ45" s="83"/>
      <c r="BK45" s="83"/>
      <c r="BL45" s="83"/>
      <c r="BM45" s="109"/>
      <c r="BN45" s="83"/>
      <c r="BO45" s="83"/>
      <c r="BP45" s="83"/>
      <c r="BQ45" s="83"/>
      <c r="BR45" s="83"/>
      <c r="BS45" s="83"/>
      <c r="BT45" s="109"/>
      <c r="BU45" s="83"/>
      <c r="BV45" s="83"/>
      <c r="BW45" s="83"/>
      <c r="BX45" s="83"/>
      <c r="BY45" s="83"/>
      <c r="BZ45" s="83"/>
      <c r="CA45" s="109"/>
      <c r="CB45" s="83"/>
      <c r="CC45" s="83"/>
      <c r="CD45" s="83"/>
      <c r="CE45" s="83"/>
      <c r="CF45" s="83"/>
      <c r="CG45" s="83"/>
      <c r="CH45" s="109"/>
      <c r="CI45" s="83"/>
      <c r="CJ45" s="83"/>
      <c r="CK45" s="83"/>
      <c r="CL45" s="83"/>
      <c r="CM45" s="83"/>
      <c r="CN45" s="83"/>
      <c r="CO45" s="109"/>
      <c r="CP45" s="83"/>
      <c r="CQ45" s="83"/>
      <c r="CR45" s="83"/>
      <c r="CS45" s="83"/>
      <c r="CT45" s="83"/>
      <c r="CU45" s="83"/>
      <c r="CV45" s="109"/>
      <c r="CW45" s="83"/>
      <c r="CX45" s="83"/>
      <c r="CY45" s="83"/>
      <c r="CZ45" s="83"/>
      <c r="DA45" s="83"/>
      <c r="DB45" s="83"/>
      <c r="DC45" s="109"/>
      <c r="DD45" s="83"/>
      <c r="DE45" s="83"/>
      <c r="DF45" s="83"/>
      <c r="DG45" s="83"/>
      <c r="DH45" s="83"/>
      <c r="DI45" s="83"/>
      <c r="DJ45" s="109"/>
      <c r="DK45" s="83"/>
      <c r="DL45" s="83"/>
      <c r="DM45" s="83"/>
      <c r="DN45" s="83"/>
      <c r="DO45" s="83"/>
      <c r="DP45" s="83"/>
      <c r="DQ45" s="109"/>
      <c r="DR45" s="83"/>
      <c r="DS45" s="83"/>
      <c r="DT45" s="83"/>
      <c r="DU45" s="83"/>
      <c r="DV45" s="83"/>
      <c r="DW45" s="83"/>
      <c r="DX45" s="109"/>
      <c r="DY45" s="83"/>
      <c r="DZ45" s="83"/>
      <c r="EA45" s="83"/>
      <c r="EB45" s="83"/>
      <c r="EC45" s="83"/>
      <c r="ED45" s="83"/>
      <c r="EE45" s="109"/>
      <c r="EF45" s="83"/>
      <c r="EG45" s="83"/>
      <c r="EH45" s="83"/>
      <c r="EI45" s="83"/>
      <c r="EJ45" s="83"/>
      <c r="EK45" s="83"/>
      <c r="EL45" s="109"/>
      <c r="EM45" s="83"/>
      <c r="EN45" s="83"/>
      <c r="EO45" s="84">
        <f t="shared" si="5"/>
        <v>0</v>
      </c>
      <c r="EP45" s="84">
        <f t="shared" si="6"/>
        <v>12</v>
      </c>
    </row>
    <row r="46" spans="1:146" s="85" customFormat="1" x14ac:dyDescent="0.25">
      <c r="A46" s="87">
        <v>41</v>
      </c>
      <c r="B46" s="79">
        <v>176</v>
      </c>
      <c r="C46" s="80" t="s">
        <v>128</v>
      </c>
      <c r="D46" s="81" t="s">
        <v>127</v>
      </c>
      <c r="E46" s="82" t="s">
        <v>8</v>
      </c>
      <c r="F46" s="83"/>
      <c r="G46" s="83"/>
      <c r="H46" s="83"/>
      <c r="I46" s="109"/>
      <c r="J46" s="83"/>
      <c r="K46" s="112"/>
      <c r="L46" s="83"/>
      <c r="M46" s="83"/>
      <c r="N46" s="83"/>
      <c r="O46" s="83"/>
      <c r="P46" s="109"/>
      <c r="Q46" s="112"/>
      <c r="R46" s="83"/>
      <c r="S46" s="83"/>
      <c r="T46" s="83"/>
      <c r="U46" s="112"/>
      <c r="V46" s="83"/>
      <c r="W46" s="109"/>
      <c r="X46" s="83" t="s">
        <v>165</v>
      </c>
      <c r="Y46" s="83" t="s">
        <v>166</v>
      </c>
      <c r="Z46" s="83" t="s">
        <v>165</v>
      </c>
      <c r="AA46" s="83" t="s">
        <v>165</v>
      </c>
      <c r="AB46" s="83" t="s">
        <v>165</v>
      </c>
      <c r="AC46" s="83" t="s">
        <v>165</v>
      </c>
      <c r="AD46" s="109"/>
      <c r="AE46" s="83" t="s">
        <v>165</v>
      </c>
      <c r="AF46" s="83" t="s">
        <v>165</v>
      </c>
      <c r="AG46" s="83" t="s">
        <v>165</v>
      </c>
      <c r="AH46" s="83" t="s">
        <v>165</v>
      </c>
      <c r="AI46" s="83" t="s">
        <v>165</v>
      </c>
      <c r="AJ46" s="83" t="s">
        <v>165</v>
      </c>
      <c r="AK46" s="109"/>
      <c r="AL46" s="83"/>
      <c r="AM46" s="83"/>
      <c r="AN46" s="83"/>
      <c r="AO46" s="83"/>
      <c r="AP46" s="83"/>
      <c r="AQ46" s="83"/>
      <c r="AR46" s="109"/>
      <c r="AS46" s="83"/>
      <c r="AT46" s="83"/>
      <c r="AU46" s="83"/>
      <c r="AV46" s="83"/>
      <c r="AW46" s="83"/>
      <c r="AX46" s="83"/>
      <c r="AY46" s="109"/>
      <c r="AZ46" s="83"/>
      <c r="BA46" s="83"/>
      <c r="BB46" s="83"/>
      <c r="BC46" s="83"/>
      <c r="BD46" s="83"/>
      <c r="BE46" s="83"/>
      <c r="BF46" s="109"/>
      <c r="BG46" s="83"/>
      <c r="BH46" s="83"/>
      <c r="BI46" s="83"/>
      <c r="BJ46" s="83"/>
      <c r="BK46" s="83"/>
      <c r="BL46" s="83"/>
      <c r="BM46" s="109"/>
      <c r="BN46" s="83"/>
      <c r="BO46" s="83"/>
      <c r="BP46" s="83"/>
      <c r="BQ46" s="83"/>
      <c r="BR46" s="83"/>
      <c r="BS46" s="83"/>
      <c r="BT46" s="109"/>
      <c r="BU46" s="83"/>
      <c r="BV46" s="83"/>
      <c r="BW46" s="83"/>
      <c r="BX46" s="83"/>
      <c r="BY46" s="83"/>
      <c r="BZ46" s="83"/>
      <c r="CA46" s="109"/>
      <c r="CB46" s="83"/>
      <c r="CC46" s="83"/>
      <c r="CD46" s="83"/>
      <c r="CE46" s="83"/>
      <c r="CF46" s="83"/>
      <c r="CG46" s="83"/>
      <c r="CH46" s="109"/>
      <c r="CI46" s="83"/>
      <c r="CJ46" s="83"/>
      <c r="CK46" s="83"/>
      <c r="CL46" s="83"/>
      <c r="CM46" s="83"/>
      <c r="CN46" s="83"/>
      <c r="CO46" s="109"/>
      <c r="CP46" s="83"/>
      <c r="CQ46" s="83"/>
      <c r="CR46" s="83"/>
      <c r="CS46" s="83"/>
      <c r="CT46" s="83"/>
      <c r="CU46" s="83"/>
      <c r="CV46" s="109"/>
      <c r="CW46" s="83"/>
      <c r="CX46" s="83"/>
      <c r="CY46" s="83"/>
      <c r="CZ46" s="83"/>
      <c r="DA46" s="83"/>
      <c r="DB46" s="83"/>
      <c r="DC46" s="109"/>
      <c r="DD46" s="83"/>
      <c r="DE46" s="83"/>
      <c r="DF46" s="83"/>
      <c r="DG46" s="83"/>
      <c r="DH46" s="83"/>
      <c r="DI46" s="83"/>
      <c r="DJ46" s="109"/>
      <c r="DK46" s="83"/>
      <c r="DL46" s="83"/>
      <c r="DM46" s="83"/>
      <c r="DN46" s="83"/>
      <c r="DO46" s="83"/>
      <c r="DP46" s="83"/>
      <c r="DQ46" s="109"/>
      <c r="DR46" s="83"/>
      <c r="DS46" s="83"/>
      <c r="DT46" s="83"/>
      <c r="DU46" s="83"/>
      <c r="DV46" s="83"/>
      <c r="DW46" s="83"/>
      <c r="DX46" s="109"/>
      <c r="DY46" s="83"/>
      <c r="DZ46" s="83"/>
      <c r="EA46" s="83"/>
      <c r="EB46" s="83"/>
      <c r="EC46" s="83"/>
      <c r="ED46" s="83"/>
      <c r="EE46" s="109"/>
      <c r="EF46" s="83"/>
      <c r="EG46" s="83"/>
      <c r="EH46" s="83"/>
      <c r="EI46" s="83"/>
      <c r="EJ46" s="83"/>
      <c r="EK46" s="83"/>
      <c r="EL46" s="109"/>
      <c r="EM46" s="83"/>
      <c r="EN46" s="83"/>
      <c r="EO46" s="84">
        <f t="shared" si="5"/>
        <v>1</v>
      </c>
      <c r="EP46" s="84">
        <f t="shared" si="6"/>
        <v>11</v>
      </c>
    </row>
    <row r="47" spans="1:146" s="85" customFormat="1" x14ac:dyDescent="0.25">
      <c r="A47" s="78">
        <v>42</v>
      </c>
      <c r="B47" s="79">
        <v>177</v>
      </c>
      <c r="C47" s="80" t="s">
        <v>129</v>
      </c>
      <c r="D47" s="81" t="s">
        <v>130</v>
      </c>
      <c r="E47" s="82" t="s">
        <v>8</v>
      </c>
      <c r="F47" s="83"/>
      <c r="G47" s="83"/>
      <c r="H47" s="83"/>
      <c r="I47" s="109"/>
      <c r="J47" s="83"/>
      <c r="K47" s="112"/>
      <c r="L47" s="83"/>
      <c r="M47" s="83"/>
      <c r="N47" s="83"/>
      <c r="O47" s="83"/>
      <c r="P47" s="109"/>
      <c r="Q47" s="112"/>
      <c r="R47" s="83"/>
      <c r="S47" s="83"/>
      <c r="T47" s="83"/>
      <c r="U47" s="112"/>
      <c r="V47" s="83"/>
      <c r="W47" s="109"/>
      <c r="X47" s="83" t="s">
        <v>165</v>
      </c>
      <c r="Y47" s="83" t="s">
        <v>165</v>
      </c>
      <c r="Z47" s="83" t="s">
        <v>165</v>
      </c>
      <c r="AA47" s="83" t="s">
        <v>165</v>
      </c>
      <c r="AB47" s="83" t="s">
        <v>165</v>
      </c>
      <c r="AC47" s="83" t="s">
        <v>165</v>
      </c>
      <c r="AD47" s="109"/>
      <c r="AE47" s="83" t="s">
        <v>165</v>
      </c>
      <c r="AF47" s="83" t="s">
        <v>165</v>
      </c>
      <c r="AG47" s="83" t="s">
        <v>165</v>
      </c>
      <c r="AH47" s="83" t="s">
        <v>165</v>
      </c>
      <c r="AI47" s="83" t="s">
        <v>165</v>
      </c>
      <c r="AJ47" s="83" t="s">
        <v>165</v>
      </c>
      <c r="AK47" s="109"/>
      <c r="AL47" s="83"/>
      <c r="AM47" s="83"/>
      <c r="AN47" s="83"/>
      <c r="AO47" s="83"/>
      <c r="AP47" s="83"/>
      <c r="AQ47" s="83"/>
      <c r="AR47" s="109"/>
      <c r="AS47" s="83"/>
      <c r="AT47" s="83"/>
      <c r="AU47" s="83"/>
      <c r="AV47" s="83"/>
      <c r="AW47" s="83"/>
      <c r="AX47" s="83"/>
      <c r="AY47" s="109"/>
      <c r="AZ47" s="83"/>
      <c r="BA47" s="83"/>
      <c r="BB47" s="83"/>
      <c r="BC47" s="83"/>
      <c r="BD47" s="83"/>
      <c r="BE47" s="83"/>
      <c r="BF47" s="109"/>
      <c r="BG47" s="83"/>
      <c r="BH47" s="83"/>
      <c r="BI47" s="83"/>
      <c r="BJ47" s="83"/>
      <c r="BK47" s="83"/>
      <c r="BL47" s="83"/>
      <c r="BM47" s="109"/>
      <c r="BN47" s="83"/>
      <c r="BO47" s="83"/>
      <c r="BP47" s="83"/>
      <c r="BQ47" s="83"/>
      <c r="BR47" s="83"/>
      <c r="BS47" s="83"/>
      <c r="BT47" s="109"/>
      <c r="BU47" s="83"/>
      <c r="BV47" s="83"/>
      <c r="BW47" s="83"/>
      <c r="BX47" s="83"/>
      <c r="BY47" s="83"/>
      <c r="BZ47" s="83"/>
      <c r="CA47" s="109"/>
      <c r="CB47" s="83"/>
      <c r="CC47" s="83"/>
      <c r="CD47" s="83"/>
      <c r="CE47" s="83"/>
      <c r="CF47" s="83"/>
      <c r="CG47" s="83"/>
      <c r="CH47" s="109"/>
      <c r="CI47" s="83"/>
      <c r="CJ47" s="83"/>
      <c r="CK47" s="83"/>
      <c r="CL47" s="83"/>
      <c r="CM47" s="83"/>
      <c r="CN47" s="83"/>
      <c r="CO47" s="109"/>
      <c r="CP47" s="83"/>
      <c r="CQ47" s="83"/>
      <c r="CR47" s="83"/>
      <c r="CS47" s="83"/>
      <c r="CT47" s="83"/>
      <c r="CU47" s="83"/>
      <c r="CV47" s="109"/>
      <c r="CW47" s="83"/>
      <c r="CX47" s="83"/>
      <c r="CY47" s="83"/>
      <c r="CZ47" s="83"/>
      <c r="DA47" s="83"/>
      <c r="DB47" s="83"/>
      <c r="DC47" s="109"/>
      <c r="DD47" s="83"/>
      <c r="DE47" s="83"/>
      <c r="DF47" s="83"/>
      <c r="DG47" s="83"/>
      <c r="DH47" s="83"/>
      <c r="DI47" s="83"/>
      <c r="DJ47" s="109"/>
      <c r="DK47" s="83"/>
      <c r="DL47" s="83"/>
      <c r="DM47" s="83"/>
      <c r="DN47" s="83"/>
      <c r="DO47" s="83"/>
      <c r="DP47" s="83"/>
      <c r="DQ47" s="109"/>
      <c r="DR47" s="83"/>
      <c r="DS47" s="83"/>
      <c r="DT47" s="83"/>
      <c r="DU47" s="83"/>
      <c r="DV47" s="83"/>
      <c r="DW47" s="83"/>
      <c r="DX47" s="109"/>
      <c r="DY47" s="83"/>
      <c r="DZ47" s="83"/>
      <c r="EA47" s="83"/>
      <c r="EB47" s="83"/>
      <c r="EC47" s="83"/>
      <c r="ED47" s="83"/>
      <c r="EE47" s="109"/>
      <c r="EF47" s="83"/>
      <c r="EG47" s="83"/>
      <c r="EH47" s="83"/>
      <c r="EI47" s="83"/>
      <c r="EJ47" s="83"/>
      <c r="EK47" s="83"/>
      <c r="EL47" s="109"/>
      <c r="EM47" s="83"/>
      <c r="EN47" s="83"/>
      <c r="EO47" s="84">
        <f t="shared" si="5"/>
        <v>0</v>
      </c>
      <c r="EP47" s="84">
        <f t="shared" si="6"/>
        <v>12</v>
      </c>
    </row>
    <row r="48" spans="1:146" s="85" customFormat="1" x14ac:dyDescent="0.25">
      <c r="A48" s="87">
        <v>43</v>
      </c>
      <c r="B48" s="79">
        <v>178</v>
      </c>
      <c r="C48" s="80" t="s">
        <v>131</v>
      </c>
      <c r="D48" s="81" t="s">
        <v>132</v>
      </c>
      <c r="E48" s="82" t="s">
        <v>8</v>
      </c>
      <c r="F48" s="83" t="s">
        <v>166</v>
      </c>
      <c r="G48" s="83" t="s">
        <v>166</v>
      </c>
      <c r="H48" s="83" t="s">
        <v>166</v>
      </c>
      <c r="I48" s="109"/>
      <c r="J48" s="83" t="s">
        <v>166</v>
      </c>
      <c r="K48" s="112"/>
      <c r="L48" s="83" t="s">
        <v>166</v>
      </c>
      <c r="M48" s="83" t="s">
        <v>166</v>
      </c>
      <c r="N48" s="83" t="s">
        <v>166</v>
      </c>
      <c r="O48" s="83" t="s">
        <v>166</v>
      </c>
      <c r="P48" s="109"/>
      <c r="Q48" s="112"/>
      <c r="R48" s="83" t="s">
        <v>166</v>
      </c>
      <c r="S48" s="83" t="s">
        <v>166</v>
      </c>
      <c r="T48" s="83" t="s">
        <v>166</v>
      </c>
      <c r="U48" s="112"/>
      <c r="V48" s="83" t="s">
        <v>165</v>
      </c>
      <c r="W48" s="109"/>
      <c r="X48" s="83" t="s">
        <v>166</v>
      </c>
      <c r="Y48" s="83" t="s">
        <v>166</v>
      </c>
      <c r="Z48" s="83" t="s">
        <v>166</v>
      </c>
      <c r="AA48" s="83" t="s">
        <v>166</v>
      </c>
      <c r="AB48" s="83" t="s">
        <v>165</v>
      </c>
      <c r="AC48" s="83" t="s">
        <v>165</v>
      </c>
      <c r="AD48" s="109"/>
      <c r="AE48" s="83" t="s">
        <v>165</v>
      </c>
      <c r="AF48" s="83" t="s">
        <v>165</v>
      </c>
      <c r="AG48" s="83" t="s">
        <v>165</v>
      </c>
      <c r="AH48" s="83" t="s">
        <v>165</v>
      </c>
      <c r="AI48" s="83" t="s">
        <v>165</v>
      </c>
      <c r="AJ48" s="83" t="s">
        <v>165</v>
      </c>
      <c r="AK48" s="109"/>
      <c r="AL48" s="83"/>
      <c r="AM48" s="83"/>
      <c r="AN48" s="83"/>
      <c r="AO48" s="83"/>
      <c r="AP48" s="83"/>
      <c r="AQ48" s="83"/>
      <c r="AR48" s="109"/>
      <c r="AS48" s="83"/>
      <c r="AT48" s="83"/>
      <c r="AU48" s="83"/>
      <c r="AV48" s="83"/>
      <c r="AW48" s="83"/>
      <c r="AX48" s="83"/>
      <c r="AY48" s="109"/>
      <c r="AZ48" s="83"/>
      <c r="BA48" s="83"/>
      <c r="BB48" s="83"/>
      <c r="BC48" s="83"/>
      <c r="BD48" s="83"/>
      <c r="BE48" s="83"/>
      <c r="BF48" s="109"/>
      <c r="BG48" s="83"/>
      <c r="BH48" s="83"/>
      <c r="BI48" s="83"/>
      <c r="BJ48" s="83"/>
      <c r="BK48" s="83"/>
      <c r="BL48" s="83"/>
      <c r="BM48" s="109"/>
      <c r="BN48" s="83"/>
      <c r="BO48" s="83"/>
      <c r="BP48" s="83"/>
      <c r="BQ48" s="83"/>
      <c r="BR48" s="83"/>
      <c r="BS48" s="83"/>
      <c r="BT48" s="109"/>
      <c r="BU48" s="83"/>
      <c r="BV48" s="83"/>
      <c r="BW48" s="83"/>
      <c r="BX48" s="83"/>
      <c r="BY48" s="83"/>
      <c r="BZ48" s="83"/>
      <c r="CA48" s="109"/>
      <c r="CB48" s="83"/>
      <c r="CC48" s="83"/>
      <c r="CD48" s="83"/>
      <c r="CE48" s="83"/>
      <c r="CF48" s="83"/>
      <c r="CG48" s="83"/>
      <c r="CH48" s="109"/>
      <c r="CI48" s="83"/>
      <c r="CJ48" s="83"/>
      <c r="CK48" s="83"/>
      <c r="CL48" s="83"/>
      <c r="CM48" s="83"/>
      <c r="CN48" s="83"/>
      <c r="CO48" s="109"/>
      <c r="CP48" s="83"/>
      <c r="CQ48" s="83"/>
      <c r="CR48" s="83"/>
      <c r="CS48" s="83"/>
      <c r="CT48" s="83"/>
      <c r="CU48" s="83"/>
      <c r="CV48" s="109"/>
      <c r="CW48" s="83"/>
      <c r="CX48" s="83"/>
      <c r="CY48" s="83"/>
      <c r="CZ48" s="83"/>
      <c r="DA48" s="83"/>
      <c r="DB48" s="83"/>
      <c r="DC48" s="109"/>
      <c r="DD48" s="83"/>
      <c r="DE48" s="83"/>
      <c r="DF48" s="83"/>
      <c r="DG48" s="83"/>
      <c r="DH48" s="83"/>
      <c r="DI48" s="83"/>
      <c r="DJ48" s="109"/>
      <c r="DK48" s="83"/>
      <c r="DL48" s="83"/>
      <c r="DM48" s="83"/>
      <c r="DN48" s="83"/>
      <c r="DO48" s="83"/>
      <c r="DP48" s="83"/>
      <c r="DQ48" s="109"/>
      <c r="DR48" s="83"/>
      <c r="DS48" s="83"/>
      <c r="DT48" s="83"/>
      <c r="DU48" s="83"/>
      <c r="DV48" s="83"/>
      <c r="DW48" s="83"/>
      <c r="DX48" s="109"/>
      <c r="DY48" s="83"/>
      <c r="DZ48" s="83"/>
      <c r="EA48" s="83"/>
      <c r="EB48" s="83"/>
      <c r="EC48" s="83"/>
      <c r="ED48" s="83"/>
      <c r="EE48" s="109"/>
      <c r="EF48" s="83"/>
      <c r="EG48" s="83"/>
      <c r="EH48" s="83"/>
      <c r="EI48" s="83"/>
      <c r="EJ48" s="83"/>
      <c r="EK48" s="83"/>
      <c r="EL48" s="109"/>
      <c r="EM48" s="83"/>
      <c r="EN48" s="83"/>
      <c r="EO48" s="84">
        <f t="shared" si="5"/>
        <v>15</v>
      </c>
      <c r="EP48" s="84">
        <f t="shared" si="6"/>
        <v>9</v>
      </c>
    </row>
    <row r="49" spans="1:146" s="85" customFormat="1" x14ac:dyDescent="0.25">
      <c r="A49" s="78">
        <v>44</v>
      </c>
      <c r="B49" s="79">
        <v>179</v>
      </c>
      <c r="C49" s="80" t="s">
        <v>106</v>
      </c>
      <c r="D49" s="81" t="s">
        <v>132</v>
      </c>
      <c r="E49" s="82" t="s">
        <v>8</v>
      </c>
      <c r="F49" s="83" t="s">
        <v>166</v>
      </c>
      <c r="G49" s="83" t="s">
        <v>166</v>
      </c>
      <c r="H49" s="83" t="s">
        <v>166</v>
      </c>
      <c r="I49" s="109"/>
      <c r="J49" s="83" t="s">
        <v>166</v>
      </c>
      <c r="K49" s="112"/>
      <c r="L49" s="83" t="s">
        <v>166</v>
      </c>
      <c r="M49" s="83" t="s">
        <v>166</v>
      </c>
      <c r="N49" s="83" t="s">
        <v>166</v>
      </c>
      <c r="O49" s="83" t="s">
        <v>166</v>
      </c>
      <c r="P49" s="109"/>
      <c r="Q49" s="112"/>
      <c r="R49" s="83" t="s">
        <v>166</v>
      </c>
      <c r="S49" s="83" t="s">
        <v>166</v>
      </c>
      <c r="T49" s="83" t="s">
        <v>166</v>
      </c>
      <c r="U49" s="112"/>
      <c r="V49" s="83" t="s">
        <v>165</v>
      </c>
      <c r="W49" s="109"/>
      <c r="X49" s="83" t="s">
        <v>166</v>
      </c>
      <c r="Y49" s="83" t="s">
        <v>166</v>
      </c>
      <c r="Z49" s="83" t="s">
        <v>166</v>
      </c>
      <c r="AA49" s="83" t="s">
        <v>166</v>
      </c>
      <c r="AB49" s="83" t="s">
        <v>165</v>
      </c>
      <c r="AC49" s="83" t="s">
        <v>165</v>
      </c>
      <c r="AD49" s="109"/>
      <c r="AE49" s="83" t="s">
        <v>165</v>
      </c>
      <c r="AF49" s="83" t="s">
        <v>165</v>
      </c>
      <c r="AG49" s="83" t="s">
        <v>165</v>
      </c>
      <c r="AH49" s="83" t="s">
        <v>165</v>
      </c>
      <c r="AI49" s="83" t="s">
        <v>165</v>
      </c>
      <c r="AJ49" s="83" t="s">
        <v>165</v>
      </c>
      <c r="AK49" s="109"/>
      <c r="AL49" s="83"/>
      <c r="AM49" s="83"/>
      <c r="AN49" s="83"/>
      <c r="AO49" s="83"/>
      <c r="AP49" s="83"/>
      <c r="AQ49" s="83"/>
      <c r="AR49" s="109"/>
      <c r="AS49" s="83"/>
      <c r="AT49" s="83"/>
      <c r="AU49" s="83"/>
      <c r="AV49" s="83"/>
      <c r="AW49" s="83"/>
      <c r="AX49" s="83"/>
      <c r="AY49" s="109"/>
      <c r="AZ49" s="83"/>
      <c r="BA49" s="83"/>
      <c r="BB49" s="83"/>
      <c r="BC49" s="83"/>
      <c r="BD49" s="83"/>
      <c r="BE49" s="83"/>
      <c r="BF49" s="109"/>
      <c r="BG49" s="83"/>
      <c r="BH49" s="83"/>
      <c r="BI49" s="83"/>
      <c r="BJ49" s="83"/>
      <c r="BK49" s="83"/>
      <c r="BL49" s="83"/>
      <c r="BM49" s="109"/>
      <c r="BN49" s="83"/>
      <c r="BO49" s="83"/>
      <c r="BP49" s="83"/>
      <c r="BQ49" s="83"/>
      <c r="BR49" s="83"/>
      <c r="BS49" s="83"/>
      <c r="BT49" s="109"/>
      <c r="BU49" s="83"/>
      <c r="BV49" s="83"/>
      <c r="BW49" s="83"/>
      <c r="BX49" s="83"/>
      <c r="BY49" s="83"/>
      <c r="BZ49" s="83"/>
      <c r="CA49" s="109"/>
      <c r="CB49" s="83"/>
      <c r="CC49" s="83"/>
      <c r="CD49" s="83"/>
      <c r="CE49" s="83"/>
      <c r="CF49" s="83"/>
      <c r="CG49" s="83"/>
      <c r="CH49" s="109"/>
      <c r="CI49" s="83"/>
      <c r="CJ49" s="83"/>
      <c r="CK49" s="83"/>
      <c r="CL49" s="83"/>
      <c r="CM49" s="83"/>
      <c r="CN49" s="83"/>
      <c r="CO49" s="109"/>
      <c r="CP49" s="83"/>
      <c r="CQ49" s="83"/>
      <c r="CR49" s="83"/>
      <c r="CS49" s="83"/>
      <c r="CT49" s="83"/>
      <c r="CU49" s="83"/>
      <c r="CV49" s="109"/>
      <c r="CW49" s="83"/>
      <c r="CX49" s="83"/>
      <c r="CY49" s="83"/>
      <c r="CZ49" s="83"/>
      <c r="DA49" s="83"/>
      <c r="DB49" s="83"/>
      <c r="DC49" s="109"/>
      <c r="DD49" s="83"/>
      <c r="DE49" s="83"/>
      <c r="DF49" s="83"/>
      <c r="DG49" s="83"/>
      <c r="DH49" s="83"/>
      <c r="DI49" s="83"/>
      <c r="DJ49" s="109"/>
      <c r="DK49" s="83"/>
      <c r="DL49" s="83"/>
      <c r="DM49" s="83"/>
      <c r="DN49" s="83"/>
      <c r="DO49" s="83"/>
      <c r="DP49" s="83"/>
      <c r="DQ49" s="109"/>
      <c r="DR49" s="83"/>
      <c r="DS49" s="83"/>
      <c r="DT49" s="83"/>
      <c r="DU49" s="83"/>
      <c r="DV49" s="83"/>
      <c r="DW49" s="83"/>
      <c r="DX49" s="109"/>
      <c r="DY49" s="83"/>
      <c r="DZ49" s="83"/>
      <c r="EA49" s="83"/>
      <c r="EB49" s="83"/>
      <c r="EC49" s="83"/>
      <c r="ED49" s="83"/>
      <c r="EE49" s="109"/>
      <c r="EF49" s="83"/>
      <c r="EG49" s="83"/>
      <c r="EH49" s="83"/>
      <c r="EI49" s="83"/>
      <c r="EJ49" s="83"/>
      <c r="EK49" s="83"/>
      <c r="EL49" s="109"/>
      <c r="EM49" s="83"/>
      <c r="EN49" s="83"/>
      <c r="EO49" s="84">
        <f t="shared" si="5"/>
        <v>15</v>
      </c>
      <c r="EP49" s="84">
        <f t="shared" si="6"/>
        <v>9</v>
      </c>
    </row>
    <row r="50" spans="1:146" x14ac:dyDescent="0.25">
      <c r="A50" s="28">
        <v>45</v>
      </c>
      <c r="B50" s="19">
        <v>180</v>
      </c>
      <c r="C50" s="20" t="s">
        <v>133</v>
      </c>
      <c r="D50" s="21" t="s">
        <v>134</v>
      </c>
      <c r="E50" s="11" t="s">
        <v>8</v>
      </c>
      <c r="F50" s="16" t="s">
        <v>165</v>
      </c>
      <c r="G50" s="16" t="s">
        <v>165</v>
      </c>
      <c r="H50" s="16" t="s">
        <v>166</v>
      </c>
      <c r="I50" s="109"/>
      <c r="J50" s="16" t="s">
        <v>166</v>
      </c>
      <c r="K50" s="112"/>
      <c r="L50" s="16" t="s">
        <v>166</v>
      </c>
      <c r="M50" s="16" t="s">
        <v>166</v>
      </c>
      <c r="N50" s="16" t="s">
        <v>166</v>
      </c>
      <c r="O50" s="16" t="s">
        <v>166</v>
      </c>
      <c r="P50" s="109"/>
      <c r="Q50" s="112"/>
      <c r="R50" s="16" t="s">
        <v>166</v>
      </c>
      <c r="S50" s="16" t="s">
        <v>165</v>
      </c>
      <c r="T50" s="16" t="s">
        <v>165</v>
      </c>
      <c r="U50" s="112"/>
      <c r="V50" s="16" t="s">
        <v>165</v>
      </c>
      <c r="W50" s="109"/>
      <c r="X50" s="16" t="s">
        <v>166</v>
      </c>
      <c r="Y50" s="16" t="s">
        <v>166</v>
      </c>
      <c r="Z50" s="16" t="s">
        <v>166</v>
      </c>
      <c r="AA50" s="16" t="s">
        <v>166</v>
      </c>
      <c r="AB50" s="16" t="s">
        <v>165</v>
      </c>
      <c r="AC50" s="16" t="s">
        <v>166</v>
      </c>
      <c r="AD50" s="109"/>
      <c r="AE50" s="16" t="s">
        <v>166</v>
      </c>
      <c r="AF50" s="16" t="s">
        <v>166</v>
      </c>
      <c r="AG50" s="16" t="s">
        <v>166</v>
      </c>
      <c r="AH50" s="16" t="s">
        <v>166</v>
      </c>
      <c r="AI50" s="16" t="s">
        <v>166</v>
      </c>
      <c r="AJ50" s="16" t="s">
        <v>166</v>
      </c>
      <c r="AK50" s="109"/>
      <c r="AL50" s="16" t="s">
        <v>166</v>
      </c>
      <c r="AM50" s="16"/>
      <c r="AN50" s="16" t="s">
        <v>166</v>
      </c>
      <c r="AO50" s="16" t="s">
        <v>166</v>
      </c>
      <c r="AP50" s="16" t="s">
        <v>166</v>
      </c>
      <c r="AQ50" s="16" t="s">
        <v>166</v>
      </c>
      <c r="AR50" s="109"/>
      <c r="AS50" s="16" t="s">
        <v>166</v>
      </c>
      <c r="AT50" s="16" t="s">
        <v>166</v>
      </c>
      <c r="AU50" s="16" t="s">
        <v>166</v>
      </c>
      <c r="AV50" s="16" t="s">
        <v>166</v>
      </c>
      <c r="AW50" s="16"/>
      <c r="AX50" s="16"/>
      <c r="AY50" s="109"/>
      <c r="AZ50" s="16"/>
      <c r="BA50" s="16"/>
      <c r="BB50" s="16"/>
      <c r="BC50" s="16"/>
      <c r="BD50" s="16"/>
      <c r="BE50" s="16"/>
      <c r="BF50" s="109"/>
      <c r="BG50" s="16"/>
      <c r="BH50" s="16"/>
      <c r="BI50" s="16"/>
      <c r="BJ50" s="16"/>
      <c r="BK50" s="16"/>
      <c r="BL50" s="16"/>
      <c r="BM50" s="109"/>
      <c r="BN50" s="16"/>
      <c r="BO50" s="16"/>
      <c r="BP50" s="16"/>
      <c r="BQ50" s="16"/>
      <c r="BR50" s="16"/>
      <c r="BS50" s="16"/>
      <c r="BT50" s="109"/>
      <c r="BU50" s="16"/>
      <c r="BV50" s="16"/>
      <c r="BW50" s="16"/>
      <c r="BX50" s="16"/>
      <c r="BY50" s="16"/>
      <c r="BZ50" s="16"/>
      <c r="CA50" s="109"/>
      <c r="CB50" s="16"/>
      <c r="CC50" s="16"/>
      <c r="CD50" s="16"/>
      <c r="CE50" s="16"/>
      <c r="CF50" s="16"/>
      <c r="CG50" s="16"/>
      <c r="CH50" s="109"/>
      <c r="CI50" s="16"/>
      <c r="CJ50" s="16"/>
      <c r="CK50" s="16"/>
      <c r="CL50" s="16"/>
      <c r="CM50" s="16"/>
      <c r="CN50" s="16"/>
      <c r="CO50" s="109"/>
      <c r="CP50" s="16"/>
      <c r="CQ50" s="16"/>
      <c r="CR50" s="16"/>
      <c r="CS50" s="16"/>
      <c r="CT50" s="16"/>
      <c r="CU50" s="16"/>
      <c r="CV50" s="109"/>
      <c r="CW50" s="16"/>
      <c r="CX50" s="16"/>
      <c r="CY50" s="16"/>
      <c r="CZ50" s="16"/>
      <c r="DA50" s="16"/>
      <c r="DB50" s="16"/>
      <c r="DC50" s="109"/>
      <c r="DD50" s="16"/>
      <c r="DE50" s="16"/>
      <c r="DF50" s="16"/>
      <c r="DG50" s="16"/>
      <c r="DH50" s="16"/>
      <c r="DI50" s="16"/>
      <c r="DJ50" s="109"/>
      <c r="DK50" s="16"/>
      <c r="DL50" s="16"/>
      <c r="DM50" s="16"/>
      <c r="DN50" s="16"/>
      <c r="DO50" s="16"/>
      <c r="DP50" s="16"/>
      <c r="DQ50" s="109"/>
      <c r="DR50" s="16"/>
      <c r="DS50" s="16"/>
      <c r="DT50" s="16"/>
      <c r="DU50" s="16"/>
      <c r="DV50" s="16"/>
      <c r="DW50" s="16"/>
      <c r="DX50" s="109"/>
      <c r="DY50" s="16"/>
      <c r="DZ50" s="16"/>
      <c r="EA50" s="16"/>
      <c r="EB50" s="16"/>
      <c r="EC50" s="16"/>
      <c r="ED50" s="16"/>
      <c r="EE50" s="109"/>
      <c r="EF50" s="16"/>
      <c r="EG50" s="16"/>
      <c r="EH50" s="16"/>
      <c r="EI50" s="16"/>
      <c r="EJ50" s="16"/>
      <c r="EK50" s="16"/>
      <c r="EL50" s="109"/>
      <c r="EM50" s="16"/>
      <c r="EN50" s="16"/>
      <c r="EO50" s="5">
        <f t="shared" si="5"/>
        <v>27</v>
      </c>
      <c r="EP50" s="5">
        <f t="shared" si="6"/>
        <v>6</v>
      </c>
    </row>
    <row r="51" spans="1:146" s="85" customFormat="1" x14ac:dyDescent="0.25">
      <c r="A51" s="78">
        <v>46</v>
      </c>
      <c r="B51" s="79">
        <v>181</v>
      </c>
      <c r="C51" s="80" t="s">
        <v>135</v>
      </c>
      <c r="D51" s="81" t="s">
        <v>136</v>
      </c>
      <c r="E51" s="82" t="s">
        <v>8</v>
      </c>
      <c r="F51" s="83"/>
      <c r="G51" s="83"/>
      <c r="H51" s="83"/>
      <c r="I51" s="109"/>
      <c r="J51" s="83"/>
      <c r="K51" s="112"/>
      <c r="L51" s="83"/>
      <c r="M51" s="83"/>
      <c r="N51" s="83"/>
      <c r="O51" s="83"/>
      <c r="P51" s="109"/>
      <c r="Q51" s="112"/>
      <c r="R51" s="83"/>
      <c r="S51" s="83"/>
      <c r="T51" s="83"/>
      <c r="U51" s="112"/>
      <c r="V51" s="83"/>
      <c r="W51" s="109"/>
      <c r="X51" s="83" t="s">
        <v>165</v>
      </c>
      <c r="Y51" s="83" t="s">
        <v>165</v>
      </c>
      <c r="Z51" s="83" t="s">
        <v>165</v>
      </c>
      <c r="AA51" s="83" t="s">
        <v>165</v>
      </c>
      <c r="AB51" s="83" t="s">
        <v>165</v>
      </c>
      <c r="AC51" s="83" t="s">
        <v>165</v>
      </c>
      <c r="AD51" s="109"/>
      <c r="AE51" s="83" t="s">
        <v>165</v>
      </c>
      <c r="AF51" s="83" t="s">
        <v>165</v>
      </c>
      <c r="AG51" s="83" t="s">
        <v>165</v>
      </c>
      <c r="AH51" s="83" t="s">
        <v>165</v>
      </c>
      <c r="AI51" s="83" t="s">
        <v>165</v>
      </c>
      <c r="AJ51" s="83" t="s">
        <v>165</v>
      </c>
      <c r="AK51" s="109"/>
      <c r="AL51" s="83"/>
      <c r="AM51" s="83"/>
      <c r="AN51" s="83"/>
      <c r="AO51" s="83"/>
      <c r="AP51" s="83"/>
      <c r="AQ51" s="83"/>
      <c r="AR51" s="109"/>
      <c r="AS51" s="83"/>
      <c r="AT51" s="83"/>
      <c r="AU51" s="83"/>
      <c r="AV51" s="83"/>
      <c r="AW51" s="83"/>
      <c r="AX51" s="83"/>
      <c r="AY51" s="109"/>
      <c r="AZ51" s="83"/>
      <c r="BA51" s="83"/>
      <c r="BB51" s="83"/>
      <c r="BC51" s="83"/>
      <c r="BD51" s="83"/>
      <c r="BE51" s="83"/>
      <c r="BF51" s="109"/>
      <c r="BG51" s="83"/>
      <c r="BH51" s="83"/>
      <c r="BI51" s="83"/>
      <c r="BJ51" s="83"/>
      <c r="BK51" s="83"/>
      <c r="BL51" s="83"/>
      <c r="BM51" s="109"/>
      <c r="BN51" s="83"/>
      <c r="BO51" s="83"/>
      <c r="BP51" s="83"/>
      <c r="BQ51" s="83"/>
      <c r="BR51" s="83"/>
      <c r="BS51" s="83"/>
      <c r="BT51" s="109"/>
      <c r="BU51" s="83"/>
      <c r="BV51" s="83"/>
      <c r="BW51" s="83"/>
      <c r="BX51" s="83"/>
      <c r="BY51" s="83"/>
      <c r="BZ51" s="83"/>
      <c r="CA51" s="109"/>
      <c r="CB51" s="83"/>
      <c r="CC51" s="83"/>
      <c r="CD51" s="83"/>
      <c r="CE51" s="83"/>
      <c r="CF51" s="83"/>
      <c r="CG51" s="83"/>
      <c r="CH51" s="109"/>
      <c r="CI51" s="83"/>
      <c r="CJ51" s="83"/>
      <c r="CK51" s="83"/>
      <c r="CL51" s="83"/>
      <c r="CM51" s="83"/>
      <c r="CN51" s="83"/>
      <c r="CO51" s="109"/>
      <c r="CP51" s="83"/>
      <c r="CQ51" s="83"/>
      <c r="CR51" s="83"/>
      <c r="CS51" s="83"/>
      <c r="CT51" s="83"/>
      <c r="CU51" s="83"/>
      <c r="CV51" s="109"/>
      <c r="CW51" s="83"/>
      <c r="CX51" s="83"/>
      <c r="CY51" s="83"/>
      <c r="CZ51" s="83"/>
      <c r="DA51" s="83"/>
      <c r="DB51" s="83"/>
      <c r="DC51" s="109"/>
      <c r="DD51" s="83"/>
      <c r="DE51" s="83"/>
      <c r="DF51" s="83"/>
      <c r="DG51" s="83"/>
      <c r="DH51" s="83"/>
      <c r="DI51" s="83"/>
      <c r="DJ51" s="109"/>
      <c r="DK51" s="83"/>
      <c r="DL51" s="83"/>
      <c r="DM51" s="83"/>
      <c r="DN51" s="83"/>
      <c r="DO51" s="83"/>
      <c r="DP51" s="83"/>
      <c r="DQ51" s="109"/>
      <c r="DR51" s="83"/>
      <c r="DS51" s="83"/>
      <c r="DT51" s="83"/>
      <c r="DU51" s="83"/>
      <c r="DV51" s="83"/>
      <c r="DW51" s="83"/>
      <c r="DX51" s="109"/>
      <c r="DY51" s="83"/>
      <c r="DZ51" s="83"/>
      <c r="EA51" s="83"/>
      <c r="EB51" s="83"/>
      <c r="EC51" s="83"/>
      <c r="ED51" s="83"/>
      <c r="EE51" s="109"/>
      <c r="EF51" s="83"/>
      <c r="EG51" s="83"/>
      <c r="EH51" s="83"/>
      <c r="EI51" s="83"/>
      <c r="EJ51" s="83"/>
      <c r="EK51" s="83"/>
      <c r="EL51" s="109"/>
      <c r="EM51" s="83"/>
      <c r="EN51" s="83"/>
      <c r="EO51" s="84">
        <f t="shared" si="5"/>
        <v>0</v>
      </c>
      <c r="EP51" s="84">
        <f t="shared" si="6"/>
        <v>12</v>
      </c>
    </row>
    <row r="52" spans="1:146" x14ac:dyDescent="0.25">
      <c r="A52" s="28">
        <v>47</v>
      </c>
      <c r="B52" s="19">
        <v>182</v>
      </c>
      <c r="C52" s="20" t="s">
        <v>137</v>
      </c>
      <c r="D52" s="21" t="s">
        <v>138</v>
      </c>
      <c r="E52" s="11" t="s">
        <v>8</v>
      </c>
      <c r="F52" s="16" t="s">
        <v>165</v>
      </c>
      <c r="G52" s="16" t="s">
        <v>165</v>
      </c>
      <c r="H52" s="16" t="s">
        <v>166</v>
      </c>
      <c r="I52" s="109"/>
      <c r="J52" s="16" t="s">
        <v>166</v>
      </c>
      <c r="K52" s="112"/>
      <c r="L52" s="16" t="s">
        <v>166</v>
      </c>
      <c r="M52" s="16" t="s">
        <v>166</v>
      </c>
      <c r="N52" s="16" t="s">
        <v>166</v>
      </c>
      <c r="O52" s="16" t="s">
        <v>165</v>
      </c>
      <c r="P52" s="109"/>
      <c r="Q52" s="112"/>
      <c r="R52" s="16" t="s">
        <v>166</v>
      </c>
      <c r="S52" s="16" t="s">
        <v>165</v>
      </c>
      <c r="T52" s="16" t="s">
        <v>165</v>
      </c>
      <c r="U52" s="112"/>
      <c r="V52" s="16" t="s">
        <v>165</v>
      </c>
      <c r="W52" s="109"/>
      <c r="X52" s="16" t="s">
        <v>166</v>
      </c>
      <c r="Y52" s="16" t="s">
        <v>166</v>
      </c>
      <c r="Z52" s="16" t="s">
        <v>166</v>
      </c>
      <c r="AA52" s="16" t="s">
        <v>166</v>
      </c>
      <c r="AB52" s="16" t="s">
        <v>165</v>
      </c>
      <c r="AC52" s="16" t="s">
        <v>166</v>
      </c>
      <c r="AD52" s="109"/>
      <c r="AE52" s="16" t="s">
        <v>166</v>
      </c>
      <c r="AF52" s="16" t="s">
        <v>166</v>
      </c>
      <c r="AG52" s="16" t="s">
        <v>166</v>
      </c>
      <c r="AH52" s="16" t="s">
        <v>166</v>
      </c>
      <c r="AI52" s="16" t="s">
        <v>166</v>
      </c>
      <c r="AJ52" s="16" t="s">
        <v>166</v>
      </c>
      <c r="AK52" s="109"/>
      <c r="AL52" s="16" t="s">
        <v>166</v>
      </c>
      <c r="AM52" s="16"/>
      <c r="AN52" s="16" t="s">
        <v>166</v>
      </c>
      <c r="AO52" s="16" t="s">
        <v>166</v>
      </c>
      <c r="AP52" s="16" t="s">
        <v>166</v>
      </c>
      <c r="AQ52" s="16" t="s">
        <v>166</v>
      </c>
      <c r="AR52" s="109"/>
      <c r="AS52" s="16" t="s">
        <v>166</v>
      </c>
      <c r="AT52" s="16" t="s">
        <v>166</v>
      </c>
      <c r="AU52" s="16" t="s">
        <v>166</v>
      </c>
      <c r="AV52" s="16" t="s">
        <v>165</v>
      </c>
      <c r="AW52" s="16"/>
      <c r="AX52" s="16"/>
      <c r="AY52" s="109"/>
      <c r="AZ52" s="16"/>
      <c r="BA52" s="16"/>
      <c r="BB52" s="16"/>
      <c r="BC52" s="16"/>
      <c r="BD52" s="16"/>
      <c r="BE52" s="16"/>
      <c r="BF52" s="109"/>
      <c r="BG52" s="16"/>
      <c r="BH52" s="16"/>
      <c r="BI52" s="16"/>
      <c r="BJ52" s="16"/>
      <c r="BK52" s="16"/>
      <c r="BL52" s="16"/>
      <c r="BM52" s="109"/>
      <c r="BN52" s="16"/>
      <c r="BO52" s="16"/>
      <c r="BP52" s="16"/>
      <c r="BQ52" s="16"/>
      <c r="BR52" s="16"/>
      <c r="BS52" s="16"/>
      <c r="BT52" s="109"/>
      <c r="BU52" s="16"/>
      <c r="BV52" s="16"/>
      <c r="BW52" s="16"/>
      <c r="BX52" s="16"/>
      <c r="BY52" s="16"/>
      <c r="BZ52" s="16"/>
      <c r="CA52" s="109"/>
      <c r="CB52" s="16"/>
      <c r="CC52" s="16"/>
      <c r="CD52" s="16"/>
      <c r="CE52" s="16"/>
      <c r="CF52" s="16"/>
      <c r="CG52" s="16"/>
      <c r="CH52" s="109"/>
      <c r="CI52" s="16"/>
      <c r="CJ52" s="16"/>
      <c r="CK52" s="16"/>
      <c r="CL52" s="16"/>
      <c r="CM52" s="16"/>
      <c r="CN52" s="16"/>
      <c r="CO52" s="109"/>
      <c r="CP52" s="16"/>
      <c r="CQ52" s="16"/>
      <c r="CR52" s="16"/>
      <c r="CS52" s="16"/>
      <c r="CT52" s="16"/>
      <c r="CU52" s="16"/>
      <c r="CV52" s="109"/>
      <c r="CW52" s="16"/>
      <c r="CX52" s="16"/>
      <c r="CY52" s="16"/>
      <c r="CZ52" s="16"/>
      <c r="DA52" s="16"/>
      <c r="DB52" s="16"/>
      <c r="DC52" s="109"/>
      <c r="DD52" s="16"/>
      <c r="DE52" s="16"/>
      <c r="DF52" s="16"/>
      <c r="DG52" s="16"/>
      <c r="DH52" s="16"/>
      <c r="DI52" s="16"/>
      <c r="DJ52" s="109"/>
      <c r="DK52" s="16"/>
      <c r="DL52" s="16"/>
      <c r="DM52" s="16"/>
      <c r="DN52" s="16"/>
      <c r="DO52" s="16"/>
      <c r="DP52" s="16"/>
      <c r="DQ52" s="109"/>
      <c r="DR52" s="16"/>
      <c r="DS52" s="16"/>
      <c r="DT52" s="16"/>
      <c r="DU52" s="16"/>
      <c r="DV52" s="16"/>
      <c r="DW52" s="16"/>
      <c r="DX52" s="109"/>
      <c r="DY52" s="16"/>
      <c r="DZ52" s="16"/>
      <c r="EA52" s="16"/>
      <c r="EB52" s="16"/>
      <c r="EC52" s="16"/>
      <c r="ED52" s="16"/>
      <c r="EE52" s="109"/>
      <c r="EF52" s="16"/>
      <c r="EG52" s="16"/>
      <c r="EH52" s="16"/>
      <c r="EI52" s="16"/>
      <c r="EJ52" s="16"/>
      <c r="EK52" s="16"/>
      <c r="EL52" s="109"/>
      <c r="EM52" s="16"/>
      <c r="EN52" s="16"/>
      <c r="EO52" s="5">
        <f t="shared" si="5"/>
        <v>25</v>
      </c>
      <c r="EP52" s="5">
        <f t="shared" si="6"/>
        <v>8</v>
      </c>
    </row>
    <row r="53" spans="1:146" s="85" customFormat="1" x14ac:dyDescent="0.25">
      <c r="A53" s="78">
        <v>48</v>
      </c>
      <c r="B53" s="79">
        <v>183</v>
      </c>
      <c r="C53" s="80" t="s">
        <v>53</v>
      </c>
      <c r="D53" s="81" t="s">
        <v>139</v>
      </c>
      <c r="E53" s="82" t="s">
        <v>8</v>
      </c>
      <c r="F53" s="83"/>
      <c r="G53" s="83"/>
      <c r="H53" s="83"/>
      <c r="I53" s="109"/>
      <c r="J53" s="83"/>
      <c r="K53" s="112"/>
      <c r="L53" s="83"/>
      <c r="M53" s="83"/>
      <c r="N53" s="83"/>
      <c r="O53" s="83"/>
      <c r="P53" s="109"/>
      <c r="Q53" s="112"/>
      <c r="R53" s="83"/>
      <c r="S53" s="83"/>
      <c r="T53" s="83"/>
      <c r="U53" s="112"/>
      <c r="V53" s="83"/>
      <c r="W53" s="109"/>
      <c r="X53" s="83" t="s">
        <v>165</v>
      </c>
      <c r="Y53" s="83" t="s">
        <v>165</v>
      </c>
      <c r="Z53" s="83" t="s">
        <v>165</v>
      </c>
      <c r="AA53" s="83" t="s">
        <v>165</v>
      </c>
      <c r="AB53" s="83" t="s">
        <v>165</v>
      </c>
      <c r="AC53" s="83" t="s">
        <v>165</v>
      </c>
      <c r="AD53" s="109"/>
      <c r="AE53" s="83" t="s">
        <v>165</v>
      </c>
      <c r="AF53" s="83" t="s">
        <v>165</v>
      </c>
      <c r="AG53" s="83" t="s">
        <v>165</v>
      </c>
      <c r="AH53" s="83" t="s">
        <v>165</v>
      </c>
      <c r="AI53" s="83" t="s">
        <v>165</v>
      </c>
      <c r="AJ53" s="83" t="s">
        <v>165</v>
      </c>
      <c r="AK53" s="109"/>
      <c r="AL53" s="83"/>
      <c r="AM53" s="83"/>
      <c r="AN53" s="83"/>
      <c r="AO53" s="83"/>
      <c r="AP53" s="83"/>
      <c r="AQ53" s="83"/>
      <c r="AR53" s="109"/>
      <c r="AS53" s="83"/>
      <c r="AT53" s="83"/>
      <c r="AU53" s="83"/>
      <c r="AV53" s="83"/>
      <c r="AW53" s="83"/>
      <c r="AX53" s="83"/>
      <c r="AY53" s="109"/>
      <c r="AZ53" s="83"/>
      <c r="BA53" s="83"/>
      <c r="BB53" s="83"/>
      <c r="BC53" s="83"/>
      <c r="BD53" s="83"/>
      <c r="BE53" s="83"/>
      <c r="BF53" s="109"/>
      <c r="BG53" s="83"/>
      <c r="BH53" s="83"/>
      <c r="BI53" s="83"/>
      <c r="BJ53" s="83"/>
      <c r="BK53" s="83"/>
      <c r="BL53" s="83"/>
      <c r="BM53" s="109"/>
      <c r="BN53" s="83"/>
      <c r="BO53" s="83"/>
      <c r="BP53" s="83"/>
      <c r="BQ53" s="83"/>
      <c r="BR53" s="83"/>
      <c r="BS53" s="83"/>
      <c r="BT53" s="109"/>
      <c r="BU53" s="83"/>
      <c r="BV53" s="83"/>
      <c r="BW53" s="83"/>
      <c r="BX53" s="83"/>
      <c r="BY53" s="83"/>
      <c r="BZ53" s="83"/>
      <c r="CA53" s="109"/>
      <c r="CB53" s="83"/>
      <c r="CC53" s="83"/>
      <c r="CD53" s="83"/>
      <c r="CE53" s="83"/>
      <c r="CF53" s="83"/>
      <c r="CG53" s="83"/>
      <c r="CH53" s="109"/>
      <c r="CI53" s="83"/>
      <c r="CJ53" s="83"/>
      <c r="CK53" s="83"/>
      <c r="CL53" s="83"/>
      <c r="CM53" s="83"/>
      <c r="CN53" s="83"/>
      <c r="CO53" s="109"/>
      <c r="CP53" s="83"/>
      <c r="CQ53" s="83"/>
      <c r="CR53" s="83"/>
      <c r="CS53" s="83"/>
      <c r="CT53" s="83"/>
      <c r="CU53" s="83"/>
      <c r="CV53" s="109"/>
      <c r="CW53" s="83"/>
      <c r="CX53" s="83"/>
      <c r="CY53" s="83"/>
      <c r="CZ53" s="83"/>
      <c r="DA53" s="83"/>
      <c r="DB53" s="83"/>
      <c r="DC53" s="109"/>
      <c r="DD53" s="83"/>
      <c r="DE53" s="83"/>
      <c r="DF53" s="83"/>
      <c r="DG53" s="83"/>
      <c r="DH53" s="83"/>
      <c r="DI53" s="83"/>
      <c r="DJ53" s="109"/>
      <c r="DK53" s="83"/>
      <c r="DL53" s="83"/>
      <c r="DM53" s="83"/>
      <c r="DN53" s="83"/>
      <c r="DO53" s="83"/>
      <c r="DP53" s="83"/>
      <c r="DQ53" s="109"/>
      <c r="DR53" s="83"/>
      <c r="DS53" s="83"/>
      <c r="DT53" s="83"/>
      <c r="DU53" s="83"/>
      <c r="DV53" s="83"/>
      <c r="DW53" s="83"/>
      <c r="DX53" s="109"/>
      <c r="DY53" s="83"/>
      <c r="DZ53" s="83"/>
      <c r="EA53" s="83"/>
      <c r="EB53" s="83"/>
      <c r="EC53" s="83"/>
      <c r="ED53" s="83"/>
      <c r="EE53" s="109"/>
      <c r="EF53" s="83"/>
      <c r="EG53" s="83"/>
      <c r="EH53" s="83"/>
      <c r="EI53" s="83"/>
      <c r="EJ53" s="83"/>
      <c r="EK53" s="83"/>
      <c r="EL53" s="109"/>
      <c r="EM53" s="83"/>
      <c r="EN53" s="83"/>
      <c r="EO53" s="84">
        <f t="shared" si="5"/>
        <v>0</v>
      </c>
      <c r="EP53" s="84">
        <f t="shared" si="6"/>
        <v>12</v>
      </c>
    </row>
    <row r="54" spans="1:146" s="85" customFormat="1" x14ac:dyDescent="0.25">
      <c r="A54" s="87">
        <v>49</v>
      </c>
      <c r="B54" s="79">
        <v>184</v>
      </c>
      <c r="C54" s="80" t="s">
        <v>140</v>
      </c>
      <c r="D54" s="81" t="s">
        <v>141</v>
      </c>
      <c r="E54" s="82" t="s">
        <v>8</v>
      </c>
      <c r="F54" s="83"/>
      <c r="G54" s="83"/>
      <c r="H54" s="83"/>
      <c r="I54" s="109"/>
      <c r="J54" s="83"/>
      <c r="K54" s="112"/>
      <c r="L54" s="83"/>
      <c r="M54" s="83"/>
      <c r="N54" s="83"/>
      <c r="O54" s="83"/>
      <c r="P54" s="109"/>
      <c r="Q54" s="112"/>
      <c r="R54" s="83"/>
      <c r="S54" s="83"/>
      <c r="T54" s="83"/>
      <c r="U54" s="112"/>
      <c r="V54" s="83"/>
      <c r="W54" s="109"/>
      <c r="X54" s="83" t="s">
        <v>165</v>
      </c>
      <c r="Y54" s="83" t="s">
        <v>165</v>
      </c>
      <c r="Z54" s="83" t="s">
        <v>165</v>
      </c>
      <c r="AA54" s="83" t="s">
        <v>165</v>
      </c>
      <c r="AB54" s="83" t="s">
        <v>165</v>
      </c>
      <c r="AC54" s="83" t="s">
        <v>165</v>
      </c>
      <c r="AD54" s="109"/>
      <c r="AE54" s="83" t="s">
        <v>165</v>
      </c>
      <c r="AF54" s="83" t="s">
        <v>165</v>
      </c>
      <c r="AG54" s="83" t="s">
        <v>165</v>
      </c>
      <c r="AH54" s="83" t="s">
        <v>165</v>
      </c>
      <c r="AI54" s="83" t="s">
        <v>165</v>
      </c>
      <c r="AJ54" s="83" t="s">
        <v>165</v>
      </c>
      <c r="AK54" s="109"/>
      <c r="AL54" s="83"/>
      <c r="AM54" s="83"/>
      <c r="AN54" s="83"/>
      <c r="AO54" s="83"/>
      <c r="AP54" s="83"/>
      <c r="AQ54" s="83"/>
      <c r="AR54" s="109"/>
      <c r="AS54" s="83"/>
      <c r="AT54" s="83"/>
      <c r="AU54" s="83"/>
      <c r="AV54" s="83"/>
      <c r="AW54" s="83"/>
      <c r="AX54" s="83"/>
      <c r="AY54" s="109"/>
      <c r="AZ54" s="83"/>
      <c r="BA54" s="83"/>
      <c r="BB54" s="83"/>
      <c r="BC54" s="83"/>
      <c r="BD54" s="83"/>
      <c r="BE54" s="83"/>
      <c r="BF54" s="109"/>
      <c r="BG54" s="83"/>
      <c r="BH54" s="83"/>
      <c r="BI54" s="83"/>
      <c r="BJ54" s="83"/>
      <c r="BK54" s="83"/>
      <c r="BL54" s="83"/>
      <c r="BM54" s="109"/>
      <c r="BN54" s="83"/>
      <c r="BO54" s="83"/>
      <c r="BP54" s="83"/>
      <c r="BQ54" s="83"/>
      <c r="BR54" s="83"/>
      <c r="BS54" s="83"/>
      <c r="BT54" s="109"/>
      <c r="BU54" s="83"/>
      <c r="BV54" s="83"/>
      <c r="BW54" s="83"/>
      <c r="BX54" s="83"/>
      <c r="BY54" s="83"/>
      <c r="BZ54" s="83"/>
      <c r="CA54" s="109"/>
      <c r="CB54" s="83"/>
      <c r="CC54" s="83"/>
      <c r="CD54" s="83"/>
      <c r="CE54" s="83"/>
      <c r="CF54" s="83"/>
      <c r="CG54" s="83"/>
      <c r="CH54" s="109"/>
      <c r="CI54" s="83"/>
      <c r="CJ54" s="83"/>
      <c r="CK54" s="83"/>
      <c r="CL54" s="83"/>
      <c r="CM54" s="83"/>
      <c r="CN54" s="83"/>
      <c r="CO54" s="109"/>
      <c r="CP54" s="83"/>
      <c r="CQ54" s="83"/>
      <c r="CR54" s="83"/>
      <c r="CS54" s="83"/>
      <c r="CT54" s="83"/>
      <c r="CU54" s="83"/>
      <c r="CV54" s="109"/>
      <c r="CW54" s="83"/>
      <c r="CX54" s="83"/>
      <c r="CY54" s="83"/>
      <c r="CZ54" s="83"/>
      <c r="DA54" s="83"/>
      <c r="DB54" s="83"/>
      <c r="DC54" s="109"/>
      <c r="DD54" s="83"/>
      <c r="DE54" s="83"/>
      <c r="DF54" s="83"/>
      <c r="DG54" s="83"/>
      <c r="DH54" s="83"/>
      <c r="DI54" s="83"/>
      <c r="DJ54" s="109"/>
      <c r="DK54" s="83"/>
      <c r="DL54" s="83"/>
      <c r="DM54" s="83"/>
      <c r="DN54" s="83"/>
      <c r="DO54" s="83"/>
      <c r="DP54" s="83"/>
      <c r="DQ54" s="109"/>
      <c r="DR54" s="83"/>
      <c r="DS54" s="83"/>
      <c r="DT54" s="83"/>
      <c r="DU54" s="83"/>
      <c r="DV54" s="83"/>
      <c r="DW54" s="83"/>
      <c r="DX54" s="109"/>
      <c r="DY54" s="83"/>
      <c r="DZ54" s="83"/>
      <c r="EA54" s="83"/>
      <c r="EB54" s="83"/>
      <c r="EC54" s="83"/>
      <c r="ED54" s="83"/>
      <c r="EE54" s="109"/>
      <c r="EF54" s="83"/>
      <c r="EG54" s="83"/>
      <c r="EH54" s="83"/>
      <c r="EI54" s="83"/>
      <c r="EJ54" s="83"/>
      <c r="EK54" s="83"/>
      <c r="EL54" s="109"/>
      <c r="EM54" s="83"/>
      <c r="EN54" s="83"/>
      <c r="EO54" s="84">
        <f t="shared" si="5"/>
        <v>0</v>
      </c>
      <c r="EP54" s="84">
        <f t="shared" si="6"/>
        <v>12</v>
      </c>
    </row>
    <row r="55" spans="1:146" s="85" customFormat="1" x14ac:dyDescent="0.25">
      <c r="A55" s="78">
        <v>50</v>
      </c>
      <c r="B55" s="79">
        <v>185</v>
      </c>
      <c r="C55" s="80" t="s">
        <v>142</v>
      </c>
      <c r="D55" s="81" t="s">
        <v>143</v>
      </c>
      <c r="E55" s="82" t="s">
        <v>8</v>
      </c>
      <c r="F55" s="83"/>
      <c r="G55" s="83"/>
      <c r="H55" s="83"/>
      <c r="I55" s="109"/>
      <c r="J55" s="83"/>
      <c r="K55" s="112"/>
      <c r="L55" s="83"/>
      <c r="M55" s="83"/>
      <c r="N55" s="83"/>
      <c r="O55" s="83"/>
      <c r="P55" s="109"/>
      <c r="Q55" s="112"/>
      <c r="R55" s="83"/>
      <c r="S55" s="83"/>
      <c r="T55" s="83"/>
      <c r="U55" s="112"/>
      <c r="V55" s="83"/>
      <c r="W55" s="109"/>
      <c r="X55" s="83" t="s">
        <v>165</v>
      </c>
      <c r="Y55" s="83" t="s">
        <v>165</v>
      </c>
      <c r="Z55" s="83" t="s">
        <v>165</v>
      </c>
      <c r="AA55" s="83" t="s">
        <v>165</v>
      </c>
      <c r="AB55" s="83" t="s">
        <v>165</v>
      </c>
      <c r="AC55" s="83" t="s">
        <v>165</v>
      </c>
      <c r="AD55" s="109"/>
      <c r="AE55" s="83" t="s">
        <v>165</v>
      </c>
      <c r="AF55" s="83" t="s">
        <v>165</v>
      </c>
      <c r="AG55" s="83" t="s">
        <v>165</v>
      </c>
      <c r="AH55" s="83" t="s">
        <v>165</v>
      </c>
      <c r="AI55" s="83" t="s">
        <v>165</v>
      </c>
      <c r="AJ55" s="83" t="s">
        <v>165</v>
      </c>
      <c r="AK55" s="109"/>
      <c r="AL55" s="83"/>
      <c r="AM55" s="83"/>
      <c r="AN55" s="83"/>
      <c r="AO55" s="83"/>
      <c r="AP55" s="83"/>
      <c r="AQ55" s="83"/>
      <c r="AR55" s="109"/>
      <c r="AS55" s="83"/>
      <c r="AT55" s="83"/>
      <c r="AU55" s="83"/>
      <c r="AV55" s="83"/>
      <c r="AW55" s="83"/>
      <c r="AX55" s="83"/>
      <c r="AY55" s="109"/>
      <c r="AZ55" s="83"/>
      <c r="BA55" s="83"/>
      <c r="BB55" s="83"/>
      <c r="BC55" s="83"/>
      <c r="BD55" s="83"/>
      <c r="BE55" s="83"/>
      <c r="BF55" s="109"/>
      <c r="BG55" s="83"/>
      <c r="BH55" s="83"/>
      <c r="BI55" s="83"/>
      <c r="BJ55" s="83"/>
      <c r="BK55" s="83"/>
      <c r="BL55" s="83"/>
      <c r="BM55" s="109"/>
      <c r="BN55" s="83"/>
      <c r="BO55" s="83"/>
      <c r="BP55" s="83"/>
      <c r="BQ55" s="83"/>
      <c r="BR55" s="83"/>
      <c r="BS55" s="83"/>
      <c r="BT55" s="109"/>
      <c r="BU55" s="83"/>
      <c r="BV55" s="83"/>
      <c r="BW55" s="83"/>
      <c r="BX55" s="83"/>
      <c r="BY55" s="83"/>
      <c r="BZ55" s="83"/>
      <c r="CA55" s="109"/>
      <c r="CB55" s="83"/>
      <c r="CC55" s="83"/>
      <c r="CD55" s="83"/>
      <c r="CE55" s="83"/>
      <c r="CF55" s="83"/>
      <c r="CG55" s="83"/>
      <c r="CH55" s="109"/>
      <c r="CI55" s="83"/>
      <c r="CJ55" s="83"/>
      <c r="CK55" s="83"/>
      <c r="CL55" s="83"/>
      <c r="CM55" s="83"/>
      <c r="CN55" s="83"/>
      <c r="CO55" s="109"/>
      <c r="CP55" s="83"/>
      <c r="CQ55" s="83"/>
      <c r="CR55" s="83"/>
      <c r="CS55" s="83"/>
      <c r="CT55" s="83"/>
      <c r="CU55" s="83"/>
      <c r="CV55" s="109"/>
      <c r="CW55" s="83"/>
      <c r="CX55" s="83"/>
      <c r="CY55" s="83"/>
      <c r="CZ55" s="83"/>
      <c r="DA55" s="83"/>
      <c r="DB55" s="83"/>
      <c r="DC55" s="109"/>
      <c r="DD55" s="83"/>
      <c r="DE55" s="83"/>
      <c r="DF55" s="83"/>
      <c r="DG55" s="83"/>
      <c r="DH55" s="83"/>
      <c r="DI55" s="83"/>
      <c r="DJ55" s="109"/>
      <c r="DK55" s="83"/>
      <c r="DL55" s="83"/>
      <c r="DM55" s="83"/>
      <c r="DN55" s="83"/>
      <c r="DO55" s="83"/>
      <c r="DP55" s="83"/>
      <c r="DQ55" s="109"/>
      <c r="DR55" s="83"/>
      <c r="DS55" s="83"/>
      <c r="DT55" s="83"/>
      <c r="DU55" s="83"/>
      <c r="DV55" s="83"/>
      <c r="DW55" s="83"/>
      <c r="DX55" s="109"/>
      <c r="DY55" s="83"/>
      <c r="DZ55" s="83"/>
      <c r="EA55" s="83"/>
      <c r="EB55" s="83"/>
      <c r="EC55" s="83"/>
      <c r="ED55" s="83"/>
      <c r="EE55" s="109"/>
      <c r="EF55" s="83"/>
      <c r="EG55" s="83"/>
      <c r="EH55" s="83"/>
      <c r="EI55" s="83"/>
      <c r="EJ55" s="83"/>
      <c r="EK55" s="83"/>
      <c r="EL55" s="109"/>
      <c r="EM55" s="83"/>
      <c r="EN55" s="83"/>
      <c r="EO55" s="84">
        <f t="shared" si="5"/>
        <v>0</v>
      </c>
      <c r="EP55" s="84">
        <f t="shared" si="6"/>
        <v>12</v>
      </c>
    </row>
    <row r="56" spans="1:146" x14ac:dyDescent="0.25">
      <c r="A56" s="28">
        <v>51</v>
      </c>
      <c r="B56" s="19">
        <v>186</v>
      </c>
      <c r="C56" s="20" t="s">
        <v>144</v>
      </c>
      <c r="D56" s="21" t="s">
        <v>145</v>
      </c>
      <c r="E56" s="11" t="s">
        <v>8</v>
      </c>
      <c r="F56" s="16" t="s">
        <v>165</v>
      </c>
      <c r="G56" s="16" t="s">
        <v>165</v>
      </c>
      <c r="H56" s="16" t="s">
        <v>165</v>
      </c>
      <c r="I56" s="109"/>
      <c r="J56" s="16" t="s">
        <v>166</v>
      </c>
      <c r="K56" s="112"/>
      <c r="L56" s="16" t="s">
        <v>166</v>
      </c>
      <c r="M56" s="16" t="s">
        <v>166</v>
      </c>
      <c r="N56" s="16" t="s">
        <v>166</v>
      </c>
      <c r="O56" s="16" t="s">
        <v>165</v>
      </c>
      <c r="P56" s="109"/>
      <c r="Q56" s="112"/>
      <c r="R56" s="16" t="s">
        <v>166</v>
      </c>
      <c r="S56" s="16" t="s">
        <v>165</v>
      </c>
      <c r="T56" s="16" t="s">
        <v>166</v>
      </c>
      <c r="U56" s="112"/>
      <c r="V56" s="16" t="s">
        <v>165</v>
      </c>
      <c r="W56" s="109"/>
      <c r="X56" s="16" t="s">
        <v>166</v>
      </c>
      <c r="Y56" s="16" t="s">
        <v>166</v>
      </c>
      <c r="Z56" s="16" t="s">
        <v>166</v>
      </c>
      <c r="AA56" s="16" t="s">
        <v>166</v>
      </c>
      <c r="AB56" s="16" t="s">
        <v>165</v>
      </c>
      <c r="AC56" s="16" t="s">
        <v>166</v>
      </c>
      <c r="AD56" s="109"/>
      <c r="AE56" s="16" t="s">
        <v>166</v>
      </c>
      <c r="AF56" s="16" t="s">
        <v>166</v>
      </c>
      <c r="AG56" s="16" t="s">
        <v>166</v>
      </c>
      <c r="AH56" s="16" t="s">
        <v>166</v>
      </c>
      <c r="AI56" s="16" t="s">
        <v>165</v>
      </c>
      <c r="AJ56" s="16" t="s">
        <v>166</v>
      </c>
      <c r="AK56" s="109"/>
      <c r="AL56" s="16" t="s">
        <v>166</v>
      </c>
      <c r="AM56" s="16"/>
      <c r="AN56" s="16" t="s">
        <v>166</v>
      </c>
      <c r="AO56" s="16" t="s">
        <v>166</v>
      </c>
      <c r="AP56" s="16" t="s">
        <v>166</v>
      </c>
      <c r="AQ56" s="16" t="s">
        <v>166</v>
      </c>
      <c r="AR56" s="109"/>
      <c r="AS56" s="16" t="s">
        <v>166</v>
      </c>
      <c r="AT56" s="16" t="s">
        <v>166</v>
      </c>
      <c r="AU56" s="16" t="s">
        <v>166</v>
      </c>
      <c r="AV56" s="16" t="s">
        <v>166</v>
      </c>
      <c r="AW56" s="16"/>
      <c r="AX56" s="16"/>
      <c r="AY56" s="109"/>
      <c r="AZ56" s="16"/>
      <c r="BA56" s="16"/>
      <c r="BB56" s="16"/>
      <c r="BC56" s="16"/>
      <c r="BD56" s="16"/>
      <c r="BE56" s="16"/>
      <c r="BF56" s="109"/>
      <c r="BG56" s="16"/>
      <c r="BH56" s="16"/>
      <c r="BI56" s="16"/>
      <c r="BJ56" s="16"/>
      <c r="BK56" s="16"/>
      <c r="BL56" s="16"/>
      <c r="BM56" s="109"/>
      <c r="BN56" s="16"/>
      <c r="BO56" s="16"/>
      <c r="BP56" s="16"/>
      <c r="BQ56" s="16"/>
      <c r="BR56" s="16"/>
      <c r="BS56" s="16"/>
      <c r="BT56" s="109"/>
      <c r="BU56" s="16"/>
      <c r="BV56" s="16"/>
      <c r="BW56" s="16"/>
      <c r="BX56" s="16"/>
      <c r="BY56" s="16"/>
      <c r="BZ56" s="16"/>
      <c r="CA56" s="109"/>
      <c r="CB56" s="16"/>
      <c r="CC56" s="16"/>
      <c r="CD56" s="16"/>
      <c r="CE56" s="16"/>
      <c r="CF56" s="16"/>
      <c r="CG56" s="16"/>
      <c r="CH56" s="109"/>
      <c r="CI56" s="16"/>
      <c r="CJ56" s="16"/>
      <c r="CK56" s="16"/>
      <c r="CL56" s="16"/>
      <c r="CM56" s="16"/>
      <c r="CN56" s="16"/>
      <c r="CO56" s="109"/>
      <c r="CP56" s="16"/>
      <c r="CQ56" s="16"/>
      <c r="CR56" s="16"/>
      <c r="CS56" s="16"/>
      <c r="CT56" s="16"/>
      <c r="CU56" s="16"/>
      <c r="CV56" s="109"/>
      <c r="CW56" s="16"/>
      <c r="CX56" s="16"/>
      <c r="CY56" s="16"/>
      <c r="CZ56" s="16"/>
      <c r="DA56" s="16"/>
      <c r="DB56" s="16"/>
      <c r="DC56" s="109"/>
      <c r="DD56" s="16"/>
      <c r="DE56" s="16"/>
      <c r="DF56" s="16"/>
      <c r="DG56" s="16"/>
      <c r="DH56" s="16"/>
      <c r="DI56" s="16"/>
      <c r="DJ56" s="109"/>
      <c r="DK56" s="16"/>
      <c r="DL56" s="16"/>
      <c r="DM56" s="16"/>
      <c r="DN56" s="16"/>
      <c r="DO56" s="16"/>
      <c r="DP56" s="16"/>
      <c r="DQ56" s="109"/>
      <c r="DR56" s="16"/>
      <c r="DS56" s="16"/>
      <c r="DT56" s="16"/>
      <c r="DU56" s="16"/>
      <c r="DV56" s="16"/>
      <c r="DW56" s="16"/>
      <c r="DX56" s="109"/>
      <c r="DY56" s="16"/>
      <c r="DZ56" s="16"/>
      <c r="EA56" s="16"/>
      <c r="EB56" s="16"/>
      <c r="EC56" s="16"/>
      <c r="ED56" s="16"/>
      <c r="EE56" s="109"/>
      <c r="EF56" s="16"/>
      <c r="EG56" s="16"/>
      <c r="EH56" s="16"/>
      <c r="EI56" s="16"/>
      <c r="EJ56" s="16"/>
      <c r="EK56" s="16"/>
      <c r="EL56" s="109"/>
      <c r="EM56" s="16"/>
      <c r="EN56" s="16"/>
      <c r="EO56" s="5">
        <f t="shared" si="5"/>
        <v>25</v>
      </c>
      <c r="EP56" s="5">
        <f t="shared" si="6"/>
        <v>8</v>
      </c>
    </row>
    <row r="57" spans="1:146" x14ac:dyDescent="0.25">
      <c r="A57" s="17">
        <v>52</v>
      </c>
      <c r="B57" s="19">
        <v>188</v>
      </c>
      <c r="C57" s="20" t="s">
        <v>146</v>
      </c>
      <c r="D57" s="21" t="s">
        <v>147</v>
      </c>
      <c r="E57" s="11" t="s">
        <v>8</v>
      </c>
      <c r="F57" s="16"/>
      <c r="G57" s="16"/>
      <c r="H57" s="16"/>
      <c r="I57" s="109"/>
      <c r="J57" s="16"/>
      <c r="K57" s="112"/>
      <c r="L57" s="16"/>
      <c r="M57" s="16"/>
      <c r="N57" s="16"/>
      <c r="O57" s="16"/>
      <c r="P57" s="109"/>
      <c r="Q57" s="112"/>
      <c r="R57" s="16"/>
      <c r="S57" s="16"/>
      <c r="T57" s="16"/>
      <c r="U57" s="112"/>
      <c r="V57" s="16"/>
      <c r="W57" s="109"/>
      <c r="X57" s="16" t="s">
        <v>166</v>
      </c>
      <c r="Y57" s="16" t="s">
        <v>165</v>
      </c>
      <c r="Z57" s="16" t="s">
        <v>166</v>
      </c>
      <c r="AA57" s="16" t="s">
        <v>166</v>
      </c>
      <c r="AB57" s="16" t="s">
        <v>166</v>
      </c>
      <c r="AC57" s="16" t="s">
        <v>166</v>
      </c>
      <c r="AD57" s="109"/>
      <c r="AE57" s="16" t="s">
        <v>166</v>
      </c>
      <c r="AF57" s="16" t="s">
        <v>166</v>
      </c>
      <c r="AG57" s="16" t="s">
        <v>166</v>
      </c>
      <c r="AH57" s="16" t="s">
        <v>166</v>
      </c>
      <c r="AI57" s="16" t="s">
        <v>166</v>
      </c>
      <c r="AJ57" s="16" t="s">
        <v>165</v>
      </c>
      <c r="AK57" s="109"/>
      <c r="AL57" s="16" t="s">
        <v>166</v>
      </c>
      <c r="AM57" s="16"/>
      <c r="AN57" s="16" t="s">
        <v>166</v>
      </c>
      <c r="AO57" s="16" t="s">
        <v>166</v>
      </c>
      <c r="AP57" s="16" t="s">
        <v>166</v>
      </c>
      <c r="AQ57" s="16" t="s">
        <v>166</v>
      </c>
      <c r="AR57" s="109"/>
      <c r="AS57" s="16" t="s">
        <v>166</v>
      </c>
      <c r="AT57" s="16" t="s">
        <v>166</v>
      </c>
      <c r="AU57" s="16" t="s">
        <v>166</v>
      </c>
      <c r="AV57" s="16" t="s">
        <v>166</v>
      </c>
      <c r="AW57" s="16"/>
      <c r="AX57" s="16"/>
      <c r="AY57" s="109"/>
      <c r="AZ57" s="16"/>
      <c r="BA57" s="16"/>
      <c r="BB57" s="16"/>
      <c r="BC57" s="16"/>
      <c r="BD57" s="16"/>
      <c r="BE57" s="16"/>
      <c r="BF57" s="109"/>
      <c r="BG57" s="16"/>
      <c r="BH57" s="16"/>
      <c r="BI57" s="16"/>
      <c r="BJ57" s="16"/>
      <c r="BK57" s="16"/>
      <c r="BL57" s="16"/>
      <c r="BM57" s="109"/>
      <c r="BN57" s="16"/>
      <c r="BO57" s="16"/>
      <c r="BP57" s="16"/>
      <c r="BQ57" s="16"/>
      <c r="BR57" s="16"/>
      <c r="BS57" s="16"/>
      <c r="BT57" s="109"/>
      <c r="BU57" s="16"/>
      <c r="BV57" s="16"/>
      <c r="BW57" s="16"/>
      <c r="BX57" s="16"/>
      <c r="BY57" s="16"/>
      <c r="BZ57" s="16"/>
      <c r="CA57" s="109"/>
      <c r="CB57" s="16"/>
      <c r="CC57" s="16"/>
      <c r="CD57" s="16"/>
      <c r="CE57" s="16"/>
      <c r="CF57" s="16"/>
      <c r="CG57" s="16"/>
      <c r="CH57" s="109"/>
      <c r="CI57" s="16"/>
      <c r="CJ57" s="16"/>
      <c r="CK57" s="16"/>
      <c r="CL57" s="16"/>
      <c r="CM57" s="16"/>
      <c r="CN57" s="16"/>
      <c r="CO57" s="109"/>
      <c r="CP57" s="16"/>
      <c r="CQ57" s="16"/>
      <c r="CR57" s="16"/>
      <c r="CS57" s="16"/>
      <c r="CT57" s="16"/>
      <c r="CU57" s="16"/>
      <c r="CV57" s="109"/>
      <c r="CW57" s="16"/>
      <c r="CX57" s="16"/>
      <c r="CY57" s="16"/>
      <c r="CZ57" s="16"/>
      <c r="DA57" s="16"/>
      <c r="DB57" s="16"/>
      <c r="DC57" s="109"/>
      <c r="DD57" s="16"/>
      <c r="DE57" s="16"/>
      <c r="DF57" s="16"/>
      <c r="DG57" s="16"/>
      <c r="DH57" s="16"/>
      <c r="DI57" s="16"/>
      <c r="DJ57" s="109"/>
      <c r="DK57" s="16"/>
      <c r="DL57" s="16"/>
      <c r="DM57" s="16"/>
      <c r="DN57" s="16"/>
      <c r="DO57" s="16"/>
      <c r="DP57" s="16"/>
      <c r="DQ57" s="109"/>
      <c r="DR57" s="16"/>
      <c r="DS57" s="16"/>
      <c r="DT57" s="16"/>
      <c r="DU57" s="16"/>
      <c r="DV57" s="16"/>
      <c r="DW57" s="16"/>
      <c r="DX57" s="109"/>
      <c r="DY57" s="16"/>
      <c r="DZ57" s="16"/>
      <c r="EA57" s="16"/>
      <c r="EB57" s="16"/>
      <c r="EC57" s="16"/>
      <c r="ED57" s="16"/>
      <c r="EE57" s="109"/>
      <c r="EF57" s="16"/>
      <c r="EG57" s="16"/>
      <c r="EH57" s="16"/>
      <c r="EI57" s="16"/>
      <c r="EJ57" s="16"/>
      <c r="EK57" s="16"/>
      <c r="EL57" s="109"/>
      <c r="EM57" s="16"/>
      <c r="EN57" s="16"/>
      <c r="EO57" s="5">
        <f t="shared" si="5"/>
        <v>19</v>
      </c>
      <c r="EP57" s="5">
        <f t="shared" si="6"/>
        <v>2</v>
      </c>
    </row>
    <row r="58" spans="1:146" s="85" customFormat="1" x14ac:dyDescent="0.25">
      <c r="A58" s="87">
        <v>53</v>
      </c>
      <c r="B58" s="79">
        <v>189</v>
      </c>
      <c r="C58" s="80" t="s">
        <v>148</v>
      </c>
      <c r="D58" s="81" t="s">
        <v>149</v>
      </c>
      <c r="E58" s="82" t="s">
        <v>8</v>
      </c>
      <c r="F58" s="83"/>
      <c r="G58" s="83"/>
      <c r="H58" s="83"/>
      <c r="I58" s="109"/>
      <c r="J58" s="83"/>
      <c r="K58" s="112"/>
      <c r="L58" s="83"/>
      <c r="M58" s="83"/>
      <c r="N58" s="83"/>
      <c r="O58" s="83"/>
      <c r="P58" s="109"/>
      <c r="Q58" s="112"/>
      <c r="R58" s="83"/>
      <c r="S58" s="83"/>
      <c r="T58" s="83"/>
      <c r="U58" s="112"/>
      <c r="V58" s="83"/>
      <c r="W58" s="109"/>
      <c r="X58" s="83" t="s">
        <v>165</v>
      </c>
      <c r="Y58" s="83" t="s">
        <v>165</v>
      </c>
      <c r="Z58" s="83" t="s">
        <v>165</v>
      </c>
      <c r="AA58" s="83" t="s">
        <v>165</v>
      </c>
      <c r="AB58" s="83" t="s">
        <v>165</v>
      </c>
      <c r="AC58" s="83" t="s">
        <v>165</v>
      </c>
      <c r="AD58" s="109"/>
      <c r="AE58" s="83" t="s">
        <v>165</v>
      </c>
      <c r="AF58" s="83" t="s">
        <v>165</v>
      </c>
      <c r="AG58" s="83" t="s">
        <v>165</v>
      </c>
      <c r="AH58" s="83" t="s">
        <v>165</v>
      </c>
      <c r="AI58" s="83" t="s">
        <v>165</v>
      </c>
      <c r="AJ58" s="83" t="s">
        <v>165</v>
      </c>
      <c r="AK58" s="109"/>
      <c r="AL58" s="83"/>
      <c r="AM58" s="83"/>
      <c r="AN58" s="83"/>
      <c r="AO58" s="83"/>
      <c r="AP58" s="83"/>
      <c r="AQ58" s="83"/>
      <c r="AR58" s="109"/>
      <c r="AS58" s="83"/>
      <c r="AT58" s="83"/>
      <c r="AU58" s="83"/>
      <c r="AV58" s="83"/>
      <c r="AW58" s="83"/>
      <c r="AX58" s="83"/>
      <c r="AY58" s="109"/>
      <c r="AZ58" s="83"/>
      <c r="BA58" s="83"/>
      <c r="BB58" s="83"/>
      <c r="BC58" s="83"/>
      <c r="BD58" s="83"/>
      <c r="BE58" s="83"/>
      <c r="BF58" s="109"/>
      <c r="BG58" s="83"/>
      <c r="BH58" s="83"/>
      <c r="BI58" s="83"/>
      <c r="BJ58" s="83"/>
      <c r="BK58" s="83"/>
      <c r="BL58" s="83"/>
      <c r="BM58" s="109"/>
      <c r="BN58" s="83"/>
      <c r="BO58" s="83"/>
      <c r="BP58" s="83"/>
      <c r="BQ58" s="83"/>
      <c r="BR58" s="83"/>
      <c r="BS58" s="83"/>
      <c r="BT58" s="109"/>
      <c r="BU58" s="83"/>
      <c r="BV58" s="83"/>
      <c r="BW58" s="83"/>
      <c r="BX58" s="83"/>
      <c r="BY58" s="83"/>
      <c r="BZ58" s="83"/>
      <c r="CA58" s="109"/>
      <c r="CB58" s="83"/>
      <c r="CC58" s="83"/>
      <c r="CD58" s="83"/>
      <c r="CE58" s="83"/>
      <c r="CF58" s="83"/>
      <c r="CG58" s="83"/>
      <c r="CH58" s="109"/>
      <c r="CI58" s="83"/>
      <c r="CJ58" s="83"/>
      <c r="CK58" s="83"/>
      <c r="CL58" s="83"/>
      <c r="CM58" s="83"/>
      <c r="CN58" s="83"/>
      <c r="CO58" s="109"/>
      <c r="CP58" s="83"/>
      <c r="CQ58" s="83"/>
      <c r="CR58" s="83"/>
      <c r="CS58" s="83"/>
      <c r="CT58" s="83"/>
      <c r="CU58" s="83"/>
      <c r="CV58" s="109"/>
      <c r="CW58" s="83"/>
      <c r="CX58" s="83"/>
      <c r="CY58" s="83"/>
      <c r="CZ58" s="83"/>
      <c r="DA58" s="83"/>
      <c r="DB58" s="83"/>
      <c r="DC58" s="109"/>
      <c r="DD58" s="83"/>
      <c r="DE58" s="83"/>
      <c r="DF58" s="83"/>
      <c r="DG58" s="83"/>
      <c r="DH58" s="83"/>
      <c r="DI58" s="83"/>
      <c r="DJ58" s="109"/>
      <c r="DK58" s="83"/>
      <c r="DL58" s="83"/>
      <c r="DM58" s="83"/>
      <c r="DN58" s="83"/>
      <c r="DO58" s="83"/>
      <c r="DP58" s="83"/>
      <c r="DQ58" s="109"/>
      <c r="DR58" s="83"/>
      <c r="DS58" s="83"/>
      <c r="DT58" s="83"/>
      <c r="DU58" s="83"/>
      <c r="DV58" s="83"/>
      <c r="DW58" s="83"/>
      <c r="DX58" s="109"/>
      <c r="DY58" s="83"/>
      <c r="DZ58" s="83"/>
      <c r="EA58" s="83"/>
      <c r="EB58" s="83"/>
      <c r="EC58" s="83"/>
      <c r="ED58" s="83"/>
      <c r="EE58" s="109"/>
      <c r="EF58" s="83"/>
      <c r="EG58" s="83"/>
      <c r="EH58" s="83"/>
      <c r="EI58" s="83"/>
      <c r="EJ58" s="83"/>
      <c r="EK58" s="83"/>
      <c r="EL58" s="109"/>
      <c r="EM58" s="83"/>
      <c r="EN58" s="83"/>
      <c r="EO58" s="84">
        <f t="shared" si="5"/>
        <v>0</v>
      </c>
      <c r="EP58" s="84">
        <f t="shared" si="6"/>
        <v>12</v>
      </c>
    </row>
    <row r="59" spans="1:146" s="85" customFormat="1" x14ac:dyDescent="0.25">
      <c r="A59" s="78">
        <v>54</v>
      </c>
      <c r="B59" s="79">
        <v>190</v>
      </c>
      <c r="C59" s="80" t="s">
        <v>150</v>
      </c>
      <c r="D59" s="81" t="s">
        <v>151</v>
      </c>
      <c r="E59" s="82" t="s">
        <v>8</v>
      </c>
      <c r="F59" s="83"/>
      <c r="G59" s="83"/>
      <c r="H59" s="83"/>
      <c r="I59" s="109"/>
      <c r="J59" s="83"/>
      <c r="K59" s="112"/>
      <c r="L59" s="83"/>
      <c r="M59" s="83"/>
      <c r="N59" s="83"/>
      <c r="O59" s="83"/>
      <c r="P59" s="109"/>
      <c r="Q59" s="112"/>
      <c r="R59" s="83"/>
      <c r="S59" s="83"/>
      <c r="T59" s="83"/>
      <c r="U59" s="112"/>
      <c r="V59" s="83"/>
      <c r="W59" s="109"/>
      <c r="X59" s="83" t="s">
        <v>165</v>
      </c>
      <c r="Y59" s="83" t="s">
        <v>165</v>
      </c>
      <c r="Z59" s="83" t="s">
        <v>165</v>
      </c>
      <c r="AA59" s="83" t="s">
        <v>165</v>
      </c>
      <c r="AB59" s="83" t="s">
        <v>165</v>
      </c>
      <c r="AC59" s="83" t="s">
        <v>165</v>
      </c>
      <c r="AD59" s="109"/>
      <c r="AE59" s="83" t="s">
        <v>165</v>
      </c>
      <c r="AF59" s="83" t="s">
        <v>165</v>
      </c>
      <c r="AG59" s="83" t="s">
        <v>165</v>
      </c>
      <c r="AH59" s="83" t="s">
        <v>165</v>
      </c>
      <c r="AI59" s="83" t="s">
        <v>165</v>
      </c>
      <c r="AJ59" s="83" t="s">
        <v>165</v>
      </c>
      <c r="AK59" s="109"/>
      <c r="AL59" s="83"/>
      <c r="AM59" s="83"/>
      <c r="AN59" s="83"/>
      <c r="AO59" s="83"/>
      <c r="AP59" s="83"/>
      <c r="AQ59" s="83"/>
      <c r="AR59" s="109"/>
      <c r="AS59" s="83"/>
      <c r="AT59" s="83"/>
      <c r="AU59" s="83"/>
      <c r="AV59" s="83"/>
      <c r="AW59" s="83"/>
      <c r="AX59" s="83"/>
      <c r="AY59" s="109"/>
      <c r="AZ59" s="83"/>
      <c r="BA59" s="83"/>
      <c r="BB59" s="83"/>
      <c r="BC59" s="83"/>
      <c r="BD59" s="83"/>
      <c r="BE59" s="83"/>
      <c r="BF59" s="109"/>
      <c r="BG59" s="83"/>
      <c r="BH59" s="83"/>
      <c r="BI59" s="83"/>
      <c r="BJ59" s="83"/>
      <c r="BK59" s="83"/>
      <c r="BL59" s="83"/>
      <c r="BM59" s="109"/>
      <c r="BN59" s="83"/>
      <c r="BO59" s="83"/>
      <c r="BP59" s="83"/>
      <c r="BQ59" s="83"/>
      <c r="BR59" s="83"/>
      <c r="BS59" s="83"/>
      <c r="BT59" s="109"/>
      <c r="BU59" s="83"/>
      <c r="BV59" s="83"/>
      <c r="BW59" s="83"/>
      <c r="BX59" s="83"/>
      <c r="BY59" s="83"/>
      <c r="BZ59" s="83"/>
      <c r="CA59" s="109"/>
      <c r="CB59" s="83"/>
      <c r="CC59" s="83"/>
      <c r="CD59" s="83"/>
      <c r="CE59" s="83"/>
      <c r="CF59" s="83"/>
      <c r="CG59" s="83"/>
      <c r="CH59" s="109"/>
      <c r="CI59" s="83"/>
      <c r="CJ59" s="83"/>
      <c r="CK59" s="83"/>
      <c r="CL59" s="83"/>
      <c r="CM59" s="83"/>
      <c r="CN59" s="83"/>
      <c r="CO59" s="109"/>
      <c r="CP59" s="83"/>
      <c r="CQ59" s="83"/>
      <c r="CR59" s="83"/>
      <c r="CS59" s="83"/>
      <c r="CT59" s="83"/>
      <c r="CU59" s="83"/>
      <c r="CV59" s="109"/>
      <c r="CW59" s="83"/>
      <c r="CX59" s="83"/>
      <c r="CY59" s="83"/>
      <c r="CZ59" s="83"/>
      <c r="DA59" s="83"/>
      <c r="DB59" s="83"/>
      <c r="DC59" s="109"/>
      <c r="DD59" s="83"/>
      <c r="DE59" s="83"/>
      <c r="DF59" s="83"/>
      <c r="DG59" s="83"/>
      <c r="DH59" s="83"/>
      <c r="DI59" s="83"/>
      <c r="DJ59" s="109"/>
      <c r="DK59" s="83"/>
      <c r="DL59" s="83"/>
      <c r="DM59" s="83"/>
      <c r="DN59" s="83"/>
      <c r="DO59" s="83"/>
      <c r="DP59" s="83"/>
      <c r="DQ59" s="109"/>
      <c r="DR59" s="83"/>
      <c r="DS59" s="83"/>
      <c r="DT59" s="83"/>
      <c r="DU59" s="83"/>
      <c r="DV59" s="83"/>
      <c r="DW59" s="83"/>
      <c r="DX59" s="109"/>
      <c r="DY59" s="83"/>
      <c r="DZ59" s="83"/>
      <c r="EA59" s="83"/>
      <c r="EB59" s="83"/>
      <c r="EC59" s="83"/>
      <c r="ED59" s="83"/>
      <c r="EE59" s="109"/>
      <c r="EF59" s="83"/>
      <c r="EG59" s="83"/>
      <c r="EH59" s="83"/>
      <c r="EI59" s="83"/>
      <c r="EJ59" s="83"/>
      <c r="EK59" s="83"/>
      <c r="EL59" s="109"/>
      <c r="EM59" s="83"/>
      <c r="EN59" s="83"/>
      <c r="EO59" s="84">
        <f t="shared" si="5"/>
        <v>0</v>
      </c>
      <c r="EP59" s="84">
        <f t="shared" si="6"/>
        <v>12</v>
      </c>
    </row>
    <row r="60" spans="1:146" x14ac:dyDescent="0.25">
      <c r="A60" s="28">
        <v>55</v>
      </c>
      <c r="B60" s="19">
        <v>191</v>
      </c>
      <c r="C60" s="20" t="s">
        <v>152</v>
      </c>
      <c r="D60" s="21" t="s">
        <v>153</v>
      </c>
      <c r="E60" s="11" t="s">
        <v>8</v>
      </c>
      <c r="F60" s="16" t="s">
        <v>165</v>
      </c>
      <c r="G60" s="16" t="s">
        <v>165</v>
      </c>
      <c r="H60" s="16" t="s">
        <v>165</v>
      </c>
      <c r="I60" s="109"/>
      <c r="J60" s="16" t="s">
        <v>166</v>
      </c>
      <c r="K60" s="112"/>
      <c r="L60" s="16" t="s">
        <v>166</v>
      </c>
      <c r="M60" s="16" t="s">
        <v>166</v>
      </c>
      <c r="N60" s="16" t="s">
        <v>166</v>
      </c>
      <c r="O60" s="16" t="s">
        <v>166</v>
      </c>
      <c r="P60" s="109"/>
      <c r="Q60" s="112"/>
      <c r="R60" s="16" t="s">
        <v>166</v>
      </c>
      <c r="S60" s="16" t="s">
        <v>166</v>
      </c>
      <c r="T60" s="16" t="s">
        <v>166</v>
      </c>
      <c r="U60" s="112"/>
      <c r="V60" s="16" t="s">
        <v>165</v>
      </c>
      <c r="W60" s="109"/>
      <c r="X60" s="16" t="s">
        <v>166</v>
      </c>
      <c r="Y60" s="16" t="s">
        <v>166</v>
      </c>
      <c r="Z60" s="16" t="s">
        <v>166</v>
      </c>
      <c r="AA60" s="16" t="s">
        <v>166</v>
      </c>
      <c r="AB60" s="16" t="s">
        <v>165</v>
      </c>
      <c r="AC60" s="16" t="s">
        <v>166</v>
      </c>
      <c r="AD60" s="109"/>
      <c r="AE60" s="16" t="s">
        <v>166</v>
      </c>
      <c r="AF60" s="16" t="s">
        <v>166</v>
      </c>
      <c r="AG60" s="16" t="s">
        <v>166</v>
      </c>
      <c r="AH60" s="16" t="s">
        <v>166</v>
      </c>
      <c r="AI60" s="16" t="s">
        <v>166</v>
      </c>
      <c r="AJ60" s="16" t="s">
        <v>166</v>
      </c>
      <c r="AK60" s="109"/>
      <c r="AL60" s="16" t="s">
        <v>166</v>
      </c>
      <c r="AM60" s="16"/>
      <c r="AN60" s="16" t="s">
        <v>166</v>
      </c>
      <c r="AO60" s="16" t="s">
        <v>166</v>
      </c>
      <c r="AP60" s="16" t="s">
        <v>166</v>
      </c>
      <c r="AQ60" s="16" t="s">
        <v>166</v>
      </c>
      <c r="AR60" s="109"/>
      <c r="AS60" s="16" t="s">
        <v>166</v>
      </c>
      <c r="AT60" s="16" t="s">
        <v>166</v>
      </c>
      <c r="AU60" s="16" t="s">
        <v>166</v>
      </c>
      <c r="AV60" s="16" t="s">
        <v>166</v>
      </c>
      <c r="AW60" s="16"/>
      <c r="AX60" s="16"/>
      <c r="AY60" s="109"/>
      <c r="AZ60" s="16"/>
      <c r="BA60" s="16"/>
      <c r="BB60" s="16"/>
      <c r="BC60" s="16"/>
      <c r="BD60" s="16"/>
      <c r="BE60" s="16"/>
      <c r="BF60" s="109"/>
      <c r="BG60" s="16"/>
      <c r="BH60" s="16"/>
      <c r="BI60" s="16"/>
      <c r="BJ60" s="16"/>
      <c r="BK60" s="16"/>
      <c r="BL60" s="16"/>
      <c r="BM60" s="109"/>
      <c r="BN60" s="16"/>
      <c r="BO60" s="16"/>
      <c r="BP60" s="16"/>
      <c r="BQ60" s="16"/>
      <c r="BR60" s="16"/>
      <c r="BS60" s="16"/>
      <c r="BT60" s="109"/>
      <c r="BU60" s="16"/>
      <c r="BV60" s="16"/>
      <c r="BW60" s="16"/>
      <c r="BX60" s="16"/>
      <c r="BY60" s="16"/>
      <c r="BZ60" s="16"/>
      <c r="CA60" s="109"/>
      <c r="CB60" s="16"/>
      <c r="CC60" s="16"/>
      <c r="CD60" s="16"/>
      <c r="CE60" s="16"/>
      <c r="CF60" s="16"/>
      <c r="CG60" s="16"/>
      <c r="CH60" s="109"/>
      <c r="CI60" s="16"/>
      <c r="CJ60" s="16"/>
      <c r="CK60" s="16"/>
      <c r="CL60" s="16"/>
      <c r="CM60" s="16"/>
      <c r="CN60" s="16"/>
      <c r="CO60" s="109"/>
      <c r="CP60" s="16"/>
      <c r="CQ60" s="16"/>
      <c r="CR60" s="16"/>
      <c r="CS60" s="16"/>
      <c r="CT60" s="16"/>
      <c r="CU60" s="16"/>
      <c r="CV60" s="109"/>
      <c r="CW60" s="16"/>
      <c r="CX60" s="16"/>
      <c r="CY60" s="16"/>
      <c r="CZ60" s="16"/>
      <c r="DA60" s="16"/>
      <c r="DB60" s="16"/>
      <c r="DC60" s="109"/>
      <c r="DD60" s="16"/>
      <c r="DE60" s="16"/>
      <c r="DF60" s="16"/>
      <c r="DG60" s="16"/>
      <c r="DH60" s="16"/>
      <c r="DI60" s="16"/>
      <c r="DJ60" s="109"/>
      <c r="DK60" s="16"/>
      <c r="DL60" s="16"/>
      <c r="DM60" s="16"/>
      <c r="DN60" s="16"/>
      <c r="DO60" s="16"/>
      <c r="DP60" s="16"/>
      <c r="DQ60" s="109"/>
      <c r="DR60" s="16"/>
      <c r="DS60" s="16"/>
      <c r="DT60" s="16"/>
      <c r="DU60" s="16"/>
      <c r="DV60" s="16"/>
      <c r="DW60" s="16"/>
      <c r="DX60" s="109"/>
      <c r="DY60" s="16"/>
      <c r="DZ60" s="16"/>
      <c r="EA60" s="16"/>
      <c r="EB60" s="16"/>
      <c r="EC60" s="16"/>
      <c r="ED60" s="16"/>
      <c r="EE60" s="109"/>
      <c r="EF60" s="16"/>
      <c r="EG60" s="16"/>
      <c r="EH60" s="16"/>
      <c r="EI60" s="16"/>
      <c r="EJ60" s="16"/>
      <c r="EK60" s="16"/>
      <c r="EL60" s="109"/>
      <c r="EM60" s="16"/>
      <c r="EN60" s="16"/>
      <c r="EO60" s="5">
        <f t="shared" si="5"/>
        <v>28</v>
      </c>
      <c r="EP60" s="5">
        <f t="shared" si="6"/>
        <v>5</v>
      </c>
    </row>
    <row r="61" spans="1:146" x14ac:dyDescent="0.25">
      <c r="A61" s="17">
        <v>56</v>
      </c>
      <c r="B61" s="19"/>
      <c r="C61" s="20" t="s">
        <v>148</v>
      </c>
      <c r="D61" s="21" t="s">
        <v>154</v>
      </c>
      <c r="E61" s="11" t="s">
        <v>8</v>
      </c>
      <c r="F61" s="16"/>
      <c r="G61" s="16"/>
      <c r="H61" s="16"/>
      <c r="I61" s="109"/>
      <c r="J61" s="16" t="s">
        <v>166</v>
      </c>
      <c r="K61" s="112"/>
      <c r="L61" s="16" t="s">
        <v>166</v>
      </c>
      <c r="M61" s="16" t="s">
        <v>166</v>
      </c>
      <c r="N61" s="16" t="s">
        <v>166</v>
      </c>
      <c r="O61" s="16" t="s">
        <v>166</v>
      </c>
      <c r="P61" s="109"/>
      <c r="Q61" s="112"/>
      <c r="R61" s="16" t="s">
        <v>166</v>
      </c>
      <c r="S61" s="16" t="s">
        <v>165</v>
      </c>
      <c r="T61" s="16" t="s">
        <v>165</v>
      </c>
      <c r="U61" s="112"/>
      <c r="V61" s="16" t="s">
        <v>165</v>
      </c>
      <c r="W61" s="109"/>
      <c r="X61" s="16" t="s">
        <v>166</v>
      </c>
      <c r="Y61" s="16" t="s">
        <v>166</v>
      </c>
      <c r="Z61" s="16" t="s">
        <v>166</v>
      </c>
      <c r="AA61" s="16" t="s">
        <v>166</v>
      </c>
      <c r="AB61" s="16" t="s">
        <v>165</v>
      </c>
      <c r="AC61" s="16" t="s">
        <v>166</v>
      </c>
      <c r="AD61" s="109"/>
      <c r="AE61" s="16" t="s">
        <v>166</v>
      </c>
      <c r="AF61" s="16" t="s">
        <v>166</v>
      </c>
      <c r="AG61" s="16" t="s">
        <v>166</v>
      </c>
      <c r="AH61" s="16" t="s">
        <v>166</v>
      </c>
      <c r="AI61" s="16" t="s">
        <v>166</v>
      </c>
      <c r="AJ61" s="16" t="s">
        <v>166</v>
      </c>
      <c r="AK61" s="109"/>
      <c r="AL61" s="16" t="s">
        <v>165</v>
      </c>
      <c r="AM61" s="16"/>
      <c r="AN61" s="16" t="s">
        <v>166</v>
      </c>
      <c r="AO61" s="16" t="s">
        <v>166</v>
      </c>
      <c r="AP61" s="16" t="s">
        <v>166</v>
      </c>
      <c r="AQ61" s="16" t="s">
        <v>166</v>
      </c>
      <c r="AR61" s="109"/>
      <c r="AS61" s="16" t="s">
        <v>166</v>
      </c>
      <c r="AT61" s="16" t="s">
        <v>166</v>
      </c>
      <c r="AU61" s="16" t="s">
        <v>166</v>
      </c>
      <c r="AV61" s="16" t="s">
        <v>166</v>
      </c>
      <c r="AW61" s="16"/>
      <c r="AX61" s="16"/>
      <c r="AY61" s="109"/>
      <c r="AZ61" s="16"/>
      <c r="BA61" s="16"/>
      <c r="BB61" s="16"/>
      <c r="BC61" s="16"/>
      <c r="BD61" s="16"/>
      <c r="BE61" s="16"/>
      <c r="BF61" s="109"/>
      <c r="BG61" s="16"/>
      <c r="BH61" s="16"/>
      <c r="BI61" s="16"/>
      <c r="BJ61" s="16"/>
      <c r="BK61" s="16"/>
      <c r="BL61" s="16"/>
      <c r="BM61" s="109"/>
      <c r="BN61" s="16"/>
      <c r="BO61" s="16"/>
      <c r="BP61" s="16"/>
      <c r="BQ61" s="16"/>
      <c r="BR61" s="16"/>
      <c r="BS61" s="16"/>
      <c r="BT61" s="109"/>
      <c r="BU61" s="16"/>
      <c r="BV61" s="16"/>
      <c r="BW61" s="16"/>
      <c r="BX61" s="16"/>
      <c r="BY61" s="16"/>
      <c r="BZ61" s="16"/>
      <c r="CA61" s="109"/>
      <c r="CB61" s="16"/>
      <c r="CC61" s="16"/>
      <c r="CD61" s="16"/>
      <c r="CE61" s="16"/>
      <c r="CF61" s="16"/>
      <c r="CG61" s="16"/>
      <c r="CH61" s="109"/>
      <c r="CI61" s="16"/>
      <c r="CJ61" s="16"/>
      <c r="CK61" s="16"/>
      <c r="CL61" s="16"/>
      <c r="CM61" s="16"/>
      <c r="CN61" s="16"/>
      <c r="CO61" s="109"/>
      <c r="CP61" s="16"/>
      <c r="CQ61" s="16"/>
      <c r="CR61" s="16"/>
      <c r="CS61" s="16"/>
      <c r="CT61" s="16"/>
      <c r="CU61" s="16"/>
      <c r="CV61" s="109"/>
      <c r="CW61" s="16"/>
      <c r="CX61" s="16"/>
      <c r="CY61" s="16"/>
      <c r="CZ61" s="16"/>
      <c r="DA61" s="16"/>
      <c r="DB61" s="16"/>
      <c r="DC61" s="109"/>
      <c r="DD61" s="16"/>
      <c r="DE61" s="16"/>
      <c r="DF61" s="16"/>
      <c r="DG61" s="16"/>
      <c r="DH61" s="16"/>
      <c r="DI61" s="16"/>
      <c r="DJ61" s="109"/>
      <c r="DK61" s="16"/>
      <c r="DL61" s="16"/>
      <c r="DM61" s="16"/>
      <c r="DN61" s="16"/>
      <c r="DO61" s="16"/>
      <c r="DP61" s="16"/>
      <c r="DQ61" s="109"/>
      <c r="DR61" s="16"/>
      <c r="DS61" s="16"/>
      <c r="DT61" s="16"/>
      <c r="DU61" s="16"/>
      <c r="DV61" s="16"/>
      <c r="DW61" s="16"/>
      <c r="DX61" s="109"/>
      <c r="DY61" s="16"/>
      <c r="DZ61" s="16"/>
      <c r="EA61" s="16"/>
      <c r="EB61" s="16"/>
      <c r="EC61" s="16"/>
      <c r="ED61" s="16"/>
      <c r="EE61" s="109"/>
      <c r="EF61" s="16"/>
      <c r="EG61" s="16"/>
      <c r="EH61" s="16"/>
      <c r="EI61" s="16"/>
      <c r="EJ61" s="16"/>
      <c r="EK61" s="16"/>
      <c r="EL61" s="109"/>
      <c r="EM61" s="16"/>
      <c r="EN61" s="16"/>
      <c r="EO61" s="5">
        <f t="shared" si="5"/>
        <v>25</v>
      </c>
      <c r="EP61" s="5">
        <f t="shared" si="6"/>
        <v>5</v>
      </c>
    </row>
    <row r="62" spans="1:146" s="85" customFormat="1" x14ac:dyDescent="0.25">
      <c r="A62" s="87">
        <v>57</v>
      </c>
      <c r="B62" s="79">
        <v>193</v>
      </c>
      <c r="C62" s="80" t="s">
        <v>155</v>
      </c>
      <c r="D62" s="81" t="s">
        <v>156</v>
      </c>
      <c r="E62" s="82" t="s">
        <v>8</v>
      </c>
      <c r="F62" s="83" t="s">
        <v>165</v>
      </c>
      <c r="G62" s="83" t="s">
        <v>165</v>
      </c>
      <c r="H62" s="83" t="s">
        <v>165</v>
      </c>
      <c r="I62" s="109"/>
      <c r="J62" s="83" t="s">
        <v>166</v>
      </c>
      <c r="K62" s="112"/>
      <c r="L62" s="83" t="s">
        <v>166</v>
      </c>
      <c r="M62" s="83" t="s">
        <v>165</v>
      </c>
      <c r="N62" s="83" t="s">
        <v>166</v>
      </c>
      <c r="O62" s="83" t="s">
        <v>165</v>
      </c>
      <c r="P62" s="109"/>
      <c r="Q62" s="112"/>
      <c r="R62" s="83" t="s">
        <v>165</v>
      </c>
      <c r="S62" s="83" t="s">
        <v>166</v>
      </c>
      <c r="T62" s="83" t="s">
        <v>166</v>
      </c>
      <c r="U62" s="112"/>
      <c r="V62" s="83" t="s">
        <v>165</v>
      </c>
      <c r="W62" s="109"/>
      <c r="X62" s="83" t="s">
        <v>166</v>
      </c>
      <c r="Y62" s="83" t="s">
        <v>166</v>
      </c>
      <c r="Z62" s="83" t="s">
        <v>165</v>
      </c>
      <c r="AA62" s="83" t="s">
        <v>166</v>
      </c>
      <c r="AB62" s="83" t="s">
        <v>165</v>
      </c>
      <c r="AC62" s="83" t="s">
        <v>165</v>
      </c>
      <c r="AD62" s="109"/>
      <c r="AE62" s="83" t="s">
        <v>165</v>
      </c>
      <c r="AF62" s="83" t="s">
        <v>165</v>
      </c>
      <c r="AG62" s="83" t="s">
        <v>165</v>
      </c>
      <c r="AH62" s="83" t="s">
        <v>165</v>
      </c>
      <c r="AI62" s="83" t="s">
        <v>165</v>
      </c>
      <c r="AJ62" s="83" t="s">
        <v>165</v>
      </c>
      <c r="AK62" s="109"/>
      <c r="AL62" s="83"/>
      <c r="AM62" s="83"/>
      <c r="AN62" s="83"/>
      <c r="AO62" s="83"/>
      <c r="AP62" s="83"/>
      <c r="AQ62" s="83"/>
      <c r="AR62" s="109"/>
      <c r="AS62" s="83"/>
      <c r="AT62" s="83"/>
      <c r="AU62" s="83"/>
      <c r="AV62" s="83"/>
      <c r="AW62" s="83"/>
      <c r="AX62" s="83"/>
      <c r="AY62" s="109"/>
      <c r="AZ62" s="83"/>
      <c r="BA62" s="83"/>
      <c r="BB62" s="83"/>
      <c r="BC62" s="83"/>
      <c r="BD62" s="83"/>
      <c r="BE62" s="83"/>
      <c r="BF62" s="109"/>
      <c r="BG62" s="83"/>
      <c r="BH62" s="83"/>
      <c r="BI62" s="83"/>
      <c r="BJ62" s="83"/>
      <c r="BK62" s="83"/>
      <c r="BL62" s="83"/>
      <c r="BM62" s="109"/>
      <c r="BN62" s="83"/>
      <c r="BO62" s="83"/>
      <c r="BP62" s="83"/>
      <c r="BQ62" s="83"/>
      <c r="BR62" s="83"/>
      <c r="BS62" s="83"/>
      <c r="BT62" s="109"/>
      <c r="BU62" s="83"/>
      <c r="BV62" s="83"/>
      <c r="BW62" s="83"/>
      <c r="BX62" s="83"/>
      <c r="BY62" s="83"/>
      <c r="BZ62" s="83"/>
      <c r="CA62" s="109"/>
      <c r="CB62" s="83"/>
      <c r="CC62" s="83"/>
      <c r="CD62" s="83"/>
      <c r="CE62" s="83"/>
      <c r="CF62" s="83"/>
      <c r="CG62" s="83"/>
      <c r="CH62" s="109"/>
      <c r="CI62" s="83"/>
      <c r="CJ62" s="83"/>
      <c r="CK62" s="83"/>
      <c r="CL62" s="83"/>
      <c r="CM62" s="83"/>
      <c r="CN62" s="83"/>
      <c r="CO62" s="109"/>
      <c r="CP62" s="83"/>
      <c r="CQ62" s="83"/>
      <c r="CR62" s="83"/>
      <c r="CS62" s="83"/>
      <c r="CT62" s="83"/>
      <c r="CU62" s="83"/>
      <c r="CV62" s="109"/>
      <c r="CW62" s="83"/>
      <c r="CX62" s="83"/>
      <c r="CY62" s="83"/>
      <c r="CZ62" s="83"/>
      <c r="DA62" s="83"/>
      <c r="DB62" s="83"/>
      <c r="DC62" s="109"/>
      <c r="DD62" s="83"/>
      <c r="DE62" s="83"/>
      <c r="DF62" s="83"/>
      <c r="DG62" s="83"/>
      <c r="DH62" s="83"/>
      <c r="DI62" s="83"/>
      <c r="DJ62" s="109"/>
      <c r="DK62" s="83"/>
      <c r="DL62" s="83"/>
      <c r="DM62" s="83"/>
      <c r="DN62" s="83"/>
      <c r="DO62" s="83"/>
      <c r="DP62" s="83"/>
      <c r="DQ62" s="109"/>
      <c r="DR62" s="83"/>
      <c r="DS62" s="83"/>
      <c r="DT62" s="83"/>
      <c r="DU62" s="83"/>
      <c r="DV62" s="83"/>
      <c r="DW62" s="83"/>
      <c r="DX62" s="109"/>
      <c r="DY62" s="83"/>
      <c r="DZ62" s="83"/>
      <c r="EA62" s="83"/>
      <c r="EB62" s="83"/>
      <c r="EC62" s="83"/>
      <c r="ED62" s="83"/>
      <c r="EE62" s="109"/>
      <c r="EF62" s="83"/>
      <c r="EG62" s="83"/>
      <c r="EH62" s="83"/>
      <c r="EI62" s="83"/>
      <c r="EJ62" s="83"/>
      <c r="EK62" s="83"/>
      <c r="EL62" s="109"/>
      <c r="EM62" s="83"/>
      <c r="EN62" s="83"/>
      <c r="EO62" s="84">
        <f t="shared" si="5"/>
        <v>8</v>
      </c>
      <c r="EP62" s="84">
        <f t="shared" si="6"/>
        <v>16</v>
      </c>
    </row>
    <row r="63" spans="1:146" s="85" customFormat="1" x14ac:dyDescent="0.25">
      <c r="A63" s="78">
        <v>58</v>
      </c>
      <c r="B63" s="79">
        <v>194</v>
      </c>
      <c r="C63" s="80" t="s">
        <v>157</v>
      </c>
      <c r="D63" s="81" t="s">
        <v>158</v>
      </c>
      <c r="E63" s="82" t="s">
        <v>8</v>
      </c>
      <c r="F63" s="83"/>
      <c r="G63" s="83"/>
      <c r="H63" s="83"/>
      <c r="I63" s="109"/>
      <c r="J63" s="83"/>
      <c r="K63" s="112"/>
      <c r="L63" s="83"/>
      <c r="M63" s="83"/>
      <c r="N63" s="83"/>
      <c r="O63" s="83"/>
      <c r="P63" s="109"/>
      <c r="Q63" s="112"/>
      <c r="R63" s="83"/>
      <c r="S63" s="83"/>
      <c r="T63" s="83"/>
      <c r="U63" s="112"/>
      <c r="V63" s="83"/>
      <c r="W63" s="109"/>
      <c r="X63" s="83" t="s">
        <v>165</v>
      </c>
      <c r="Y63" s="83" t="s">
        <v>165</v>
      </c>
      <c r="Z63" s="83" t="s">
        <v>165</v>
      </c>
      <c r="AA63" s="83" t="s">
        <v>165</v>
      </c>
      <c r="AB63" s="83" t="s">
        <v>165</v>
      </c>
      <c r="AC63" s="83" t="s">
        <v>165</v>
      </c>
      <c r="AD63" s="109"/>
      <c r="AE63" s="83" t="s">
        <v>165</v>
      </c>
      <c r="AF63" s="83" t="s">
        <v>165</v>
      </c>
      <c r="AG63" s="83" t="s">
        <v>165</v>
      </c>
      <c r="AH63" s="83" t="s">
        <v>165</v>
      </c>
      <c r="AI63" s="83" t="s">
        <v>165</v>
      </c>
      <c r="AJ63" s="83" t="s">
        <v>165</v>
      </c>
      <c r="AK63" s="109"/>
      <c r="AL63" s="83"/>
      <c r="AM63" s="83"/>
      <c r="AN63" s="83"/>
      <c r="AO63" s="83"/>
      <c r="AP63" s="83"/>
      <c r="AQ63" s="83"/>
      <c r="AR63" s="109"/>
      <c r="AS63" s="83"/>
      <c r="AT63" s="83"/>
      <c r="AU63" s="83"/>
      <c r="AV63" s="83"/>
      <c r="AW63" s="83"/>
      <c r="AX63" s="83"/>
      <c r="AY63" s="109"/>
      <c r="AZ63" s="83"/>
      <c r="BA63" s="83"/>
      <c r="BB63" s="83"/>
      <c r="BC63" s="83"/>
      <c r="BD63" s="83"/>
      <c r="BE63" s="83"/>
      <c r="BF63" s="109"/>
      <c r="BG63" s="83"/>
      <c r="BH63" s="83"/>
      <c r="BI63" s="83"/>
      <c r="BJ63" s="83"/>
      <c r="BK63" s="83"/>
      <c r="BL63" s="83"/>
      <c r="BM63" s="109"/>
      <c r="BN63" s="83"/>
      <c r="BO63" s="83"/>
      <c r="BP63" s="83"/>
      <c r="BQ63" s="83"/>
      <c r="BR63" s="83"/>
      <c r="BS63" s="83"/>
      <c r="BT63" s="109"/>
      <c r="BU63" s="83"/>
      <c r="BV63" s="83"/>
      <c r="BW63" s="83"/>
      <c r="BX63" s="83"/>
      <c r="BY63" s="83"/>
      <c r="BZ63" s="83"/>
      <c r="CA63" s="109"/>
      <c r="CB63" s="83"/>
      <c r="CC63" s="83"/>
      <c r="CD63" s="83"/>
      <c r="CE63" s="83"/>
      <c r="CF63" s="83"/>
      <c r="CG63" s="83"/>
      <c r="CH63" s="109"/>
      <c r="CI63" s="83"/>
      <c r="CJ63" s="83"/>
      <c r="CK63" s="83"/>
      <c r="CL63" s="83"/>
      <c r="CM63" s="83"/>
      <c r="CN63" s="83"/>
      <c r="CO63" s="109"/>
      <c r="CP63" s="83"/>
      <c r="CQ63" s="83"/>
      <c r="CR63" s="83"/>
      <c r="CS63" s="83"/>
      <c r="CT63" s="83"/>
      <c r="CU63" s="83"/>
      <c r="CV63" s="109"/>
      <c r="CW63" s="83"/>
      <c r="CX63" s="83"/>
      <c r="CY63" s="83"/>
      <c r="CZ63" s="83"/>
      <c r="DA63" s="83"/>
      <c r="DB63" s="83"/>
      <c r="DC63" s="109"/>
      <c r="DD63" s="83"/>
      <c r="DE63" s="83"/>
      <c r="DF63" s="83"/>
      <c r="DG63" s="83"/>
      <c r="DH63" s="83"/>
      <c r="DI63" s="83"/>
      <c r="DJ63" s="109"/>
      <c r="DK63" s="83"/>
      <c r="DL63" s="83"/>
      <c r="DM63" s="83"/>
      <c r="DN63" s="83"/>
      <c r="DO63" s="83"/>
      <c r="DP63" s="83"/>
      <c r="DQ63" s="109"/>
      <c r="DR63" s="83"/>
      <c r="DS63" s="83"/>
      <c r="DT63" s="83"/>
      <c r="DU63" s="83"/>
      <c r="DV63" s="83"/>
      <c r="DW63" s="83"/>
      <c r="DX63" s="109"/>
      <c r="DY63" s="83"/>
      <c r="DZ63" s="83"/>
      <c r="EA63" s="83"/>
      <c r="EB63" s="83"/>
      <c r="EC63" s="83"/>
      <c r="ED63" s="83"/>
      <c r="EE63" s="109"/>
      <c r="EF63" s="83"/>
      <c r="EG63" s="83"/>
      <c r="EH63" s="83"/>
      <c r="EI63" s="83"/>
      <c r="EJ63" s="83"/>
      <c r="EK63" s="83"/>
      <c r="EL63" s="109"/>
      <c r="EM63" s="83"/>
      <c r="EN63" s="83"/>
      <c r="EO63" s="84">
        <f t="shared" si="5"/>
        <v>0</v>
      </c>
      <c r="EP63" s="84">
        <f t="shared" si="6"/>
        <v>12</v>
      </c>
    </row>
    <row r="64" spans="1:146" x14ac:dyDescent="0.25">
      <c r="A64" s="28">
        <v>59</v>
      </c>
      <c r="B64" s="19">
        <v>195</v>
      </c>
      <c r="C64" s="20" t="s">
        <v>159</v>
      </c>
      <c r="D64" s="20" t="s">
        <v>160</v>
      </c>
      <c r="E64" s="11" t="s">
        <v>8</v>
      </c>
      <c r="F64" s="16" t="s">
        <v>165</v>
      </c>
      <c r="G64" s="16" t="s">
        <v>166</v>
      </c>
      <c r="H64" s="16" t="s">
        <v>166</v>
      </c>
      <c r="I64" s="109"/>
      <c r="J64" s="16" t="s">
        <v>166</v>
      </c>
      <c r="K64" s="112"/>
      <c r="L64" s="16" t="s">
        <v>166</v>
      </c>
      <c r="M64" s="16" t="s">
        <v>166</v>
      </c>
      <c r="N64" s="16" t="s">
        <v>166</v>
      </c>
      <c r="O64" s="16" t="s">
        <v>166</v>
      </c>
      <c r="P64" s="109"/>
      <c r="Q64" s="112"/>
      <c r="R64" s="16" t="s">
        <v>166</v>
      </c>
      <c r="S64" s="16" t="s">
        <v>166</v>
      </c>
      <c r="T64" s="16" t="s">
        <v>166</v>
      </c>
      <c r="U64" s="112"/>
      <c r="V64" s="16" t="s">
        <v>165</v>
      </c>
      <c r="W64" s="109"/>
      <c r="X64" s="16" t="s">
        <v>166</v>
      </c>
      <c r="Y64" s="16" t="s">
        <v>166</v>
      </c>
      <c r="Z64" s="16" t="s">
        <v>166</v>
      </c>
      <c r="AA64" s="16" t="s">
        <v>166</v>
      </c>
      <c r="AB64" s="16" t="s">
        <v>165</v>
      </c>
      <c r="AC64" s="16" t="s">
        <v>166</v>
      </c>
      <c r="AD64" s="109"/>
      <c r="AE64" s="16" t="s">
        <v>166</v>
      </c>
      <c r="AF64" s="16" t="s">
        <v>166</v>
      </c>
      <c r="AG64" s="16" t="s">
        <v>166</v>
      </c>
      <c r="AH64" s="16" t="s">
        <v>166</v>
      </c>
      <c r="AI64" s="16" t="s">
        <v>166</v>
      </c>
      <c r="AJ64" s="16" t="s">
        <v>166</v>
      </c>
      <c r="AK64" s="109"/>
      <c r="AL64" s="16" t="s">
        <v>166</v>
      </c>
      <c r="AM64" s="16"/>
      <c r="AN64" s="16" t="s">
        <v>166</v>
      </c>
      <c r="AO64" s="16" t="s">
        <v>166</v>
      </c>
      <c r="AP64" s="16" t="s">
        <v>166</v>
      </c>
      <c r="AQ64" s="16" t="s">
        <v>166</v>
      </c>
      <c r="AR64" s="109"/>
      <c r="AS64" s="16" t="s">
        <v>166</v>
      </c>
      <c r="AT64" s="16" t="s">
        <v>166</v>
      </c>
      <c r="AU64" s="16" t="s">
        <v>166</v>
      </c>
      <c r="AV64" s="16" t="s">
        <v>166</v>
      </c>
      <c r="AW64" s="16"/>
      <c r="AX64" s="16"/>
      <c r="AY64" s="109"/>
      <c r="AZ64" s="16"/>
      <c r="BA64" s="16"/>
      <c r="BB64" s="16"/>
      <c r="BC64" s="16"/>
      <c r="BD64" s="16"/>
      <c r="BE64" s="16"/>
      <c r="BF64" s="109"/>
      <c r="BG64" s="16"/>
      <c r="BH64" s="16"/>
      <c r="BI64" s="16"/>
      <c r="BJ64" s="16"/>
      <c r="BK64" s="16"/>
      <c r="BL64" s="16"/>
      <c r="BM64" s="109"/>
      <c r="BN64" s="16"/>
      <c r="BO64" s="16"/>
      <c r="BP64" s="16"/>
      <c r="BQ64" s="16"/>
      <c r="BR64" s="16"/>
      <c r="BS64" s="16"/>
      <c r="BT64" s="109"/>
      <c r="BU64" s="16"/>
      <c r="BV64" s="16"/>
      <c r="BW64" s="16"/>
      <c r="BX64" s="16"/>
      <c r="BY64" s="16"/>
      <c r="BZ64" s="16"/>
      <c r="CA64" s="109"/>
      <c r="CB64" s="16"/>
      <c r="CC64" s="16"/>
      <c r="CD64" s="16"/>
      <c r="CE64" s="16"/>
      <c r="CF64" s="16"/>
      <c r="CG64" s="16"/>
      <c r="CH64" s="109"/>
      <c r="CI64" s="16"/>
      <c r="CJ64" s="16"/>
      <c r="CK64" s="16"/>
      <c r="CL64" s="16"/>
      <c r="CM64" s="16"/>
      <c r="CN64" s="16"/>
      <c r="CO64" s="109"/>
      <c r="CP64" s="16"/>
      <c r="CQ64" s="16"/>
      <c r="CR64" s="16"/>
      <c r="CS64" s="16"/>
      <c r="CT64" s="16"/>
      <c r="CU64" s="16"/>
      <c r="CV64" s="109"/>
      <c r="CW64" s="16"/>
      <c r="CX64" s="16"/>
      <c r="CY64" s="16"/>
      <c r="CZ64" s="16"/>
      <c r="DA64" s="16"/>
      <c r="DB64" s="16"/>
      <c r="DC64" s="109"/>
      <c r="DD64" s="16"/>
      <c r="DE64" s="16"/>
      <c r="DF64" s="16"/>
      <c r="DG64" s="16"/>
      <c r="DH64" s="16"/>
      <c r="DI64" s="16"/>
      <c r="DJ64" s="109"/>
      <c r="DK64" s="16"/>
      <c r="DL64" s="16"/>
      <c r="DM64" s="16"/>
      <c r="DN64" s="16"/>
      <c r="DO64" s="16"/>
      <c r="DP64" s="16"/>
      <c r="DQ64" s="109"/>
      <c r="DR64" s="16"/>
      <c r="DS64" s="16"/>
      <c r="DT64" s="16"/>
      <c r="DU64" s="16"/>
      <c r="DV64" s="16"/>
      <c r="DW64" s="16"/>
      <c r="DX64" s="109"/>
      <c r="DY64" s="16"/>
      <c r="DZ64" s="16"/>
      <c r="EA64" s="16"/>
      <c r="EB64" s="16"/>
      <c r="EC64" s="16"/>
      <c r="ED64" s="16"/>
      <c r="EE64" s="109"/>
      <c r="EF64" s="16"/>
      <c r="EG64" s="16"/>
      <c r="EH64" s="16"/>
      <c r="EI64" s="16"/>
      <c r="EJ64" s="16"/>
      <c r="EK64" s="16"/>
      <c r="EL64" s="109"/>
      <c r="EM64" s="16"/>
      <c r="EN64" s="16"/>
      <c r="EO64" s="5">
        <f t="shared" si="5"/>
        <v>30</v>
      </c>
      <c r="EP64" s="5">
        <f t="shared" si="6"/>
        <v>3</v>
      </c>
    </row>
    <row r="65" spans="1:146" x14ac:dyDescent="0.25">
      <c r="A65" s="17">
        <v>60</v>
      </c>
      <c r="B65" s="19"/>
      <c r="C65" s="20" t="s">
        <v>161</v>
      </c>
      <c r="D65" s="21" t="s">
        <v>162</v>
      </c>
      <c r="E65" s="11" t="s">
        <v>8</v>
      </c>
      <c r="F65" s="16"/>
      <c r="G65" s="16"/>
      <c r="H65" s="16"/>
      <c r="I65" s="109"/>
      <c r="J65" s="16"/>
      <c r="K65" s="112"/>
      <c r="L65" s="16"/>
      <c r="M65" s="16"/>
      <c r="N65" s="16"/>
      <c r="O65" s="16"/>
      <c r="P65" s="109"/>
      <c r="Q65" s="112"/>
      <c r="R65" s="16"/>
      <c r="S65" s="16"/>
      <c r="T65" s="16"/>
      <c r="U65" s="112"/>
      <c r="V65" s="16"/>
      <c r="W65" s="109"/>
      <c r="X65" s="16"/>
      <c r="Y65" s="16"/>
      <c r="Z65" s="16"/>
      <c r="AA65" s="16"/>
      <c r="AB65" s="16"/>
      <c r="AC65" s="16"/>
      <c r="AD65" s="109"/>
      <c r="AE65" s="16"/>
      <c r="AF65" s="16"/>
      <c r="AG65" s="16"/>
      <c r="AH65" s="16"/>
      <c r="AI65" s="16"/>
      <c r="AJ65" s="16"/>
      <c r="AK65" s="109"/>
      <c r="AL65" s="16" t="s">
        <v>166</v>
      </c>
      <c r="AM65" s="16"/>
      <c r="AN65" s="16" t="s">
        <v>166</v>
      </c>
      <c r="AO65" s="16" t="s">
        <v>166</v>
      </c>
      <c r="AP65" s="16" t="s">
        <v>166</v>
      </c>
      <c r="AQ65" s="16" t="s">
        <v>166</v>
      </c>
      <c r="AR65" s="109"/>
      <c r="AS65" s="16" t="s">
        <v>166</v>
      </c>
      <c r="AT65" s="16" t="s">
        <v>166</v>
      </c>
      <c r="AU65" s="16" t="s">
        <v>166</v>
      </c>
      <c r="AV65" s="16" t="s">
        <v>166</v>
      </c>
      <c r="AW65" s="16"/>
      <c r="AX65" s="16"/>
      <c r="AY65" s="109"/>
      <c r="AZ65" s="16"/>
      <c r="BA65" s="16"/>
      <c r="BB65" s="16"/>
      <c r="BC65" s="16"/>
      <c r="BD65" s="16"/>
      <c r="BE65" s="16"/>
      <c r="BF65" s="109"/>
      <c r="BG65" s="16"/>
      <c r="BH65" s="16"/>
      <c r="BI65" s="16"/>
      <c r="BJ65" s="16"/>
      <c r="BK65" s="16"/>
      <c r="BL65" s="16"/>
      <c r="BM65" s="109"/>
      <c r="BN65" s="16"/>
      <c r="BO65" s="16"/>
      <c r="BP65" s="16"/>
      <c r="BQ65" s="16"/>
      <c r="BR65" s="16"/>
      <c r="BS65" s="16"/>
      <c r="BT65" s="109"/>
      <c r="BU65" s="16"/>
      <c r="BV65" s="16"/>
      <c r="BW65" s="16"/>
      <c r="BX65" s="16"/>
      <c r="BY65" s="16"/>
      <c r="BZ65" s="16"/>
      <c r="CA65" s="109"/>
      <c r="CB65" s="16"/>
      <c r="CC65" s="16"/>
      <c r="CD65" s="16"/>
      <c r="CE65" s="16"/>
      <c r="CF65" s="16"/>
      <c r="CG65" s="16"/>
      <c r="CH65" s="109"/>
      <c r="CI65" s="16"/>
      <c r="CJ65" s="16"/>
      <c r="CK65" s="16"/>
      <c r="CL65" s="16"/>
      <c r="CM65" s="16"/>
      <c r="CN65" s="16"/>
      <c r="CO65" s="109"/>
      <c r="CP65" s="16"/>
      <c r="CQ65" s="16"/>
      <c r="CR65" s="16"/>
      <c r="CS65" s="16"/>
      <c r="CT65" s="16"/>
      <c r="CU65" s="16"/>
      <c r="CV65" s="109"/>
      <c r="CW65" s="16"/>
      <c r="CX65" s="16"/>
      <c r="CY65" s="16"/>
      <c r="CZ65" s="16"/>
      <c r="DA65" s="16"/>
      <c r="DB65" s="16"/>
      <c r="DC65" s="109"/>
      <c r="DD65" s="16"/>
      <c r="DE65" s="16"/>
      <c r="DF65" s="16"/>
      <c r="DG65" s="16"/>
      <c r="DH65" s="16"/>
      <c r="DI65" s="16"/>
      <c r="DJ65" s="109"/>
      <c r="DK65" s="16"/>
      <c r="DL65" s="16"/>
      <c r="DM65" s="16"/>
      <c r="DN65" s="16"/>
      <c r="DO65" s="16"/>
      <c r="DP65" s="16"/>
      <c r="DQ65" s="109"/>
      <c r="DR65" s="16"/>
      <c r="DS65" s="16"/>
      <c r="DT65" s="16"/>
      <c r="DU65" s="16"/>
      <c r="DV65" s="16"/>
      <c r="DW65" s="16"/>
      <c r="DX65" s="109"/>
      <c r="DY65" s="16"/>
      <c r="DZ65" s="16"/>
      <c r="EA65" s="16"/>
      <c r="EB65" s="16"/>
      <c r="EC65" s="16"/>
      <c r="ED65" s="16"/>
      <c r="EE65" s="109"/>
      <c r="EF65" s="16"/>
      <c r="EG65" s="16"/>
      <c r="EH65" s="16"/>
      <c r="EI65" s="16"/>
      <c r="EJ65" s="16"/>
      <c r="EK65" s="16"/>
      <c r="EL65" s="109"/>
      <c r="EM65" s="16"/>
      <c r="EN65" s="16"/>
      <c r="EO65" s="5">
        <f t="shared" si="5"/>
        <v>9</v>
      </c>
      <c r="EP65" s="5">
        <f t="shared" si="6"/>
        <v>0</v>
      </c>
    </row>
    <row r="66" spans="1:146" x14ac:dyDescent="0.25">
      <c r="A66" s="88">
        <v>61</v>
      </c>
      <c r="B66" s="89"/>
      <c r="C66" s="90" t="s">
        <v>163</v>
      </c>
      <c r="D66" s="91" t="s">
        <v>164</v>
      </c>
      <c r="E66" s="92" t="s">
        <v>8</v>
      </c>
      <c r="F66" s="93"/>
      <c r="G66" s="93"/>
      <c r="H66" s="93"/>
      <c r="I66" s="109"/>
      <c r="J66" s="93"/>
      <c r="K66" s="112"/>
      <c r="L66" s="93"/>
      <c r="M66" s="93"/>
      <c r="N66" s="93"/>
      <c r="O66" s="93"/>
      <c r="P66" s="109"/>
      <c r="Q66" s="112"/>
      <c r="R66" s="93"/>
      <c r="S66" s="93"/>
      <c r="T66" s="93"/>
      <c r="U66" s="112"/>
      <c r="V66" s="93"/>
      <c r="W66" s="109"/>
      <c r="X66" s="93"/>
      <c r="Y66" s="93"/>
      <c r="Z66" s="93"/>
      <c r="AA66" s="93"/>
      <c r="AB66" s="93"/>
      <c r="AC66" s="93"/>
      <c r="AD66" s="109"/>
      <c r="AE66" s="93"/>
      <c r="AF66" s="93"/>
      <c r="AG66" s="93"/>
      <c r="AH66" s="93"/>
      <c r="AI66" s="93"/>
      <c r="AJ66" s="93"/>
      <c r="AK66" s="109"/>
      <c r="AL66" s="93" t="s">
        <v>166</v>
      </c>
      <c r="AM66" s="93"/>
      <c r="AN66" s="93" t="s">
        <v>166</v>
      </c>
      <c r="AO66" s="93" t="s">
        <v>165</v>
      </c>
      <c r="AP66" s="93" t="s">
        <v>166</v>
      </c>
      <c r="AQ66" s="93" t="s">
        <v>165</v>
      </c>
      <c r="AR66" s="109"/>
      <c r="AS66" s="93" t="s">
        <v>166</v>
      </c>
      <c r="AT66" s="93" t="s">
        <v>165</v>
      </c>
      <c r="AU66" s="93" t="s">
        <v>166</v>
      </c>
      <c r="AV66" s="93" t="s">
        <v>166</v>
      </c>
      <c r="AW66" s="93"/>
      <c r="AX66" s="93"/>
      <c r="AY66" s="109"/>
      <c r="AZ66" s="93"/>
      <c r="BA66" s="93"/>
      <c r="BB66" s="93"/>
      <c r="BC66" s="93"/>
      <c r="BD66" s="93"/>
      <c r="BE66" s="93"/>
      <c r="BF66" s="109"/>
      <c r="BG66" s="93"/>
      <c r="BH66" s="93"/>
      <c r="BI66" s="93"/>
      <c r="BJ66" s="93"/>
      <c r="BK66" s="93"/>
      <c r="BL66" s="93"/>
      <c r="BM66" s="109"/>
      <c r="BN66" s="93"/>
      <c r="BO66" s="93"/>
      <c r="BP66" s="93"/>
      <c r="BQ66" s="93"/>
      <c r="BR66" s="93"/>
      <c r="BS66" s="93"/>
      <c r="BT66" s="109"/>
      <c r="BU66" s="93"/>
      <c r="BV66" s="93"/>
      <c r="BW66" s="93"/>
      <c r="BX66" s="93"/>
      <c r="BY66" s="93"/>
      <c r="BZ66" s="93"/>
      <c r="CA66" s="109"/>
      <c r="CB66" s="93"/>
      <c r="CC66" s="93"/>
      <c r="CD66" s="93"/>
      <c r="CE66" s="93"/>
      <c r="CF66" s="93"/>
      <c r="CG66" s="93"/>
      <c r="CH66" s="109"/>
      <c r="CI66" s="93"/>
      <c r="CJ66" s="93"/>
      <c r="CK66" s="93"/>
      <c r="CL66" s="93"/>
      <c r="CM66" s="93"/>
      <c r="CN66" s="93"/>
      <c r="CO66" s="109"/>
      <c r="CP66" s="93"/>
      <c r="CQ66" s="93"/>
      <c r="CR66" s="93"/>
      <c r="CS66" s="93"/>
      <c r="CT66" s="93"/>
      <c r="CU66" s="93"/>
      <c r="CV66" s="109"/>
      <c r="CW66" s="93"/>
      <c r="CX66" s="93"/>
      <c r="CY66" s="93"/>
      <c r="CZ66" s="93"/>
      <c r="DA66" s="93"/>
      <c r="DB66" s="93"/>
      <c r="DC66" s="109"/>
      <c r="DD66" s="93"/>
      <c r="DE66" s="93"/>
      <c r="DF66" s="93"/>
      <c r="DG66" s="93"/>
      <c r="DH66" s="93"/>
      <c r="DI66" s="93"/>
      <c r="DJ66" s="109"/>
      <c r="DK66" s="93"/>
      <c r="DL66" s="93"/>
      <c r="DM66" s="93"/>
      <c r="DN66" s="93"/>
      <c r="DO66" s="93"/>
      <c r="DP66" s="93"/>
      <c r="DQ66" s="109"/>
      <c r="DR66" s="93"/>
      <c r="DS66" s="93"/>
      <c r="DT66" s="93"/>
      <c r="DU66" s="93"/>
      <c r="DV66" s="93"/>
      <c r="DW66" s="93"/>
      <c r="DX66" s="109"/>
      <c r="DY66" s="93"/>
      <c r="DZ66" s="93"/>
      <c r="EA66" s="93"/>
      <c r="EB66" s="93"/>
      <c r="EC66" s="93"/>
      <c r="ED66" s="93"/>
      <c r="EE66" s="109"/>
      <c r="EF66" s="93"/>
      <c r="EG66" s="93"/>
      <c r="EH66" s="93"/>
      <c r="EI66" s="93"/>
      <c r="EJ66" s="93"/>
      <c r="EK66" s="93"/>
      <c r="EL66" s="109"/>
      <c r="EM66" s="93"/>
      <c r="EN66" s="93"/>
      <c r="EO66" s="94">
        <f t="shared" si="5"/>
        <v>6</v>
      </c>
      <c r="EP66" s="94">
        <f t="shared" si="6"/>
        <v>3</v>
      </c>
    </row>
    <row r="67" spans="1:146" x14ac:dyDescent="0.25">
      <c r="A67" s="17">
        <v>62</v>
      </c>
      <c r="B67" s="95"/>
      <c r="C67" s="95" t="s">
        <v>172</v>
      </c>
      <c r="D67" s="95" t="s">
        <v>58</v>
      </c>
      <c r="E67" s="92" t="s">
        <v>8</v>
      </c>
      <c r="F67" s="95"/>
      <c r="G67" s="95"/>
      <c r="H67" s="95"/>
      <c r="I67" s="109"/>
      <c r="J67" s="95"/>
      <c r="K67" s="112"/>
      <c r="L67" s="95"/>
      <c r="M67" s="95"/>
      <c r="N67" s="95"/>
      <c r="O67" s="95"/>
      <c r="P67" s="109"/>
      <c r="Q67" s="112"/>
      <c r="R67" s="95"/>
      <c r="S67" s="95"/>
      <c r="T67" s="95"/>
      <c r="U67" s="112"/>
      <c r="V67" s="95"/>
      <c r="W67" s="109"/>
      <c r="X67" s="95"/>
      <c r="Y67" s="95"/>
      <c r="Z67" s="95"/>
      <c r="AA67" s="95"/>
      <c r="AB67" s="95"/>
      <c r="AC67" s="95"/>
      <c r="AD67" s="109"/>
      <c r="AE67" s="95"/>
      <c r="AF67" s="95"/>
      <c r="AG67" s="95"/>
      <c r="AH67" s="95"/>
      <c r="AI67" s="95"/>
      <c r="AJ67" s="95"/>
      <c r="AK67" s="109"/>
      <c r="AL67" s="95"/>
      <c r="AM67" s="95"/>
      <c r="AN67" s="95"/>
      <c r="AO67" s="95"/>
      <c r="AP67" s="95"/>
      <c r="AQ67" s="95"/>
      <c r="AR67" s="109"/>
      <c r="AS67" s="93"/>
      <c r="AT67" s="93" t="s">
        <v>166</v>
      </c>
      <c r="AU67" s="93" t="s">
        <v>166</v>
      </c>
      <c r="AV67" s="93" t="s">
        <v>166</v>
      </c>
      <c r="AW67" s="95"/>
      <c r="AX67" s="95"/>
      <c r="AY67" s="109"/>
      <c r="AZ67" s="95"/>
      <c r="BA67" s="95"/>
      <c r="BB67" s="95"/>
      <c r="BC67" s="95"/>
      <c r="BD67" s="95"/>
      <c r="BE67" s="95"/>
      <c r="BF67" s="109"/>
      <c r="BG67" s="95"/>
      <c r="BH67" s="95"/>
      <c r="BI67" s="95"/>
      <c r="BJ67" s="95"/>
      <c r="BK67" s="95"/>
      <c r="BL67" s="95"/>
      <c r="BM67" s="109"/>
      <c r="BN67" s="95"/>
      <c r="BO67" s="95"/>
      <c r="BP67" s="95"/>
      <c r="BQ67" s="95"/>
      <c r="BR67" s="95"/>
      <c r="BS67" s="95"/>
      <c r="BT67" s="109"/>
      <c r="BU67" s="95"/>
      <c r="BV67" s="95"/>
      <c r="BW67" s="95"/>
      <c r="BX67" s="95"/>
      <c r="BY67" s="95"/>
      <c r="BZ67" s="95"/>
      <c r="CA67" s="109"/>
      <c r="CB67" s="95"/>
      <c r="CC67" s="95"/>
      <c r="CD67" s="95"/>
      <c r="CE67" s="95"/>
      <c r="CF67" s="95"/>
      <c r="CG67" s="95"/>
      <c r="CH67" s="109"/>
      <c r="CI67" s="95"/>
      <c r="CJ67" s="95"/>
      <c r="CK67" s="95"/>
      <c r="CL67" s="95"/>
      <c r="CM67" s="95"/>
      <c r="CN67" s="95"/>
      <c r="CO67" s="109"/>
      <c r="CP67" s="95"/>
      <c r="CQ67" s="95"/>
      <c r="CR67" s="95"/>
      <c r="CS67" s="95"/>
      <c r="CT67" s="95"/>
      <c r="CU67" s="95"/>
      <c r="CV67" s="109"/>
      <c r="CW67" s="95"/>
      <c r="CX67" s="95"/>
      <c r="CY67" s="95"/>
      <c r="CZ67" s="95"/>
      <c r="DA67" s="95"/>
      <c r="DB67" s="95"/>
      <c r="DC67" s="109"/>
      <c r="DD67" s="95"/>
      <c r="DE67" s="95"/>
      <c r="DF67" s="95"/>
      <c r="DG67" s="95"/>
      <c r="DH67" s="95"/>
      <c r="DI67" s="95"/>
      <c r="DJ67" s="109"/>
      <c r="DK67" s="95"/>
      <c r="DL67" s="95"/>
      <c r="DM67" s="95"/>
      <c r="DN67" s="95"/>
      <c r="DO67" s="95"/>
      <c r="DP67" s="95"/>
      <c r="DQ67" s="109"/>
      <c r="DR67" s="95"/>
      <c r="DS67" s="95"/>
      <c r="DT67" s="95"/>
      <c r="DU67" s="95"/>
      <c r="DV67" s="95"/>
      <c r="DW67" s="95"/>
      <c r="DX67" s="109"/>
      <c r="DY67" s="95"/>
      <c r="DZ67" s="95"/>
      <c r="EA67" s="95"/>
      <c r="EB67" s="95"/>
      <c r="EC67" s="95"/>
      <c r="ED67" s="95"/>
      <c r="EE67" s="109"/>
      <c r="EF67" s="95"/>
      <c r="EG67" s="95"/>
      <c r="EH67" s="95"/>
      <c r="EI67" s="95"/>
      <c r="EJ67" s="95"/>
      <c r="EK67" s="95"/>
      <c r="EL67" s="109"/>
      <c r="EM67" s="95"/>
      <c r="EN67" s="95"/>
      <c r="EO67" s="94">
        <f t="shared" si="5"/>
        <v>3</v>
      </c>
      <c r="EP67" s="94">
        <f t="shared" si="6"/>
        <v>0</v>
      </c>
    </row>
    <row r="68" spans="1:146" x14ac:dyDescent="0.25">
      <c r="A68" s="17">
        <v>63</v>
      </c>
      <c r="B68" s="95"/>
      <c r="C68" s="95" t="s">
        <v>157</v>
      </c>
      <c r="D68" s="95" t="s">
        <v>158</v>
      </c>
      <c r="E68" s="92" t="s">
        <v>8</v>
      </c>
      <c r="F68" s="95"/>
      <c r="G68" s="95"/>
      <c r="H68" s="95"/>
      <c r="I68" s="110"/>
      <c r="J68" s="95"/>
      <c r="K68" s="113"/>
      <c r="L68" s="95"/>
      <c r="M68" s="95"/>
      <c r="N68" s="95"/>
      <c r="O68" s="95"/>
      <c r="P68" s="110"/>
      <c r="Q68" s="113"/>
      <c r="R68" s="95"/>
      <c r="S68" s="95"/>
      <c r="T68" s="95"/>
      <c r="U68" s="113"/>
      <c r="V68" s="95"/>
      <c r="W68" s="110"/>
      <c r="X68" s="95"/>
      <c r="Y68" s="95"/>
      <c r="Z68" s="95"/>
      <c r="AA68" s="95"/>
      <c r="AB68" s="95"/>
      <c r="AC68" s="95"/>
      <c r="AD68" s="110"/>
      <c r="AE68" s="95"/>
      <c r="AF68" s="95"/>
      <c r="AG68" s="95"/>
      <c r="AH68" s="95"/>
      <c r="AI68" s="95"/>
      <c r="AJ68" s="95"/>
      <c r="AK68" s="110"/>
      <c r="AL68" s="95"/>
      <c r="AM68" s="95"/>
      <c r="AN68" s="95"/>
      <c r="AO68" s="95"/>
      <c r="AP68" s="95"/>
      <c r="AQ68" s="95"/>
      <c r="AR68" s="110"/>
      <c r="AS68" s="95"/>
      <c r="AT68" s="16"/>
      <c r="AU68" s="16"/>
      <c r="AV68" s="16" t="s">
        <v>166</v>
      </c>
      <c r="AW68" s="95"/>
      <c r="AX68" s="95"/>
      <c r="AY68" s="110"/>
      <c r="AZ68" s="95"/>
      <c r="BA68" s="95"/>
      <c r="BB68" s="95"/>
      <c r="BC68" s="95"/>
      <c r="BD68" s="95"/>
      <c r="BE68" s="95"/>
      <c r="BF68" s="110"/>
      <c r="BG68" s="95"/>
      <c r="BH68" s="95"/>
      <c r="BI68" s="95"/>
      <c r="BJ68" s="95"/>
      <c r="BK68" s="95"/>
      <c r="BL68" s="95"/>
      <c r="BM68" s="110"/>
      <c r="BN68" s="95"/>
      <c r="BO68" s="95"/>
      <c r="BP68" s="95"/>
      <c r="BQ68" s="95"/>
      <c r="BR68" s="95"/>
      <c r="BS68" s="95"/>
      <c r="BT68" s="110"/>
      <c r="BU68" s="95"/>
      <c r="BV68" s="95"/>
      <c r="BW68" s="95"/>
      <c r="BX68" s="95"/>
      <c r="BY68" s="95"/>
      <c r="BZ68" s="95"/>
      <c r="CA68" s="110"/>
      <c r="CB68" s="95"/>
      <c r="CC68" s="95"/>
      <c r="CD68" s="95"/>
      <c r="CE68" s="95"/>
      <c r="CF68" s="95"/>
      <c r="CG68" s="95"/>
      <c r="CH68" s="110"/>
      <c r="CI68" s="95"/>
      <c r="CJ68" s="95"/>
      <c r="CK68" s="95"/>
      <c r="CL68" s="95"/>
      <c r="CM68" s="95"/>
      <c r="CN68" s="95"/>
      <c r="CO68" s="110"/>
      <c r="CP68" s="95"/>
      <c r="CQ68" s="95"/>
      <c r="CR68" s="95"/>
      <c r="CS68" s="95"/>
      <c r="CT68" s="95"/>
      <c r="CU68" s="95"/>
      <c r="CV68" s="110"/>
      <c r="CW68" s="95"/>
      <c r="CX68" s="95"/>
      <c r="CY68" s="95"/>
      <c r="CZ68" s="95"/>
      <c r="DA68" s="95"/>
      <c r="DB68" s="95"/>
      <c r="DC68" s="110"/>
      <c r="DD68" s="95"/>
      <c r="DE68" s="95"/>
      <c r="DF68" s="95"/>
      <c r="DG68" s="95"/>
      <c r="DH68" s="95"/>
      <c r="DI68" s="95"/>
      <c r="DJ68" s="110"/>
      <c r="DK68" s="95"/>
      <c r="DL68" s="95"/>
      <c r="DM68" s="95"/>
      <c r="DN68" s="95"/>
      <c r="DO68" s="95"/>
      <c r="DP68" s="95"/>
      <c r="DQ68" s="110"/>
      <c r="DR68" s="95"/>
      <c r="DS68" s="95"/>
      <c r="DT68" s="95"/>
      <c r="DU68" s="95"/>
      <c r="DV68" s="95"/>
      <c r="DW68" s="95"/>
      <c r="DX68" s="110"/>
      <c r="DY68" s="95"/>
      <c r="DZ68" s="95"/>
      <c r="EA68" s="95"/>
      <c r="EB68" s="95"/>
      <c r="EC68" s="95"/>
      <c r="ED68" s="95"/>
      <c r="EE68" s="110"/>
      <c r="EF68" s="95"/>
      <c r="EG68" s="95"/>
      <c r="EH68" s="95"/>
      <c r="EI68" s="95"/>
      <c r="EJ68" s="95"/>
      <c r="EK68" s="95"/>
      <c r="EL68" s="110"/>
      <c r="EM68" s="95"/>
      <c r="EN68" s="95"/>
      <c r="EO68" s="5">
        <f t="shared" si="5"/>
        <v>1</v>
      </c>
      <c r="EP68" s="5">
        <f t="shared" si="6"/>
        <v>0</v>
      </c>
    </row>
  </sheetData>
  <mergeCells count="36">
    <mergeCell ref="EL6:EL68"/>
    <mergeCell ref="EE6:EE68"/>
    <mergeCell ref="DX6:DX68"/>
    <mergeCell ref="DQ6:DQ68"/>
    <mergeCell ref="DJ6:DJ68"/>
    <mergeCell ref="DC6:DC68"/>
    <mergeCell ref="BM6:BM68"/>
    <mergeCell ref="BF6:BF68"/>
    <mergeCell ref="AY6:AY68"/>
    <mergeCell ref="AR6:AR68"/>
    <mergeCell ref="CV6:CV68"/>
    <mergeCell ref="CO6:CO68"/>
    <mergeCell ref="CH6:CH68"/>
    <mergeCell ref="CA6:CA68"/>
    <mergeCell ref="BT6:BT68"/>
    <mergeCell ref="AK6:AK68"/>
    <mergeCell ref="AD6:AD68"/>
    <mergeCell ref="W6:W68"/>
    <mergeCell ref="U6:U68"/>
    <mergeCell ref="Q6:Q68"/>
    <mergeCell ref="A1:AL1"/>
    <mergeCell ref="A2:AL2"/>
    <mergeCell ref="A3:AL3"/>
    <mergeCell ref="EQ4:ER4"/>
    <mergeCell ref="EQ9:ET9"/>
    <mergeCell ref="A4:A5"/>
    <mergeCell ref="B4:B5"/>
    <mergeCell ref="C4:C5"/>
    <mergeCell ref="D4:D5"/>
    <mergeCell ref="E4:E5"/>
    <mergeCell ref="P6:P68"/>
    <mergeCell ref="K6:K68"/>
    <mergeCell ref="I6:I68"/>
    <mergeCell ref="EQ17:ET17"/>
    <mergeCell ref="EO4:EO5"/>
    <mergeCell ref="EP4:EP5"/>
  </mergeCells>
  <conditionalFormatting sqref="F6:Q6 U6 W6 AD6 AK6 AR6:AY6 BF6 BM6 BT6 CA6 CH6 CO6 CV6 DC6 DJ6 DQ6 DX6 EE6 EL6 R6:T26 V6:V26 X6:AC26 AE6:AJ26 AL6:AQ26 AZ6:BE26 BG6:BL26 BN6:BS26 BU6:BZ26 CB6:CG26 CI6:CN26 CP6:CU26 CW6:DB26 DD6:DI26 DK6:DP26 DR6:DW26 DY6:ED26 EF6:EK26 EM6:EN26 F7:H26 J7:J26 L7:O26 AS7:AX26 F28:H33 J28:J33 L28:O33 R28:T33 V28:V33 X28:AC33 AE28:AJ33 AL28:AQ33 AS28:AX33 AZ28:BE33 BG28:BL33 BN28:BS33 BU28:BZ33 CB28:CG33 CI28:CN33 CP28:CU33 CW28:DB33 DD28:DI33 DK28:DP33 DR28:DW33 DY28:ED33 EF28:EK33 EM28:EN33 F35:H44 J35:J44 L35:O44 R35:T44 V35:V44 X35:AC44 AE35:AJ44 AL35:AQ44 AS35:AX44 AZ35:BE44 BG35:BL44 BN35:BS44 BU35:BZ44 CB35:CG44 CI35:CN44 CP35:CU44 CW35:DB44 DD35:DI44 DK35:DP44 DR35:DW44 DY35:ED44 EF35:EK44 EM35:EN44 F50:H50 J50 L50:O50 R50:T50 V50 X50:AC50 AE50:AJ50 AL50:AQ50 AS50:AX50 AZ50:BE50 BG50:BL50 BN50:BS50 BU50:BZ50 CB50:CG50 CI50:CN50 CP50:CU50 CW50:DB50 DD50:DI50 DK50:DP50 DR50:DW50 DY50:ED50 EF50:EK50 EM50:EN50 F52:H52 J52 L52:O52 R52:T52 V52 X52:AC52 AE52:AJ52 AL52:AQ52 AS52:AX52 AZ52:BE52 BG52:BL52 BN52:BS52 BU52:BZ52 CB52:CG52 CI52:CN52 CP52:CU52 CW52:DB52 DD52:DI52 DK52:DP52 DR52:DW52 DY52:ED52 EF52:EK52 EM52:EN52 F56:H57 J56:J57 L56:O57 R56:T57 V56:V57 X56:AC57 AE56:AJ57 AL56:AQ57 AS56:AX57 AZ56:BE57 BG56:BL57 BN56:BS57 BU56:BZ57 CB56:CG57 CI56:CN57 CP56:CU57 CW56:DB57 DD56:DI57 DK56:DP57 DR56:DW57 DY56:ED57 EF56:EK57 EM56:EN57 F60:H61 J60:J61 L60:O61 R60:T61 V60:V61 X60:AC61 AE60:AJ61 AL60:AQ61 AS60:AX61 AZ60:BE61 BG60:BL61 BN60:BS61 BU60:BZ61 CB60:CG61 CI60:CN61 CP60:CU61 CW60:DB61 DD60:DI61 DK60:DP61 DR60:DW61 DY60:ED61 EF60:EK61 EM60:EN61 F64:H66 J64:J66 L64:O66 R64:T66 V64:V66 X64:AC66 AE64:AJ66 AL64:AQ66 AS64:AX66 AZ64:BE66 BG64:BL66 BN64:BS66 BU64:BZ66 CB64:CG66 CI64:CN66 CP64:CU66 CW64:DB66 DD64:DI66 DK64:DP66 DR64:DW66 DY64:ED66 EF64:EK66 EM64:EN66 AS67:AV67 AT68:AV68 F5:EN5">
    <cfRule type="expression" dxfId="110" priority="15">
      <formula>IF(F$5=TODAY(),TRUE,FALSE)</formula>
    </cfRule>
  </conditionalFormatting>
  <conditionalFormatting sqref="F6:Q6 U6 W6 AD6 AK6 AR6:AY6 BF6 BM6 BT6 CA6 CH6 CO6 CV6 DC6 DJ6 DQ6 DX6 EE6 EL6 R6:T26 V6:V26 X6:AC26 AE6:AJ26 AL6:AQ26 AZ6:BE26 BG6:BL26 BN6:BS26 BU6:BZ26 CB6:CG26 CI6:CN26 CP6:CU26 CW6:DB26 DD6:DI26 DK6:DP26 DR6:DW26 DY6:ED26 EF6:EK26 EM6:EN26 F7:H26 J7:J26 L7:O26 AS7:AX26 F28:H33 J28:J33 L28:O33 R28:T33 V28:V33 X28:AC33 AE28:AJ33 AL28:AQ33 AS28:AX33 AZ28:BE33 BG28:BL33 BN28:BS33 BU28:BZ33 CB28:CG33 CI28:CN33 CP28:CU33 CW28:DB33 DD28:DI33 DK28:DP33 DR28:DW33 DY28:ED33 EF28:EK33 EM28:EN33 F35:H44 J35:J44 L35:O44 R35:T44 V35:V44 X35:AC44 AE35:AJ44 AL35:AQ44 AS35:AX44 AZ35:BE44 BG35:BL44 BN35:BS44 BU35:BZ44 CB35:CG44 CI35:CN44 CP35:CU44 CW35:DB44 DD35:DI44 DK35:DP44 DR35:DW44 DY35:ED44 EF35:EK44 EM35:EN44 F50:H50 J50 L50:O50 R50:T50 V50 X50:AC50 AE50:AJ50 AL50:AQ50 AS50:AX50 AZ50:BE50 BG50:BL50 BN50:BS50 BU50:BZ50 CB50:CG50 CI50:CN50 CP50:CU50 CW50:DB50 DD50:DI50 DK50:DP50 DR50:DW50 DY50:ED50 EF50:EK50 EM50:EN50 F52:H52 J52 L52:O52 R52:T52 V52 X52:AC52 AE52:AJ52 AL52:AQ52 AS52:AX52 AZ52:BE52 BG52:BL52 BN52:BS52 BU52:BZ52 CB52:CG52 CI52:CN52 CP52:CU52 CW52:DB52 DD52:DI52 DK52:DP52 DR52:DW52 DY52:ED52 EF52:EK52 EM52:EN52 F56:H57 J56:J57 L56:O57 R56:T57 V56:V57 X56:AC57 AE56:AJ57 AL56:AQ57 AS56:AX57 AZ56:BE57 BG56:BL57 BN56:BS57 BU56:BZ57 CB56:CG57 CI56:CN57 CP56:CU57 CW56:DB57 DD56:DI57 DK56:DP57 DR56:DW57 DY56:ED57 EF56:EK57 EM56:EN57 F60:H61 J60:J61 L60:O61 R60:T61 V60:V61 X60:AC61 AE60:AJ61 AL60:AQ61 AS60:AX61 AZ60:BE61 BG60:BL61 BN60:BS61 BU60:BZ61 CB60:CG61 CI60:CN61 CP60:CU61 CW60:DB61 DD60:DI61 DK60:DP61 DR60:DW61 DY60:ED61 EF60:EK61 EM60:EN61 F64:H66 J64:J66 L64:O66 R64:T66 V64:V66 X64:AC66 AE64:AJ66 AL64:AQ66 AS64:AX66 AZ64:BE66 BG64:BL66 BN64:BS66 BU64:BZ66 CB64:CG66 CI64:CN66 CP64:CU66 CW64:DB66 DD64:DI66 DK64:DP66 DR64:DW66 DY64:ED66 EF64:EK66 EM64:EN66 AS67:AV67 AT68:AV68">
    <cfRule type="cellIs" dxfId="109" priority="2" operator="equal">
      <formula>"P"</formula>
    </cfRule>
  </conditionalFormatting>
  <conditionalFormatting sqref="F4:EN5 F6:Q6 U6 W6 AD6 AK6 AR6:AY6 BF6 BM6 BT6 CA6 CH6 CO6 CV6 DC6 DJ6 DQ6 DX6 EE6 EL6 R6:T26 V6:V26 X6:AC26 AE6:AJ26 AL6:AQ26 AZ6:BE26 BG6:BL26 BN6:BS26 BU6:BZ26 CB6:CG26 CI6:CN26 CP6:CU26 CW6:DB26 DD6:DI26 DK6:DP26 DR6:DW26 DY6:ED26 EF6:EK26 EM6:EN26 F7:H26 J7:J26 L7:O26 AS7:AX26 F28:H33 J28:J33 L28:O33 R28:T33 V28:V33 X28:AC33 AE28:AJ33 AL28:AQ33 AS28:AX33 AZ28:BE33 BG28:BL33 BN28:BS33 BU28:BZ33 CB28:CG33 CI28:CN33 CP28:CU33 CW28:DB33 DD28:DI33 DK28:DP33 DR28:DW33 DY28:ED33 EF28:EK33 EM28:EN33 F35:H44 J35:J44 L35:O44 R35:T44 V35:V44 X35:AC44 AE35:AJ44 AL35:AQ44 AS35:AX44 AZ35:BE44 BG35:BL44 BN35:BS44 BU35:BZ44 CB35:CG44 CI35:CN44 CP35:CU44 CW35:DB44 DD35:DI44 DK35:DP44 DR35:DW44 DY35:ED44 EF35:EK44 EM35:EN44 F50:H50 J50 L50:O50 R50:T50 V50 X50:AC50 AE50:AJ50 AL50:AQ50 AS50:AX50 AZ50:BE50 BG50:BL50 BN50:BS50 BU50:BZ50 CB50:CG50 CI50:CN50 CP50:CU50 CW50:DB50 DD50:DI50 DK50:DP50 DR50:DW50 DY50:ED50 EF50:EK50 EM50:EN50 F52:H52 J52 L52:O52 R52:T52 V52 X52:AC52 AE52:AJ52 AL52:AQ52 AS52:AX52 AZ52:BE52 BG52:BL52 BN52:BS52 BU52:BZ52 CB52:CG52 CI52:CN52 CP52:CU52 CW52:DB52 DD52:DI52 DK52:DP52 DR52:DW52 DY52:ED52 EF52:EK52 EM52:EN52 F56:H57 J56:J57 L56:O57 R56:T57 V56:V57 X56:AC57 AE56:AJ57 AL56:AQ57 AS56:AX57 AZ56:BE57 BG56:BL57 BN56:BS57 BU56:BZ57 CB56:CG57 CI56:CN57 CP56:CU57 CW56:DB57 DD56:DI57 DK56:DP57 DR56:DW57 DY56:ED57 EF56:EK57 EM56:EN57 F60:H61 J60:J61 L60:O61 R60:T61 V60:V61 X60:AC61 AE60:AJ61 AL60:AQ61 AS60:AX61 AZ60:BE61 BG60:BL61 BN60:BS61 BU60:BZ61 CB60:CG61 CI60:CN61 CP60:CU61 CW60:DB61 DD60:DI61 DK60:DP61 DR60:DW61 DY60:ED61 EF60:EK61 EM60:EN61 F64:H66 J64:J66 L64:O66 R64:T66 V64:V66 X64:AC66 AE64:AJ66 AL64:AQ66 AS64:AX66 AZ64:BE66 BG64:BL66 BN64:BS66 BU64:BZ66 CB64:CG66 CI64:CN66 CP64:CU66 CW64:DB66 DD64:DI66 DK64:DP66 DR64:DW66 DY64:ED66 EF64:EK66 EM64:EN66 AS67:AV67 AT68:AV68 EQ5:ER5">
    <cfRule type="expression" dxfId="108" priority="16">
      <formula>F$4="Sun"</formula>
    </cfRule>
  </conditionalFormatting>
  <conditionalFormatting sqref="F6:EN68">
    <cfRule type="cellIs" dxfId="107" priority="1" operator="equal">
      <formula>"A"</formula>
    </cfRule>
  </conditionalFormatting>
  <conditionalFormatting sqref="EO4:EP4 EO6:EP26 EO28:EP33 EO35:EP44 EO50:EP50 EO52:EP52 EO56:EP57 EO60:EP61 EO64:EP68">
    <cfRule type="expression" dxfId="106" priority="18">
      <formula>#REF!="Sun"</formula>
    </cfRule>
  </conditionalFormatting>
  <conditionalFormatting sqref="EQ6:EQ7">
    <cfRule type="expression" dxfId="105" priority="11">
      <formula>EQ$4="Sun"</formula>
    </cfRule>
  </conditionalFormatting>
  <conditionalFormatting sqref="EQ10:EQ13">
    <cfRule type="expression" dxfId="104" priority="5">
      <formula>EQ$4="Sun"</formula>
    </cfRule>
  </conditionalFormatting>
  <conditionalFormatting sqref="EQ18:EQ21">
    <cfRule type="expression" dxfId="103" priority="4">
      <formula>EQ$4="Sun"</formula>
    </cfRule>
  </conditionalFormatting>
  <conditionalFormatting sqref="ER10:ET10">
    <cfRule type="expression" dxfId="102" priority="6">
      <formula>ER$4="Sun"</formula>
    </cfRule>
  </conditionalFormatting>
  <conditionalFormatting sqref="ER18:ET18">
    <cfRule type="expression" dxfId="101" priority="3">
      <formula>ER$4="Sun"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70C8-DEAB-4FFC-9FCE-190F35A5CBE6}">
  <sheetPr>
    <tabColor rgb="FFC00000"/>
  </sheetPr>
  <dimension ref="A1:ET72"/>
  <sheetViews>
    <sheetView workbookViewId="0">
      <pane xSplit="5" ySplit="5" topLeftCell="F30" activePane="bottomRight" state="frozen"/>
      <selection pane="topRight" activeCell="F1" sqref="F1"/>
      <selection pane="bottomLeft" activeCell="A6" sqref="A6"/>
      <selection pane="bottomRight" activeCell="K6" sqref="K6:K72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 customWidth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6" width="3.7109375" style="1" bestFit="1" customWidth="1"/>
    <col min="37" max="37" width="3.85546875" style="1" bestFit="1" customWidth="1"/>
    <col min="38" max="38" width="4.5703125" style="1" bestFit="1" customWidth="1"/>
    <col min="39" max="39" width="3.85546875" style="1" bestFit="1" customWidth="1"/>
    <col min="40" max="40" width="4.7109375" style="1" bestFit="1" customWidth="1"/>
    <col min="41" max="41" width="3.85546875" style="1" bestFit="1" customWidth="1"/>
    <col min="42" max="43" width="3.7109375" style="1" bestFit="1" customWidth="1"/>
    <col min="44" max="44" width="3.85546875" style="1" bestFit="1" customWidth="1"/>
    <col min="45" max="45" width="4.5703125" style="1" bestFit="1" customWidth="1"/>
    <col min="46" max="46" width="3.85546875" style="1" bestFit="1" customWidth="1"/>
    <col min="47" max="47" width="4.7109375" style="1" bestFit="1" customWidth="1"/>
    <col min="48" max="48" width="3.85546875" style="1" bestFit="1" customWidth="1"/>
    <col min="49" max="50" width="3.7109375" style="1" bestFit="1" customWidth="1"/>
    <col min="51" max="51" width="3.85546875" style="1" bestFit="1" customWidth="1"/>
    <col min="52" max="52" width="4.5703125" style="1" bestFit="1" customWidth="1"/>
    <col min="53" max="53" width="3.85546875" style="1" bestFit="1" customWidth="1"/>
    <col min="54" max="54" width="4.7109375" style="1" bestFit="1" customWidth="1"/>
    <col min="55" max="55" width="3.85546875" style="1" bestFit="1" customWidth="1"/>
    <col min="56" max="57" width="3.7109375" style="1" bestFit="1" customWidth="1"/>
    <col min="58" max="58" width="3.85546875" style="1" bestFit="1" customWidth="1"/>
    <col min="59" max="59" width="4.5703125" style="1" bestFit="1" customWidth="1"/>
    <col min="60" max="60" width="3.85546875" style="1" bestFit="1" customWidth="1"/>
    <col min="61" max="61" width="4.7109375" style="1" bestFit="1" customWidth="1"/>
    <col min="62" max="62" width="3.85546875" style="1" bestFit="1" customWidth="1"/>
    <col min="63" max="64" width="3.7109375" style="1" bestFit="1" customWidth="1"/>
    <col min="65" max="65" width="3.85546875" style="1" bestFit="1" customWidth="1"/>
    <col min="66" max="66" width="4.5703125" style="1" bestFit="1" customWidth="1"/>
    <col min="67" max="67" width="3.85546875" style="1" bestFit="1" customWidth="1"/>
    <col min="68" max="68" width="4.7109375" style="1" bestFit="1" customWidth="1"/>
    <col min="69" max="69" width="3.85546875" style="1" bestFit="1" customWidth="1"/>
    <col min="70" max="71" width="3.7109375" style="1" bestFit="1" customWidth="1"/>
    <col min="72" max="72" width="3.85546875" style="1" bestFit="1" customWidth="1"/>
    <col min="73" max="73" width="4.5703125" style="1" bestFit="1" customWidth="1"/>
    <col min="74" max="74" width="3.85546875" style="1" bestFit="1" customWidth="1"/>
    <col min="75" max="75" width="4.7109375" style="1" bestFit="1" customWidth="1"/>
    <col min="76" max="76" width="3.85546875" style="1" bestFit="1" customWidth="1"/>
    <col min="77" max="78" width="3.7109375" style="1" bestFit="1" customWidth="1"/>
    <col min="79" max="79" width="3.85546875" style="1" bestFit="1" customWidth="1"/>
    <col min="80" max="80" width="4.5703125" style="1" bestFit="1" customWidth="1"/>
    <col min="81" max="81" width="3.85546875" style="1" bestFit="1" customWidth="1"/>
    <col min="82" max="82" width="4.7109375" style="1" bestFit="1" customWidth="1"/>
    <col min="83" max="83" width="3.85546875" style="1" bestFit="1" customWidth="1"/>
    <col min="84" max="85" width="3.7109375" style="1" bestFit="1" customWidth="1"/>
    <col min="86" max="86" width="3.85546875" style="1" bestFit="1" customWidth="1"/>
    <col min="87" max="87" width="4.5703125" style="1" bestFit="1" customWidth="1"/>
    <col min="88" max="88" width="3.85546875" style="1" bestFit="1" customWidth="1"/>
    <col min="89" max="89" width="4.7109375" style="1" bestFit="1" customWidth="1"/>
    <col min="90" max="90" width="3.85546875" style="1" bestFit="1" customWidth="1"/>
    <col min="91" max="92" width="3.7109375" style="1" bestFit="1" customWidth="1"/>
    <col min="93" max="93" width="3.85546875" style="1" bestFit="1" customWidth="1"/>
    <col min="94" max="94" width="4.5703125" style="1" bestFit="1" customWidth="1"/>
    <col min="95" max="95" width="3.85546875" style="1" bestFit="1" customWidth="1"/>
    <col min="96" max="96" width="4.7109375" style="1" bestFit="1" customWidth="1"/>
    <col min="97" max="97" width="3.85546875" style="1" bestFit="1" customWidth="1"/>
    <col min="98" max="99" width="3.7109375" style="1" bestFit="1" customWidth="1"/>
    <col min="100" max="100" width="3.85546875" style="1" bestFit="1" customWidth="1"/>
    <col min="101" max="101" width="4.5703125" style="1" bestFit="1" customWidth="1"/>
    <col min="102" max="102" width="3.85546875" style="1" bestFit="1" customWidth="1"/>
    <col min="103" max="103" width="4.7109375" style="1" bestFit="1" customWidth="1"/>
    <col min="104" max="104" width="3.85546875" style="1" bestFit="1" customWidth="1"/>
    <col min="105" max="106" width="3.7109375" style="1" bestFit="1" customWidth="1"/>
    <col min="107" max="107" width="3.85546875" style="1" bestFit="1" customWidth="1"/>
    <col min="108" max="108" width="4.5703125" style="1" bestFit="1" customWidth="1"/>
    <col min="109" max="109" width="3.85546875" style="1" bestFit="1" customWidth="1"/>
    <col min="110" max="110" width="4.7109375" style="1" bestFit="1" customWidth="1"/>
    <col min="111" max="111" width="3.85546875" style="1" bestFit="1" customWidth="1"/>
    <col min="112" max="113" width="3.7109375" style="1" bestFit="1" customWidth="1"/>
    <col min="114" max="114" width="3.85546875" style="1" bestFit="1" customWidth="1"/>
    <col min="115" max="115" width="4.5703125" style="1" bestFit="1" customWidth="1"/>
    <col min="116" max="116" width="3.85546875" style="1" bestFit="1" customWidth="1"/>
    <col min="117" max="117" width="4.7109375" style="1" bestFit="1" customWidth="1"/>
    <col min="118" max="118" width="3.85546875" style="1" bestFit="1" customWidth="1"/>
    <col min="119" max="120" width="3.7109375" style="1" bestFit="1" customWidth="1"/>
    <col min="121" max="121" width="3.85546875" style="1" bestFit="1" customWidth="1"/>
    <col min="122" max="122" width="4.5703125" style="1" bestFit="1" customWidth="1"/>
    <col min="123" max="123" width="3.85546875" style="1" bestFit="1" customWidth="1"/>
    <col min="124" max="124" width="4.7109375" style="1" bestFit="1" customWidth="1"/>
    <col min="125" max="125" width="3.85546875" style="1" bestFit="1" customWidth="1"/>
    <col min="126" max="127" width="3.7109375" style="1" bestFit="1" customWidth="1"/>
    <col min="128" max="128" width="3.85546875" style="1" bestFit="1" customWidth="1"/>
    <col min="129" max="129" width="4.5703125" style="1" bestFit="1" customWidth="1"/>
    <col min="130" max="130" width="3.85546875" style="1" bestFit="1" customWidth="1"/>
    <col min="131" max="131" width="4.7109375" style="1" bestFit="1" customWidth="1"/>
    <col min="132" max="132" width="3.85546875" style="1" bestFit="1" customWidth="1"/>
    <col min="133" max="134" width="3.7109375" style="1" bestFit="1" customWidth="1"/>
    <col min="135" max="135" width="3.85546875" style="1" bestFit="1" customWidth="1"/>
    <col min="136" max="136" width="4.5703125" style="1" bestFit="1" customWidth="1"/>
    <col min="137" max="137" width="3.85546875" style="1" bestFit="1" customWidth="1"/>
    <col min="138" max="138" width="4.7109375" style="1" bestFit="1" customWidth="1"/>
    <col min="139" max="139" width="3.85546875" style="1" bestFit="1" customWidth="1"/>
    <col min="140" max="141" width="3.7109375" style="1" bestFit="1" customWidth="1"/>
    <col min="142" max="142" width="3.85546875" style="1" bestFit="1" customWidth="1"/>
    <col min="143" max="143" width="4.5703125" style="1" bestFit="1" customWidth="1"/>
    <col min="144" max="144" width="3.85546875" style="1" bestFit="1" customWidth="1"/>
    <col min="145" max="146" width="6.7109375" style="1" bestFit="1" customWidth="1"/>
    <col min="147" max="147" width="18.5703125" style="1" bestFit="1" customWidth="1"/>
    <col min="148" max="148" width="5.85546875" style="1" bestFit="1" customWidth="1"/>
    <col min="149" max="149" width="14.28515625" style="1" bestFit="1" customWidth="1"/>
    <col min="150" max="150" width="6.7109375" style="1" bestFit="1" customWidth="1"/>
    <col min="151" max="16384" width="3.85546875" style="1"/>
  </cols>
  <sheetData>
    <row r="1" spans="1:150" ht="17.25" x14ac:dyDescent="0.3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</row>
    <row r="2" spans="1:150" ht="17.25" x14ac:dyDescent="0.25">
      <c r="A2" s="101" t="s">
        <v>48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</row>
    <row r="3" spans="1:150" ht="17.25" x14ac:dyDescent="0.3">
      <c r="A3" s="102" t="s">
        <v>47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</row>
    <row r="4" spans="1:150" ht="15.75" x14ac:dyDescent="0.25">
      <c r="A4" s="106" t="s">
        <v>0</v>
      </c>
      <c r="B4" s="106" t="s">
        <v>1</v>
      </c>
      <c r="C4" s="106" t="s">
        <v>2</v>
      </c>
      <c r="D4" s="106" t="s">
        <v>3</v>
      </c>
      <c r="E4" s="106" t="s">
        <v>4</v>
      </c>
      <c r="F4" s="2" t="str">
        <f t="shared" ref="F4:BQ4" si="0">TEXT(F5,"ddd")</f>
        <v>Thu</v>
      </c>
      <c r="G4" s="2" t="str">
        <f t="shared" si="0"/>
        <v>Fri</v>
      </c>
      <c r="H4" s="2" t="str">
        <f t="shared" si="0"/>
        <v>Sat</v>
      </c>
      <c r="I4" s="2" t="str">
        <f t="shared" si="0"/>
        <v>Sun</v>
      </c>
      <c r="J4" s="2" t="str">
        <f t="shared" si="0"/>
        <v>Mon</v>
      </c>
      <c r="K4" s="2" t="str">
        <f t="shared" si="0"/>
        <v>Tue</v>
      </c>
      <c r="L4" s="2" t="str">
        <f t="shared" si="0"/>
        <v>Wed</v>
      </c>
      <c r="M4" s="2" t="str">
        <f t="shared" si="0"/>
        <v>Thu</v>
      </c>
      <c r="N4" s="2" t="str">
        <f t="shared" si="0"/>
        <v>Fri</v>
      </c>
      <c r="O4" s="2" t="str">
        <f t="shared" si="0"/>
        <v>Sat</v>
      </c>
      <c r="P4" s="2" t="str">
        <f t="shared" si="0"/>
        <v>Sun</v>
      </c>
      <c r="Q4" s="2" t="str">
        <f t="shared" si="0"/>
        <v>Mon</v>
      </c>
      <c r="R4" s="2" t="str">
        <f t="shared" si="0"/>
        <v>Tue</v>
      </c>
      <c r="S4" s="2" t="str">
        <f t="shared" si="0"/>
        <v>Wed</v>
      </c>
      <c r="T4" s="2" t="str">
        <f t="shared" si="0"/>
        <v>Thu</v>
      </c>
      <c r="U4" s="2" t="str">
        <f t="shared" si="0"/>
        <v>Fri</v>
      </c>
      <c r="V4" s="2" t="str">
        <f t="shared" si="0"/>
        <v>Sat</v>
      </c>
      <c r="W4" s="2" t="str">
        <f t="shared" si="0"/>
        <v>Sun</v>
      </c>
      <c r="X4" s="2" t="str">
        <f t="shared" si="0"/>
        <v>Mon</v>
      </c>
      <c r="Y4" s="2" t="str">
        <f t="shared" si="0"/>
        <v>Tue</v>
      </c>
      <c r="Z4" s="2" t="str">
        <f t="shared" si="0"/>
        <v>Wed</v>
      </c>
      <c r="AA4" s="2" t="str">
        <f t="shared" si="0"/>
        <v>Thu</v>
      </c>
      <c r="AB4" s="2" t="str">
        <f t="shared" si="0"/>
        <v>Fri</v>
      </c>
      <c r="AC4" s="2" t="str">
        <f t="shared" si="0"/>
        <v>Sat</v>
      </c>
      <c r="AD4" s="2" t="str">
        <f t="shared" si="0"/>
        <v>Sun</v>
      </c>
      <c r="AE4" s="2" t="str">
        <f t="shared" si="0"/>
        <v>Mon</v>
      </c>
      <c r="AF4" s="2" t="str">
        <f t="shared" si="0"/>
        <v>Tue</v>
      </c>
      <c r="AG4" s="2" t="str">
        <f t="shared" si="0"/>
        <v>Wed</v>
      </c>
      <c r="AH4" s="2" t="str">
        <f t="shared" si="0"/>
        <v>Thu</v>
      </c>
      <c r="AI4" s="2" t="str">
        <f t="shared" si="0"/>
        <v>Fri</v>
      </c>
      <c r="AJ4" s="2" t="str">
        <f t="shared" si="0"/>
        <v>Sat</v>
      </c>
      <c r="AK4" s="2" t="str">
        <f t="shared" si="0"/>
        <v>Sun</v>
      </c>
      <c r="AL4" s="2" t="str">
        <f t="shared" si="0"/>
        <v>Mon</v>
      </c>
      <c r="AM4" s="2" t="str">
        <f t="shared" si="0"/>
        <v>Tue</v>
      </c>
      <c r="AN4" s="2" t="str">
        <f t="shared" si="0"/>
        <v>Wed</v>
      </c>
      <c r="AO4" s="2" t="str">
        <f t="shared" si="0"/>
        <v>Thu</v>
      </c>
      <c r="AP4" s="2" t="str">
        <f t="shared" si="0"/>
        <v>Fri</v>
      </c>
      <c r="AQ4" s="2" t="str">
        <f t="shared" si="0"/>
        <v>Sat</v>
      </c>
      <c r="AR4" s="2" t="str">
        <f t="shared" si="0"/>
        <v>Sun</v>
      </c>
      <c r="AS4" s="2" t="str">
        <f t="shared" si="0"/>
        <v>Mon</v>
      </c>
      <c r="AT4" s="2" t="str">
        <f t="shared" si="0"/>
        <v>Tue</v>
      </c>
      <c r="AU4" s="2" t="str">
        <f t="shared" si="0"/>
        <v>Wed</v>
      </c>
      <c r="AV4" s="2" t="str">
        <f t="shared" si="0"/>
        <v>Thu</v>
      </c>
      <c r="AW4" s="2" t="str">
        <f t="shared" si="0"/>
        <v>Fri</v>
      </c>
      <c r="AX4" s="2" t="str">
        <f t="shared" si="0"/>
        <v>Sat</v>
      </c>
      <c r="AY4" s="2" t="str">
        <f t="shared" si="0"/>
        <v>Sun</v>
      </c>
      <c r="AZ4" s="2" t="str">
        <f t="shared" si="0"/>
        <v>Mon</v>
      </c>
      <c r="BA4" s="2" t="str">
        <f t="shared" si="0"/>
        <v>Tue</v>
      </c>
      <c r="BB4" s="2" t="str">
        <f t="shared" si="0"/>
        <v>Wed</v>
      </c>
      <c r="BC4" s="2" t="str">
        <f t="shared" si="0"/>
        <v>Thu</v>
      </c>
      <c r="BD4" s="2" t="str">
        <f t="shared" si="0"/>
        <v>Fri</v>
      </c>
      <c r="BE4" s="2" t="str">
        <f t="shared" si="0"/>
        <v>Sat</v>
      </c>
      <c r="BF4" s="2" t="str">
        <f t="shared" si="0"/>
        <v>Sun</v>
      </c>
      <c r="BG4" s="2" t="str">
        <f t="shared" si="0"/>
        <v>Mon</v>
      </c>
      <c r="BH4" s="2" t="str">
        <f t="shared" si="0"/>
        <v>Tue</v>
      </c>
      <c r="BI4" s="2" t="str">
        <f t="shared" si="0"/>
        <v>Wed</v>
      </c>
      <c r="BJ4" s="2" t="str">
        <f t="shared" si="0"/>
        <v>Thu</v>
      </c>
      <c r="BK4" s="2" t="str">
        <f t="shared" si="0"/>
        <v>Fri</v>
      </c>
      <c r="BL4" s="2" t="str">
        <f t="shared" si="0"/>
        <v>Sat</v>
      </c>
      <c r="BM4" s="2" t="str">
        <f t="shared" si="0"/>
        <v>Sun</v>
      </c>
      <c r="BN4" s="2" t="str">
        <f t="shared" si="0"/>
        <v>Mon</v>
      </c>
      <c r="BO4" s="2" t="str">
        <f t="shared" si="0"/>
        <v>Tue</v>
      </c>
      <c r="BP4" s="2" t="str">
        <f t="shared" si="0"/>
        <v>Wed</v>
      </c>
      <c r="BQ4" s="2" t="str">
        <f t="shared" si="0"/>
        <v>Thu</v>
      </c>
      <c r="BR4" s="2" t="str">
        <f t="shared" ref="BR4:EC4" si="1">TEXT(BR5,"ddd")</f>
        <v>Fri</v>
      </c>
      <c r="BS4" s="2" t="str">
        <f t="shared" si="1"/>
        <v>Sat</v>
      </c>
      <c r="BT4" s="2" t="str">
        <f t="shared" si="1"/>
        <v>Sun</v>
      </c>
      <c r="BU4" s="2" t="str">
        <f t="shared" si="1"/>
        <v>Mon</v>
      </c>
      <c r="BV4" s="2" t="str">
        <f t="shared" si="1"/>
        <v>Tue</v>
      </c>
      <c r="BW4" s="2" t="str">
        <f t="shared" si="1"/>
        <v>Wed</v>
      </c>
      <c r="BX4" s="2" t="str">
        <f t="shared" si="1"/>
        <v>Thu</v>
      </c>
      <c r="BY4" s="2" t="str">
        <f t="shared" si="1"/>
        <v>Fri</v>
      </c>
      <c r="BZ4" s="2" t="str">
        <f t="shared" si="1"/>
        <v>Sat</v>
      </c>
      <c r="CA4" s="2" t="str">
        <f t="shared" si="1"/>
        <v>Sun</v>
      </c>
      <c r="CB4" s="2" t="str">
        <f t="shared" si="1"/>
        <v>Mon</v>
      </c>
      <c r="CC4" s="2" t="str">
        <f t="shared" si="1"/>
        <v>Tue</v>
      </c>
      <c r="CD4" s="2" t="str">
        <f t="shared" si="1"/>
        <v>Wed</v>
      </c>
      <c r="CE4" s="2" t="str">
        <f t="shared" si="1"/>
        <v>Thu</v>
      </c>
      <c r="CF4" s="2" t="str">
        <f t="shared" si="1"/>
        <v>Fri</v>
      </c>
      <c r="CG4" s="2" t="str">
        <f t="shared" si="1"/>
        <v>Sat</v>
      </c>
      <c r="CH4" s="2" t="str">
        <f t="shared" si="1"/>
        <v>Sun</v>
      </c>
      <c r="CI4" s="2" t="str">
        <f t="shared" si="1"/>
        <v>Mon</v>
      </c>
      <c r="CJ4" s="2" t="str">
        <f t="shared" si="1"/>
        <v>Tue</v>
      </c>
      <c r="CK4" s="2" t="str">
        <f t="shared" si="1"/>
        <v>Wed</v>
      </c>
      <c r="CL4" s="2" t="str">
        <f t="shared" si="1"/>
        <v>Thu</v>
      </c>
      <c r="CM4" s="2" t="str">
        <f t="shared" si="1"/>
        <v>Fri</v>
      </c>
      <c r="CN4" s="2" t="str">
        <f t="shared" si="1"/>
        <v>Sat</v>
      </c>
      <c r="CO4" s="2" t="str">
        <f t="shared" si="1"/>
        <v>Sun</v>
      </c>
      <c r="CP4" s="2" t="str">
        <f t="shared" si="1"/>
        <v>Mon</v>
      </c>
      <c r="CQ4" s="2" t="str">
        <f t="shared" si="1"/>
        <v>Tue</v>
      </c>
      <c r="CR4" s="2" t="str">
        <f t="shared" si="1"/>
        <v>Wed</v>
      </c>
      <c r="CS4" s="2" t="str">
        <f t="shared" si="1"/>
        <v>Thu</v>
      </c>
      <c r="CT4" s="2" t="str">
        <f t="shared" si="1"/>
        <v>Fri</v>
      </c>
      <c r="CU4" s="2" t="str">
        <f t="shared" si="1"/>
        <v>Sat</v>
      </c>
      <c r="CV4" s="2" t="str">
        <f t="shared" si="1"/>
        <v>Sun</v>
      </c>
      <c r="CW4" s="2" t="str">
        <f t="shared" si="1"/>
        <v>Mon</v>
      </c>
      <c r="CX4" s="2" t="str">
        <f t="shared" si="1"/>
        <v>Tue</v>
      </c>
      <c r="CY4" s="2" t="str">
        <f t="shared" si="1"/>
        <v>Wed</v>
      </c>
      <c r="CZ4" s="2" t="str">
        <f t="shared" si="1"/>
        <v>Thu</v>
      </c>
      <c r="DA4" s="2" t="str">
        <f t="shared" si="1"/>
        <v>Fri</v>
      </c>
      <c r="DB4" s="2" t="str">
        <f t="shared" si="1"/>
        <v>Sat</v>
      </c>
      <c r="DC4" s="2" t="str">
        <f t="shared" si="1"/>
        <v>Sun</v>
      </c>
      <c r="DD4" s="2" t="str">
        <f t="shared" si="1"/>
        <v>Mon</v>
      </c>
      <c r="DE4" s="2" t="str">
        <f t="shared" si="1"/>
        <v>Tue</v>
      </c>
      <c r="DF4" s="2" t="str">
        <f t="shared" si="1"/>
        <v>Wed</v>
      </c>
      <c r="DG4" s="2" t="str">
        <f t="shared" si="1"/>
        <v>Thu</v>
      </c>
      <c r="DH4" s="2" t="str">
        <f t="shared" si="1"/>
        <v>Fri</v>
      </c>
      <c r="DI4" s="2" t="str">
        <f t="shared" si="1"/>
        <v>Sat</v>
      </c>
      <c r="DJ4" s="2" t="str">
        <f t="shared" si="1"/>
        <v>Sun</v>
      </c>
      <c r="DK4" s="2" t="str">
        <f t="shared" si="1"/>
        <v>Mon</v>
      </c>
      <c r="DL4" s="2" t="str">
        <f t="shared" si="1"/>
        <v>Tue</v>
      </c>
      <c r="DM4" s="2" t="str">
        <f t="shared" si="1"/>
        <v>Wed</v>
      </c>
      <c r="DN4" s="2" t="str">
        <f t="shared" si="1"/>
        <v>Thu</v>
      </c>
      <c r="DO4" s="2" t="str">
        <f t="shared" si="1"/>
        <v>Fri</v>
      </c>
      <c r="DP4" s="2" t="str">
        <f t="shared" si="1"/>
        <v>Sat</v>
      </c>
      <c r="DQ4" s="2" t="str">
        <f t="shared" si="1"/>
        <v>Sun</v>
      </c>
      <c r="DR4" s="2" t="str">
        <f t="shared" si="1"/>
        <v>Mon</v>
      </c>
      <c r="DS4" s="2" t="str">
        <f t="shared" si="1"/>
        <v>Tue</v>
      </c>
      <c r="DT4" s="2" t="str">
        <f t="shared" si="1"/>
        <v>Wed</v>
      </c>
      <c r="DU4" s="2" t="str">
        <f t="shared" si="1"/>
        <v>Thu</v>
      </c>
      <c r="DV4" s="2" t="str">
        <f t="shared" si="1"/>
        <v>Fri</v>
      </c>
      <c r="DW4" s="2" t="str">
        <f t="shared" si="1"/>
        <v>Sat</v>
      </c>
      <c r="DX4" s="2" t="str">
        <f t="shared" si="1"/>
        <v>Sun</v>
      </c>
      <c r="DY4" s="2" t="str">
        <f t="shared" si="1"/>
        <v>Mon</v>
      </c>
      <c r="DZ4" s="2" t="str">
        <f t="shared" si="1"/>
        <v>Tue</v>
      </c>
      <c r="EA4" s="2" t="str">
        <f t="shared" si="1"/>
        <v>Wed</v>
      </c>
      <c r="EB4" s="2" t="str">
        <f t="shared" si="1"/>
        <v>Thu</v>
      </c>
      <c r="EC4" s="2" t="str">
        <f t="shared" si="1"/>
        <v>Fri</v>
      </c>
      <c r="ED4" s="2" t="str">
        <f t="shared" ref="ED4:EN4" si="2">TEXT(ED5,"ddd")</f>
        <v>Sat</v>
      </c>
      <c r="EE4" s="2" t="str">
        <f t="shared" si="2"/>
        <v>Sun</v>
      </c>
      <c r="EF4" s="2" t="str">
        <f t="shared" si="2"/>
        <v>Mon</v>
      </c>
      <c r="EG4" s="2" t="str">
        <f t="shared" si="2"/>
        <v>Tue</v>
      </c>
      <c r="EH4" s="2" t="str">
        <f t="shared" si="2"/>
        <v>Wed</v>
      </c>
      <c r="EI4" s="2" t="str">
        <f t="shared" si="2"/>
        <v>Thu</v>
      </c>
      <c r="EJ4" s="2" t="str">
        <f t="shared" si="2"/>
        <v>Fri</v>
      </c>
      <c r="EK4" s="2" t="str">
        <f t="shared" si="2"/>
        <v>Sat</v>
      </c>
      <c r="EL4" s="2" t="str">
        <f t="shared" si="2"/>
        <v>Sun</v>
      </c>
      <c r="EM4" s="2" t="str">
        <f t="shared" si="2"/>
        <v>Mon</v>
      </c>
      <c r="EN4" s="2" t="str">
        <f t="shared" si="2"/>
        <v>Tue</v>
      </c>
      <c r="EO4" s="114" t="s">
        <v>5</v>
      </c>
      <c r="EP4" s="114" t="s">
        <v>6</v>
      </c>
      <c r="EQ4" s="103" t="s">
        <v>45</v>
      </c>
      <c r="ER4" s="104"/>
      <c r="ES4" s="3"/>
      <c r="ET4" s="3"/>
    </row>
    <row r="5" spans="1:150" ht="37.5" x14ac:dyDescent="0.25">
      <c r="A5" s="107"/>
      <c r="B5" s="107"/>
      <c r="C5" s="107"/>
      <c r="D5" s="107"/>
      <c r="E5" s="107"/>
      <c r="F5" s="77">
        <v>45519</v>
      </c>
      <c r="G5" s="77">
        <v>45520</v>
      </c>
      <c r="H5" s="77">
        <v>45521</v>
      </c>
      <c r="I5" s="77">
        <v>45522</v>
      </c>
      <c r="J5" s="77">
        <v>45523</v>
      </c>
      <c r="K5" s="77">
        <v>45524</v>
      </c>
      <c r="L5" s="77">
        <v>45525</v>
      </c>
      <c r="M5" s="77">
        <v>45526</v>
      </c>
      <c r="N5" s="77">
        <v>45527</v>
      </c>
      <c r="O5" s="77">
        <v>45528</v>
      </c>
      <c r="P5" s="77">
        <v>45529</v>
      </c>
      <c r="Q5" s="77">
        <v>45530</v>
      </c>
      <c r="R5" s="77">
        <v>45531</v>
      </c>
      <c r="S5" s="77">
        <v>45532</v>
      </c>
      <c r="T5" s="77">
        <v>45533</v>
      </c>
      <c r="U5" s="77">
        <v>45534</v>
      </c>
      <c r="V5" s="77">
        <v>45535</v>
      </c>
      <c r="W5" s="77">
        <v>45536</v>
      </c>
      <c r="X5" s="77">
        <v>45537</v>
      </c>
      <c r="Y5" s="77">
        <v>45538</v>
      </c>
      <c r="Z5" s="77">
        <v>45539</v>
      </c>
      <c r="AA5" s="77">
        <v>45540</v>
      </c>
      <c r="AB5" s="77">
        <v>45541</v>
      </c>
      <c r="AC5" s="77">
        <v>45542</v>
      </c>
      <c r="AD5" s="77">
        <v>45543</v>
      </c>
      <c r="AE5" s="77">
        <v>45544</v>
      </c>
      <c r="AF5" s="77">
        <v>45545</v>
      </c>
      <c r="AG5" s="77">
        <v>45546</v>
      </c>
      <c r="AH5" s="77">
        <v>45547</v>
      </c>
      <c r="AI5" s="77">
        <v>45548</v>
      </c>
      <c r="AJ5" s="77">
        <v>45549</v>
      </c>
      <c r="AK5" s="77">
        <v>45550</v>
      </c>
      <c r="AL5" s="77">
        <v>45551</v>
      </c>
      <c r="AM5" s="77">
        <v>45552</v>
      </c>
      <c r="AN5" s="77">
        <v>45553</v>
      </c>
      <c r="AO5" s="77">
        <v>45554</v>
      </c>
      <c r="AP5" s="77">
        <v>45555</v>
      </c>
      <c r="AQ5" s="77">
        <v>45556</v>
      </c>
      <c r="AR5" s="77">
        <v>45557</v>
      </c>
      <c r="AS5" s="77">
        <v>45558</v>
      </c>
      <c r="AT5" s="77">
        <v>45559</v>
      </c>
      <c r="AU5" s="77">
        <v>45560</v>
      </c>
      <c r="AV5" s="77">
        <v>45561</v>
      </c>
      <c r="AW5" s="77">
        <v>45562</v>
      </c>
      <c r="AX5" s="77">
        <v>45563</v>
      </c>
      <c r="AY5" s="77">
        <v>45564</v>
      </c>
      <c r="AZ5" s="77">
        <v>45565</v>
      </c>
      <c r="BA5" s="77">
        <v>45566</v>
      </c>
      <c r="BB5" s="77">
        <v>45567</v>
      </c>
      <c r="BC5" s="77">
        <v>45568</v>
      </c>
      <c r="BD5" s="77">
        <v>45569</v>
      </c>
      <c r="BE5" s="77">
        <v>45570</v>
      </c>
      <c r="BF5" s="77">
        <v>45571</v>
      </c>
      <c r="BG5" s="77">
        <v>45572</v>
      </c>
      <c r="BH5" s="77">
        <v>45573</v>
      </c>
      <c r="BI5" s="77">
        <v>45574</v>
      </c>
      <c r="BJ5" s="77">
        <v>45575</v>
      </c>
      <c r="BK5" s="77">
        <v>45576</v>
      </c>
      <c r="BL5" s="77">
        <v>45577</v>
      </c>
      <c r="BM5" s="77">
        <v>45578</v>
      </c>
      <c r="BN5" s="77">
        <v>45579</v>
      </c>
      <c r="BO5" s="77">
        <v>45580</v>
      </c>
      <c r="BP5" s="77">
        <v>45581</v>
      </c>
      <c r="BQ5" s="77">
        <v>45582</v>
      </c>
      <c r="BR5" s="77">
        <v>45583</v>
      </c>
      <c r="BS5" s="77">
        <v>45584</v>
      </c>
      <c r="BT5" s="77">
        <v>45585</v>
      </c>
      <c r="BU5" s="77">
        <v>45586</v>
      </c>
      <c r="BV5" s="77">
        <v>45587</v>
      </c>
      <c r="BW5" s="77">
        <v>45588</v>
      </c>
      <c r="BX5" s="77">
        <v>45589</v>
      </c>
      <c r="BY5" s="77">
        <v>45590</v>
      </c>
      <c r="BZ5" s="77">
        <v>45591</v>
      </c>
      <c r="CA5" s="77">
        <v>45592</v>
      </c>
      <c r="CB5" s="77">
        <v>45593</v>
      </c>
      <c r="CC5" s="77">
        <v>45594</v>
      </c>
      <c r="CD5" s="77">
        <v>45595</v>
      </c>
      <c r="CE5" s="77">
        <v>45596</v>
      </c>
      <c r="CF5" s="77">
        <v>45597</v>
      </c>
      <c r="CG5" s="77">
        <v>45598</v>
      </c>
      <c r="CH5" s="77">
        <v>45599</v>
      </c>
      <c r="CI5" s="77">
        <v>45600</v>
      </c>
      <c r="CJ5" s="77">
        <v>45601</v>
      </c>
      <c r="CK5" s="77">
        <v>45602</v>
      </c>
      <c r="CL5" s="77">
        <v>45603</v>
      </c>
      <c r="CM5" s="77">
        <v>45604</v>
      </c>
      <c r="CN5" s="77">
        <v>45605</v>
      </c>
      <c r="CO5" s="77">
        <v>45606</v>
      </c>
      <c r="CP5" s="77">
        <v>45607</v>
      </c>
      <c r="CQ5" s="77">
        <v>45608</v>
      </c>
      <c r="CR5" s="77">
        <v>45609</v>
      </c>
      <c r="CS5" s="77">
        <v>45610</v>
      </c>
      <c r="CT5" s="77">
        <v>45611</v>
      </c>
      <c r="CU5" s="77">
        <v>45612</v>
      </c>
      <c r="CV5" s="77">
        <v>45613</v>
      </c>
      <c r="CW5" s="77">
        <v>45614</v>
      </c>
      <c r="CX5" s="77">
        <v>45615</v>
      </c>
      <c r="CY5" s="77">
        <v>45616</v>
      </c>
      <c r="CZ5" s="77">
        <v>45617</v>
      </c>
      <c r="DA5" s="77">
        <v>45618</v>
      </c>
      <c r="DB5" s="77">
        <v>45619</v>
      </c>
      <c r="DC5" s="77">
        <v>45620</v>
      </c>
      <c r="DD5" s="77">
        <v>45621</v>
      </c>
      <c r="DE5" s="77">
        <v>45622</v>
      </c>
      <c r="DF5" s="77">
        <v>45623</v>
      </c>
      <c r="DG5" s="77">
        <v>45624</v>
      </c>
      <c r="DH5" s="77">
        <v>45625</v>
      </c>
      <c r="DI5" s="77">
        <v>45626</v>
      </c>
      <c r="DJ5" s="77">
        <v>45627</v>
      </c>
      <c r="DK5" s="77">
        <v>45628</v>
      </c>
      <c r="DL5" s="77">
        <v>45629</v>
      </c>
      <c r="DM5" s="77">
        <v>45630</v>
      </c>
      <c r="DN5" s="77">
        <v>45631</v>
      </c>
      <c r="DO5" s="77">
        <v>45632</v>
      </c>
      <c r="DP5" s="77">
        <v>45633</v>
      </c>
      <c r="DQ5" s="77">
        <v>45634</v>
      </c>
      <c r="DR5" s="77">
        <v>45635</v>
      </c>
      <c r="DS5" s="77">
        <v>45636</v>
      </c>
      <c r="DT5" s="77">
        <v>45637</v>
      </c>
      <c r="DU5" s="77">
        <v>45638</v>
      </c>
      <c r="DV5" s="77">
        <v>45639</v>
      </c>
      <c r="DW5" s="77">
        <v>45640</v>
      </c>
      <c r="DX5" s="77">
        <v>45641</v>
      </c>
      <c r="DY5" s="77">
        <v>45642</v>
      </c>
      <c r="DZ5" s="77">
        <v>45643</v>
      </c>
      <c r="EA5" s="77">
        <v>45644</v>
      </c>
      <c r="EB5" s="77">
        <v>45645</v>
      </c>
      <c r="EC5" s="77">
        <v>45646</v>
      </c>
      <c r="ED5" s="77">
        <v>45647</v>
      </c>
      <c r="EE5" s="77">
        <v>45648</v>
      </c>
      <c r="EF5" s="77">
        <v>45649</v>
      </c>
      <c r="EG5" s="77">
        <v>45650</v>
      </c>
      <c r="EH5" s="77">
        <v>45651</v>
      </c>
      <c r="EI5" s="77">
        <v>45652</v>
      </c>
      <c r="EJ5" s="77">
        <v>45653</v>
      </c>
      <c r="EK5" s="77">
        <v>45654</v>
      </c>
      <c r="EL5" s="77">
        <v>45655</v>
      </c>
      <c r="EM5" s="77">
        <v>45656</v>
      </c>
      <c r="EN5" s="77">
        <v>45657</v>
      </c>
      <c r="EO5" s="114"/>
      <c r="EP5" s="114"/>
      <c r="EQ5" s="4" t="s">
        <v>7</v>
      </c>
      <c r="ER5" s="5">
        <v>31</v>
      </c>
      <c r="ES5" s="3"/>
      <c r="ET5" s="3"/>
    </row>
    <row r="6" spans="1:150" ht="15" customHeight="1" x14ac:dyDescent="0.25">
      <c r="A6" s="6">
        <v>1</v>
      </c>
      <c r="B6" s="7">
        <v>106</v>
      </c>
      <c r="C6" s="8" t="s">
        <v>173</v>
      </c>
      <c r="D6" s="9" t="s">
        <v>174</v>
      </c>
      <c r="E6" s="10" t="s">
        <v>8</v>
      </c>
      <c r="F6" s="16" t="s">
        <v>166</v>
      </c>
      <c r="G6" s="16" t="s">
        <v>166</v>
      </c>
      <c r="H6" s="16" t="s">
        <v>166</v>
      </c>
      <c r="I6" s="108" t="s">
        <v>170</v>
      </c>
      <c r="J6" s="16" t="s">
        <v>166</v>
      </c>
      <c r="K6" s="111" t="s">
        <v>167</v>
      </c>
      <c r="L6" s="16" t="s">
        <v>166</v>
      </c>
      <c r="M6" s="16" t="s">
        <v>166</v>
      </c>
      <c r="N6" s="16" t="s">
        <v>166</v>
      </c>
      <c r="O6" s="111" t="s">
        <v>265</v>
      </c>
      <c r="P6" s="108" t="s">
        <v>170</v>
      </c>
      <c r="Q6" s="111" t="s">
        <v>168</v>
      </c>
      <c r="R6" s="16" t="s">
        <v>165</v>
      </c>
      <c r="S6" s="16" t="s">
        <v>166</v>
      </c>
      <c r="T6" s="16" t="s">
        <v>166</v>
      </c>
      <c r="U6" s="111" t="s">
        <v>169</v>
      </c>
      <c r="V6" s="16"/>
      <c r="W6" s="108" t="s">
        <v>170</v>
      </c>
      <c r="X6" s="16" t="s">
        <v>166</v>
      </c>
      <c r="Y6" s="16" t="s">
        <v>166</v>
      </c>
      <c r="Z6" s="16" t="s">
        <v>166</v>
      </c>
      <c r="AA6" s="16" t="s">
        <v>166</v>
      </c>
      <c r="AB6" s="16" t="s">
        <v>166</v>
      </c>
      <c r="AC6" s="16" t="s">
        <v>166</v>
      </c>
      <c r="AD6" s="108" t="s">
        <v>170</v>
      </c>
      <c r="AE6" s="16" t="s">
        <v>166</v>
      </c>
      <c r="AF6" s="16" t="s">
        <v>166</v>
      </c>
      <c r="AG6" s="16" t="s">
        <v>166</v>
      </c>
      <c r="AH6" s="16" t="s">
        <v>166</v>
      </c>
      <c r="AI6" s="16" t="s">
        <v>166</v>
      </c>
      <c r="AJ6" s="16" t="s">
        <v>166</v>
      </c>
      <c r="AK6" s="108" t="s">
        <v>170</v>
      </c>
      <c r="AL6" s="16" t="s">
        <v>165</v>
      </c>
      <c r="AM6" s="111" t="s">
        <v>266</v>
      </c>
      <c r="AN6" s="16" t="s">
        <v>166</v>
      </c>
      <c r="AO6" s="16" t="s">
        <v>166</v>
      </c>
      <c r="AP6" s="16" t="s">
        <v>166</v>
      </c>
      <c r="AQ6" s="16" t="s">
        <v>166</v>
      </c>
      <c r="AR6" s="108" t="s">
        <v>170</v>
      </c>
      <c r="AS6" s="16" t="s">
        <v>166</v>
      </c>
      <c r="AT6" s="16" t="s">
        <v>166</v>
      </c>
      <c r="AU6" s="16" t="s">
        <v>166</v>
      </c>
      <c r="AV6" s="16" t="s">
        <v>166</v>
      </c>
      <c r="AW6" s="16"/>
      <c r="AX6" s="16"/>
      <c r="AY6" s="108" t="s">
        <v>170</v>
      </c>
      <c r="AZ6" s="16"/>
      <c r="BA6" s="16"/>
      <c r="BB6" s="16"/>
      <c r="BC6" s="16"/>
      <c r="BD6" s="16"/>
      <c r="BE6" s="16"/>
      <c r="BF6" s="108" t="s">
        <v>170</v>
      </c>
      <c r="BG6" s="16"/>
      <c r="BH6" s="16"/>
      <c r="BI6" s="16"/>
      <c r="BJ6" s="16"/>
      <c r="BK6" s="16"/>
      <c r="BL6" s="16"/>
      <c r="BM6" s="108" t="s">
        <v>170</v>
      </c>
      <c r="BN6" s="16"/>
      <c r="BO6" s="16"/>
      <c r="BP6" s="16"/>
      <c r="BQ6" s="16"/>
      <c r="BR6" s="16"/>
      <c r="BS6" s="16"/>
      <c r="BT6" s="108" t="s">
        <v>170</v>
      </c>
      <c r="BU6" s="16"/>
      <c r="BV6" s="16"/>
      <c r="BW6" s="16"/>
      <c r="BX6" s="16"/>
      <c r="BY6" s="16"/>
      <c r="BZ6" s="16"/>
      <c r="CA6" s="108" t="s">
        <v>170</v>
      </c>
      <c r="CB6" s="16"/>
      <c r="CC6" s="16"/>
      <c r="CD6" s="16"/>
      <c r="CE6" s="16"/>
      <c r="CF6" s="16"/>
      <c r="CG6" s="16"/>
      <c r="CH6" s="108" t="s">
        <v>170</v>
      </c>
      <c r="CI6" s="16"/>
      <c r="CJ6" s="16"/>
      <c r="CK6" s="16"/>
      <c r="CL6" s="16"/>
      <c r="CM6" s="16"/>
      <c r="CN6" s="16"/>
      <c r="CO6" s="108" t="s">
        <v>170</v>
      </c>
      <c r="CP6" s="16"/>
      <c r="CQ6" s="16"/>
      <c r="CR6" s="16"/>
      <c r="CS6" s="16"/>
      <c r="CT6" s="16"/>
      <c r="CU6" s="16"/>
      <c r="CV6" s="108" t="s">
        <v>170</v>
      </c>
      <c r="CW6" s="16"/>
      <c r="CX6" s="16"/>
      <c r="CY6" s="16"/>
      <c r="CZ6" s="16"/>
      <c r="DA6" s="16"/>
      <c r="DB6" s="16"/>
      <c r="DC6" s="108" t="s">
        <v>170</v>
      </c>
      <c r="DD6" s="16"/>
      <c r="DE6" s="16"/>
      <c r="DF6" s="16"/>
      <c r="DG6" s="16"/>
      <c r="DH6" s="16"/>
      <c r="DI6" s="16"/>
      <c r="DJ6" s="108" t="s">
        <v>170</v>
      </c>
      <c r="DK6" s="16"/>
      <c r="DL6" s="16"/>
      <c r="DM6" s="16"/>
      <c r="DN6" s="16"/>
      <c r="DO6" s="16"/>
      <c r="DP6" s="16"/>
      <c r="DQ6" s="108" t="s">
        <v>170</v>
      </c>
      <c r="DR6" s="16"/>
      <c r="DS6" s="16"/>
      <c r="DT6" s="16"/>
      <c r="DU6" s="16"/>
      <c r="DV6" s="16"/>
      <c r="DW6" s="16"/>
      <c r="DX6" s="108" t="s">
        <v>170</v>
      </c>
      <c r="DY6" s="16"/>
      <c r="DZ6" s="16"/>
      <c r="EA6" s="16"/>
      <c r="EB6" s="16"/>
      <c r="EC6" s="16"/>
      <c r="ED6" s="16"/>
      <c r="EE6" s="108" t="s">
        <v>170</v>
      </c>
      <c r="EF6" s="16"/>
      <c r="EG6" s="16"/>
      <c r="EH6" s="16"/>
      <c r="EI6" s="16"/>
      <c r="EJ6" s="16"/>
      <c r="EK6" s="16"/>
      <c r="EL6" s="108" t="s">
        <v>170</v>
      </c>
      <c r="EM6" s="16"/>
      <c r="EN6" s="16"/>
      <c r="EO6" s="5">
        <f t="shared" ref="EO6:EO69" si="3">COUNTIF(F6:EN6,"P")</f>
        <v>29</v>
      </c>
      <c r="EP6" s="5">
        <f t="shared" ref="EP6:EP69" si="4">COUNTIF(F6:EN6,"A")</f>
        <v>2</v>
      </c>
      <c r="EQ6" s="5" t="s">
        <v>9</v>
      </c>
      <c r="ER6" s="17">
        <v>26</v>
      </c>
      <c r="ES6" s="18" t="s">
        <v>10</v>
      </c>
      <c r="ET6" s="3"/>
    </row>
    <row r="7" spans="1:150" ht="20.25" customHeight="1" x14ac:dyDescent="0.25">
      <c r="A7" s="17">
        <v>2</v>
      </c>
      <c r="B7" s="19">
        <v>75</v>
      </c>
      <c r="C7" s="20" t="s">
        <v>175</v>
      </c>
      <c r="D7" s="21" t="s">
        <v>176</v>
      </c>
      <c r="E7" s="11" t="s">
        <v>8</v>
      </c>
      <c r="F7" s="16" t="s">
        <v>165</v>
      </c>
      <c r="G7" s="16" t="s">
        <v>166</v>
      </c>
      <c r="H7" s="16" t="s">
        <v>166</v>
      </c>
      <c r="I7" s="109"/>
      <c r="J7" s="16" t="s">
        <v>166</v>
      </c>
      <c r="K7" s="112"/>
      <c r="L7" s="16" t="s">
        <v>166</v>
      </c>
      <c r="M7" s="16" t="s">
        <v>166</v>
      </c>
      <c r="N7" s="16" t="s">
        <v>166</v>
      </c>
      <c r="O7" s="112"/>
      <c r="P7" s="109"/>
      <c r="Q7" s="112"/>
      <c r="R7" s="16" t="s">
        <v>166</v>
      </c>
      <c r="S7" s="16" t="s">
        <v>166</v>
      </c>
      <c r="T7" s="16" t="s">
        <v>165</v>
      </c>
      <c r="U7" s="112"/>
      <c r="V7" s="16"/>
      <c r="W7" s="109"/>
      <c r="X7" s="16" t="s">
        <v>166</v>
      </c>
      <c r="Y7" s="16" t="s">
        <v>166</v>
      </c>
      <c r="Z7" s="16" t="s">
        <v>166</v>
      </c>
      <c r="AA7" s="16" t="s">
        <v>166</v>
      </c>
      <c r="AB7" s="16" t="s">
        <v>166</v>
      </c>
      <c r="AC7" s="16" t="s">
        <v>166</v>
      </c>
      <c r="AD7" s="109"/>
      <c r="AE7" s="16" t="s">
        <v>166</v>
      </c>
      <c r="AF7" s="16" t="s">
        <v>166</v>
      </c>
      <c r="AG7" s="16" t="s">
        <v>166</v>
      </c>
      <c r="AH7" s="16" t="s">
        <v>166</v>
      </c>
      <c r="AI7" s="16" t="s">
        <v>166</v>
      </c>
      <c r="AJ7" s="16" t="s">
        <v>166</v>
      </c>
      <c r="AK7" s="109"/>
      <c r="AL7" s="16" t="s">
        <v>165</v>
      </c>
      <c r="AM7" s="112"/>
      <c r="AN7" s="16" t="s">
        <v>165</v>
      </c>
      <c r="AO7" s="16" t="s">
        <v>166</v>
      </c>
      <c r="AP7" s="16" t="s">
        <v>166</v>
      </c>
      <c r="AQ7" s="16" t="s">
        <v>166</v>
      </c>
      <c r="AR7" s="109"/>
      <c r="AS7" s="16" t="s">
        <v>166</v>
      </c>
      <c r="AT7" s="16" t="s">
        <v>166</v>
      </c>
      <c r="AU7" s="16" t="s">
        <v>166</v>
      </c>
      <c r="AV7" s="16" t="s">
        <v>166</v>
      </c>
      <c r="AW7" s="16"/>
      <c r="AX7" s="16"/>
      <c r="AY7" s="109"/>
      <c r="AZ7" s="16"/>
      <c r="BA7" s="16"/>
      <c r="BB7" s="16"/>
      <c r="BC7" s="16"/>
      <c r="BD7" s="16"/>
      <c r="BE7" s="16"/>
      <c r="BF7" s="109"/>
      <c r="BG7" s="16"/>
      <c r="BH7" s="16"/>
      <c r="BI7" s="16"/>
      <c r="BJ7" s="16"/>
      <c r="BK7" s="16"/>
      <c r="BL7" s="16"/>
      <c r="BM7" s="109"/>
      <c r="BN7" s="16"/>
      <c r="BO7" s="16"/>
      <c r="BP7" s="16"/>
      <c r="BQ7" s="16"/>
      <c r="BR7" s="16"/>
      <c r="BS7" s="16"/>
      <c r="BT7" s="109"/>
      <c r="BU7" s="16"/>
      <c r="BV7" s="16"/>
      <c r="BW7" s="16"/>
      <c r="BX7" s="16"/>
      <c r="BY7" s="16"/>
      <c r="BZ7" s="16"/>
      <c r="CA7" s="109"/>
      <c r="CB7" s="16"/>
      <c r="CC7" s="16"/>
      <c r="CD7" s="16"/>
      <c r="CE7" s="16"/>
      <c r="CF7" s="16"/>
      <c r="CG7" s="16"/>
      <c r="CH7" s="109"/>
      <c r="CI7" s="16"/>
      <c r="CJ7" s="16"/>
      <c r="CK7" s="16"/>
      <c r="CL7" s="16"/>
      <c r="CM7" s="16"/>
      <c r="CN7" s="16"/>
      <c r="CO7" s="109"/>
      <c r="CP7" s="16"/>
      <c r="CQ7" s="16"/>
      <c r="CR7" s="16"/>
      <c r="CS7" s="16"/>
      <c r="CT7" s="16"/>
      <c r="CU7" s="16"/>
      <c r="CV7" s="109"/>
      <c r="CW7" s="16"/>
      <c r="CX7" s="16"/>
      <c r="CY7" s="16"/>
      <c r="CZ7" s="16"/>
      <c r="DA7" s="16"/>
      <c r="DB7" s="16"/>
      <c r="DC7" s="109"/>
      <c r="DD7" s="16"/>
      <c r="DE7" s="16"/>
      <c r="DF7" s="16"/>
      <c r="DG7" s="16"/>
      <c r="DH7" s="16"/>
      <c r="DI7" s="16"/>
      <c r="DJ7" s="109"/>
      <c r="DK7" s="16"/>
      <c r="DL7" s="16"/>
      <c r="DM7" s="16"/>
      <c r="DN7" s="16"/>
      <c r="DO7" s="16"/>
      <c r="DP7" s="16"/>
      <c r="DQ7" s="109"/>
      <c r="DR7" s="16"/>
      <c r="DS7" s="16"/>
      <c r="DT7" s="16"/>
      <c r="DU7" s="16"/>
      <c r="DV7" s="16"/>
      <c r="DW7" s="16"/>
      <c r="DX7" s="109"/>
      <c r="DY7" s="16"/>
      <c r="DZ7" s="16"/>
      <c r="EA7" s="16"/>
      <c r="EB7" s="16"/>
      <c r="EC7" s="16"/>
      <c r="ED7" s="16"/>
      <c r="EE7" s="109"/>
      <c r="EF7" s="16"/>
      <c r="EG7" s="16"/>
      <c r="EH7" s="16"/>
      <c r="EI7" s="16"/>
      <c r="EJ7" s="16"/>
      <c r="EK7" s="16"/>
      <c r="EL7" s="109"/>
      <c r="EM7" s="16"/>
      <c r="EN7" s="16"/>
      <c r="EO7" s="5">
        <f t="shared" si="3"/>
        <v>27</v>
      </c>
      <c r="EP7" s="5">
        <f t="shared" si="4"/>
        <v>4</v>
      </c>
      <c r="EQ7" s="5" t="s">
        <v>11</v>
      </c>
      <c r="ER7" s="17">
        <v>4</v>
      </c>
      <c r="ES7" s="3"/>
      <c r="ET7" s="3"/>
    </row>
    <row r="8" spans="1:150" x14ac:dyDescent="0.25">
      <c r="A8" s="6">
        <v>3</v>
      </c>
      <c r="B8" s="19">
        <v>109</v>
      </c>
      <c r="C8" s="20" t="s">
        <v>177</v>
      </c>
      <c r="D8" s="21" t="s">
        <v>146</v>
      </c>
      <c r="E8" s="11" t="s">
        <v>8</v>
      </c>
      <c r="F8" s="16" t="s">
        <v>166</v>
      </c>
      <c r="G8" s="16" t="s">
        <v>166</v>
      </c>
      <c r="H8" s="16" t="s">
        <v>166</v>
      </c>
      <c r="I8" s="109"/>
      <c r="J8" s="16" t="s">
        <v>166</v>
      </c>
      <c r="K8" s="112"/>
      <c r="L8" s="16" t="s">
        <v>166</v>
      </c>
      <c r="M8" s="16" t="s">
        <v>166</v>
      </c>
      <c r="N8" s="16" t="s">
        <v>166</v>
      </c>
      <c r="O8" s="112"/>
      <c r="P8" s="109"/>
      <c r="Q8" s="112"/>
      <c r="R8" s="16" t="s">
        <v>166</v>
      </c>
      <c r="S8" s="16" t="s">
        <v>165</v>
      </c>
      <c r="T8" s="16" t="s">
        <v>166</v>
      </c>
      <c r="U8" s="112"/>
      <c r="V8" s="16"/>
      <c r="W8" s="109"/>
      <c r="X8" s="16" t="s">
        <v>166</v>
      </c>
      <c r="Y8" s="16" t="s">
        <v>166</v>
      </c>
      <c r="Z8" s="16" t="s">
        <v>166</v>
      </c>
      <c r="AA8" s="16" t="s">
        <v>166</v>
      </c>
      <c r="AB8" s="16" t="s">
        <v>166</v>
      </c>
      <c r="AC8" s="16" t="s">
        <v>166</v>
      </c>
      <c r="AD8" s="109"/>
      <c r="AE8" s="16" t="s">
        <v>166</v>
      </c>
      <c r="AF8" s="16" t="s">
        <v>166</v>
      </c>
      <c r="AG8" s="16" t="s">
        <v>166</v>
      </c>
      <c r="AH8" s="16" t="s">
        <v>166</v>
      </c>
      <c r="AI8" s="16" t="s">
        <v>166</v>
      </c>
      <c r="AJ8" s="16" t="s">
        <v>166</v>
      </c>
      <c r="AK8" s="109"/>
      <c r="AL8" s="16" t="s">
        <v>165</v>
      </c>
      <c r="AM8" s="112"/>
      <c r="AN8" s="16" t="s">
        <v>166</v>
      </c>
      <c r="AO8" s="16" t="s">
        <v>166</v>
      </c>
      <c r="AP8" s="16" t="s">
        <v>165</v>
      </c>
      <c r="AQ8" s="16" t="s">
        <v>166</v>
      </c>
      <c r="AR8" s="109"/>
      <c r="AS8" s="16" t="s">
        <v>166</v>
      </c>
      <c r="AT8" s="16" t="s">
        <v>166</v>
      </c>
      <c r="AU8" s="16" t="s">
        <v>166</v>
      </c>
      <c r="AV8" s="16" t="s">
        <v>166</v>
      </c>
      <c r="AW8" s="16"/>
      <c r="AX8" s="16"/>
      <c r="AY8" s="109"/>
      <c r="AZ8" s="16"/>
      <c r="BA8" s="16"/>
      <c r="BB8" s="16"/>
      <c r="BC8" s="16"/>
      <c r="BD8" s="16"/>
      <c r="BE8" s="16"/>
      <c r="BF8" s="109"/>
      <c r="BG8" s="16"/>
      <c r="BH8" s="16"/>
      <c r="BI8" s="16"/>
      <c r="BJ8" s="16"/>
      <c r="BK8" s="16"/>
      <c r="BL8" s="16"/>
      <c r="BM8" s="109"/>
      <c r="BN8" s="16"/>
      <c r="BO8" s="16"/>
      <c r="BP8" s="16"/>
      <c r="BQ8" s="16"/>
      <c r="BR8" s="16"/>
      <c r="BS8" s="16"/>
      <c r="BT8" s="109"/>
      <c r="BU8" s="16"/>
      <c r="BV8" s="16"/>
      <c r="BW8" s="16"/>
      <c r="BX8" s="16"/>
      <c r="BY8" s="16"/>
      <c r="BZ8" s="16"/>
      <c r="CA8" s="109"/>
      <c r="CB8" s="16"/>
      <c r="CC8" s="16"/>
      <c r="CD8" s="16"/>
      <c r="CE8" s="16"/>
      <c r="CF8" s="16"/>
      <c r="CG8" s="16"/>
      <c r="CH8" s="109"/>
      <c r="CI8" s="16"/>
      <c r="CJ8" s="16"/>
      <c r="CK8" s="16"/>
      <c r="CL8" s="16"/>
      <c r="CM8" s="16"/>
      <c r="CN8" s="16"/>
      <c r="CO8" s="109"/>
      <c r="CP8" s="16"/>
      <c r="CQ8" s="16"/>
      <c r="CR8" s="16"/>
      <c r="CS8" s="16"/>
      <c r="CT8" s="16"/>
      <c r="CU8" s="16"/>
      <c r="CV8" s="109"/>
      <c r="CW8" s="16"/>
      <c r="CX8" s="16"/>
      <c r="CY8" s="16"/>
      <c r="CZ8" s="16"/>
      <c r="DA8" s="16"/>
      <c r="DB8" s="16"/>
      <c r="DC8" s="109"/>
      <c r="DD8" s="16"/>
      <c r="DE8" s="16"/>
      <c r="DF8" s="16"/>
      <c r="DG8" s="16"/>
      <c r="DH8" s="16"/>
      <c r="DI8" s="16"/>
      <c r="DJ8" s="109"/>
      <c r="DK8" s="16"/>
      <c r="DL8" s="16"/>
      <c r="DM8" s="16"/>
      <c r="DN8" s="16"/>
      <c r="DO8" s="16"/>
      <c r="DP8" s="16"/>
      <c r="DQ8" s="109"/>
      <c r="DR8" s="16"/>
      <c r="DS8" s="16"/>
      <c r="DT8" s="16"/>
      <c r="DU8" s="16"/>
      <c r="DV8" s="16"/>
      <c r="DW8" s="16"/>
      <c r="DX8" s="109"/>
      <c r="DY8" s="16"/>
      <c r="DZ8" s="16"/>
      <c r="EA8" s="16"/>
      <c r="EB8" s="16"/>
      <c r="EC8" s="16"/>
      <c r="ED8" s="16"/>
      <c r="EE8" s="109"/>
      <c r="EF8" s="16"/>
      <c r="EG8" s="16"/>
      <c r="EH8" s="16"/>
      <c r="EI8" s="16"/>
      <c r="EJ8" s="16"/>
      <c r="EK8" s="16"/>
      <c r="EL8" s="109"/>
      <c r="EM8" s="16"/>
      <c r="EN8" s="16"/>
      <c r="EO8" s="5">
        <f t="shared" si="3"/>
        <v>28</v>
      </c>
      <c r="EP8" s="5">
        <f t="shared" si="4"/>
        <v>3</v>
      </c>
      <c r="EQ8" s="3"/>
      <c r="ER8" s="3"/>
      <c r="ES8" s="3"/>
      <c r="ET8" s="3"/>
    </row>
    <row r="9" spans="1:150" ht="15.75" x14ac:dyDescent="0.25">
      <c r="A9" s="17">
        <v>4</v>
      </c>
      <c r="B9" s="19">
        <v>49</v>
      </c>
      <c r="C9" s="20" t="s">
        <v>178</v>
      </c>
      <c r="D9" s="21" t="s">
        <v>179</v>
      </c>
      <c r="E9" s="11" t="s">
        <v>8</v>
      </c>
      <c r="F9" s="16" t="s">
        <v>165</v>
      </c>
      <c r="G9" s="16" t="s">
        <v>166</v>
      </c>
      <c r="H9" s="16" t="s">
        <v>166</v>
      </c>
      <c r="I9" s="109"/>
      <c r="J9" s="16" t="s">
        <v>166</v>
      </c>
      <c r="K9" s="112"/>
      <c r="L9" s="16" t="s">
        <v>166</v>
      </c>
      <c r="M9" s="16" t="s">
        <v>166</v>
      </c>
      <c r="N9" s="16" t="s">
        <v>166</v>
      </c>
      <c r="O9" s="112"/>
      <c r="P9" s="109"/>
      <c r="Q9" s="112"/>
      <c r="R9" s="16" t="s">
        <v>166</v>
      </c>
      <c r="S9" s="16" t="s">
        <v>165</v>
      </c>
      <c r="T9" s="16" t="s">
        <v>165</v>
      </c>
      <c r="U9" s="112"/>
      <c r="V9" s="16"/>
      <c r="W9" s="109"/>
      <c r="X9" s="16" t="s">
        <v>166</v>
      </c>
      <c r="Y9" s="16" t="s">
        <v>166</v>
      </c>
      <c r="Z9" s="16" t="s">
        <v>166</v>
      </c>
      <c r="AA9" s="16" t="s">
        <v>166</v>
      </c>
      <c r="AB9" s="16" t="s">
        <v>166</v>
      </c>
      <c r="AC9" s="16" t="s">
        <v>165</v>
      </c>
      <c r="AD9" s="109"/>
      <c r="AE9" s="16" t="s">
        <v>166</v>
      </c>
      <c r="AF9" s="16" t="s">
        <v>166</v>
      </c>
      <c r="AG9" s="16" t="s">
        <v>166</v>
      </c>
      <c r="AH9" s="16" t="s">
        <v>166</v>
      </c>
      <c r="AI9" s="16" t="s">
        <v>166</v>
      </c>
      <c r="AJ9" s="16" t="s">
        <v>166</v>
      </c>
      <c r="AK9" s="109"/>
      <c r="AL9" s="16" t="s">
        <v>166</v>
      </c>
      <c r="AM9" s="112"/>
      <c r="AN9" s="16" t="s">
        <v>166</v>
      </c>
      <c r="AO9" s="16" t="s">
        <v>165</v>
      </c>
      <c r="AP9" s="16" t="s">
        <v>166</v>
      </c>
      <c r="AQ9" s="16" t="s">
        <v>166</v>
      </c>
      <c r="AR9" s="109"/>
      <c r="AS9" s="16" t="s">
        <v>166</v>
      </c>
      <c r="AT9" s="16" t="s">
        <v>166</v>
      </c>
      <c r="AU9" s="16" t="s">
        <v>166</v>
      </c>
      <c r="AV9" s="16" t="s">
        <v>166</v>
      </c>
      <c r="AW9" s="16"/>
      <c r="AX9" s="16"/>
      <c r="AY9" s="109"/>
      <c r="AZ9" s="16"/>
      <c r="BA9" s="16"/>
      <c r="BB9" s="16"/>
      <c r="BC9" s="16"/>
      <c r="BD9" s="16"/>
      <c r="BE9" s="16"/>
      <c r="BF9" s="109"/>
      <c r="BG9" s="16"/>
      <c r="BH9" s="16"/>
      <c r="BI9" s="16"/>
      <c r="BJ9" s="16"/>
      <c r="BK9" s="16"/>
      <c r="BL9" s="16"/>
      <c r="BM9" s="109"/>
      <c r="BN9" s="16"/>
      <c r="BO9" s="16"/>
      <c r="BP9" s="16"/>
      <c r="BQ9" s="16"/>
      <c r="BR9" s="16"/>
      <c r="BS9" s="16"/>
      <c r="BT9" s="109"/>
      <c r="BU9" s="16"/>
      <c r="BV9" s="16"/>
      <c r="BW9" s="16"/>
      <c r="BX9" s="16"/>
      <c r="BY9" s="16"/>
      <c r="BZ9" s="16"/>
      <c r="CA9" s="109"/>
      <c r="CB9" s="16"/>
      <c r="CC9" s="16"/>
      <c r="CD9" s="16"/>
      <c r="CE9" s="16"/>
      <c r="CF9" s="16"/>
      <c r="CG9" s="16"/>
      <c r="CH9" s="109"/>
      <c r="CI9" s="16"/>
      <c r="CJ9" s="16"/>
      <c r="CK9" s="16"/>
      <c r="CL9" s="16"/>
      <c r="CM9" s="16"/>
      <c r="CN9" s="16"/>
      <c r="CO9" s="109"/>
      <c r="CP9" s="16"/>
      <c r="CQ9" s="16"/>
      <c r="CR9" s="16"/>
      <c r="CS9" s="16"/>
      <c r="CT9" s="16"/>
      <c r="CU9" s="16"/>
      <c r="CV9" s="109"/>
      <c r="CW9" s="16"/>
      <c r="CX9" s="16"/>
      <c r="CY9" s="16"/>
      <c r="CZ9" s="16"/>
      <c r="DA9" s="16"/>
      <c r="DB9" s="16"/>
      <c r="DC9" s="109"/>
      <c r="DD9" s="16"/>
      <c r="DE9" s="16"/>
      <c r="DF9" s="16"/>
      <c r="DG9" s="16"/>
      <c r="DH9" s="16"/>
      <c r="DI9" s="16"/>
      <c r="DJ9" s="109"/>
      <c r="DK9" s="16"/>
      <c r="DL9" s="16"/>
      <c r="DM9" s="16"/>
      <c r="DN9" s="16"/>
      <c r="DO9" s="16"/>
      <c r="DP9" s="16"/>
      <c r="DQ9" s="109"/>
      <c r="DR9" s="16"/>
      <c r="DS9" s="16"/>
      <c r="DT9" s="16"/>
      <c r="DU9" s="16"/>
      <c r="DV9" s="16"/>
      <c r="DW9" s="16"/>
      <c r="DX9" s="109"/>
      <c r="DY9" s="16"/>
      <c r="DZ9" s="16"/>
      <c r="EA9" s="16"/>
      <c r="EB9" s="16"/>
      <c r="EC9" s="16"/>
      <c r="ED9" s="16"/>
      <c r="EE9" s="109"/>
      <c r="EF9" s="16"/>
      <c r="EG9" s="16"/>
      <c r="EH9" s="16"/>
      <c r="EI9" s="16"/>
      <c r="EJ9" s="16"/>
      <c r="EK9" s="16"/>
      <c r="EL9" s="109"/>
      <c r="EM9" s="16"/>
      <c r="EN9" s="16"/>
      <c r="EO9" s="5">
        <f t="shared" si="3"/>
        <v>26</v>
      </c>
      <c r="EP9" s="5">
        <f t="shared" si="4"/>
        <v>5</v>
      </c>
      <c r="EQ9" s="103" t="s">
        <v>12</v>
      </c>
      <c r="ER9" s="105"/>
      <c r="ES9" s="105"/>
      <c r="ET9" s="104"/>
    </row>
    <row r="10" spans="1:150" x14ac:dyDescent="0.25">
      <c r="A10" s="6">
        <v>5</v>
      </c>
      <c r="B10" s="19">
        <v>104</v>
      </c>
      <c r="C10" s="20" t="s">
        <v>180</v>
      </c>
      <c r="D10" s="21" t="s">
        <v>181</v>
      </c>
      <c r="E10" s="11" t="s">
        <v>8</v>
      </c>
      <c r="F10" s="16" t="s">
        <v>166</v>
      </c>
      <c r="G10" s="16" t="s">
        <v>166</v>
      </c>
      <c r="H10" s="16" t="s">
        <v>166</v>
      </c>
      <c r="I10" s="109"/>
      <c r="J10" s="16" t="s">
        <v>166</v>
      </c>
      <c r="K10" s="112"/>
      <c r="L10" s="16" t="s">
        <v>166</v>
      </c>
      <c r="M10" s="16" t="s">
        <v>166</v>
      </c>
      <c r="N10" s="16" t="s">
        <v>166</v>
      </c>
      <c r="O10" s="112"/>
      <c r="P10" s="109"/>
      <c r="Q10" s="112"/>
      <c r="R10" s="16" t="s">
        <v>165</v>
      </c>
      <c r="S10" s="16" t="s">
        <v>165</v>
      </c>
      <c r="T10" s="16" t="s">
        <v>166</v>
      </c>
      <c r="U10" s="112"/>
      <c r="V10" s="16"/>
      <c r="W10" s="109"/>
      <c r="X10" s="16" t="s">
        <v>166</v>
      </c>
      <c r="Y10" s="16" t="s">
        <v>166</v>
      </c>
      <c r="Z10" s="16" t="s">
        <v>166</v>
      </c>
      <c r="AA10" s="16" t="s">
        <v>166</v>
      </c>
      <c r="AB10" s="16" t="s">
        <v>165</v>
      </c>
      <c r="AC10" s="16" t="s">
        <v>166</v>
      </c>
      <c r="AD10" s="109"/>
      <c r="AE10" s="16" t="s">
        <v>166</v>
      </c>
      <c r="AF10" s="16" t="s">
        <v>166</v>
      </c>
      <c r="AG10" s="16" t="s">
        <v>166</v>
      </c>
      <c r="AH10" s="16" t="s">
        <v>166</v>
      </c>
      <c r="AI10" s="16" t="s">
        <v>166</v>
      </c>
      <c r="AJ10" s="16" t="s">
        <v>166</v>
      </c>
      <c r="AK10" s="109"/>
      <c r="AL10" s="16" t="s">
        <v>166</v>
      </c>
      <c r="AM10" s="112"/>
      <c r="AN10" s="16" t="s">
        <v>166</v>
      </c>
      <c r="AO10" s="16" t="s">
        <v>166</v>
      </c>
      <c r="AP10" s="16" t="s">
        <v>166</v>
      </c>
      <c r="AQ10" s="16" t="s">
        <v>166</v>
      </c>
      <c r="AR10" s="109"/>
      <c r="AS10" s="16" t="s">
        <v>166</v>
      </c>
      <c r="AT10" s="16" t="s">
        <v>166</v>
      </c>
      <c r="AU10" s="16"/>
      <c r="AV10" s="16" t="s">
        <v>166</v>
      </c>
      <c r="AW10" s="16"/>
      <c r="AX10" s="16"/>
      <c r="AY10" s="109"/>
      <c r="AZ10" s="16"/>
      <c r="BA10" s="16"/>
      <c r="BB10" s="16"/>
      <c r="BC10" s="16"/>
      <c r="BD10" s="16"/>
      <c r="BE10" s="16"/>
      <c r="BF10" s="109"/>
      <c r="BG10" s="16"/>
      <c r="BH10" s="16"/>
      <c r="BI10" s="16"/>
      <c r="BJ10" s="16"/>
      <c r="BK10" s="16"/>
      <c r="BL10" s="16"/>
      <c r="BM10" s="109"/>
      <c r="BN10" s="16"/>
      <c r="BO10" s="16"/>
      <c r="BP10" s="16"/>
      <c r="BQ10" s="16"/>
      <c r="BR10" s="16"/>
      <c r="BS10" s="16"/>
      <c r="BT10" s="109"/>
      <c r="BU10" s="16"/>
      <c r="BV10" s="16"/>
      <c r="BW10" s="16"/>
      <c r="BX10" s="16"/>
      <c r="BY10" s="16"/>
      <c r="BZ10" s="16"/>
      <c r="CA10" s="109"/>
      <c r="CB10" s="16"/>
      <c r="CC10" s="16"/>
      <c r="CD10" s="16"/>
      <c r="CE10" s="16"/>
      <c r="CF10" s="16"/>
      <c r="CG10" s="16"/>
      <c r="CH10" s="109"/>
      <c r="CI10" s="16"/>
      <c r="CJ10" s="16"/>
      <c r="CK10" s="16"/>
      <c r="CL10" s="16"/>
      <c r="CM10" s="16"/>
      <c r="CN10" s="16"/>
      <c r="CO10" s="109"/>
      <c r="CP10" s="16"/>
      <c r="CQ10" s="16"/>
      <c r="CR10" s="16"/>
      <c r="CS10" s="16"/>
      <c r="CT10" s="16"/>
      <c r="CU10" s="16"/>
      <c r="CV10" s="109"/>
      <c r="CW10" s="16"/>
      <c r="CX10" s="16"/>
      <c r="CY10" s="16"/>
      <c r="CZ10" s="16"/>
      <c r="DA10" s="16"/>
      <c r="DB10" s="16"/>
      <c r="DC10" s="109"/>
      <c r="DD10" s="16"/>
      <c r="DE10" s="16"/>
      <c r="DF10" s="16"/>
      <c r="DG10" s="16"/>
      <c r="DH10" s="16"/>
      <c r="DI10" s="16"/>
      <c r="DJ10" s="109"/>
      <c r="DK10" s="16"/>
      <c r="DL10" s="16"/>
      <c r="DM10" s="16"/>
      <c r="DN10" s="16"/>
      <c r="DO10" s="16"/>
      <c r="DP10" s="16"/>
      <c r="DQ10" s="109"/>
      <c r="DR10" s="16"/>
      <c r="DS10" s="16"/>
      <c r="DT10" s="16"/>
      <c r="DU10" s="16"/>
      <c r="DV10" s="16"/>
      <c r="DW10" s="16"/>
      <c r="DX10" s="109"/>
      <c r="DY10" s="16"/>
      <c r="DZ10" s="16"/>
      <c r="EA10" s="16"/>
      <c r="EB10" s="16"/>
      <c r="EC10" s="16"/>
      <c r="ED10" s="16"/>
      <c r="EE10" s="109"/>
      <c r="EF10" s="16"/>
      <c r="EG10" s="16"/>
      <c r="EH10" s="16"/>
      <c r="EI10" s="16"/>
      <c r="EJ10" s="16"/>
      <c r="EK10" s="16"/>
      <c r="EL10" s="109"/>
      <c r="EM10" s="16"/>
      <c r="EN10" s="16"/>
      <c r="EO10" s="5">
        <f t="shared" si="3"/>
        <v>27</v>
      </c>
      <c r="EP10" s="5">
        <f t="shared" si="4"/>
        <v>3</v>
      </c>
      <c r="EQ10" s="5" t="s">
        <v>13</v>
      </c>
      <c r="ER10" s="5" t="s">
        <v>14</v>
      </c>
      <c r="ES10" s="5" t="s">
        <v>15</v>
      </c>
      <c r="ET10" s="5" t="s">
        <v>16</v>
      </c>
    </row>
    <row r="11" spans="1:150" x14ac:dyDescent="0.25">
      <c r="A11" s="17">
        <v>6</v>
      </c>
      <c r="B11" s="19">
        <v>88</v>
      </c>
      <c r="C11" s="20" t="s">
        <v>92</v>
      </c>
      <c r="D11" s="21" t="s">
        <v>182</v>
      </c>
      <c r="E11" s="11" t="s">
        <v>8</v>
      </c>
      <c r="F11" s="16" t="s">
        <v>165</v>
      </c>
      <c r="G11" s="16" t="s">
        <v>166</v>
      </c>
      <c r="H11" s="16" t="s">
        <v>166</v>
      </c>
      <c r="I11" s="109"/>
      <c r="J11" s="16" t="s">
        <v>166</v>
      </c>
      <c r="K11" s="112"/>
      <c r="L11" s="16" t="s">
        <v>166</v>
      </c>
      <c r="M11" s="16" t="s">
        <v>166</v>
      </c>
      <c r="N11" s="16" t="s">
        <v>166</v>
      </c>
      <c r="O11" s="112"/>
      <c r="P11" s="109"/>
      <c r="Q11" s="112"/>
      <c r="R11" s="16" t="s">
        <v>165</v>
      </c>
      <c r="S11" s="16" t="s">
        <v>165</v>
      </c>
      <c r="T11" s="16" t="s">
        <v>166</v>
      </c>
      <c r="U11" s="112"/>
      <c r="V11" s="16"/>
      <c r="W11" s="109"/>
      <c r="X11" s="16" t="s">
        <v>166</v>
      </c>
      <c r="Y11" s="16" t="s">
        <v>166</v>
      </c>
      <c r="Z11" s="16" t="s">
        <v>166</v>
      </c>
      <c r="AA11" s="16" t="s">
        <v>166</v>
      </c>
      <c r="AB11" s="16" t="s">
        <v>166</v>
      </c>
      <c r="AC11" s="16" t="s">
        <v>166</v>
      </c>
      <c r="AD11" s="109"/>
      <c r="AE11" s="16" t="s">
        <v>166</v>
      </c>
      <c r="AF11" s="16" t="s">
        <v>166</v>
      </c>
      <c r="AG11" s="16" t="s">
        <v>166</v>
      </c>
      <c r="AH11" s="16" t="s">
        <v>166</v>
      </c>
      <c r="AI11" s="16" t="s">
        <v>166</v>
      </c>
      <c r="AJ11" s="16" t="s">
        <v>166</v>
      </c>
      <c r="AK11" s="109"/>
      <c r="AL11" s="16" t="s">
        <v>166</v>
      </c>
      <c r="AM11" s="112"/>
      <c r="AN11" s="16" t="s">
        <v>166</v>
      </c>
      <c r="AO11" s="16" t="s">
        <v>166</v>
      </c>
      <c r="AP11" s="16" t="s">
        <v>166</v>
      </c>
      <c r="AQ11" s="16" t="s">
        <v>166</v>
      </c>
      <c r="AR11" s="109"/>
      <c r="AS11" s="16" t="s">
        <v>166</v>
      </c>
      <c r="AT11" s="16" t="s">
        <v>166</v>
      </c>
      <c r="AU11" s="16" t="s">
        <v>166</v>
      </c>
      <c r="AV11" s="16" t="s">
        <v>166</v>
      </c>
      <c r="AW11" s="16"/>
      <c r="AX11" s="16"/>
      <c r="AY11" s="109"/>
      <c r="AZ11" s="16"/>
      <c r="BA11" s="16"/>
      <c r="BB11" s="16"/>
      <c r="BC11" s="16"/>
      <c r="BD11" s="16"/>
      <c r="BE11" s="16"/>
      <c r="BF11" s="109"/>
      <c r="BG11" s="16"/>
      <c r="BH11" s="16"/>
      <c r="BI11" s="16"/>
      <c r="BJ11" s="16"/>
      <c r="BK11" s="16"/>
      <c r="BL11" s="16"/>
      <c r="BM11" s="109"/>
      <c r="BN11" s="16"/>
      <c r="BO11" s="16"/>
      <c r="BP11" s="16"/>
      <c r="BQ11" s="16"/>
      <c r="BR11" s="16"/>
      <c r="BS11" s="16"/>
      <c r="BT11" s="109"/>
      <c r="BU11" s="16"/>
      <c r="BV11" s="16"/>
      <c r="BW11" s="16"/>
      <c r="BX11" s="16"/>
      <c r="BY11" s="16"/>
      <c r="BZ11" s="16"/>
      <c r="CA11" s="109"/>
      <c r="CB11" s="16"/>
      <c r="CC11" s="16"/>
      <c r="CD11" s="16"/>
      <c r="CE11" s="16"/>
      <c r="CF11" s="16"/>
      <c r="CG11" s="16"/>
      <c r="CH11" s="109"/>
      <c r="CI11" s="16"/>
      <c r="CJ11" s="16"/>
      <c r="CK11" s="16"/>
      <c r="CL11" s="16"/>
      <c r="CM11" s="16"/>
      <c r="CN11" s="16"/>
      <c r="CO11" s="109"/>
      <c r="CP11" s="16"/>
      <c r="CQ11" s="16"/>
      <c r="CR11" s="16"/>
      <c r="CS11" s="16"/>
      <c r="CT11" s="16"/>
      <c r="CU11" s="16"/>
      <c r="CV11" s="109"/>
      <c r="CW11" s="16"/>
      <c r="CX11" s="16"/>
      <c r="CY11" s="16"/>
      <c r="CZ11" s="16"/>
      <c r="DA11" s="16"/>
      <c r="DB11" s="16"/>
      <c r="DC11" s="109"/>
      <c r="DD11" s="16"/>
      <c r="DE11" s="16"/>
      <c r="DF11" s="16"/>
      <c r="DG11" s="16"/>
      <c r="DH11" s="16"/>
      <c r="DI11" s="16"/>
      <c r="DJ11" s="109"/>
      <c r="DK11" s="16"/>
      <c r="DL11" s="16"/>
      <c r="DM11" s="16"/>
      <c r="DN11" s="16"/>
      <c r="DO11" s="16"/>
      <c r="DP11" s="16"/>
      <c r="DQ11" s="109"/>
      <c r="DR11" s="16"/>
      <c r="DS11" s="16"/>
      <c r="DT11" s="16"/>
      <c r="DU11" s="16"/>
      <c r="DV11" s="16"/>
      <c r="DW11" s="16"/>
      <c r="DX11" s="109"/>
      <c r="DY11" s="16"/>
      <c r="DZ11" s="16"/>
      <c r="EA11" s="16"/>
      <c r="EB11" s="16"/>
      <c r="EC11" s="16"/>
      <c r="ED11" s="16"/>
      <c r="EE11" s="109"/>
      <c r="EF11" s="16"/>
      <c r="EG11" s="16"/>
      <c r="EH11" s="16"/>
      <c r="EI11" s="16"/>
      <c r="EJ11" s="16"/>
      <c r="EK11" s="16"/>
      <c r="EL11" s="109"/>
      <c r="EM11" s="16"/>
      <c r="EN11" s="16"/>
      <c r="EO11" s="5">
        <f t="shared" si="3"/>
        <v>28</v>
      </c>
      <c r="EP11" s="5">
        <f t="shared" si="4"/>
        <v>3</v>
      </c>
      <c r="EQ11" s="5" t="s">
        <v>17</v>
      </c>
      <c r="ER11" s="17">
        <f>19*26</f>
        <v>494</v>
      </c>
      <c r="ES11" s="17">
        <f>21*26</f>
        <v>546</v>
      </c>
      <c r="ET11" s="17">
        <f>SUM(ER11:ES11)</f>
        <v>1040</v>
      </c>
    </row>
    <row r="12" spans="1:150" x14ac:dyDescent="0.25">
      <c r="A12" s="6">
        <v>7</v>
      </c>
      <c r="B12" s="19">
        <v>59</v>
      </c>
      <c r="C12" s="20" t="s">
        <v>183</v>
      </c>
      <c r="D12" s="21" t="s">
        <v>184</v>
      </c>
      <c r="E12" s="11" t="s">
        <v>8</v>
      </c>
      <c r="F12" s="16" t="s">
        <v>166</v>
      </c>
      <c r="G12" s="16" t="s">
        <v>166</v>
      </c>
      <c r="H12" s="16" t="s">
        <v>166</v>
      </c>
      <c r="I12" s="109"/>
      <c r="J12" s="16" t="s">
        <v>166</v>
      </c>
      <c r="K12" s="112"/>
      <c r="L12" s="16" t="s">
        <v>166</v>
      </c>
      <c r="M12" s="16" t="s">
        <v>166</v>
      </c>
      <c r="N12" s="16" t="s">
        <v>166</v>
      </c>
      <c r="O12" s="112"/>
      <c r="P12" s="109"/>
      <c r="Q12" s="112"/>
      <c r="R12" s="16" t="s">
        <v>165</v>
      </c>
      <c r="S12" s="16" t="s">
        <v>165</v>
      </c>
      <c r="T12" s="16" t="s">
        <v>166</v>
      </c>
      <c r="U12" s="112"/>
      <c r="V12" s="16"/>
      <c r="W12" s="109"/>
      <c r="X12" s="16" t="s">
        <v>166</v>
      </c>
      <c r="Y12" s="16" t="s">
        <v>166</v>
      </c>
      <c r="Z12" s="16" t="s">
        <v>166</v>
      </c>
      <c r="AA12" s="16" t="s">
        <v>166</v>
      </c>
      <c r="AB12" s="16" t="s">
        <v>166</v>
      </c>
      <c r="AC12" s="16" t="s">
        <v>166</v>
      </c>
      <c r="AD12" s="109"/>
      <c r="AE12" s="16" t="s">
        <v>166</v>
      </c>
      <c r="AF12" s="16" t="s">
        <v>166</v>
      </c>
      <c r="AG12" s="16" t="s">
        <v>166</v>
      </c>
      <c r="AH12" s="16" t="s">
        <v>166</v>
      </c>
      <c r="AI12" s="16" t="s">
        <v>166</v>
      </c>
      <c r="AJ12" s="16" t="s">
        <v>166</v>
      </c>
      <c r="AK12" s="109"/>
      <c r="AL12" s="16" t="s">
        <v>165</v>
      </c>
      <c r="AM12" s="112"/>
      <c r="AN12" s="16" t="s">
        <v>166</v>
      </c>
      <c r="AO12" s="16" t="s">
        <v>166</v>
      </c>
      <c r="AP12" s="16" t="s">
        <v>166</v>
      </c>
      <c r="AQ12" s="16" t="s">
        <v>166</v>
      </c>
      <c r="AR12" s="109"/>
      <c r="AS12" s="16" t="s">
        <v>166</v>
      </c>
      <c r="AT12" s="16" t="s">
        <v>166</v>
      </c>
      <c r="AU12" s="16" t="s">
        <v>166</v>
      </c>
      <c r="AV12" s="16"/>
      <c r="AW12" s="16"/>
      <c r="AX12" s="16"/>
      <c r="AY12" s="109"/>
      <c r="AZ12" s="16"/>
      <c r="BA12" s="16"/>
      <c r="BB12" s="16"/>
      <c r="BC12" s="16"/>
      <c r="BD12" s="16"/>
      <c r="BE12" s="16"/>
      <c r="BF12" s="109"/>
      <c r="BG12" s="16"/>
      <c r="BH12" s="16"/>
      <c r="BI12" s="16"/>
      <c r="BJ12" s="16"/>
      <c r="BK12" s="16"/>
      <c r="BL12" s="16"/>
      <c r="BM12" s="109"/>
      <c r="BN12" s="16"/>
      <c r="BO12" s="16"/>
      <c r="BP12" s="16"/>
      <c r="BQ12" s="16"/>
      <c r="BR12" s="16"/>
      <c r="BS12" s="16"/>
      <c r="BT12" s="109"/>
      <c r="BU12" s="16"/>
      <c r="BV12" s="16"/>
      <c r="BW12" s="16"/>
      <c r="BX12" s="16"/>
      <c r="BY12" s="16"/>
      <c r="BZ12" s="16"/>
      <c r="CA12" s="109"/>
      <c r="CB12" s="16"/>
      <c r="CC12" s="16"/>
      <c r="CD12" s="16"/>
      <c r="CE12" s="16"/>
      <c r="CF12" s="16"/>
      <c r="CG12" s="16"/>
      <c r="CH12" s="109"/>
      <c r="CI12" s="16"/>
      <c r="CJ12" s="16"/>
      <c r="CK12" s="16"/>
      <c r="CL12" s="16"/>
      <c r="CM12" s="16"/>
      <c r="CN12" s="16"/>
      <c r="CO12" s="109"/>
      <c r="CP12" s="16"/>
      <c r="CQ12" s="16"/>
      <c r="CR12" s="16"/>
      <c r="CS12" s="16"/>
      <c r="CT12" s="16"/>
      <c r="CU12" s="16"/>
      <c r="CV12" s="109"/>
      <c r="CW12" s="16"/>
      <c r="CX12" s="16"/>
      <c r="CY12" s="16"/>
      <c r="CZ12" s="16"/>
      <c r="DA12" s="16"/>
      <c r="DB12" s="16"/>
      <c r="DC12" s="109"/>
      <c r="DD12" s="16"/>
      <c r="DE12" s="16"/>
      <c r="DF12" s="16"/>
      <c r="DG12" s="16"/>
      <c r="DH12" s="16"/>
      <c r="DI12" s="16"/>
      <c r="DJ12" s="109"/>
      <c r="DK12" s="16"/>
      <c r="DL12" s="16"/>
      <c r="DM12" s="16"/>
      <c r="DN12" s="16"/>
      <c r="DO12" s="16"/>
      <c r="DP12" s="16"/>
      <c r="DQ12" s="109"/>
      <c r="DR12" s="16"/>
      <c r="DS12" s="16"/>
      <c r="DT12" s="16"/>
      <c r="DU12" s="16"/>
      <c r="DV12" s="16"/>
      <c r="DW12" s="16"/>
      <c r="DX12" s="109"/>
      <c r="DY12" s="16"/>
      <c r="DZ12" s="16"/>
      <c r="EA12" s="16"/>
      <c r="EB12" s="16"/>
      <c r="EC12" s="16"/>
      <c r="ED12" s="16"/>
      <c r="EE12" s="109"/>
      <c r="EF12" s="16"/>
      <c r="EG12" s="16"/>
      <c r="EH12" s="16"/>
      <c r="EI12" s="16"/>
      <c r="EJ12" s="16"/>
      <c r="EK12" s="16"/>
      <c r="EL12" s="109"/>
      <c r="EM12" s="16"/>
      <c r="EN12" s="16"/>
      <c r="EO12" s="5">
        <f t="shared" si="3"/>
        <v>27</v>
      </c>
      <c r="EP12" s="5">
        <f t="shared" si="4"/>
        <v>3</v>
      </c>
      <c r="EQ12" s="5" t="s">
        <v>18</v>
      </c>
      <c r="ER12" s="17">
        <f>EO7+EO8+EO9+EO12+EO13+EO14+EO16+EO20+EO21+EO22+EO23+EO24+EO25+EO26+EO27+EO29+EO30+EO32+EO43</f>
        <v>510</v>
      </c>
      <c r="ES12" s="17">
        <f>EO6+EO10+EO11+EO15+EO17+EO18+EO19+EO28+EO31+EO33+EO34+EO35+EO36+EO37+EO38+EO39+EO40+EO41+EO42+EO44+EO45</f>
        <v>530</v>
      </c>
      <c r="ET12" s="17">
        <f>ER12+ES12</f>
        <v>1040</v>
      </c>
    </row>
    <row r="13" spans="1:150" x14ac:dyDescent="0.25">
      <c r="A13" s="17">
        <v>8</v>
      </c>
      <c r="B13" s="19">
        <v>83</v>
      </c>
      <c r="C13" s="20" t="s">
        <v>185</v>
      </c>
      <c r="D13" s="21" t="s">
        <v>186</v>
      </c>
      <c r="E13" s="11" t="s">
        <v>8</v>
      </c>
      <c r="F13" s="16" t="s">
        <v>166</v>
      </c>
      <c r="G13" s="16" t="s">
        <v>166</v>
      </c>
      <c r="H13" s="16" t="s">
        <v>166</v>
      </c>
      <c r="I13" s="109"/>
      <c r="J13" s="16" t="s">
        <v>166</v>
      </c>
      <c r="K13" s="112"/>
      <c r="L13" s="16" t="s">
        <v>166</v>
      </c>
      <c r="M13" s="16" t="s">
        <v>166</v>
      </c>
      <c r="N13" s="16" t="s">
        <v>166</v>
      </c>
      <c r="O13" s="112"/>
      <c r="P13" s="109"/>
      <c r="Q13" s="112"/>
      <c r="R13" s="16" t="s">
        <v>166</v>
      </c>
      <c r="S13" s="16" t="s">
        <v>165</v>
      </c>
      <c r="T13" s="16" t="s">
        <v>166</v>
      </c>
      <c r="U13" s="112"/>
      <c r="V13" s="16"/>
      <c r="W13" s="109"/>
      <c r="X13" s="16" t="s">
        <v>166</v>
      </c>
      <c r="Y13" s="16" t="s">
        <v>166</v>
      </c>
      <c r="Z13" s="16" t="s">
        <v>166</v>
      </c>
      <c r="AA13" s="16" t="s">
        <v>166</v>
      </c>
      <c r="AB13" s="16" t="s">
        <v>166</v>
      </c>
      <c r="AC13" s="16" t="s">
        <v>166</v>
      </c>
      <c r="AD13" s="109"/>
      <c r="AE13" s="16" t="s">
        <v>166</v>
      </c>
      <c r="AF13" s="16" t="s">
        <v>166</v>
      </c>
      <c r="AG13" s="16" t="s">
        <v>166</v>
      </c>
      <c r="AH13" s="16" t="s">
        <v>166</v>
      </c>
      <c r="AI13" s="16" t="s">
        <v>166</v>
      </c>
      <c r="AJ13" s="16" t="s">
        <v>166</v>
      </c>
      <c r="AK13" s="109"/>
      <c r="AL13" s="16" t="s">
        <v>166</v>
      </c>
      <c r="AM13" s="112"/>
      <c r="AN13" s="16" t="s">
        <v>166</v>
      </c>
      <c r="AO13" s="16" t="s">
        <v>166</v>
      </c>
      <c r="AP13" s="16" t="s">
        <v>165</v>
      </c>
      <c r="AQ13" s="16" t="s">
        <v>165</v>
      </c>
      <c r="AR13" s="109"/>
      <c r="AS13" s="16" t="s">
        <v>166</v>
      </c>
      <c r="AT13" s="16" t="s">
        <v>166</v>
      </c>
      <c r="AU13" s="16" t="s">
        <v>166</v>
      </c>
      <c r="AV13" s="16" t="s">
        <v>166</v>
      </c>
      <c r="AW13" s="16"/>
      <c r="AX13" s="16"/>
      <c r="AY13" s="109"/>
      <c r="AZ13" s="16"/>
      <c r="BA13" s="16"/>
      <c r="BB13" s="16"/>
      <c r="BC13" s="16"/>
      <c r="BD13" s="16"/>
      <c r="BE13" s="16"/>
      <c r="BF13" s="109"/>
      <c r="BG13" s="16"/>
      <c r="BH13" s="16"/>
      <c r="BI13" s="16"/>
      <c r="BJ13" s="16"/>
      <c r="BK13" s="16"/>
      <c r="BL13" s="16"/>
      <c r="BM13" s="109"/>
      <c r="BN13" s="16"/>
      <c r="BO13" s="16"/>
      <c r="BP13" s="16"/>
      <c r="BQ13" s="16"/>
      <c r="BR13" s="16"/>
      <c r="BS13" s="16"/>
      <c r="BT13" s="109"/>
      <c r="BU13" s="16"/>
      <c r="BV13" s="16"/>
      <c r="BW13" s="16"/>
      <c r="BX13" s="16"/>
      <c r="BY13" s="16"/>
      <c r="BZ13" s="16"/>
      <c r="CA13" s="109"/>
      <c r="CB13" s="16"/>
      <c r="CC13" s="16"/>
      <c r="CD13" s="16"/>
      <c r="CE13" s="16"/>
      <c r="CF13" s="16"/>
      <c r="CG13" s="16"/>
      <c r="CH13" s="109"/>
      <c r="CI13" s="16"/>
      <c r="CJ13" s="16"/>
      <c r="CK13" s="16"/>
      <c r="CL13" s="16"/>
      <c r="CM13" s="16"/>
      <c r="CN13" s="16"/>
      <c r="CO13" s="109"/>
      <c r="CP13" s="16"/>
      <c r="CQ13" s="16"/>
      <c r="CR13" s="16"/>
      <c r="CS13" s="16"/>
      <c r="CT13" s="16"/>
      <c r="CU13" s="16"/>
      <c r="CV13" s="109"/>
      <c r="CW13" s="16"/>
      <c r="CX13" s="16"/>
      <c r="CY13" s="16"/>
      <c r="CZ13" s="16"/>
      <c r="DA13" s="16"/>
      <c r="DB13" s="16"/>
      <c r="DC13" s="109"/>
      <c r="DD13" s="16"/>
      <c r="DE13" s="16"/>
      <c r="DF13" s="16"/>
      <c r="DG13" s="16"/>
      <c r="DH13" s="16"/>
      <c r="DI13" s="16"/>
      <c r="DJ13" s="109"/>
      <c r="DK13" s="16"/>
      <c r="DL13" s="16"/>
      <c r="DM13" s="16"/>
      <c r="DN13" s="16"/>
      <c r="DO13" s="16"/>
      <c r="DP13" s="16"/>
      <c r="DQ13" s="109"/>
      <c r="DR13" s="16"/>
      <c r="DS13" s="16"/>
      <c r="DT13" s="16"/>
      <c r="DU13" s="16"/>
      <c r="DV13" s="16"/>
      <c r="DW13" s="16"/>
      <c r="DX13" s="109"/>
      <c r="DY13" s="16"/>
      <c r="DZ13" s="16"/>
      <c r="EA13" s="16"/>
      <c r="EB13" s="16"/>
      <c r="EC13" s="16"/>
      <c r="ED13" s="16"/>
      <c r="EE13" s="109"/>
      <c r="EF13" s="16"/>
      <c r="EG13" s="16"/>
      <c r="EH13" s="16"/>
      <c r="EI13" s="16"/>
      <c r="EJ13" s="16"/>
      <c r="EK13" s="16"/>
      <c r="EL13" s="109"/>
      <c r="EM13" s="16"/>
      <c r="EN13" s="16"/>
      <c r="EO13" s="5">
        <f t="shared" si="3"/>
        <v>28</v>
      </c>
      <c r="EP13" s="5">
        <f t="shared" si="4"/>
        <v>3</v>
      </c>
      <c r="EQ13" s="5" t="s">
        <v>19</v>
      </c>
      <c r="ER13" s="17">
        <f>ER12/ER11</f>
        <v>1.0323886639676114</v>
      </c>
      <c r="ES13" s="17">
        <f>ES12/ES11</f>
        <v>0.97069597069597069</v>
      </c>
      <c r="ET13" s="17">
        <f>ET12/ET11</f>
        <v>1</v>
      </c>
    </row>
    <row r="14" spans="1:150" x14ac:dyDescent="0.25">
      <c r="A14" s="6">
        <v>9</v>
      </c>
      <c r="B14" s="19">
        <v>89</v>
      </c>
      <c r="C14" s="20" t="s">
        <v>187</v>
      </c>
      <c r="D14" s="21" t="s">
        <v>188</v>
      </c>
      <c r="E14" s="11" t="s">
        <v>8</v>
      </c>
      <c r="F14" s="16" t="s">
        <v>165</v>
      </c>
      <c r="G14" s="16" t="s">
        <v>166</v>
      </c>
      <c r="H14" s="16" t="s">
        <v>166</v>
      </c>
      <c r="I14" s="109"/>
      <c r="J14" s="16" t="s">
        <v>166</v>
      </c>
      <c r="K14" s="112"/>
      <c r="L14" s="16" t="s">
        <v>166</v>
      </c>
      <c r="M14" s="16" t="s">
        <v>166</v>
      </c>
      <c r="N14" s="16" t="s">
        <v>166</v>
      </c>
      <c r="O14" s="112"/>
      <c r="P14" s="109"/>
      <c r="Q14" s="112"/>
      <c r="R14" s="16" t="s">
        <v>165</v>
      </c>
      <c r="S14" s="16" t="s">
        <v>165</v>
      </c>
      <c r="T14" s="16" t="s">
        <v>166</v>
      </c>
      <c r="U14" s="112"/>
      <c r="V14" s="16"/>
      <c r="W14" s="109"/>
      <c r="X14" s="16" t="s">
        <v>166</v>
      </c>
      <c r="Y14" s="16" t="s">
        <v>166</v>
      </c>
      <c r="Z14" s="16" t="s">
        <v>166</v>
      </c>
      <c r="AA14" s="16" t="s">
        <v>166</v>
      </c>
      <c r="AB14" s="16" t="s">
        <v>166</v>
      </c>
      <c r="AC14" s="16" t="s">
        <v>166</v>
      </c>
      <c r="AD14" s="109"/>
      <c r="AE14" s="16" t="s">
        <v>166</v>
      </c>
      <c r="AF14" s="16" t="s">
        <v>166</v>
      </c>
      <c r="AG14" s="16" t="s">
        <v>166</v>
      </c>
      <c r="AH14" s="16" t="s">
        <v>166</v>
      </c>
      <c r="AI14" s="16" t="s">
        <v>166</v>
      </c>
      <c r="AJ14" s="16"/>
      <c r="AK14" s="109"/>
      <c r="AL14" s="16" t="s">
        <v>165</v>
      </c>
      <c r="AM14" s="112"/>
      <c r="AN14" s="16" t="s">
        <v>166</v>
      </c>
      <c r="AO14" s="16" t="s">
        <v>165</v>
      </c>
      <c r="AP14" s="16" t="s">
        <v>165</v>
      </c>
      <c r="AQ14" s="16" t="s">
        <v>165</v>
      </c>
      <c r="AR14" s="109"/>
      <c r="AS14" s="16" t="s">
        <v>166</v>
      </c>
      <c r="AT14" s="16" t="s">
        <v>166</v>
      </c>
      <c r="AU14" s="16" t="s">
        <v>166</v>
      </c>
      <c r="AV14" s="16" t="s">
        <v>166</v>
      </c>
      <c r="AW14" s="16"/>
      <c r="AX14" s="16"/>
      <c r="AY14" s="109"/>
      <c r="AZ14" s="16"/>
      <c r="BA14" s="16"/>
      <c r="BB14" s="16"/>
      <c r="BC14" s="16"/>
      <c r="BD14" s="16"/>
      <c r="BE14" s="16"/>
      <c r="BF14" s="109"/>
      <c r="BG14" s="16"/>
      <c r="BH14" s="16"/>
      <c r="BI14" s="16"/>
      <c r="BJ14" s="16"/>
      <c r="BK14" s="16"/>
      <c r="BL14" s="16"/>
      <c r="BM14" s="109"/>
      <c r="BN14" s="16"/>
      <c r="BO14" s="16"/>
      <c r="BP14" s="16"/>
      <c r="BQ14" s="16"/>
      <c r="BR14" s="16"/>
      <c r="BS14" s="16"/>
      <c r="BT14" s="109"/>
      <c r="BU14" s="16"/>
      <c r="BV14" s="16"/>
      <c r="BW14" s="16"/>
      <c r="BX14" s="16"/>
      <c r="BY14" s="16"/>
      <c r="BZ14" s="16"/>
      <c r="CA14" s="109"/>
      <c r="CB14" s="16"/>
      <c r="CC14" s="16"/>
      <c r="CD14" s="16"/>
      <c r="CE14" s="16"/>
      <c r="CF14" s="16"/>
      <c r="CG14" s="16"/>
      <c r="CH14" s="109"/>
      <c r="CI14" s="16"/>
      <c r="CJ14" s="16"/>
      <c r="CK14" s="16"/>
      <c r="CL14" s="16"/>
      <c r="CM14" s="16"/>
      <c r="CN14" s="16"/>
      <c r="CO14" s="109"/>
      <c r="CP14" s="16"/>
      <c r="CQ14" s="16"/>
      <c r="CR14" s="16"/>
      <c r="CS14" s="16"/>
      <c r="CT14" s="16"/>
      <c r="CU14" s="16"/>
      <c r="CV14" s="109"/>
      <c r="CW14" s="16"/>
      <c r="CX14" s="16"/>
      <c r="CY14" s="16"/>
      <c r="CZ14" s="16"/>
      <c r="DA14" s="16"/>
      <c r="DB14" s="16"/>
      <c r="DC14" s="109"/>
      <c r="DD14" s="16"/>
      <c r="DE14" s="16"/>
      <c r="DF14" s="16"/>
      <c r="DG14" s="16"/>
      <c r="DH14" s="16"/>
      <c r="DI14" s="16"/>
      <c r="DJ14" s="109"/>
      <c r="DK14" s="16"/>
      <c r="DL14" s="16"/>
      <c r="DM14" s="16"/>
      <c r="DN14" s="16"/>
      <c r="DO14" s="16"/>
      <c r="DP14" s="16"/>
      <c r="DQ14" s="109"/>
      <c r="DR14" s="16"/>
      <c r="DS14" s="16"/>
      <c r="DT14" s="16"/>
      <c r="DU14" s="16"/>
      <c r="DV14" s="16"/>
      <c r="DW14" s="16"/>
      <c r="DX14" s="109"/>
      <c r="DY14" s="16"/>
      <c r="DZ14" s="16"/>
      <c r="EA14" s="16"/>
      <c r="EB14" s="16"/>
      <c r="EC14" s="16"/>
      <c r="ED14" s="16"/>
      <c r="EE14" s="109"/>
      <c r="EF14" s="16"/>
      <c r="EG14" s="16"/>
      <c r="EH14" s="16"/>
      <c r="EI14" s="16"/>
      <c r="EJ14" s="16"/>
      <c r="EK14" s="16"/>
      <c r="EL14" s="109"/>
      <c r="EM14" s="16"/>
      <c r="EN14" s="16"/>
      <c r="EO14" s="5">
        <f t="shared" si="3"/>
        <v>23</v>
      </c>
      <c r="EP14" s="5">
        <f t="shared" si="4"/>
        <v>7</v>
      </c>
      <c r="EQ14" s="3"/>
      <c r="ER14" s="24"/>
      <c r="ES14" s="24"/>
      <c r="ET14" s="24"/>
    </row>
    <row r="15" spans="1:150" x14ac:dyDescent="0.25">
      <c r="A15" s="17">
        <v>10</v>
      </c>
      <c r="B15" s="25">
        <v>86</v>
      </c>
      <c r="C15" s="20" t="s">
        <v>189</v>
      </c>
      <c r="D15" s="21" t="s">
        <v>190</v>
      </c>
      <c r="E15" s="11" t="s">
        <v>8</v>
      </c>
      <c r="F15" s="16" t="s">
        <v>165</v>
      </c>
      <c r="G15" s="16" t="s">
        <v>166</v>
      </c>
      <c r="H15" s="16" t="s">
        <v>166</v>
      </c>
      <c r="I15" s="109"/>
      <c r="J15" s="16" t="s">
        <v>166</v>
      </c>
      <c r="K15" s="112"/>
      <c r="L15" s="16" t="s">
        <v>166</v>
      </c>
      <c r="M15" s="16" t="s">
        <v>166</v>
      </c>
      <c r="N15" s="16" t="s">
        <v>165</v>
      </c>
      <c r="O15" s="112"/>
      <c r="P15" s="109"/>
      <c r="Q15" s="112"/>
      <c r="R15" s="16" t="s">
        <v>165</v>
      </c>
      <c r="S15" s="16" t="s">
        <v>165</v>
      </c>
      <c r="T15" s="16" t="s">
        <v>166</v>
      </c>
      <c r="U15" s="112"/>
      <c r="V15" s="16"/>
      <c r="W15" s="109"/>
      <c r="X15" s="16" t="s">
        <v>166</v>
      </c>
      <c r="Y15" s="16" t="s">
        <v>166</v>
      </c>
      <c r="Z15" s="16" t="s">
        <v>166</v>
      </c>
      <c r="AA15" s="16" t="s">
        <v>166</v>
      </c>
      <c r="AB15" s="16" t="s">
        <v>166</v>
      </c>
      <c r="AC15" s="16" t="s">
        <v>166</v>
      </c>
      <c r="AD15" s="109"/>
      <c r="AE15" s="16" t="s">
        <v>166</v>
      </c>
      <c r="AF15" s="16" t="s">
        <v>166</v>
      </c>
      <c r="AG15" s="16" t="s">
        <v>166</v>
      </c>
      <c r="AH15" s="16" t="s">
        <v>166</v>
      </c>
      <c r="AI15" s="16" t="s">
        <v>166</v>
      </c>
      <c r="AJ15" s="16" t="s">
        <v>166</v>
      </c>
      <c r="AK15" s="109"/>
      <c r="AL15" s="16" t="s">
        <v>165</v>
      </c>
      <c r="AM15" s="112"/>
      <c r="AN15" s="16" t="s">
        <v>166</v>
      </c>
      <c r="AO15" s="16" t="s">
        <v>166</v>
      </c>
      <c r="AP15" s="16" t="s">
        <v>166</v>
      </c>
      <c r="AQ15" s="16" t="s">
        <v>166</v>
      </c>
      <c r="AR15" s="109"/>
      <c r="AS15" s="16" t="s">
        <v>166</v>
      </c>
      <c r="AT15" s="16" t="s">
        <v>166</v>
      </c>
      <c r="AU15" s="16" t="s">
        <v>166</v>
      </c>
      <c r="AV15" s="16" t="s">
        <v>166</v>
      </c>
      <c r="AW15" s="16"/>
      <c r="AX15" s="16"/>
      <c r="AY15" s="109"/>
      <c r="AZ15" s="16"/>
      <c r="BA15" s="16"/>
      <c r="BB15" s="16"/>
      <c r="BC15" s="16"/>
      <c r="BD15" s="16"/>
      <c r="BE15" s="16"/>
      <c r="BF15" s="109"/>
      <c r="BG15" s="16"/>
      <c r="BH15" s="16"/>
      <c r="BI15" s="16"/>
      <c r="BJ15" s="16"/>
      <c r="BK15" s="16"/>
      <c r="BL15" s="16"/>
      <c r="BM15" s="109"/>
      <c r="BN15" s="16"/>
      <c r="BO15" s="16"/>
      <c r="BP15" s="16"/>
      <c r="BQ15" s="16"/>
      <c r="BR15" s="16"/>
      <c r="BS15" s="16"/>
      <c r="BT15" s="109"/>
      <c r="BU15" s="16"/>
      <c r="BV15" s="16"/>
      <c r="BW15" s="16"/>
      <c r="BX15" s="16"/>
      <c r="BY15" s="16"/>
      <c r="BZ15" s="16"/>
      <c r="CA15" s="109"/>
      <c r="CB15" s="16"/>
      <c r="CC15" s="16"/>
      <c r="CD15" s="16"/>
      <c r="CE15" s="16"/>
      <c r="CF15" s="16"/>
      <c r="CG15" s="16"/>
      <c r="CH15" s="109"/>
      <c r="CI15" s="16"/>
      <c r="CJ15" s="16"/>
      <c r="CK15" s="16"/>
      <c r="CL15" s="16"/>
      <c r="CM15" s="16"/>
      <c r="CN15" s="16"/>
      <c r="CO15" s="109"/>
      <c r="CP15" s="16"/>
      <c r="CQ15" s="16"/>
      <c r="CR15" s="16"/>
      <c r="CS15" s="16"/>
      <c r="CT15" s="16"/>
      <c r="CU15" s="16"/>
      <c r="CV15" s="109"/>
      <c r="CW15" s="16"/>
      <c r="CX15" s="16"/>
      <c r="CY15" s="16"/>
      <c r="CZ15" s="16"/>
      <c r="DA15" s="16"/>
      <c r="DB15" s="16"/>
      <c r="DC15" s="109"/>
      <c r="DD15" s="16"/>
      <c r="DE15" s="16"/>
      <c r="DF15" s="16"/>
      <c r="DG15" s="16"/>
      <c r="DH15" s="16"/>
      <c r="DI15" s="16"/>
      <c r="DJ15" s="109"/>
      <c r="DK15" s="16"/>
      <c r="DL15" s="16"/>
      <c r="DM15" s="16"/>
      <c r="DN15" s="16"/>
      <c r="DO15" s="16"/>
      <c r="DP15" s="16"/>
      <c r="DQ15" s="109"/>
      <c r="DR15" s="16"/>
      <c r="DS15" s="16"/>
      <c r="DT15" s="16"/>
      <c r="DU15" s="16"/>
      <c r="DV15" s="16"/>
      <c r="DW15" s="16"/>
      <c r="DX15" s="109"/>
      <c r="DY15" s="16"/>
      <c r="DZ15" s="16"/>
      <c r="EA15" s="16"/>
      <c r="EB15" s="16"/>
      <c r="EC15" s="16"/>
      <c r="ED15" s="16"/>
      <c r="EE15" s="109"/>
      <c r="EF15" s="16"/>
      <c r="EG15" s="16"/>
      <c r="EH15" s="16"/>
      <c r="EI15" s="16"/>
      <c r="EJ15" s="16"/>
      <c r="EK15" s="16"/>
      <c r="EL15" s="109"/>
      <c r="EM15" s="16"/>
      <c r="EN15" s="16"/>
      <c r="EO15" s="5">
        <f t="shared" si="3"/>
        <v>26</v>
      </c>
      <c r="EP15" s="5">
        <f t="shared" si="4"/>
        <v>5</v>
      </c>
      <c r="EQ15" s="26"/>
      <c r="ER15" s="26"/>
      <c r="ES15" s="26"/>
      <c r="ET15" s="26"/>
    </row>
    <row r="16" spans="1:150" x14ac:dyDescent="0.25">
      <c r="A16" s="6">
        <v>11</v>
      </c>
      <c r="B16" s="25">
        <v>105</v>
      </c>
      <c r="C16" s="20" t="s">
        <v>191</v>
      </c>
      <c r="D16" s="21" t="s">
        <v>192</v>
      </c>
      <c r="E16" s="11" t="s">
        <v>8</v>
      </c>
      <c r="F16" s="16" t="s">
        <v>166</v>
      </c>
      <c r="G16" s="16" t="s">
        <v>166</v>
      </c>
      <c r="H16" s="16" t="s">
        <v>166</v>
      </c>
      <c r="I16" s="109"/>
      <c r="J16" s="16" t="s">
        <v>166</v>
      </c>
      <c r="K16" s="112"/>
      <c r="L16" s="16" t="s">
        <v>166</v>
      </c>
      <c r="M16" s="16" t="s">
        <v>166</v>
      </c>
      <c r="N16" s="16" t="s">
        <v>166</v>
      </c>
      <c r="O16" s="112"/>
      <c r="P16" s="109"/>
      <c r="Q16" s="112"/>
      <c r="R16" s="16" t="s">
        <v>165</v>
      </c>
      <c r="S16" s="16" t="s">
        <v>165</v>
      </c>
      <c r="T16" s="16" t="s">
        <v>165</v>
      </c>
      <c r="U16" s="112"/>
      <c r="V16" s="16"/>
      <c r="W16" s="109"/>
      <c r="X16" s="16" t="s">
        <v>166</v>
      </c>
      <c r="Y16" s="16" t="s">
        <v>166</v>
      </c>
      <c r="Z16" s="16" t="s">
        <v>166</v>
      </c>
      <c r="AA16" s="16" t="s">
        <v>166</v>
      </c>
      <c r="AB16" s="16" t="s">
        <v>166</v>
      </c>
      <c r="AC16" s="16" t="s">
        <v>166</v>
      </c>
      <c r="AD16" s="109"/>
      <c r="AE16" s="16" t="s">
        <v>166</v>
      </c>
      <c r="AF16" s="16" t="s">
        <v>166</v>
      </c>
      <c r="AG16" s="16" t="s">
        <v>166</v>
      </c>
      <c r="AH16" s="16" t="s">
        <v>166</v>
      </c>
      <c r="AI16" s="16" t="s">
        <v>166</v>
      </c>
      <c r="AJ16" s="16" t="s">
        <v>171</v>
      </c>
      <c r="AK16" s="109"/>
      <c r="AL16" s="16" t="s">
        <v>171</v>
      </c>
      <c r="AM16" s="112"/>
      <c r="AN16" s="16" t="s">
        <v>166</v>
      </c>
      <c r="AO16" s="16" t="s">
        <v>171</v>
      </c>
      <c r="AP16" s="16" t="s">
        <v>171</v>
      </c>
      <c r="AQ16" s="16" t="s">
        <v>171</v>
      </c>
      <c r="AR16" s="109"/>
      <c r="AS16" s="16" t="s">
        <v>171</v>
      </c>
      <c r="AT16" s="16" t="s">
        <v>166</v>
      </c>
      <c r="AU16" s="16" t="s">
        <v>166</v>
      </c>
      <c r="AV16" s="16" t="s">
        <v>166</v>
      </c>
      <c r="AW16" s="16"/>
      <c r="AX16" s="16"/>
      <c r="AY16" s="109"/>
      <c r="AZ16" s="16"/>
      <c r="BA16" s="16"/>
      <c r="BB16" s="16"/>
      <c r="BC16" s="16"/>
      <c r="BD16" s="16"/>
      <c r="BE16" s="16"/>
      <c r="BF16" s="109"/>
      <c r="BG16" s="16"/>
      <c r="BH16" s="16"/>
      <c r="BI16" s="16"/>
      <c r="BJ16" s="16"/>
      <c r="BK16" s="16"/>
      <c r="BL16" s="16"/>
      <c r="BM16" s="109"/>
      <c r="BN16" s="16"/>
      <c r="BO16" s="16"/>
      <c r="BP16" s="16"/>
      <c r="BQ16" s="16"/>
      <c r="BR16" s="16"/>
      <c r="BS16" s="16"/>
      <c r="BT16" s="109"/>
      <c r="BU16" s="16"/>
      <c r="BV16" s="16"/>
      <c r="BW16" s="16"/>
      <c r="BX16" s="16"/>
      <c r="BY16" s="16"/>
      <c r="BZ16" s="16"/>
      <c r="CA16" s="109"/>
      <c r="CB16" s="16"/>
      <c r="CC16" s="16"/>
      <c r="CD16" s="16"/>
      <c r="CE16" s="16"/>
      <c r="CF16" s="16"/>
      <c r="CG16" s="16"/>
      <c r="CH16" s="109"/>
      <c r="CI16" s="16"/>
      <c r="CJ16" s="16"/>
      <c r="CK16" s="16"/>
      <c r="CL16" s="16"/>
      <c r="CM16" s="16"/>
      <c r="CN16" s="16"/>
      <c r="CO16" s="109"/>
      <c r="CP16" s="16"/>
      <c r="CQ16" s="16"/>
      <c r="CR16" s="16"/>
      <c r="CS16" s="16"/>
      <c r="CT16" s="16"/>
      <c r="CU16" s="16"/>
      <c r="CV16" s="109"/>
      <c r="CW16" s="16"/>
      <c r="CX16" s="16"/>
      <c r="CY16" s="16"/>
      <c r="CZ16" s="16"/>
      <c r="DA16" s="16"/>
      <c r="DB16" s="16"/>
      <c r="DC16" s="109"/>
      <c r="DD16" s="16"/>
      <c r="DE16" s="16"/>
      <c r="DF16" s="16"/>
      <c r="DG16" s="16"/>
      <c r="DH16" s="16"/>
      <c r="DI16" s="16"/>
      <c r="DJ16" s="109"/>
      <c r="DK16" s="16"/>
      <c r="DL16" s="16"/>
      <c r="DM16" s="16"/>
      <c r="DN16" s="16"/>
      <c r="DO16" s="16"/>
      <c r="DP16" s="16"/>
      <c r="DQ16" s="109"/>
      <c r="DR16" s="16"/>
      <c r="DS16" s="16"/>
      <c r="DT16" s="16"/>
      <c r="DU16" s="16"/>
      <c r="DV16" s="16"/>
      <c r="DW16" s="16"/>
      <c r="DX16" s="109"/>
      <c r="DY16" s="16"/>
      <c r="DZ16" s="16"/>
      <c r="EA16" s="16"/>
      <c r="EB16" s="16"/>
      <c r="EC16" s="16"/>
      <c r="ED16" s="16"/>
      <c r="EE16" s="109"/>
      <c r="EF16" s="16"/>
      <c r="EG16" s="16"/>
      <c r="EH16" s="16"/>
      <c r="EI16" s="16"/>
      <c r="EJ16" s="16"/>
      <c r="EK16" s="16"/>
      <c r="EL16" s="109"/>
      <c r="EM16" s="16"/>
      <c r="EN16" s="16"/>
      <c r="EO16" s="5">
        <f t="shared" si="3"/>
        <v>22</v>
      </c>
      <c r="EP16" s="5">
        <f t="shared" si="4"/>
        <v>3</v>
      </c>
      <c r="EQ16" s="3"/>
      <c r="ER16" s="3"/>
      <c r="ES16" s="3"/>
      <c r="ET16" s="3"/>
    </row>
    <row r="17" spans="1:150" ht="15.75" x14ac:dyDescent="0.25">
      <c r="A17" s="17">
        <v>12</v>
      </c>
      <c r="B17" s="25">
        <v>107</v>
      </c>
      <c r="C17" s="20" t="s">
        <v>193</v>
      </c>
      <c r="D17" s="21" t="s">
        <v>69</v>
      </c>
      <c r="E17" s="11" t="s">
        <v>8</v>
      </c>
      <c r="F17" s="16" t="s">
        <v>165</v>
      </c>
      <c r="G17" s="16" t="s">
        <v>166</v>
      </c>
      <c r="H17" s="16" t="s">
        <v>166</v>
      </c>
      <c r="I17" s="109"/>
      <c r="J17" s="16" t="s">
        <v>166</v>
      </c>
      <c r="K17" s="112"/>
      <c r="L17" s="16" t="s">
        <v>166</v>
      </c>
      <c r="M17" s="16" t="s">
        <v>166</v>
      </c>
      <c r="N17" s="16" t="s">
        <v>166</v>
      </c>
      <c r="O17" s="112"/>
      <c r="P17" s="109"/>
      <c r="Q17" s="112"/>
      <c r="R17" s="16" t="s">
        <v>165</v>
      </c>
      <c r="S17" s="16" t="s">
        <v>165</v>
      </c>
      <c r="T17" s="16" t="s">
        <v>166</v>
      </c>
      <c r="U17" s="112"/>
      <c r="V17" s="16"/>
      <c r="W17" s="109"/>
      <c r="X17" s="16" t="s">
        <v>166</v>
      </c>
      <c r="Y17" s="16" t="s">
        <v>166</v>
      </c>
      <c r="Z17" s="16" t="s">
        <v>166</v>
      </c>
      <c r="AA17" s="16" t="s">
        <v>165</v>
      </c>
      <c r="AB17" s="16" t="s">
        <v>165</v>
      </c>
      <c r="AC17" s="16" t="s">
        <v>165</v>
      </c>
      <c r="AD17" s="109"/>
      <c r="AE17" s="16" t="s">
        <v>166</v>
      </c>
      <c r="AF17" s="16" t="s">
        <v>166</v>
      </c>
      <c r="AG17" s="16" t="s">
        <v>166</v>
      </c>
      <c r="AH17" s="16" t="s">
        <v>166</v>
      </c>
      <c r="AI17" s="16" t="s">
        <v>166</v>
      </c>
      <c r="AJ17" s="16" t="s">
        <v>166</v>
      </c>
      <c r="AK17" s="109"/>
      <c r="AL17" s="16" t="s">
        <v>165</v>
      </c>
      <c r="AM17" s="112"/>
      <c r="AN17" s="16" t="s">
        <v>166</v>
      </c>
      <c r="AO17" s="16" t="s">
        <v>166</v>
      </c>
      <c r="AP17" s="16" t="s">
        <v>166</v>
      </c>
      <c r="AQ17" s="16" t="s">
        <v>166</v>
      </c>
      <c r="AR17" s="109"/>
      <c r="AS17" s="16" t="s">
        <v>166</v>
      </c>
      <c r="AT17" s="16" t="s">
        <v>166</v>
      </c>
      <c r="AU17" s="16" t="s">
        <v>166</v>
      </c>
      <c r="AV17" s="16" t="s">
        <v>166</v>
      </c>
      <c r="AW17" s="16"/>
      <c r="AX17" s="16"/>
      <c r="AY17" s="109"/>
      <c r="AZ17" s="16"/>
      <c r="BA17" s="16"/>
      <c r="BB17" s="16"/>
      <c r="BC17" s="16"/>
      <c r="BD17" s="16"/>
      <c r="BE17" s="16"/>
      <c r="BF17" s="109"/>
      <c r="BG17" s="16"/>
      <c r="BH17" s="16"/>
      <c r="BI17" s="16"/>
      <c r="BJ17" s="16"/>
      <c r="BK17" s="16"/>
      <c r="BL17" s="16"/>
      <c r="BM17" s="109"/>
      <c r="BN17" s="16"/>
      <c r="BO17" s="16"/>
      <c r="BP17" s="16"/>
      <c r="BQ17" s="16"/>
      <c r="BR17" s="16"/>
      <c r="BS17" s="16"/>
      <c r="BT17" s="109"/>
      <c r="BU17" s="16"/>
      <c r="BV17" s="16"/>
      <c r="BW17" s="16"/>
      <c r="BX17" s="16"/>
      <c r="BY17" s="16"/>
      <c r="BZ17" s="16"/>
      <c r="CA17" s="109"/>
      <c r="CB17" s="16"/>
      <c r="CC17" s="16"/>
      <c r="CD17" s="16"/>
      <c r="CE17" s="16"/>
      <c r="CF17" s="16"/>
      <c r="CG17" s="16"/>
      <c r="CH17" s="109"/>
      <c r="CI17" s="16"/>
      <c r="CJ17" s="16"/>
      <c r="CK17" s="16"/>
      <c r="CL17" s="16"/>
      <c r="CM17" s="16"/>
      <c r="CN17" s="16"/>
      <c r="CO17" s="109"/>
      <c r="CP17" s="16"/>
      <c r="CQ17" s="16"/>
      <c r="CR17" s="16"/>
      <c r="CS17" s="16"/>
      <c r="CT17" s="16"/>
      <c r="CU17" s="16"/>
      <c r="CV17" s="109"/>
      <c r="CW17" s="16"/>
      <c r="CX17" s="16"/>
      <c r="CY17" s="16"/>
      <c r="CZ17" s="16"/>
      <c r="DA17" s="16"/>
      <c r="DB17" s="16"/>
      <c r="DC17" s="109"/>
      <c r="DD17" s="16"/>
      <c r="DE17" s="16"/>
      <c r="DF17" s="16"/>
      <c r="DG17" s="16"/>
      <c r="DH17" s="16"/>
      <c r="DI17" s="16"/>
      <c r="DJ17" s="109"/>
      <c r="DK17" s="16"/>
      <c r="DL17" s="16"/>
      <c r="DM17" s="16"/>
      <c r="DN17" s="16"/>
      <c r="DO17" s="16"/>
      <c r="DP17" s="16"/>
      <c r="DQ17" s="109"/>
      <c r="DR17" s="16"/>
      <c r="DS17" s="16"/>
      <c r="DT17" s="16"/>
      <c r="DU17" s="16"/>
      <c r="DV17" s="16"/>
      <c r="DW17" s="16"/>
      <c r="DX17" s="109"/>
      <c r="DY17" s="16"/>
      <c r="DZ17" s="16"/>
      <c r="EA17" s="16"/>
      <c r="EB17" s="16"/>
      <c r="EC17" s="16"/>
      <c r="ED17" s="16"/>
      <c r="EE17" s="109"/>
      <c r="EF17" s="16"/>
      <c r="EG17" s="16"/>
      <c r="EH17" s="16"/>
      <c r="EI17" s="16"/>
      <c r="EJ17" s="16"/>
      <c r="EK17" s="16"/>
      <c r="EL17" s="109"/>
      <c r="EM17" s="16"/>
      <c r="EN17" s="16"/>
      <c r="EO17" s="5">
        <f t="shared" si="3"/>
        <v>24</v>
      </c>
      <c r="EP17" s="5">
        <f t="shared" si="4"/>
        <v>7</v>
      </c>
      <c r="EQ17" s="103" t="s">
        <v>6</v>
      </c>
      <c r="ER17" s="105"/>
      <c r="ES17" s="105"/>
      <c r="ET17" s="104"/>
    </row>
    <row r="18" spans="1:150" x14ac:dyDescent="0.25">
      <c r="A18" s="6">
        <v>13</v>
      </c>
      <c r="B18" s="25">
        <v>84</v>
      </c>
      <c r="C18" s="20" t="s">
        <v>194</v>
      </c>
      <c r="D18" s="21" t="s">
        <v>195</v>
      </c>
      <c r="E18" s="11" t="s">
        <v>8</v>
      </c>
      <c r="F18" s="16" t="s">
        <v>166</v>
      </c>
      <c r="G18" s="16" t="s">
        <v>166</v>
      </c>
      <c r="H18" s="16" t="s">
        <v>166</v>
      </c>
      <c r="I18" s="109"/>
      <c r="J18" s="16" t="s">
        <v>166</v>
      </c>
      <c r="K18" s="112"/>
      <c r="L18" s="16" t="s">
        <v>166</v>
      </c>
      <c r="M18" s="16" t="s">
        <v>166</v>
      </c>
      <c r="N18" s="16" t="s">
        <v>165</v>
      </c>
      <c r="O18" s="112"/>
      <c r="P18" s="109"/>
      <c r="Q18" s="112"/>
      <c r="R18" s="16" t="s">
        <v>165</v>
      </c>
      <c r="S18" s="16" t="s">
        <v>165</v>
      </c>
      <c r="T18" s="16" t="s">
        <v>166</v>
      </c>
      <c r="U18" s="112"/>
      <c r="V18" s="16"/>
      <c r="W18" s="109"/>
      <c r="X18" s="16" t="s">
        <v>166</v>
      </c>
      <c r="Y18" s="16" t="s">
        <v>166</v>
      </c>
      <c r="Z18" s="16" t="s">
        <v>166</v>
      </c>
      <c r="AA18" s="16" t="s">
        <v>166</v>
      </c>
      <c r="AB18" s="16" t="s">
        <v>166</v>
      </c>
      <c r="AC18" s="16" t="s">
        <v>166</v>
      </c>
      <c r="AD18" s="109"/>
      <c r="AE18" s="16" t="s">
        <v>166</v>
      </c>
      <c r="AF18" s="16" t="s">
        <v>166</v>
      </c>
      <c r="AG18" s="16" t="s">
        <v>166</v>
      </c>
      <c r="AH18" s="16" t="s">
        <v>166</v>
      </c>
      <c r="AI18" s="16" t="s">
        <v>166</v>
      </c>
      <c r="AJ18" s="16" t="s">
        <v>166</v>
      </c>
      <c r="AK18" s="109"/>
      <c r="AL18" s="16" t="s">
        <v>165</v>
      </c>
      <c r="AM18" s="112"/>
      <c r="AN18" s="16" t="s">
        <v>165</v>
      </c>
      <c r="AO18" s="16" t="s">
        <v>166</v>
      </c>
      <c r="AP18" s="16" t="s">
        <v>166</v>
      </c>
      <c r="AQ18" s="16" t="s">
        <v>166</v>
      </c>
      <c r="AR18" s="109"/>
      <c r="AS18" s="16" t="s">
        <v>166</v>
      </c>
      <c r="AT18" s="16" t="s">
        <v>166</v>
      </c>
      <c r="AU18" s="16" t="s">
        <v>166</v>
      </c>
      <c r="AV18" s="16" t="s">
        <v>166</v>
      </c>
      <c r="AW18" s="16"/>
      <c r="AX18" s="16"/>
      <c r="AY18" s="109"/>
      <c r="AZ18" s="16"/>
      <c r="BA18" s="16"/>
      <c r="BB18" s="16"/>
      <c r="BC18" s="16"/>
      <c r="BD18" s="16"/>
      <c r="BE18" s="16"/>
      <c r="BF18" s="109"/>
      <c r="BG18" s="16"/>
      <c r="BH18" s="16"/>
      <c r="BI18" s="16"/>
      <c r="BJ18" s="16"/>
      <c r="BK18" s="16"/>
      <c r="BL18" s="16"/>
      <c r="BM18" s="109"/>
      <c r="BN18" s="16"/>
      <c r="BO18" s="16"/>
      <c r="BP18" s="16"/>
      <c r="BQ18" s="16"/>
      <c r="BR18" s="16"/>
      <c r="BS18" s="16"/>
      <c r="BT18" s="109"/>
      <c r="BU18" s="16"/>
      <c r="BV18" s="16"/>
      <c r="BW18" s="16"/>
      <c r="BX18" s="16"/>
      <c r="BY18" s="16"/>
      <c r="BZ18" s="16"/>
      <c r="CA18" s="109"/>
      <c r="CB18" s="16"/>
      <c r="CC18" s="16"/>
      <c r="CD18" s="16"/>
      <c r="CE18" s="16"/>
      <c r="CF18" s="16"/>
      <c r="CG18" s="16"/>
      <c r="CH18" s="109"/>
      <c r="CI18" s="16"/>
      <c r="CJ18" s="16"/>
      <c r="CK18" s="16"/>
      <c r="CL18" s="16"/>
      <c r="CM18" s="16"/>
      <c r="CN18" s="16"/>
      <c r="CO18" s="109"/>
      <c r="CP18" s="16"/>
      <c r="CQ18" s="16"/>
      <c r="CR18" s="16"/>
      <c r="CS18" s="16"/>
      <c r="CT18" s="16"/>
      <c r="CU18" s="16"/>
      <c r="CV18" s="109"/>
      <c r="CW18" s="16"/>
      <c r="CX18" s="16"/>
      <c r="CY18" s="16"/>
      <c r="CZ18" s="16"/>
      <c r="DA18" s="16"/>
      <c r="DB18" s="16"/>
      <c r="DC18" s="109"/>
      <c r="DD18" s="16"/>
      <c r="DE18" s="16"/>
      <c r="DF18" s="16"/>
      <c r="DG18" s="16"/>
      <c r="DH18" s="16"/>
      <c r="DI18" s="16"/>
      <c r="DJ18" s="109"/>
      <c r="DK18" s="16"/>
      <c r="DL18" s="16"/>
      <c r="DM18" s="16"/>
      <c r="DN18" s="16"/>
      <c r="DO18" s="16"/>
      <c r="DP18" s="16"/>
      <c r="DQ18" s="109"/>
      <c r="DR18" s="16"/>
      <c r="DS18" s="16"/>
      <c r="DT18" s="16"/>
      <c r="DU18" s="16"/>
      <c r="DV18" s="16"/>
      <c r="DW18" s="16"/>
      <c r="DX18" s="109"/>
      <c r="DY18" s="16"/>
      <c r="DZ18" s="16"/>
      <c r="EA18" s="16"/>
      <c r="EB18" s="16"/>
      <c r="EC18" s="16"/>
      <c r="ED18" s="16"/>
      <c r="EE18" s="109"/>
      <c r="EF18" s="16"/>
      <c r="EG18" s="16"/>
      <c r="EH18" s="16"/>
      <c r="EI18" s="16"/>
      <c r="EJ18" s="16"/>
      <c r="EK18" s="16"/>
      <c r="EL18" s="109"/>
      <c r="EM18" s="16"/>
      <c r="EN18" s="16"/>
      <c r="EO18" s="5">
        <f t="shared" si="3"/>
        <v>26</v>
      </c>
      <c r="EP18" s="5">
        <f t="shared" si="4"/>
        <v>5</v>
      </c>
      <c r="EQ18" s="5" t="s">
        <v>13</v>
      </c>
      <c r="ER18" s="5" t="s">
        <v>14</v>
      </c>
      <c r="ES18" s="5" t="s">
        <v>15</v>
      </c>
      <c r="ET18" s="5" t="s">
        <v>16</v>
      </c>
    </row>
    <row r="19" spans="1:150" x14ac:dyDescent="0.25">
      <c r="A19" s="17">
        <v>14</v>
      </c>
      <c r="B19" s="25">
        <v>85</v>
      </c>
      <c r="C19" s="20" t="s">
        <v>196</v>
      </c>
      <c r="D19" s="21" t="s">
        <v>197</v>
      </c>
      <c r="E19" s="11" t="s">
        <v>8</v>
      </c>
      <c r="F19" s="16" t="s">
        <v>165</v>
      </c>
      <c r="G19" s="16" t="s">
        <v>165</v>
      </c>
      <c r="H19" s="16" t="s">
        <v>166</v>
      </c>
      <c r="I19" s="109"/>
      <c r="J19" s="16" t="s">
        <v>166</v>
      </c>
      <c r="K19" s="112"/>
      <c r="L19" s="16" t="s">
        <v>166</v>
      </c>
      <c r="M19" s="16" t="s">
        <v>166</v>
      </c>
      <c r="N19" s="16" t="s">
        <v>166</v>
      </c>
      <c r="O19" s="112"/>
      <c r="P19" s="109"/>
      <c r="Q19" s="112"/>
      <c r="R19" s="16" t="s">
        <v>165</v>
      </c>
      <c r="S19" s="16" t="s">
        <v>166</v>
      </c>
      <c r="T19" s="16" t="s">
        <v>166</v>
      </c>
      <c r="U19" s="112"/>
      <c r="V19" s="16"/>
      <c r="W19" s="109"/>
      <c r="X19" s="16" t="s">
        <v>166</v>
      </c>
      <c r="Y19" s="16" t="s">
        <v>166</v>
      </c>
      <c r="Z19" s="16" t="s">
        <v>166</v>
      </c>
      <c r="AA19" s="16" t="s">
        <v>166</v>
      </c>
      <c r="AB19" s="16" t="s">
        <v>166</v>
      </c>
      <c r="AC19" s="16" t="s">
        <v>166</v>
      </c>
      <c r="AD19" s="109"/>
      <c r="AE19" s="16" t="s">
        <v>166</v>
      </c>
      <c r="AF19" s="16" t="s">
        <v>166</v>
      </c>
      <c r="AG19" s="16" t="s">
        <v>166</v>
      </c>
      <c r="AH19" s="16" t="s">
        <v>166</v>
      </c>
      <c r="AI19" s="16"/>
      <c r="AJ19" s="16" t="s">
        <v>166</v>
      </c>
      <c r="AK19" s="109"/>
      <c r="AL19" s="16" t="s">
        <v>166</v>
      </c>
      <c r="AM19" s="112"/>
      <c r="AN19" s="16" t="s">
        <v>166</v>
      </c>
      <c r="AO19" s="16" t="s">
        <v>165</v>
      </c>
      <c r="AP19" s="16" t="s">
        <v>166</v>
      </c>
      <c r="AQ19" s="16" t="s">
        <v>166</v>
      </c>
      <c r="AR19" s="109"/>
      <c r="AS19" s="16" t="s">
        <v>166</v>
      </c>
      <c r="AT19" s="16" t="s">
        <v>166</v>
      </c>
      <c r="AU19" s="16" t="s">
        <v>166</v>
      </c>
      <c r="AV19" s="16" t="s">
        <v>166</v>
      </c>
      <c r="AW19" s="16"/>
      <c r="AX19" s="16"/>
      <c r="AY19" s="109"/>
      <c r="AZ19" s="16"/>
      <c r="BA19" s="16"/>
      <c r="BB19" s="16"/>
      <c r="BC19" s="16"/>
      <c r="BD19" s="16"/>
      <c r="BE19" s="16"/>
      <c r="BF19" s="109"/>
      <c r="BG19" s="16"/>
      <c r="BH19" s="16"/>
      <c r="BI19" s="16"/>
      <c r="BJ19" s="16"/>
      <c r="BK19" s="16"/>
      <c r="BL19" s="16"/>
      <c r="BM19" s="109"/>
      <c r="BN19" s="16"/>
      <c r="BO19" s="16"/>
      <c r="BP19" s="16"/>
      <c r="BQ19" s="16"/>
      <c r="BR19" s="16"/>
      <c r="BS19" s="16"/>
      <c r="BT19" s="109"/>
      <c r="BU19" s="16"/>
      <c r="BV19" s="16"/>
      <c r="BW19" s="16"/>
      <c r="BX19" s="16"/>
      <c r="BY19" s="16"/>
      <c r="BZ19" s="16"/>
      <c r="CA19" s="109"/>
      <c r="CB19" s="16"/>
      <c r="CC19" s="16"/>
      <c r="CD19" s="16"/>
      <c r="CE19" s="16"/>
      <c r="CF19" s="16"/>
      <c r="CG19" s="16"/>
      <c r="CH19" s="109"/>
      <c r="CI19" s="16"/>
      <c r="CJ19" s="16"/>
      <c r="CK19" s="16"/>
      <c r="CL19" s="16"/>
      <c r="CM19" s="16"/>
      <c r="CN19" s="16"/>
      <c r="CO19" s="109"/>
      <c r="CP19" s="16"/>
      <c r="CQ19" s="16"/>
      <c r="CR19" s="16"/>
      <c r="CS19" s="16"/>
      <c r="CT19" s="16"/>
      <c r="CU19" s="16"/>
      <c r="CV19" s="109"/>
      <c r="CW19" s="16"/>
      <c r="CX19" s="16"/>
      <c r="CY19" s="16"/>
      <c r="CZ19" s="16"/>
      <c r="DA19" s="16"/>
      <c r="DB19" s="16"/>
      <c r="DC19" s="109"/>
      <c r="DD19" s="16"/>
      <c r="DE19" s="16"/>
      <c r="DF19" s="16"/>
      <c r="DG19" s="16"/>
      <c r="DH19" s="16"/>
      <c r="DI19" s="16"/>
      <c r="DJ19" s="109"/>
      <c r="DK19" s="16"/>
      <c r="DL19" s="16"/>
      <c r="DM19" s="16"/>
      <c r="DN19" s="16"/>
      <c r="DO19" s="16"/>
      <c r="DP19" s="16"/>
      <c r="DQ19" s="109"/>
      <c r="DR19" s="16"/>
      <c r="DS19" s="16"/>
      <c r="DT19" s="16"/>
      <c r="DU19" s="16"/>
      <c r="DV19" s="16"/>
      <c r="DW19" s="16"/>
      <c r="DX19" s="109"/>
      <c r="DY19" s="16"/>
      <c r="DZ19" s="16"/>
      <c r="EA19" s="16"/>
      <c r="EB19" s="16"/>
      <c r="EC19" s="16"/>
      <c r="ED19" s="16"/>
      <c r="EE19" s="109"/>
      <c r="EF19" s="16"/>
      <c r="EG19" s="16"/>
      <c r="EH19" s="16"/>
      <c r="EI19" s="16"/>
      <c r="EJ19" s="16"/>
      <c r="EK19" s="16"/>
      <c r="EL19" s="109"/>
      <c r="EM19" s="16"/>
      <c r="EN19" s="16"/>
      <c r="EO19" s="5">
        <f t="shared" si="3"/>
        <v>26</v>
      </c>
      <c r="EP19" s="5">
        <f t="shared" si="4"/>
        <v>4</v>
      </c>
      <c r="EQ19" s="5" t="s">
        <v>17</v>
      </c>
      <c r="ER19" s="17">
        <f>19*26</f>
        <v>494</v>
      </c>
      <c r="ES19" s="17">
        <f>21*26</f>
        <v>546</v>
      </c>
      <c r="ET19" s="17">
        <f>ER19+ES19</f>
        <v>1040</v>
      </c>
    </row>
    <row r="20" spans="1:150" x14ac:dyDescent="0.25">
      <c r="A20" s="6">
        <v>15</v>
      </c>
      <c r="B20" s="25">
        <v>102</v>
      </c>
      <c r="C20" s="20" t="s">
        <v>198</v>
      </c>
      <c r="D20" s="21" t="s">
        <v>199</v>
      </c>
      <c r="E20" s="11" t="s">
        <v>8</v>
      </c>
      <c r="F20" s="16" t="s">
        <v>166</v>
      </c>
      <c r="G20" s="16" t="s">
        <v>166</v>
      </c>
      <c r="H20" s="16" t="s">
        <v>166</v>
      </c>
      <c r="I20" s="109"/>
      <c r="J20" s="16" t="s">
        <v>166</v>
      </c>
      <c r="K20" s="112"/>
      <c r="L20" s="16" t="s">
        <v>166</v>
      </c>
      <c r="M20" s="16" t="s">
        <v>166</v>
      </c>
      <c r="N20" s="16" t="s">
        <v>166</v>
      </c>
      <c r="O20" s="112"/>
      <c r="P20" s="109"/>
      <c r="Q20" s="112"/>
      <c r="R20" s="16" t="s">
        <v>166</v>
      </c>
      <c r="S20" s="16" t="s">
        <v>166</v>
      </c>
      <c r="T20" s="16" t="s">
        <v>166</v>
      </c>
      <c r="U20" s="112"/>
      <c r="V20" s="16"/>
      <c r="W20" s="109"/>
      <c r="X20" s="16" t="s">
        <v>166</v>
      </c>
      <c r="Y20" s="16" t="s">
        <v>166</v>
      </c>
      <c r="Z20" s="16" t="s">
        <v>166</v>
      </c>
      <c r="AA20" s="16" t="s">
        <v>166</v>
      </c>
      <c r="AB20" s="16" t="s">
        <v>166</v>
      </c>
      <c r="AC20" s="16" t="s">
        <v>166</v>
      </c>
      <c r="AD20" s="109"/>
      <c r="AE20" s="16" t="s">
        <v>166</v>
      </c>
      <c r="AF20" s="16" t="s">
        <v>166</v>
      </c>
      <c r="AG20" s="16" t="s">
        <v>166</v>
      </c>
      <c r="AH20" s="16" t="s">
        <v>166</v>
      </c>
      <c r="AI20" s="16" t="s">
        <v>166</v>
      </c>
      <c r="AJ20" s="16" t="s">
        <v>166</v>
      </c>
      <c r="AK20" s="109"/>
      <c r="AL20" s="16" t="s">
        <v>166</v>
      </c>
      <c r="AM20" s="112"/>
      <c r="AN20" s="16" t="s">
        <v>166</v>
      </c>
      <c r="AO20" s="16" t="s">
        <v>166</v>
      </c>
      <c r="AP20" s="16" t="s">
        <v>166</v>
      </c>
      <c r="AQ20" s="16" t="s">
        <v>166</v>
      </c>
      <c r="AR20" s="109"/>
      <c r="AS20" s="16" t="s">
        <v>166</v>
      </c>
      <c r="AT20" s="16" t="s">
        <v>166</v>
      </c>
      <c r="AU20" s="16" t="s">
        <v>166</v>
      </c>
      <c r="AV20" s="16" t="s">
        <v>166</v>
      </c>
      <c r="AW20" s="16"/>
      <c r="AX20" s="16"/>
      <c r="AY20" s="109"/>
      <c r="AZ20" s="16"/>
      <c r="BA20" s="16"/>
      <c r="BB20" s="16"/>
      <c r="BC20" s="16"/>
      <c r="BD20" s="16"/>
      <c r="BE20" s="16"/>
      <c r="BF20" s="109"/>
      <c r="BG20" s="16"/>
      <c r="BH20" s="16"/>
      <c r="BI20" s="16"/>
      <c r="BJ20" s="16"/>
      <c r="BK20" s="16"/>
      <c r="BL20" s="16"/>
      <c r="BM20" s="109"/>
      <c r="BN20" s="16"/>
      <c r="BO20" s="16"/>
      <c r="BP20" s="16"/>
      <c r="BQ20" s="16"/>
      <c r="BR20" s="16"/>
      <c r="BS20" s="16"/>
      <c r="BT20" s="109"/>
      <c r="BU20" s="16"/>
      <c r="BV20" s="16"/>
      <c r="BW20" s="16"/>
      <c r="BX20" s="16"/>
      <c r="BY20" s="16"/>
      <c r="BZ20" s="16"/>
      <c r="CA20" s="109"/>
      <c r="CB20" s="16"/>
      <c r="CC20" s="16"/>
      <c r="CD20" s="16"/>
      <c r="CE20" s="16"/>
      <c r="CF20" s="16"/>
      <c r="CG20" s="16"/>
      <c r="CH20" s="109"/>
      <c r="CI20" s="16"/>
      <c r="CJ20" s="16"/>
      <c r="CK20" s="16"/>
      <c r="CL20" s="16"/>
      <c r="CM20" s="16"/>
      <c r="CN20" s="16"/>
      <c r="CO20" s="109"/>
      <c r="CP20" s="16"/>
      <c r="CQ20" s="16"/>
      <c r="CR20" s="16"/>
      <c r="CS20" s="16"/>
      <c r="CT20" s="16"/>
      <c r="CU20" s="16"/>
      <c r="CV20" s="109"/>
      <c r="CW20" s="16"/>
      <c r="CX20" s="16"/>
      <c r="CY20" s="16"/>
      <c r="CZ20" s="16"/>
      <c r="DA20" s="16"/>
      <c r="DB20" s="16"/>
      <c r="DC20" s="109"/>
      <c r="DD20" s="16"/>
      <c r="DE20" s="16"/>
      <c r="DF20" s="16"/>
      <c r="DG20" s="16"/>
      <c r="DH20" s="16"/>
      <c r="DI20" s="16"/>
      <c r="DJ20" s="109"/>
      <c r="DK20" s="16"/>
      <c r="DL20" s="16"/>
      <c r="DM20" s="16"/>
      <c r="DN20" s="16"/>
      <c r="DO20" s="16"/>
      <c r="DP20" s="16"/>
      <c r="DQ20" s="109"/>
      <c r="DR20" s="16"/>
      <c r="DS20" s="16"/>
      <c r="DT20" s="16"/>
      <c r="DU20" s="16"/>
      <c r="DV20" s="16"/>
      <c r="DW20" s="16"/>
      <c r="DX20" s="109"/>
      <c r="DY20" s="16"/>
      <c r="DZ20" s="16"/>
      <c r="EA20" s="16"/>
      <c r="EB20" s="16"/>
      <c r="EC20" s="16"/>
      <c r="ED20" s="16"/>
      <c r="EE20" s="109"/>
      <c r="EF20" s="16"/>
      <c r="EG20" s="16"/>
      <c r="EH20" s="16"/>
      <c r="EI20" s="16"/>
      <c r="EJ20" s="16"/>
      <c r="EK20" s="16"/>
      <c r="EL20" s="109"/>
      <c r="EM20" s="16"/>
      <c r="EN20" s="16"/>
      <c r="EO20" s="5">
        <f t="shared" si="3"/>
        <v>31</v>
      </c>
      <c r="EP20" s="5">
        <f t="shared" si="4"/>
        <v>0</v>
      </c>
      <c r="EQ20" s="5" t="s">
        <v>20</v>
      </c>
      <c r="ER20" s="17">
        <f>ER19-ER12</f>
        <v>-16</v>
      </c>
      <c r="ES20" s="17">
        <f>ES19-ES12</f>
        <v>16</v>
      </c>
      <c r="ET20" s="17">
        <f>ER20+ES20</f>
        <v>0</v>
      </c>
    </row>
    <row r="21" spans="1:150" x14ac:dyDescent="0.25">
      <c r="A21" s="17">
        <v>16</v>
      </c>
      <c r="B21" s="25">
        <v>87</v>
      </c>
      <c r="C21" s="20" t="s">
        <v>200</v>
      </c>
      <c r="D21" s="21" t="s">
        <v>182</v>
      </c>
      <c r="E21" s="11" t="s">
        <v>8</v>
      </c>
      <c r="F21" s="16" t="s">
        <v>165</v>
      </c>
      <c r="G21" s="16" t="s">
        <v>166</v>
      </c>
      <c r="H21" s="16" t="s">
        <v>166</v>
      </c>
      <c r="I21" s="109"/>
      <c r="J21" s="16" t="s">
        <v>166</v>
      </c>
      <c r="K21" s="112"/>
      <c r="L21" s="16" t="s">
        <v>166</v>
      </c>
      <c r="M21" s="16" t="s">
        <v>166</v>
      </c>
      <c r="N21" s="16" t="s">
        <v>166</v>
      </c>
      <c r="O21" s="112"/>
      <c r="P21" s="109"/>
      <c r="Q21" s="112"/>
      <c r="R21" s="16" t="s">
        <v>165</v>
      </c>
      <c r="S21" s="16" t="s">
        <v>165</v>
      </c>
      <c r="T21" s="16" t="s">
        <v>166</v>
      </c>
      <c r="U21" s="112"/>
      <c r="V21" s="16"/>
      <c r="W21" s="109"/>
      <c r="X21" s="16" t="s">
        <v>166</v>
      </c>
      <c r="Y21" s="16" t="s">
        <v>166</v>
      </c>
      <c r="Z21" s="16" t="s">
        <v>166</v>
      </c>
      <c r="AA21" s="16" t="s">
        <v>166</v>
      </c>
      <c r="AB21" s="16" t="s">
        <v>166</v>
      </c>
      <c r="AC21" s="16" t="s">
        <v>166</v>
      </c>
      <c r="AD21" s="109"/>
      <c r="AE21" s="16" t="s">
        <v>166</v>
      </c>
      <c r="AF21" s="16" t="s">
        <v>166</v>
      </c>
      <c r="AG21" s="16" t="s">
        <v>166</v>
      </c>
      <c r="AH21" s="16" t="s">
        <v>166</v>
      </c>
      <c r="AI21" s="16" t="s">
        <v>166</v>
      </c>
      <c r="AJ21" s="16" t="s">
        <v>166</v>
      </c>
      <c r="AK21" s="109"/>
      <c r="AL21" s="16" t="s">
        <v>165</v>
      </c>
      <c r="AM21" s="112"/>
      <c r="AN21" s="16" t="s">
        <v>166</v>
      </c>
      <c r="AO21" s="16" t="s">
        <v>166</v>
      </c>
      <c r="AP21" s="16" t="s">
        <v>166</v>
      </c>
      <c r="AQ21" s="16" t="s">
        <v>166</v>
      </c>
      <c r="AR21" s="109"/>
      <c r="AS21" s="16" t="s">
        <v>166</v>
      </c>
      <c r="AT21" s="16" t="s">
        <v>166</v>
      </c>
      <c r="AU21" s="16" t="s">
        <v>166</v>
      </c>
      <c r="AV21" s="16" t="s">
        <v>166</v>
      </c>
      <c r="AW21" s="16"/>
      <c r="AX21" s="16"/>
      <c r="AY21" s="109"/>
      <c r="AZ21" s="16"/>
      <c r="BA21" s="16"/>
      <c r="BB21" s="16"/>
      <c r="BC21" s="16"/>
      <c r="BD21" s="16"/>
      <c r="BE21" s="16"/>
      <c r="BF21" s="109"/>
      <c r="BG21" s="16"/>
      <c r="BH21" s="16"/>
      <c r="BI21" s="16"/>
      <c r="BJ21" s="16"/>
      <c r="BK21" s="16"/>
      <c r="BL21" s="16"/>
      <c r="BM21" s="109"/>
      <c r="BN21" s="16"/>
      <c r="BO21" s="16"/>
      <c r="BP21" s="16"/>
      <c r="BQ21" s="16"/>
      <c r="BR21" s="16"/>
      <c r="BS21" s="16"/>
      <c r="BT21" s="109"/>
      <c r="BU21" s="16"/>
      <c r="BV21" s="16"/>
      <c r="BW21" s="16"/>
      <c r="BX21" s="16"/>
      <c r="BY21" s="16"/>
      <c r="BZ21" s="16"/>
      <c r="CA21" s="109"/>
      <c r="CB21" s="16"/>
      <c r="CC21" s="16"/>
      <c r="CD21" s="16"/>
      <c r="CE21" s="16"/>
      <c r="CF21" s="16"/>
      <c r="CG21" s="16"/>
      <c r="CH21" s="109"/>
      <c r="CI21" s="16"/>
      <c r="CJ21" s="16"/>
      <c r="CK21" s="16"/>
      <c r="CL21" s="16"/>
      <c r="CM21" s="16"/>
      <c r="CN21" s="16"/>
      <c r="CO21" s="109"/>
      <c r="CP21" s="16"/>
      <c r="CQ21" s="16"/>
      <c r="CR21" s="16"/>
      <c r="CS21" s="16"/>
      <c r="CT21" s="16"/>
      <c r="CU21" s="16"/>
      <c r="CV21" s="109"/>
      <c r="CW21" s="16"/>
      <c r="CX21" s="16"/>
      <c r="CY21" s="16"/>
      <c r="CZ21" s="16"/>
      <c r="DA21" s="16"/>
      <c r="DB21" s="16"/>
      <c r="DC21" s="109"/>
      <c r="DD21" s="16"/>
      <c r="DE21" s="16"/>
      <c r="DF21" s="16"/>
      <c r="DG21" s="16"/>
      <c r="DH21" s="16"/>
      <c r="DI21" s="16"/>
      <c r="DJ21" s="109"/>
      <c r="DK21" s="16"/>
      <c r="DL21" s="16"/>
      <c r="DM21" s="16"/>
      <c r="DN21" s="16"/>
      <c r="DO21" s="16"/>
      <c r="DP21" s="16"/>
      <c r="DQ21" s="109"/>
      <c r="DR21" s="16"/>
      <c r="DS21" s="16"/>
      <c r="DT21" s="16"/>
      <c r="DU21" s="16"/>
      <c r="DV21" s="16"/>
      <c r="DW21" s="16"/>
      <c r="DX21" s="109"/>
      <c r="DY21" s="16"/>
      <c r="DZ21" s="16"/>
      <c r="EA21" s="16"/>
      <c r="EB21" s="16"/>
      <c r="EC21" s="16"/>
      <c r="ED21" s="16"/>
      <c r="EE21" s="109"/>
      <c r="EF21" s="16"/>
      <c r="EG21" s="16"/>
      <c r="EH21" s="16"/>
      <c r="EI21" s="16"/>
      <c r="EJ21" s="16"/>
      <c r="EK21" s="16"/>
      <c r="EL21" s="109"/>
      <c r="EM21" s="16"/>
      <c r="EN21" s="16"/>
      <c r="EO21" s="5">
        <f t="shared" si="3"/>
        <v>27</v>
      </c>
      <c r="EP21" s="5">
        <f t="shared" si="4"/>
        <v>4</v>
      </c>
      <c r="EQ21" s="5" t="s">
        <v>16</v>
      </c>
      <c r="ER21" s="27">
        <f>ER20/ER19</f>
        <v>-3.2388663967611336E-2</v>
      </c>
      <c r="ES21" s="27">
        <f>ES20/ES19</f>
        <v>2.9304029304029304E-2</v>
      </c>
      <c r="ET21" s="27">
        <f>ET20/ET19</f>
        <v>0</v>
      </c>
    </row>
    <row r="22" spans="1:150" x14ac:dyDescent="0.25">
      <c r="A22" s="6">
        <v>17</v>
      </c>
      <c r="B22" s="25">
        <v>71</v>
      </c>
      <c r="C22" s="20" t="s">
        <v>201</v>
      </c>
      <c r="D22" s="21" t="s">
        <v>202</v>
      </c>
      <c r="E22" s="11" t="s">
        <v>8</v>
      </c>
      <c r="F22" s="16" t="s">
        <v>165</v>
      </c>
      <c r="G22" s="16" t="s">
        <v>166</v>
      </c>
      <c r="H22" s="16" t="s">
        <v>166</v>
      </c>
      <c r="I22" s="109"/>
      <c r="J22" s="16" t="s">
        <v>166</v>
      </c>
      <c r="K22" s="112"/>
      <c r="L22" s="16" t="s">
        <v>166</v>
      </c>
      <c r="M22" s="16" t="s">
        <v>166</v>
      </c>
      <c r="N22" s="16" t="s">
        <v>166</v>
      </c>
      <c r="O22" s="112"/>
      <c r="P22" s="109"/>
      <c r="Q22" s="112"/>
      <c r="R22" s="16" t="s">
        <v>166</v>
      </c>
      <c r="S22" s="16" t="s">
        <v>166</v>
      </c>
      <c r="T22" s="16" t="s">
        <v>166</v>
      </c>
      <c r="U22" s="112"/>
      <c r="V22" s="16"/>
      <c r="W22" s="109"/>
      <c r="X22" s="16" t="s">
        <v>166</v>
      </c>
      <c r="Y22" s="16" t="s">
        <v>166</v>
      </c>
      <c r="Z22" s="16" t="s">
        <v>166</v>
      </c>
      <c r="AA22" s="16" t="s">
        <v>166</v>
      </c>
      <c r="AB22" s="16" t="s">
        <v>166</v>
      </c>
      <c r="AC22" s="16" t="s">
        <v>166</v>
      </c>
      <c r="AD22" s="109"/>
      <c r="AE22" s="16" t="s">
        <v>166</v>
      </c>
      <c r="AF22" s="16" t="s">
        <v>166</v>
      </c>
      <c r="AG22" s="16" t="s">
        <v>166</v>
      </c>
      <c r="AH22" s="16" t="s">
        <v>166</v>
      </c>
      <c r="AI22" s="16" t="s">
        <v>166</v>
      </c>
      <c r="AJ22" s="16" t="s">
        <v>166</v>
      </c>
      <c r="AK22" s="109"/>
      <c r="AL22" s="16" t="s">
        <v>166</v>
      </c>
      <c r="AM22" s="112"/>
      <c r="AN22" s="16" t="s">
        <v>166</v>
      </c>
      <c r="AO22" s="16" t="s">
        <v>166</v>
      </c>
      <c r="AP22" s="16" t="s">
        <v>166</v>
      </c>
      <c r="AQ22" s="16" t="s">
        <v>166</v>
      </c>
      <c r="AR22" s="109"/>
      <c r="AS22" s="16" t="s">
        <v>166</v>
      </c>
      <c r="AT22" s="16" t="s">
        <v>166</v>
      </c>
      <c r="AU22" s="16" t="s">
        <v>166</v>
      </c>
      <c r="AV22" s="16" t="s">
        <v>166</v>
      </c>
      <c r="AW22" s="16"/>
      <c r="AX22" s="16"/>
      <c r="AY22" s="109"/>
      <c r="AZ22" s="16"/>
      <c r="BA22" s="16"/>
      <c r="BB22" s="16"/>
      <c r="BC22" s="16"/>
      <c r="BD22" s="16"/>
      <c r="BE22" s="16"/>
      <c r="BF22" s="109"/>
      <c r="BG22" s="16"/>
      <c r="BH22" s="16"/>
      <c r="BI22" s="16"/>
      <c r="BJ22" s="16"/>
      <c r="BK22" s="16"/>
      <c r="BL22" s="16"/>
      <c r="BM22" s="109"/>
      <c r="BN22" s="16"/>
      <c r="BO22" s="16"/>
      <c r="BP22" s="16"/>
      <c r="BQ22" s="16"/>
      <c r="BR22" s="16"/>
      <c r="BS22" s="16"/>
      <c r="BT22" s="109"/>
      <c r="BU22" s="16"/>
      <c r="BV22" s="16"/>
      <c r="BW22" s="16"/>
      <c r="BX22" s="16"/>
      <c r="BY22" s="16"/>
      <c r="BZ22" s="16"/>
      <c r="CA22" s="109"/>
      <c r="CB22" s="16"/>
      <c r="CC22" s="16"/>
      <c r="CD22" s="16"/>
      <c r="CE22" s="16"/>
      <c r="CF22" s="16"/>
      <c r="CG22" s="16"/>
      <c r="CH22" s="109"/>
      <c r="CI22" s="16"/>
      <c r="CJ22" s="16"/>
      <c r="CK22" s="16"/>
      <c r="CL22" s="16"/>
      <c r="CM22" s="16"/>
      <c r="CN22" s="16"/>
      <c r="CO22" s="109"/>
      <c r="CP22" s="16"/>
      <c r="CQ22" s="16"/>
      <c r="CR22" s="16"/>
      <c r="CS22" s="16"/>
      <c r="CT22" s="16"/>
      <c r="CU22" s="16"/>
      <c r="CV22" s="109"/>
      <c r="CW22" s="16"/>
      <c r="CX22" s="16"/>
      <c r="CY22" s="16"/>
      <c r="CZ22" s="16"/>
      <c r="DA22" s="16"/>
      <c r="DB22" s="16"/>
      <c r="DC22" s="109"/>
      <c r="DD22" s="16"/>
      <c r="DE22" s="16"/>
      <c r="DF22" s="16"/>
      <c r="DG22" s="16"/>
      <c r="DH22" s="16"/>
      <c r="DI22" s="16"/>
      <c r="DJ22" s="109"/>
      <c r="DK22" s="16"/>
      <c r="DL22" s="16"/>
      <c r="DM22" s="16"/>
      <c r="DN22" s="16"/>
      <c r="DO22" s="16"/>
      <c r="DP22" s="16"/>
      <c r="DQ22" s="109"/>
      <c r="DR22" s="16"/>
      <c r="DS22" s="16"/>
      <c r="DT22" s="16"/>
      <c r="DU22" s="16"/>
      <c r="DV22" s="16"/>
      <c r="DW22" s="16"/>
      <c r="DX22" s="109"/>
      <c r="DY22" s="16"/>
      <c r="DZ22" s="16"/>
      <c r="EA22" s="16"/>
      <c r="EB22" s="16"/>
      <c r="EC22" s="16"/>
      <c r="ED22" s="16"/>
      <c r="EE22" s="109"/>
      <c r="EF22" s="16"/>
      <c r="EG22" s="16"/>
      <c r="EH22" s="16"/>
      <c r="EI22" s="16"/>
      <c r="EJ22" s="16"/>
      <c r="EK22" s="16"/>
      <c r="EL22" s="109"/>
      <c r="EM22" s="16"/>
      <c r="EN22" s="16"/>
      <c r="EO22" s="5">
        <f t="shared" si="3"/>
        <v>30</v>
      </c>
      <c r="EP22" s="5">
        <f t="shared" si="4"/>
        <v>1</v>
      </c>
    </row>
    <row r="23" spans="1:150" x14ac:dyDescent="0.25">
      <c r="A23" s="17">
        <v>18</v>
      </c>
      <c r="B23" s="25">
        <v>81</v>
      </c>
      <c r="C23" s="20" t="s">
        <v>203</v>
      </c>
      <c r="D23" s="21" t="s">
        <v>204</v>
      </c>
      <c r="E23" s="11" t="s">
        <v>8</v>
      </c>
      <c r="F23" s="16" t="s">
        <v>165</v>
      </c>
      <c r="G23" s="16" t="s">
        <v>165</v>
      </c>
      <c r="H23" s="16" t="s">
        <v>165</v>
      </c>
      <c r="I23" s="109"/>
      <c r="J23" s="16" t="s">
        <v>166</v>
      </c>
      <c r="K23" s="112"/>
      <c r="L23" s="16" t="s">
        <v>166</v>
      </c>
      <c r="M23" s="16" t="s">
        <v>166</v>
      </c>
      <c r="N23" s="16" t="s">
        <v>165</v>
      </c>
      <c r="O23" s="112"/>
      <c r="P23" s="109"/>
      <c r="Q23" s="112"/>
      <c r="R23" s="16" t="s">
        <v>165</v>
      </c>
      <c r="S23" s="16" t="s">
        <v>165</v>
      </c>
      <c r="T23" s="16" t="s">
        <v>166</v>
      </c>
      <c r="U23" s="112"/>
      <c r="V23" s="16"/>
      <c r="W23" s="109"/>
      <c r="X23" s="16" t="s">
        <v>166</v>
      </c>
      <c r="Y23" s="16" t="s">
        <v>165</v>
      </c>
      <c r="Z23" s="16" t="s">
        <v>166</v>
      </c>
      <c r="AA23" s="16" t="s">
        <v>166</v>
      </c>
      <c r="AB23" s="16" t="s">
        <v>166</v>
      </c>
      <c r="AC23" s="16" t="s">
        <v>166</v>
      </c>
      <c r="AD23" s="109"/>
      <c r="AE23" s="16" t="s">
        <v>166</v>
      </c>
      <c r="AF23" s="16" t="s">
        <v>166</v>
      </c>
      <c r="AG23" s="16" t="s">
        <v>166</v>
      </c>
      <c r="AH23" s="16" t="s">
        <v>166</v>
      </c>
      <c r="AI23" s="16" t="s">
        <v>166</v>
      </c>
      <c r="AJ23" s="16"/>
      <c r="AK23" s="109"/>
      <c r="AL23" s="16" t="s">
        <v>166</v>
      </c>
      <c r="AM23" s="112"/>
      <c r="AN23" s="16" t="s">
        <v>166</v>
      </c>
      <c r="AO23" s="16" t="s">
        <v>166</v>
      </c>
      <c r="AP23" s="16" t="s">
        <v>166</v>
      </c>
      <c r="AQ23" s="16" t="s">
        <v>166</v>
      </c>
      <c r="AR23" s="109"/>
      <c r="AS23" s="16" t="s">
        <v>166</v>
      </c>
      <c r="AT23" s="16" t="s">
        <v>166</v>
      </c>
      <c r="AU23" s="16" t="s">
        <v>166</v>
      </c>
      <c r="AV23" s="16" t="s">
        <v>166</v>
      </c>
      <c r="AW23" s="16"/>
      <c r="AX23" s="16"/>
      <c r="AY23" s="109"/>
      <c r="AZ23" s="16"/>
      <c r="BA23" s="16"/>
      <c r="BB23" s="16"/>
      <c r="BC23" s="16"/>
      <c r="BD23" s="16"/>
      <c r="BE23" s="16"/>
      <c r="BF23" s="109"/>
      <c r="BG23" s="16"/>
      <c r="BH23" s="16"/>
      <c r="BI23" s="16"/>
      <c r="BJ23" s="16"/>
      <c r="BK23" s="16"/>
      <c r="BL23" s="16"/>
      <c r="BM23" s="109"/>
      <c r="BN23" s="16"/>
      <c r="BO23" s="16"/>
      <c r="BP23" s="16"/>
      <c r="BQ23" s="16"/>
      <c r="BR23" s="16"/>
      <c r="BS23" s="16"/>
      <c r="BT23" s="109"/>
      <c r="BU23" s="16"/>
      <c r="BV23" s="16"/>
      <c r="BW23" s="16"/>
      <c r="BX23" s="16"/>
      <c r="BY23" s="16"/>
      <c r="BZ23" s="16"/>
      <c r="CA23" s="109"/>
      <c r="CB23" s="16"/>
      <c r="CC23" s="16"/>
      <c r="CD23" s="16"/>
      <c r="CE23" s="16"/>
      <c r="CF23" s="16"/>
      <c r="CG23" s="16"/>
      <c r="CH23" s="109"/>
      <c r="CI23" s="16"/>
      <c r="CJ23" s="16"/>
      <c r="CK23" s="16"/>
      <c r="CL23" s="16"/>
      <c r="CM23" s="16"/>
      <c r="CN23" s="16"/>
      <c r="CO23" s="109"/>
      <c r="CP23" s="16"/>
      <c r="CQ23" s="16"/>
      <c r="CR23" s="16"/>
      <c r="CS23" s="16"/>
      <c r="CT23" s="16"/>
      <c r="CU23" s="16"/>
      <c r="CV23" s="109"/>
      <c r="CW23" s="16"/>
      <c r="CX23" s="16"/>
      <c r="CY23" s="16"/>
      <c r="CZ23" s="16"/>
      <c r="DA23" s="16"/>
      <c r="DB23" s="16"/>
      <c r="DC23" s="109"/>
      <c r="DD23" s="16"/>
      <c r="DE23" s="16"/>
      <c r="DF23" s="16"/>
      <c r="DG23" s="16"/>
      <c r="DH23" s="16"/>
      <c r="DI23" s="16"/>
      <c r="DJ23" s="109"/>
      <c r="DK23" s="16"/>
      <c r="DL23" s="16"/>
      <c r="DM23" s="16"/>
      <c r="DN23" s="16"/>
      <c r="DO23" s="16"/>
      <c r="DP23" s="16"/>
      <c r="DQ23" s="109"/>
      <c r="DR23" s="16"/>
      <c r="DS23" s="16"/>
      <c r="DT23" s="16"/>
      <c r="DU23" s="16"/>
      <c r="DV23" s="16"/>
      <c r="DW23" s="16"/>
      <c r="DX23" s="109"/>
      <c r="DY23" s="16"/>
      <c r="DZ23" s="16"/>
      <c r="EA23" s="16"/>
      <c r="EB23" s="16"/>
      <c r="EC23" s="16"/>
      <c r="ED23" s="16"/>
      <c r="EE23" s="109"/>
      <c r="EF23" s="16"/>
      <c r="EG23" s="16"/>
      <c r="EH23" s="16"/>
      <c r="EI23" s="16"/>
      <c r="EJ23" s="16"/>
      <c r="EK23" s="16"/>
      <c r="EL23" s="109"/>
      <c r="EM23" s="16"/>
      <c r="EN23" s="16"/>
      <c r="EO23" s="5">
        <f t="shared" si="3"/>
        <v>23</v>
      </c>
      <c r="EP23" s="5">
        <f t="shared" si="4"/>
        <v>7</v>
      </c>
    </row>
    <row r="24" spans="1:150" x14ac:dyDescent="0.25">
      <c r="A24" s="6">
        <v>19</v>
      </c>
      <c r="B24" s="25">
        <v>82</v>
      </c>
      <c r="C24" s="20" t="s">
        <v>205</v>
      </c>
      <c r="D24" s="21" t="s">
        <v>206</v>
      </c>
      <c r="E24" s="11" t="s">
        <v>8</v>
      </c>
      <c r="F24" s="16" t="s">
        <v>166</v>
      </c>
      <c r="G24" s="16" t="s">
        <v>166</v>
      </c>
      <c r="H24" s="16" t="s">
        <v>166</v>
      </c>
      <c r="I24" s="109"/>
      <c r="J24" s="16" t="s">
        <v>166</v>
      </c>
      <c r="K24" s="112"/>
      <c r="L24" s="16" t="s">
        <v>166</v>
      </c>
      <c r="M24" s="16" t="s">
        <v>166</v>
      </c>
      <c r="N24" s="16" t="s">
        <v>166</v>
      </c>
      <c r="O24" s="112"/>
      <c r="P24" s="109"/>
      <c r="Q24" s="112"/>
      <c r="R24" s="16" t="s">
        <v>166</v>
      </c>
      <c r="S24" s="16" t="s">
        <v>165</v>
      </c>
      <c r="T24" s="16" t="s">
        <v>166</v>
      </c>
      <c r="U24" s="112"/>
      <c r="V24" s="16"/>
      <c r="W24" s="109"/>
      <c r="X24" s="16" t="s">
        <v>166</v>
      </c>
      <c r="Y24" s="16" t="s">
        <v>166</v>
      </c>
      <c r="Z24" s="16" t="s">
        <v>166</v>
      </c>
      <c r="AA24" s="16" t="s">
        <v>166</v>
      </c>
      <c r="AB24" s="16" t="s">
        <v>166</v>
      </c>
      <c r="AC24" s="16" t="s">
        <v>166</v>
      </c>
      <c r="AD24" s="109"/>
      <c r="AE24" s="16" t="s">
        <v>166</v>
      </c>
      <c r="AF24" s="16" t="s">
        <v>166</v>
      </c>
      <c r="AG24" s="16" t="s">
        <v>166</v>
      </c>
      <c r="AH24" s="16" t="s">
        <v>166</v>
      </c>
      <c r="AI24" s="16" t="s">
        <v>166</v>
      </c>
      <c r="AJ24" s="16" t="s">
        <v>166</v>
      </c>
      <c r="AK24" s="109"/>
      <c r="AL24" s="16" t="s">
        <v>166</v>
      </c>
      <c r="AM24" s="112"/>
      <c r="AN24" s="16" t="s">
        <v>166</v>
      </c>
      <c r="AO24" s="16" t="s">
        <v>166</v>
      </c>
      <c r="AP24" s="16" t="s">
        <v>166</v>
      </c>
      <c r="AQ24" s="16" t="s">
        <v>166</v>
      </c>
      <c r="AR24" s="109"/>
      <c r="AS24" s="16" t="s">
        <v>166</v>
      </c>
      <c r="AT24" s="16" t="s">
        <v>166</v>
      </c>
      <c r="AU24" s="16" t="s">
        <v>166</v>
      </c>
      <c r="AV24" s="16" t="s">
        <v>166</v>
      </c>
      <c r="AW24" s="16"/>
      <c r="AX24" s="16"/>
      <c r="AY24" s="109"/>
      <c r="AZ24" s="16"/>
      <c r="BA24" s="16"/>
      <c r="BB24" s="16"/>
      <c r="BC24" s="16"/>
      <c r="BD24" s="16"/>
      <c r="BE24" s="16"/>
      <c r="BF24" s="109"/>
      <c r="BG24" s="16"/>
      <c r="BH24" s="16"/>
      <c r="BI24" s="16"/>
      <c r="BJ24" s="16"/>
      <c r="BK24" s="16"/>
      <c r="BL24" s="16"/>
      <c r="BM24" s="109"/>
      <c r="BN24" s="16"/>
      <c r="BO24" s="16"/>
      <c r="BP24" s="16"/>
      <c r="BQ24" s="16"/>
      <c r="BR24" s="16"/>
      <c r="BS24" s="16"/>
      <c r="BT24" s="109"/>
      <c r="BU24" s="16"/>
      <c r="BV24" s="16"/>
      <c r="BW24" s="16"/>
      <c r="BX24" s="16"/>
      <c r="BY24" s="16"/>
      <c r="BZ24" s="16"/>
      <c r="CA24" s="109"/>
      <c r="CB24" s="16"/>
      <c r="CC24" s="16"/>
      <c r="CD24" s="16"/>
      <c r="CE24" s="16"/>
      <c r="CF24" s="16"/>
      <c r="CG24" s="16"/>
      <c r="CH24" s="109"/>
      <c r="CI24" s="16"/>
      <c r="CJ24" s="16"/>
      <c r="CK24" s="16"/>
      <c r="CL24" s="16"/>
      <c r="CM24" s="16"/>
      <c r="CN24" s="16"/>
      <c r="CO24" s="109"/>
      <c r="CP24" s="16"/>
      <c r="CQ24" s="16"/>
      <c r="CR24" s="16"/>
      <c r="CS24" s="16"/>
      <c r="CT24" s="16"/>
      <c r="CU24" s="16"/>
      <c r="CV24" s="109"/>
      <c r="CW24" s="16"/>
      <c r="CX24" s="16"/>
      <c r="CY24" s="16"/>
      <c r="CZ24" s="16"/>
      <c r="DA24" s="16"/>
      <c r="DB24" s="16"/>
      <c r="DC24" s="109"/>
      <c r="DD24" s="16"/>
      <c r="DE24" s="16"/>
      <c r="DF24" s="16"/>
      <c r="DG24" s="16"/>
      <c r="DH24" s="16"/>
      <c r="DI24" s="16"/>
      <c r="DJ24" s="109"/>
      <c r="DK24" s="16"/>
      <c r="DL24" s="16"/>
      <c r="DM24" s="16"/>
      <c r="DN24" s="16"/>
      <c r="DO24" s="16"/>
      <c r="DP24" s="16"/>
      <c r="DQ24" s="109"/>
      <c r="DR24" s="16"/>
      <c r="DS24" s="16"/>
      <c r="DT24" s="16"/>
      <c r="DU24" s="16"/>
      <c r="DV24" s="16"/>
      <c r="DW24" s="16"/>
      <c r="DX24" s="109"/>
      <c r="DY24" s="16"/>
      <c r="DZ24" s="16"/>
      <c r="EA24" s="16"/>
      <c r="EB24" s="16"/>
      <c r="EC24" s="16"/>
      <c r="ED24" s="16"/>
      <c r="EE24" s="109"/>
      <c r="EF24" s="16"/>
      <c r="EG24" s="16"/>
      <c r="EH24" s="16"/>
      <c r="EI24" s="16"/>
      <c r="EJ24" s="16"/>
      <c r="EK24" s="16"/>
      <c r="EL24" s="109"/>
      <c r="EM24" s="16"/>
      <c r="EN24" s="16"/>
      <c r="EO24" s="5">
        <f t="shared" si="3"/>
        <v>30</v>
      </c>
      <c r="EP24" s="5">
        <f t="shared" si="4"/>
        <v>1</v>
      </c>
    </row>
    <row r="25" spans="1:150" x14ac:dyDescent="0.25">
      <c r="A25" s="17">
        <v>20</v>
      </c>
      <c r="B25" s="25">
        <v>68</v>
      </c>
      <c r="C25" s="20" t="s">
        <v>140</v>
      </c>
      <c r="D25" s="21" t="s">
        <v>207</v>
      </c>
      <c r="E25" s="11" t="s">
        <v>8</v>
      </c>
      <c r="F25" s="16" t="s">
        <v>166</v>
      </c>
      <c r="G25" s="16" t="s">
        <v>166</v>
      </c>
      <c r="H25" s="16" t="s">
        <v>166</v>
      </c>
      <c r="I25" s="109"/>
      <c r="J25" s="16" t="s">
        <v>166</v>
      </c>
      <c r="K25" s="112"/>
      <c r="L25" s="16" t="s">
        <v>166</v>
      </c>
      <c r="M25" s="16" t="s">
        <v>165</v>
      </c>
      <c r="N25" s="16" t="s">
        <v>166</v>
      </c>
      <c r="O25" s="112"/>
      <c r="P25" s="109"/>
      <c r="Q25" s="112"/>
      <c r="R25" s="16" t="s">
        <v>165</v>
      </c>
      <c r="S25" s="16" t="s">
        <v>165</v>
      </c>
      <c r="T25" s="16" t="s">
        <v>165</v>
      </c>
      <c r="U25" s="112"/>
      <c r="V25" s="16"/>
      <c r="W25" s="109"/>
      <c r="X25" s="16" t="s">
        <v>166</v>
      </c>
      <c r="Y25" s="16" t="s">
        <v>166</v>
      </c>
      <c r="Z25" s="16" t="s">
        <v>166</v>
      </c>
      <c r="AA25" s="16" t="s">
        <v>166</v>
      </c>
      <c r="AB25" s="16" t="s">
        <v>166</v>
      </c>
      <c r="AC25" s="16" t="s">
        <v>166</v>
      </c>
      <c r="AD25" s="109"/>
      <c r="AE25" s="16" t="s">
        <v>166</v>
      </c>
      <c r="AF25" s="16" t="s">
        <v>166</v>
      </c>
      <c r="AG25" s="16" t="s">
        <v>166</v>
      </c>
      <c r="AH25" s="16" t="s">
        <v>166</v>
      </c>
      <c r="AI25" s="16" t="s">
        <v>166</v>
      </c>
      <c r="AJ25" s="16" t="s">
        <v>166</v>
      </c>
      <c r="AK25" s="109"/>
      <c r="AL25" s="16" t="s">
        <v>166</v>
      </c>
      <c r="AM25" s="112"/>
      <c r="AN25" s="16" t="s">
        <v>166</v>
      </c>
      <c r="AO25" s="16" t="s">
        <v>166</v>
      </c>
      <c r="AP25" s="16" t="s">
        <v>166</v>
      </c>
      <c r="AQ25" s="16" t="s">
        <v>166</v>
      </c>
      <c r="AR25" s="109"/>
      <c r="AS25" s="16" t="s">
        <v>166</v>
      </c>
      <c r="AT25" s="16" t="s">
        <v>166</v>
      </c>
      <c r="AU25" s="16" t="s">
        <v>166</v>
      </c>
      <c r="AV25" s="16" t="s">
        <v>166</v>
      </c>
      <c r="AW25" s="16"/>
      <c r="AX25" s="16"/>
      <c r="AY25" s="109"/>
      <c r="AZ25" s="16"/>
      <c r="BA25" s="16"/>
      <c r="BB25" s="16"/>
      <c r="BC25" s="16"/>
      <c r="BD25" s="16"/>
      <c r="BE25" s="16"/>
      <c r="BF25" s="109"/>
      <c r="BG25" s="16"/>
      <c r="BH25" s="16"/>
      <c r="BI25" s="16"/>
      <c r="BJ25" s="16"/>
      <c r="BK25" s="16"/>
      <c r="BL25" s="16"/>
      <c r="BM25" s="109"/>
      <c r="BN25" s="16"/>
      <c r="BO25" s="16"/>
      <c r="BP25" s="16"/>
      <c r="BQ25" s="16"/>
      <c r="BR25" s="16"/>
      <c r="BS25" s="16"/>
      <c r="BT25" s="109"/>
      <c r="BU25" s="16"/>
      <c r="BV25" s="16"/>
      <c r="BW25" s="16"/>
      <c r="BX25" s="16"/>
      <c r="BY25" s="16"/>
      <c r="BZ25" s="16"/>
      <c r="CA25" s="109"/>
      <c r="CB25" s="16"/>
      <c r="CC25" s="16"/>
      <c r="CD25" s="16"/>
      <c r="CE25" s="16"/>
      <c r="CF25" s="16"/>
      <c r="CG25" s="16"/>
      <c r="CH25" s="109"/>
      <c r="CI25" s="16"/>
      <c r="CJ25" s="16"/>
      <c r="CK25" s="16"/>
      <c r="CL25" s="16"/>
      <c r="CM25" s="16"/>
      <c r="CN25" s="16"/>
      <c r="CO25" s="109"/>
      <c r="CP25" s="16"/>
      <c r="CQ25" s="16"/>
      <c r="CR25" s="16"/>
      <c r="CS25" s="16"/>
      <c r="CT25" s="16"/>
      <c r="CU25" s="16"/>
      <c r="CV25" s="109"/>
      <c r="CW25" s="16"/>
      <c r="CX25" s="16"/>
      <c r="CY25" s="16"/>
      <c r="CZ25" s="16"/>
      <c r="DA25" s="16"/>
      <c r="DB25" s="16"/>
      <c r="DC25" s="109"/>
      <c r="DD25" s="16"/>
      <c r="DE25" s="16"/>
      <c r="DF25" s="16"/>
      <c r="DG25" s="16"/>
      <c r="DH25" s="16"/>
      <c r="DI25" s="16"/>
      <c r="DJ25" s="109"/>
      <c r="DK25" s="16"/>
      <c r="DL25" s="16"/>
      <c r="DM25" s="16"/>
      <c r="DN25" s="16"/>
      <c r="DO25" s="16"/>
      <c r="DP25" s="16"/>
      <c r="DQ25" s="109"/>
      <c r="DR25" s="16"/>
      <c r="DS25" s="16"/>
      <c r="DT25" s="16"/>
      <c r="DU25" s="16"/>
      <c r="DV25" s="16"/>
      <c r="DW25" s="16"/>
      <c r="DX25" s="109"/>
      <c r="DY25" s="16"/>
      <c r="DZ25" s="16"/>
      <c r="EA25" s="16"/>
      <c r="EB25" s="16"/>
      <c r="EC25" s="16"/>
      <c r="ED25" s="16"/>
      <c r="EE25" s="109"/>
      <c r="EF25" s="16"/>
      <c r="EG25" s="16"/>
      <c r="EH25" s="16"/>
      <c r="EI25" s="16"/>
      <c r="EJ25" s="16"/>
      <c r="EK25" s="16"/>
      <c r="EL25" s="109"/>
      <c r="EM25" s="16"/>
      <c r="EN25" s="16"/>
      <c r="EO25" s="5">
        <f t="shared" si="3"/>
        <v>27</v>
      </c>
      <c r="EP25" s="5">
        <f t="shared" si="4"/>
        <v>4</v>
      </c>
    </row>
    <row r="26" spans="1:150" x14ac:dyDescent="0.25">
      <c r="A26" s="6">
        <v>21</v>
      </c>
      <c r="B26" s="25">
        <v>69</v>
      </c>
      <c r="C26" s="20" t="s">
        <v>208</v>
      </c>
      <c r="D26" s="21" t="s">
        <v>209</v>
      </c>
      <c r="E26" s="11" t="s">
        <v>8</v>
      </c>
      <c r="F26" s="16" t="s">
        <v>166</v>
      </c>
      <c r="G26" s="16" t="s">
        <v>166</v>
      </c>
      <c r="H26" s="16" t="s">
        <v>166</v>
      </c>
      <c r="I26" s="109"/>
      <c r="J26" s="16" t="s">
        <v>166</v>
      </c>
      <c r="K26" s="112"/>
      <c r="L26" s="16" t="s">
        <v>166</v>
      </c>
      <c r="M26" s="16" t="s">
        <v>166</v>
      </c>
      <c r="N26" s="16" t="s">
        <v>166</v>
      </c>
      <c r="O26" s="112"/>
      <c r="P26" s="109"/>
      <c r="Q26" s="112"/>
      <c r="R26" s="16" t="s">
        <v>166</v>
      </c>
      <c r="S26" s="16" t="s">
        <v>165</v>
      </c>
      <c r="T26" s="16" t="s">
        <v>165</v>
      </c>
      <c r="U26" s="112"/>
      <c r="V26" s="16"/>
      <c r="W26" s="109"/>
      <c r="X26" s="16" t="s">
        <v>166</v>
      </c>
      <c r="Y26" s="16" t="s">
        <v>166</v>
      </c>
      <c r="Z26" s="16" t="s">
        <v>166</v>
      </c>
      <c r="AA26" s="16" t="s">
        <v>166</v>
      </c>
      <c r="AB26" s="16" t="s">
        <v>166</v>
      </c>
      <c r="AC26" s="16" t="s">
        <v>166</v>
      </c>
      <c r="AD26" s="109"/>
      <c r="AE26" s="16" t="s">
        <v>166</v>
      </c>
      <c r="AF26" s="16" t="s">
        <v>166</v>
      </c>
      <c r="AG26" s="16" t="s">
        <v>166</v>
      </c>
      <c r="AH26" s="16" t="s">
        <v>166</v>
      </c>
      <c r="AI26" s="16" t="s">
        <v>166</v>
      </c>
      <c r="AJ26" s="16" t="s">
        <v>166</v>
      </c>
      <c r="AK26" s="109"/>
      <c r="AL26" s="16" t="s">
        <v>166</v>
      </c>
      <c r="AM26" s="112"/>
      <c r="AN26" s="16" t="s">
        <v>166</v>
      </c>
      <c r="AO26" s="16" t="s">
        <v>166</v>
      </c>
      <c r="AP26" s="16" t="s">
        <v>166</v>
      </c>
      <c r="AQ26" s="16" t="s">
        <v>166</v>
      </c>
      <c r="AR26" s="109"/>
      <c r="AS26" s="16" t="s">
        <v>166</v>
      </c>
      <c r="AT26" s="16" t="s">
        <v>166</v>
      </c>
      <c r="AU26" s="16" t="s">
        <v>166</v>
      </c>
      <c r="AV26" s="16" t="s">
        <v>166</v>
      </c>
      <c r="AW26" s="16"/>
      <c r="AX26" s="16"/>
      <c r="AY26" s="109"/>
      <c r="AZ26" s="16"/>
      <c r="BA26" s="16"/>
      <c r="BB26" s="16"/>
      <c r="BC26" s="16"/>
      <c r="BD26" s="16"/>
      <c r="BE26" s="16"/>
      <c r="BF26" s="109"/>
      <c r="BG26" s="16"/>
      <c r="BH26" s="16"/>
      <c r="BI26" s="16"/>
      <c r="BJ26" s="16"/>
      <c r="BK26" s="16"/>
      <c r="BL26" s="16"/>
      <c r="BM26" s="109"/>
      <c r="BN26" s="16"/>
      <c r="BO26" s="16"/>
      <c r="BP26" s="16"/>
      <c r="BQ26" s="16"/>
      <c r="BR26" s="16"/>
      <c r="BS26" s="16"/>
      <c r="BT26" s="109"/>
      <c r="BU26" s="16"/>
      <c r="BV26" s="16"/>
      <c r="BW26" s="16"/>
      <c r="BX26" s="16"/>
      <c r="BY26" s="16"/>
      <c r="BZ26" s="16"/>
      <c r="CA26" s="109"/>
      <c r="CB26" s="16"/>
      <c r="CC26" s="16"/>
      <c r="CD26" s="16"/>
      <c r="CE26" s="16"/>
      <c r="CF26" s="16"/>
      <c r="CG26" s="16"/>
      <c r="CH26" s="109"/>
      <c r="CI26" s="16"/>
      <c r="CJ26" s="16"/>
      <c r="CK26" s="16"/>
      <c r="CL26" s="16"/>
      <c r="CM26" s="16"/>
      <c r="CN26" s="16"/>
      <c r="CO26" s="109"/>
      <c r="CP26" s="16"/>
      <c r="CQ26" s="16"/>
      <c r="CR26" s="16"/>
      <c r="CS26" s="16"/>
      <c r="CT26" s="16"/>
      <c r="CU26" s="16"/>
      <c r="CV26" s="109"/>
      <c r="CW26" s="16"/>
      <c r="CX26" s="16"/>
      <c r="CY26" s="16"/>
      <c r="CZ26" s="16"/>
      <c r="DA26" s="16"/>
      <c r="DB26" s="16"/>
      <c r="DC26" s="109"/>
      <c r="DD26" s="16"/>
      <c r="DE26" s="16"/>
      <c r="DF26" s="16"/>
      <c r="DG26" s="16"/>
      <c r="DH26" s="16"/>
      <c r="DI26" s="16"/>
      <c r="DJ26" s="109"/>
      <c r="DK26" s="16"/>
      <c r="DL26" s="16"/>
      <c r="DM26" s="16"/>
      <c r="DN26" s="16"/>
      <c r="DO26" s="16"/>
      <c r="DP26" s="16"/>
      <c r="DQ26" s="109"/>
      <c r="DR26" s="16"/>
      <c r="DS26" s="16"/>
      <c r="DT26" s="16"/>
      <c r="DU26" s="16"/>
      <c r="DV26" s="16"/>
      <c r="DW26" s="16"/>
      <c r="DX26" s="109"/>
      <c r="DY26" s="16"/>
      <c r="DZ26" s="16"/>
      <c r="EA26" s="16"/>
      <c r="EB26" s="16"/>
      <c r="EC26" s="16"/>
      <c r="ED26" s="16"/>
      <c r="EE26" s="109"/>
      <c r="EF26" s="16"/>
      <c r="EG26" s="16"/>
      <c r="EH26" s="16"/>
      <c r="EI26" s="16"/>
      <c r="EJ26" s="16"/>
      <c r="EK26" s="16"/>
      <c r="EL26" s="109"/>
      <c r="EM26" s="16"/>
      <c r="EN26" s="16"/>
      <c r="EO26" s="5">
        <f t="shared" si="3"/>
        <v>29</v>
      </c>
      <c r="EP26" s="5">
        <f t="shared" si="4"/>
        <v>2</v>
      </c>
    </row>
    <row r="27" spans="1:150" x14ac:dyDescent="0.25">
      <c r="A27" s="17">
        <v>22</v>
      </c>
      <c r="B27" s="25">
        <v>70</v>
      </c>
      <c r="C27" s="20" t="s">
        <v>210</v>
      </c>
      <c r="D27" s="21" t="s">
        <v>211</v>
      </c>
      <c r="E27" s="11" t="s">
        <v>8</v>
      </c>
      <c r="F27" s="16" t="s">
        <v>166</v>
      </c>
      <c r="G27" s="16" t="s">
        <v>166</v>
      </c>
      <c r="H27" s="16" t="s">
        <v>166</v>
      </c>
      <c r="I27" s="109"/>
      <c r="J27" s="16" t="s">
        <v>166</v>
      </c>
      <c r="K27" s="112"/>
      <c r="L27" s="16" t="s">
        <v>166</v>
      </c>
      <c r="M27" s="16" t="s">
        <v>166</v>
      </c>
      <c r="N27" s="16" t="s">
        <v>166</v>
      </c>
      <c r="O27" s="112"/>
      <c r="P27" s="109"/>
      <c r="Q27" s="112"/>
      <c r="R27" s="16" t="s">
        <v>166</v>
      </c>
      <c r="S27" s="16" t="s">
        <v>165</v>
      </c>
      <c r="T27" s="16" t="s">
        <v>166</v>
      </c>
      <c r="U27" s="112"/>
      <c r="V27" s="16"/>
      <c r="W27" s="109"/>
      <c r="X27" s="16" t="s">
        <v>166</v>
      </c>
      <c r="Y27" s="16" t="s">
        <v>166</v>
      </c>
      <c r="Z27" s="16" t="s">
        <v>166</v>
      </c>
      <c r="AA27" s="16" t="s">
        <v>166</v>
      </c>
      <c r="AB27" s="16" t="s">
        <v>166</v>
      </c>
      <c r="AC27" s="16" t="s">
        <v>166</v>
      </c>
      <c r="AD27" s="109"/>
      <c r="AE27" s="16" t="s">
        <v>166</v>
      </c>
      <c r="AF27" s="16" t="s">
        <v>166</v>
      </c>
      <c r="AG27" s="16" t="s">
        <v>166</v>
      </c>
      <c r="AH27" s="16" t="s">
        <v>166</v>
      </c>
      <c r="AI27" s="16" t="s">
        <v>166</v>
      </c>
      <c r="AJ27" s="16" t="s">
        <v>166</v>
      </c>
      <c r="AK27" s="109"/>
      <c r="AL27" s="16" t="s">
        <v>165</v>
      </c>
      <c r="AM27" s="112"/>
      <c r="AN27" s="16" t="s">
        <v>166</v>
      </c>
      <c r="AO27" s="16" t="s">
        <v>166</v>
      </c>
      <c r="AP27" s="16" t="s">
        <v>166</v>
      </c>
      <c r="AQ27" s="16" t="s">
        <v>166</v>
      </c>
      <c r="AR27" s="109"/>
      <c r="AS27" s="16" t="s">
        <v>166</v>
      </c>
      <c r="AT27" s="16" t="s">
        <v>166</v>
      </c>
      <c r="AU27" s="16" t="s">
        <v>166</v>
      </c>
      <c r="AV27" s="16" t="s">
        <v>166</v>
      </c>
      <c r="AW27" s="16"/>
      <c r="AX27" s="16"/>
      <c r="AY27" s="109"/>
      <c r="AZ27" s="16"/>
      <c r="BA27" s="16"/>
      <c r="BB27" s="16"/>
      <c r="BC27" s="16"/>
      <c r="BD27" s="16"/>
      <c r="BE27" s="16"/>
      <c r="BF27" s="109"/>
      <c r="BG27" s="16"/>
      <c r="BH27" s="16"/>
      <c r="BI27" s="16"/>
      <c r="BJ27" s="16"/>
      <c r="BK27" s="16"/>
      <c r="BL27" s="16"/>
      <c r="BM27" s="109"/>
      <c r="BN27" s="16"/>
      <c r="BO27" s="16"/>
      <c r="BP27" s="16"/>
      <c r="BQ27" s="16"/>
      <c r="BR27" s="16"/>
      <c r="BS27" s="16"/>
      <c r="BT27" s="109"/>
      <c r="BU27" s="16"/>
      <c r="BV27" s="16"/>
      <c r="BW27" s="16"/>
      <c r="BX27" s="16"/>
      <c r="BY27" s="16"/>
      <c r="BZ27" s="16"/>
      <c r="CA27" s="109"/>
      <c r="CB27" s="16"/>
      <c r="CC27" s="16"/>
      <c r="CD27" s="16"/>
      <c r="CE27" s="16"/>
      <c r="CF27" s="16"/>
      <c r="CG27" s="16"/>
      <c r="CH27" s="109"/>
      <c r="CI27" s="16"/>
      <c r="CJ27" s="16"/>
      <c r="CK27" s="16"/>
      <c r="CL27" s="16"/>
      <c r="CM27" s="16"/>
      <c r="CN27" s="16"/>
      <c r="CO27" s="109"/>
      <c r="CP27" s="16"/>
      <c r="CQ27" s="16"/>
      <c r="CR27" s="16"/>
      <c r="CS27" s="16"/>
      <c r="CT27" s="16"/>
      <c r="CU27" s="16"/>
      <c r="CV27" s="109"/>
      <c r="CW27" s="16"/>
      <c r="CX27" s="16"/>
      <c r="CY27" s="16"/>
      <c r="CZ27" s="16"/>
      <c r="DA27" s="16"/>
      <c r="DB27" s="16"/>
      <c r="DC27" s="109"/>
      <c r="DD27" s="16"/>
      <c r="DE27" s="16"/>
      <c r="DF27" s="16"/>
      <c r="DG27" s="16"/>
      <c r="DH27" s="16"/>
      <c r="DI27" s="16"/>
      <c r="DJ27" s="109"/>
      <c r="DK27" s="16"/>
      <c r="DL27" s="16"/>
      <c r="DM27" s="16"/>
      <c r="DN27" s="16"/>
      <c r="DO27" s="16"/>
      <c r="DP27" s="16"/>
      <c r="DQ27" s="109"/>
      <c r="DR27" s="16"/>
      <c r="DS27" s="16"/>
      <c r="DT27" s="16"/>
      <c r="DU27" s="16"/>
      <c r="DV27" s="16"/>
      <c r="DW27" s="16"/>
      <c r="DX27" s="109"/>
      <c r="DY27" s="16"/>
      <c r="DZ27" s="16"/>
      <c r="EA27" s="16"/>
      <c r="EB27" s="16"/>
      <c r="EC27" s="16"/>
      <c r="ED27" s="16"/>
      <c r="EE27" s="109"/>
      <c r="EF27" s="16"/>
      <c r="EG27" s="16"/>
      <c r="EH27" s="16"/>
      <c r="EI27" s="16"/>
      <c r="EJ27" s="16"/>
      <c r="EK27" s="16"/>
      <c r="EL27" s="109"/>
      <c r="EM27" s="16"/>
      <c r="EN27" s="16"/>
      <c r="EO27" s="5">
        <f t="shared" si="3"/>
        <v>29</v>
      </c>
      <c r="EP27" s="5">
        <f t="shared" si="4"/>
        <v>2</v>
      </c>
    </row>
    <row r="28" spans="1:150" x14ac:dyDescent="0.25">
      <c r="A28" s="6">
        <v>23</v>
      </c>
      <c r="B28" s="25">
        <v>103</v>
      </c>
      <c r="C28" s="20" t="s">
        <v>212</v>
      </c>
      <c r="D28" s="21" t="s">
        <v>181</v>
      </c>
      <c r="E28" s="11" t="s">
        <v>8</v>
      </c>
      <c r="F28" s="16" t="s">
        <v>166</v>
      </c>
      <c r="G28" s="16" t="s">
        <v>166</v>
      </c>
      <c r="H28" s="16" t="s">
        <v>166</v>
      </c>
      <c r="I28" s="109"/>
      <c r="J28" s="16" t="s">
        <v>166</v>
      </c>
      <c r="K28" s="112"/>
      <c r="L28" s="16" t="s">
        <v>166</v>
      </c>
      <c r="M28" s="16" t="s">
        <v>166</v>
      </c>
      <c r="N28" s="16" t="s">
        <v>166</v>
      </c>
      <c r="O28" s="112"/>
      <c r="P28" s="109"/>
      <c r="Q28" s="112"/>
      <c r="R28" s="16" t="s">
        <v>166</v>
      </c>
      <c r="S28" s="16" t="s">
        <v>165</v>
      </c>
      <c r="T28" s="16" t="s">
        <v>166</v>
      </c>
      <c r="U28" s="112"/>
      <c r="V28" s="16"/>
      <c r="W28" s="109"/>
      <c r="X28" s="16" t="s">
        <v>166</v>
      </c>
      <c r="Y28" s="16" t="s">
        <v>166</v>
      </c>
      <c r="Z28" s="16" t="s">
        <v>166</v>
      </c>
      <c r="AA28" s="16" t="s">
        <v>166</v>
      </c>
      <c r="AB28" s="16" t="s">
        <v>165</v>
      </c>
      <c r="AC28" s="16" t="s">
        <v>166</v>
      </c>
      <c r="AD28" s="109"/>
      <c r="AE28" s="16" t="s">
        <v>166</v>
      </c>
      <c r="AF28" s="16" t="s">
        <v>166</v>
      </c>
      <c r="AG28" s="16" t="s">
        <v>166</v>
      </c>
      <c r="AH28" s="16" t="s">
        <v>166</v>
      </c>
      <c r="AI28" s="16" t="s">
        <v>166</v>
      </c>
      <c r="AJ28" s="16" t="s">
        <v>166</v>
      </c>
      <c r="AK28" s="109"/>
      <c r="AL28" s="16" t="s">
        <v>166</v>
      </c>
      <c r="AM28" s="112"/>
      <c r="AN28" s="16" t="s">
        <v>166</v>
      </c>
      <c r="AO28" s="16" t="s">
        <v>166</v>
      </c>
      <c r="AP28" s="16" t="s">
        <v>166</v>
      </c>
      <c r="AQ28" s="16" t="s">
        <v>166</v>
      </c>
      <c r="AR28" s="109"/>
      <c r="AS28" s="16" t="s">
        <v>166</v>
      </c>
      <c r="AT28" s="16" t="s">
        <v>166</v>
      </c>
      <c r="AU28" s="16" t="s">
        <v>165</v>
      </c>
      <c r="AV28" s="16" t="s">
        <v>166</v>
      </c>
      <c r="AW28" s="16"/>
      <c r="AX28" s="16"/>
      <c r="AY28" s="109"/>
      <c r="AZ28" s="16"/>
      <c r="BA28" s="16"/>
      <c r="BB28" s="16"/>
      <c r="BC28" s="16"/>
      <c r="BD28" s="16"/>
      <c r="BE28" s="16"/>
      <c r="BF28" s="109"/>
      <c r="BG28" s="16"/>
      <c r="BH28" s="16"/>
      <c r="BI28" s="16"/>
      <c r="BJ28" s="16"/>
      <c r="BK28" s="16"/>
      <c r="BL28" s="16"/>
      <c r="BM28" s="109"/>
      <c r="BN28" s="16"/>
      <c r="BO28" s="16"/>
      <c r="BP28" s="16"/>
      <c r="BQ28" s="16"/>
      <c r="BR28" s="16"/>
      <c r="BS28" s="16"/>
      <c r="BT28" s="109"/>
      <c r="BU28" s="16"/>
      <c r="BV28" s="16"/>
      <c r="BW28" s="16"/>
      <c r="BX28" s="16"/>
      <c r="BY28" s="16"/>
      <c r="BZ28" s="16"/>
      <c r="CA28" s="109"/>
      <c r="CB28" s="16"/>
      <c r="CC28" s="16"/>
      <c r="CD28" s="16"/>
      <c r="CE28" s="16"/>
      <c r="CF28" s="16"/>
      <c r="CG28" s="16"/>
      <c r="CH28" s="109"/>
      <c r="CI28" s="16"/>
      <c r="CJ28" s="16"/>
      <c r="CK28" s="16"/>
      <c r="CL28" s="16"/>
      <c r="CM28" s="16"/>
      <c r="CN28" s="16"/>
      <c r="CO28" s="109"/>
      <c r="CP28" s="16"/>
      <c r="CQ28" s="16"/>
      <c r="CR28" s="16"/>
      <c r="CS28" s="16"/>
      <c r="CT28" s="16"/>
      <c r="CU28" s="16"/>
      <c r="CV28" s="109"/>
      <c r="CW28" s="16"/>
      <c r="CX28" s="16"/>
      <c r="CY28" s="16"/>
      <c r="CZ28" s="16"/>
      <c r="DA28" s="16"/>
      <c r="DB28" s="16"/>
      <c r="DC28" s="109"/>
      <c r="DD28" s="16"/>
      <c r="DE28" s="16"/>
      <c r="DF28" s="16"/>
      <c r="DG28" s="16"/>
      <c r="DH28" s="16"/>
      <c r="DI28" s="16"/>
      <c r="DJ28" s="109"/>
      <c r="DK28" s="16"/>
      <c r="DL28" s="16"/>
      <c r="DM28" s="16"/>
      <c r="DN28" s="16"/>
      <c r="DO28" s="16"/>
      <c r="DP28" s="16"/>
      <c r="DQ28" s="109"/>
      <c r="DR28" s="16"/>
      <c r="DS28" s="16"/>
      <c r="DT28" s="16"/>
      <c r="DU28" s="16"/>
      <c r="DV28" s="16"/>
      <c r="DW28" s="16"/>
      <c r="DX28" s="109"/>
      <c r="DY28" s="16"/>
      <c r="DZ28" s="16"/>
      <c r="EA28" s="16"/>
      <c r="EB28" s="16"/>
      <c r="EC28" s="16"/>
      <c r="ED28" s="16"/>
      <c r="EE28" s="109"/>
      <c r="EF28" s="16"/>
      <c r="EG28" s="16"/>
      <c r="EH28" s="16"/>
      <c r="EI28" s="16"/>
      <c r="EJ28" s="16"/>
      <c r="EK28" s="16"/>
      <c r="EL28" s="109"/>
      <c r="EM28" s="16"/>
      <c r="EN28" s="16"/>
      <c r="EO28" s="5">
        <f t="shared" si="3"/>
        <v>28</v>
      </c>
      <c r="EP28" s="5">
        <f t="shared" si="4"/>
        <v>3</v>
      </c>
    </row>
    <row r="29" spans="1:150" x14ac:dyDescent="0.25">
      <c r="A29" s="17">
        <v>24</v>
      </c>
      <c r="B29" s="19">
        <v>149</v>
      </c>
      <c r="C29" s="20" t="s">
        <v>213</v>
      </c>
      <c r="D29" s="21" t="s">
        <v>214</v>
      </c>
      <c r="E29" s="11" t="s">
        <v>8</v>
      </c>
      <c r="F29" s="16" t="s">
        <v>166</v>
      </c>
      <c r="G29" s="16" t="s">
        <v>166</v>
      </c>
      <c r="H29" s="16" t="s">
        <v>166</v>
      </c>
      <c r="I29" s="109"/>
      <c r="J29" s="16" t="s">
        <v>166</v>
      </c>
      <c r="K29" s="112"/>
      <c r="L29" s="16" t="s">
        <v>166</v>
      </c>
      <c r="M29" s="16" t="s">
        <v>166</v>
      </c>
      <c r="N29" s="16" t="s">
        <v>166</v>
      </c>
      <c r="O29" s="112"/>
      <c r="P29" s="109"/>
      <c r="Q29" s="112"/>
      <c r="R29" s="16" t="s">
        <v>166</v>
      </c>
      <c r="S29" s="16" t="s">
        <v>165</v>
      </c>
      <c r="T29" s="16" t="s">
        <v>165</v>
      </c>
      <c r="U29" s="112"/>
      <c r="V29" s="16"/>
      <c r="W29" s="109"/>
      <c r="X29" s="16" t="s">
        <v>166</v>
      </c>
      <c r="Y29" s="16" t="s">
        <v>166</v>
      </c>
      <c r="Z29" s="16" t="s">
        <v>166</v>
      </c>
      <c r="AA29" s="16" t="s">
        <v>166</v>
      </c>
      <c r="AB29" s="16" t="s">
        <v>166</v>
      </c>
      <c r="AC29" s="16" t="s">
        <v>165</v>
      </c>
      <c r="AD29" s="109"/>
      <c r="AE29" s="16" t="s">
        <v>166</v>
      </c>
      <c r="AF29" s="16" t="s">
        <v>166</v>
      </c>
      <c r="AG29" s="16" t="s">
        <v>166</v>
      </c>
      <c r="AH29" s="16" t="s">
        <v>166</v>
      </c>
      <c r="AI29" s="16" t="s">
        <v>166</v>
      </c>
      <c r="AJ29" s="16" t="s">
        <v>165</v>
      </c>
      <c r="AK29" s="109"/>
      <c r="AL29" s="16" t="s">
        <v>165</v>
      </c>
      <c r="AM29" s="112"/>
      <c r="AN29" s="16" t="s">
        <v>165</v>
      </c>
      <c r="AO29" s="16" t="s">
        <v>166</v>
      </c>
      <c r="AP29" s="16"/>
      <c r="AQ29" s="16" t="s">
        <v>166</v>
      </c>
      <c r="AR29" s="109"/>
      <c r="AS29" s="16" t="s">
        <v>166</v>
      </c>
      <c r="AT29" s="16" t="s">
        <v>166</v>
      </c>
      <c r="AU29" s="16" t="s">
        <v>166</v>
      </c>
      <c r="AV29" s="16" t="s">
        <v>165</v>
      </c>
      <c r="AW29" s="16"/>
      <c r="AX29" s="16"/>
      <c r="AY29" s="109"/>
      <c r="AZ29" s="16"/>
      <c r="BA29" s="16"/>
      <c r="BB29" s="16"/>
      <c r="BC29" s="16"/>
      <c r="BD29" s="16"/>
      <c r="BE29" s="16"/>
      <c r="BF29" s="109"/>
      <c r="BG29" s="16"/>
      <c r="BH29" s="16"/>
      <c r="BI29" s="16"/>
      <c r="BJ29" s="16"/>
      <c r="BK29" s="16"/>
      <c r="BL29" s="16"/>
      <c r="BM29" s="109"/>
      <c r="BN29" s="16"/>
      <c r="BO29" s="16"/>
      <c r="BP29" s="16"/>
      <c r="BQ29" s="16"/>
      <c r="BR29" s="16"/>
      <c r="BS29" s="16"/>
      <c r="BT29" s="109"/>
      <c r="BU29" s="16"/>
      <c r="BV29" s="16"/>
      <c r="BW29" s="16"/>
      <c r="BX29" s="16"/>
      <c r="BY29" s="16"/>
      <c r="BZ29" s="16"/>
      <c r="CA29" s="109"/>
      <c r="CB29" s="16"/>
      <c r="CC29" s="16"/>
      <c r="CD29" s="16"/>
      <c r="CE29" s="16"/>
      <c r="CF29" s="16"/>
      <c r="CG29" s="16"/>
      <c r="CH29" s="109"/>
      <c r="CI29" s="16"/>
      <c r="CJ29" s="16"/>
      <c r="CK29" s="16"/>
      <c r="CL29" s="16"/>
      <c r="CM29" s="16"/>
      <c r="CN29" s="16"/>
      <c r="CO29" s="109"/>
      <c r="CP29" s="16"/>
      <c r="CQ29" s="16"/>
      <c r="CR29" s="16"/>
      <c r="CS29" s="16"/>
      <c r="CT29" s="16"/>
      <c r="CU29" s="16"/>
      <c r="CV29" s="109"/>
      <c r="CW29" s="16"/>
      <c r="CX29" s="16"/>
      <c r="CY29" s="16"/>
      <c r="CZ29" s="16"/>
      <c r="DA29" s="16"/>
      <c r="DB29" s="16"/>
      <c r="DC29" s="109"/>
      <c r="DD29" s="16"/>
      <c r="DE29" s="16"/>
      <c r="DF29" s="16"/>
      <c r="DG29" s="16"/>
      <c r="DH29" s="16"/>
      <c r="DI29" s="16"/>
      <c r="DJ29" s="109"/>
      <c r="DK29" s="16"/>
      <c r="DL29" s="16"/>
      <c r="DM29" s="16"/>
      <c r="DN29" s="16"/>
      <c r="DO29" s="16"/>
      <c r="DP29" s="16"/>
      <c r="DQ29" s="109"/>
      <c r="DR29" s="16"/>
      <c r="DS29" s="16"/>
      <c r="DT29" s="16"/>
      <c r="DU29" s="16"/>
      <c r="DV29" s="16"/>
      <c r="DW29" s="16"/>
      <c r="DX29" s="109"/>
      <c r="DY29" s="16"/>
      <c r="DZ29" s="16"/>
      <c r="EA29" s="16"/>
      <c r="EB29" s="16"/>
      <c r="EC29" s="16"/>
      <c r="ED29" s="16"/>
      <c r="EE29" s="109"/>
      <c r="EF29" s="16"/>
      <c r="EG29" s="16"/>
      <c r="EH29" s="16"/>
      <c r="EI29" s="16"/>
      <c r="EJ29" s="16"/>
      <c r="EK29" s="16"/>
      <c r="EL29" s="109"/>
      <c r="EM29" s="16"/>
      <c r="EN29" s="16"/>
      <c r="EO29" s="5">
        <f t="shared" si="3"/>
        <v>23</v>
      </c>
      <c r="EP29" s="5">
        <f t="shared" si="4"/>
        <v>7</v>
      </c>
    </row>
    <row r="30" spans="1:150" x14ac:dyDescent="0.25">
      <c r="A30" s="6">
        <v>25</v>
      </c>
      <c r="B30" s="19">
        <v>61</v>
      </c>
      <c r="C30" s="20" t="s">
        <v>215</v>
      </c>
      <c r="D30" s="21" t="s">
        <v>216</v>
      </c>
      <c r="E30" s="11" t="s">
        <v>8</v>
      </c>
      <c r="F30" s="16" t="s">
        <v>165</v>
      </c>
      <c r="G30" s="16" t="s">
        <v>165</v>
      </c>
      <c r="H30" s="16" t="s">
        <v>165</v>
      </c>
      <c r="I30" s="109"/>
      <c r="J30" s="16" t="s">
        <v>165</v>
      </c>
      <c r="K30" s="112"/>
      <c r="L30" s="16" t="s">
        <v>166</v>
      </c>
      <c r="M30" s="16" t="s">
        <v>166</v>
      </c>
      <c r="N30" s="16" t="s">
        <v>166</v>
      </c>
      <c r="O30" s="112"/>
      <c r="P30" s="109"/>
      <c r="Q30" s="112"/>
      <c r="R30" s="16" t="s">
        <v>166</v>
      </c>
      <c r="S30" s="16" t="s">
        <v>166</v>
      </c>
      <c r="T30" s="16" t="s">
        <v>165</v>
      </c>
      <c r="U30" s="112"/>
      <c r="V30" s="16"/>
      <c r="W30" s="109"/>
      <c r="X30" s="16" t="s">
        <v>166</v>
      </c>
      <c r="Y30" s="16" t="s">
        <v>166</v>
      </c>
      <c r="Z30" s="16" t="s">
        <v>166</v>
      </c>
      <c r="AA30" s="16" t="s">
        <v>166</v>
      </c>
      <c r="AB30" s="16" t="s">
        <v>166</v>
      </c>
      <c r="AC30" s="16" t="s">
        <v>166</v>
      </c>
      <c r="AD30" s="109"/>
      <c r="AE30" s="16" t="s">
        <v>166</v>
      </c>
      <c r="AF30" s="16" t="s">
        <v>166</v>
      </c>
      <c r="AG30" s="16" t="s">
        <v>166</v>
      </c>
      <c r="AH30" s="16" t="s">
        <v>166</v>
      </c>
      <c r="AI30" s="16" t="s">
        <v>166</v>
      </c>
      <c r="AJ30" s="16" t="s">
        <v>166</v>
      </c>
      <c r="AK30" s="109"/>
      <c r="AL30" s="16" t="s">
        <v>165</v>
      </c>
      <c r="AM30" s="112"/>
      <c r="AN30" s="16" t="s">
        <v>166</v>
      </c>
      <c r="AO30" s="16" t="s">
        <v>166</v>
      </c>
      <c r="AP30" s="16" t="s">
        <v>166</v>
      </c>
      <c r="AQ30" s="16" t="s">
        <v>166</v>
      </c>
      <c r="AR30" s="109"/>
      <c r="AS30" s="16" t="s">
        <v>166</v>
      </c>
      <c r="AT30" s="16" t="s">
        <v>166</v>
      </c>
      <c r="AU30" s="16" t="s">
        <v>166</v>
      </c>
      <c r="AV30" s="16" t="s">
        <v>166</v>
      </c>
      <c r="AW30" s="16"/>
      <c r="AX30" s="16"/>
      <c r="AY30" s="109"/>
      <c r="AZ30" s="16"/>
      <c r="BA30" s="16"/>
      <c r="BB30" s="16"/>
      <c r="BC30" s="16"/>
      <c r="BD30" s="16"/>
      <c r="BE30" s="16"/>
      <c r="BF30" s="109"/>
      <c r="BG30" s="16"/>
      <c r="BH30" s="16"/>
      <c r="BI30" s="16"/>
      <c r="BJ30" s="16"/>
      <c r="BK30" s="16"/>
      <c r="BL30" s="16"/>
      <c r="BM30" s="109"/>
      <c r="BN30" s="16"/>
      <c r="BO30" s="16"/>
      <c r="BP30" s="16"/>
      <c r="BQ30" s="16"/>
      <c r="BR30" s="16"/>
      <c r="BS30" s="16"/>
      <c r="BT30" s="109"/>
      <c r="BU30" s="16"/>
      <c r="BV30" s="16"/>
      <c r="BW30" s="16"/>
      <c r="BX30" s="16"/>
      <c r="BY30" s="16"/>
      <c r="BZ30" s="16"/>
      <c r="CA30" s="109"/>
      <c r="CB30" s="16"/>
      <c r="CC30" s="16"/>
      <c r="CD30" s="16"/>
      <c r="CE30" s="16"/>
      <c r="CF30" s="16"/>
      <c r="CG30" s="16"/>
      <c r="CH30" s="109"/>
      <c r="CI30" s="16"/>
      <c r="CJ30" s="16"/>
      <c r="CK30" s="16"/>
      <c r="CL30" s="16"/>
      <c r="CM30" s="16"/>
      <c r="CN30" s="16"/>
      <c r="CO30" s="109"/>
      <c r="CP30" s="16"/>
      <c r="CQ30" s="16"/>
      <c r="CR30" s="16"/>
      <c r="CS30" s="16"/>
      <c r="CT30" s="16"/>
      <c r="CU30" s="16"/>
      <c r="CV30" s="109"/>
      <c r="CW30" s="16"/>
      <c r="CX30" s="16"/>
      <c r="CY30" s="16"/>
      <c r="CZ30" s="16"/>
      <c r="DA30" s="16"/>
      <c r="DB30" s="16"/>
      <c r="DC30" s="109"/>
      <c r="DD30" s="16"/>
      <c r="DE30" s="16"/>
      <c r="DF30" s="16"/>
      <c r="DG30" s="16"/>
      <c r="DH30" s="16"/>
      <c r="DI30" s="16"/>
      <c r="DJ30" s="109"/>
      <c r="DK30" s="16"/>
      <c r="DL30" s="16"/>
      <c r="DM30" s="16"/>
      <c r="DN30" s="16"/>
      <c r="DO30" s="16"/>
      <c r="DP30" s="16"/>
      <c r="DQ30" s="109"/>
      <c r="DR30" s="16"/>
      <c r="DS30" s="16"/>
      <c r="DT30" s="16"/>
      <c r="DU30" s="16"/>
      <c r="DV30" s="16"/>
      <c r="DW30" s="16"/>
      <c r="DX30" s="109"/>
      <c r="DY30" s="16"/>
      <c r="DZ30" s="16"/>
      <c r="EA30" s="16"/>
      <c r="EB30" s="16"/>
      <c r="EC30" s="16"/>
      <c r="ED30" s="16"/>
      <c r="EE30" s="109"/>
      <c r="EF30" s="16"/>
      <c r="EG30" s="16"/>
      <c r="EH30" s="16"/>
      <c r="EI30" s="16"/>
      <c r="EJ30" s="16"/>
      <c r="EK30" s="16"/>
      <c r="EL30" s="109"/>
      <c r="EM30" s="16"/>
      <c r="EN30" s="16"/>
      <c r="EO30" s="5">
        <f t="shared" si="3"/>
        <v>25</v>
      </c>
      <c r="EP30" s="5">
        <f t="shared" si="4"/>
        <v>6</v>
      </c>
    </row>
    <row r="31" spans="1:150" x14ac:dyDescent="0.25">
      <c r="A31" s="17">
        <v>26</v>
      </c>
      <c r="B31" s="19">
        <v>79</v>
      </c>
      <c r="C31" s="20" t="s">
        <v>217</v>
      </c>
      <c r="D31" s="21" t="s">
        <v>218</v>
      </c>
      <c r="E31" s="11" t="s">
        <v>8</v>
      </c>
      <c r="F31" s="16" t="s">
        <v>166</v>
      </c>
      <c r="G31" s="16" t="s">
        <v>166</v>
      </c>
      <c r="H31" s="16" t="s">
        <v>166</v>
      </c>
      <c r="I31" s="109"/>
      <c r="J31" s="16" t="s">
        <v>166</v>
      </c>
      <c r="K31" s="112"/>
      <c r="L31" s="16" t="s">
        <v>166</v>
      </c>
      <c r="M31" s="16" t="s">
        <v>166</v>
      </c>
      <c r="N31" s="16" t="s">
        <v>166</v>
      </c>
      <c r="O31" s="112"/>
      <c r="P31" s="109"/>
      <c r="Q31" s="112"/>
      <c r="R31" s="16" t="s">
        <v>165</v>
      </c>
      <c r="S31" s="16" t="s">
        <v>165</v>
      </c>
      <c r="T31" s="16" t="s">
        <v>165</v>
      </c>
      <c r="U31" s="112"/>
      <c r="V31" s="16" t="s">
        <v>166</v>
      </c>
      <c r="W31" s="109"/>
      <c r="X31" s="16" t="s">
        <v>166</v>
      </c>
      <c r="Y31" s="16" t="s">
        <v>166</v>
      </c>
      <c r="Z31" s="16" t="s">
        <v>166</v>
      </c>
      <c r="AA31" s="16" t="s">
        <v>166</v>
      </c>
      <c r="AB31" s="16" t="s">
        <v>166</v>
      </c>
      <c r="AC31" s="16" t="s">
        <v>166</v>
      </c>
      <c r="AD31" s="109"/>
      <c r="AE31" s="16" t="s">
        <v>166</v>
      </c>
      <c r="AF31" s="16" t="s">
        <v>166</v>
      </c>
      <c r="AG31" s="16" t="s">
        <v>166</v>
      </c>
      <c r="AH31" s="16" t="s">
        <v>166</v>
      </c>
      <c r="AI31" s="16" t="s">
        <v>166</v>
      </c>
      <c r="AJ31" s="16" t="s">
        <v>166</v>
      </c>
      <c r="AK31" s="109"/>
      <c r="AL31" s="16" t="s">
        <v>165</v>
      </c>
      <c r="AM31" s="112"/>
      <c r="AN31" s="16" t="s">
        <v>166</v>
      </c>
      <c r="AO31" s="16" t="s">
        <v>166</v>
      </c>
      <c r="AP31" s="16" t="s">
        <v>166</v>
      </c>
      <c r="AQ31" s="16" t="s">
        <v>166</v>
      </c>
      <c r="AR31" s="109"/>
      <c r="AS31" s="16" t="s">
        <v>166</v>
      </c>
      <c r="AT31" s="16" t="s">
        <v>166</v>
      </c>
      <c r="AU31" s="16" t="s">
        <v>166</v>
      </c>
      <c r="AV31" s="16" t="s">
        <v>166</v>
      </c>
      <c r="AW31" s="16"/>
      <c r="AX31" s="16"/>
      <c r="AY31" s="109"/>
      <c r="AZ31" s="16"/>
      <c r="BA31" s="16"/>
      <c r="BB31" s="16"/>
      <c r="BC31" s="16"/>
      <c r="BD31" s="16"/>
      <c r="BE31" s="16"/>
      <c r="BF31" s="109"/>
      <c r="BG31" s="16"/>
      <c r="BH31" s="16"/>
      <c r="BI31" s="16"/>
      <c r="BJ31" s="16"/>
      <c r="BK31" s="16"/>
      <c r="BL31" s="16"/>
      <c r="BM31" s="109"/>
      <c r="BN31" s="16"/>
      <c r="BO31" s="16"/>
      <c r="BP31" s="16"/>
      <c r="BQ31" s="16"/>
      <c r="BR31" s="16"/>
      <c r="BS31" s="16"/>
      <c r="BT31" s="109"/>
      <c r="BU31" s="16"/>
      <c r="BV31" s="16"/>
      <c r="BW31" s="16"/>
      <c r="BX31" s="16"/>
      <c r="BY31" s="16"/>
      <c r="BZ31" s="16"/>
      <c r="CA31" s="109"/>
      <c r="CB31" s="16"/>
      <c r="CC31" s="16"/>
      <c r="CD31" s="16"/>
      <c r="CE31" s="16"/>
      <c r="CF31" s="16"/>
      <c r="CG31" s="16"/>
      <c r="CH31" s="109"/>
      <c r="CI31" s="16"/>
      <c r="CJ31" s="16"/>
      <c r="CK31" s="16"/>
      <c r="CL31" s="16"/>
      <c r="CM31" s="16"/>
      <c r="CN31" s="16"/>
      <c r="CO31" s="109"/>
      <c r="CP31" s="16"/>
      <c r="CQ31" s="16"/>
      <c r="CR31" s="16"/>
      <c r="CS31" s="16"/>
      <c r="CT31" s="16"/>
      <c r="CU31" s="16"/>
      <c r="CV31" s="109"/>
      <c r="CW31" s="16"/>
      <c r="CX31" s="16"/>
      <c r="CY31" s="16"/>
      <c r="CZ31" s="16"/>
      <c r="DA31" s="16"/>
      <c r="DB31" s="16"/>
      <c r="DC31" s="109"/>
      <c r="DD31" s="16"/>
      <c r="DE31" s="16"/>
      <c r="DF31" s="16"/>
      <c r="DG31" s="16"/>
      <c r="DH31" s="16"/>
      <c r="DI31" s="16"/>
      <c r="DJ31" s="109"/>
      <c r="DK31" s="16"/>
      <c r="DL31" s="16"/>
      <c r="DM31" s="16"/>
      <c r="DN31" s="16"/>
      <c r="DO31" s="16"/>
      <c r="DP31" s="16"/>
      <c r="DQ31" s="109"/>
      <c r="DR31" s="16"/>
      <c r="DS31" s="16"/>
      <c r="DT31" s="16"/>
      <c r="DU31" s="16"/>
      <c r="DV31" s="16"/>
      <c r="DW31" s="16"/>
      <c r="DX31" s="109"/>
      <c r="DY31" s="16"/>
      <c r="DZ31" s="16"/>
      <c r="EA31" s="16"/>
      <c r="EB31" s="16"/>
      <c r="EC31" s="16"/>
      <c r="ED31" s="16"/>
      <c r="EE31" s="109"/>
      <c r="EF31" s="16"/>
      <c r="EG31" s="16"/>
      <c r="EH31" s="16"/>
      <c r="EI31" s="16"/>
      <c r="EJ31" s="16"/>
      <c r="EK31" s="16"/>
      <c r="EL31" s="109"/>
      <c r="EM31" s="16"/>
      <c r="EN31" s="16"/>
      <c r="EO31" s="5">
        <f t="shared" si="3"/>
        <v>28</v>
      </c>
      <c r="EP31" s="5">
        <f t="shared" si="4"/>
        <v>4</v>
      </c>
    </row>
    <row r="32" spans="1:150" x14ac:dyDescent="0.25">
      <c r="A32" s="6">
        <v>27</v>
      </c>
      <c r="B32" s="19">
        <v>16</v>
      </c>
      <c r="C32" s="20" t="s">
        <v>219</v>
      </c>
      <c r="D32" s="21" t="s">
        <v>220</v>
      </c>
      <c r="E32" s="11" t="s">
        <v>8</v>
      </c>
      <c r="F32" s="16" t="s">
        <v>165</v>
      </c>
      <c r="G32" s="16" t="s">
        <v>165</v>
      </c>
      <c r="H32" s="16" t="s">
        <v>166</v>
      </c>
      <c r="I32" s="109"/>
      <c r="J32" s="16" t="s">
        <v>166</v>
      </c>
      <c r="K32" s="112"/>
      <c r="L32" s="16" t="s">
        <v>166</v>
      </c>
      <c r="M32" s="16" t="s">
        <v>166</v>
      </c>
      <c r="N32" s="16" t="s">
        <v>166</v>
      </c>
      <c r="O32" s="112"/>
      <c r="P32" s="109"/>
      <c r="Q32" s="112"/>
      <c r="R32" s="16" t="s">
        <v>166</v>
      </c>
      <c r="S32" s="16" t="s">
        <v>165</v>
      </c>
      <c r="T32" s="16" t="s">
        <v>165</v>
      </c>
      <c r="U32" s="112"/>
      <c r="V32" s="16"/>
      <c r="W32" s="109"/>
      <c r="X32" s="16" t="s">
        <v>166</v>
      </c>
      <c r="Y32" s="16" t="s">
        <v>166</v>
      </c>
      <c r="Z32" s="16" t="s">
        <v>166</v>
      </c>
      <c r="AA32" s="16" t="s">
        <v>166</v>
      </c>
      <c r="AB32" s="16" t="s">
        <v>166</v>
      </c>
      <c r="AC32" s="16" t="s">
        <v>166</v>
      </c>
      <c r="AD32" s="109"/>
      <c r="AE32" s="16" t="s">
        <v>166</v>
      </c>
      <c r="AF32" s="16" t="s">
        <v>166</v>
      </c>
      <c r="AG32" s="16" t="s">
        <v>166</v>
      </c>
      <c r="AH32" s="16" t="s">
        <v>166</v>
      </c>
      <c r="AI32" s="16" t="s">
        <v>165</v>
      </c>
      <c r="AJ32" s="16" t="s">
        <v>166</v>
      </c>
      <c r="AK32" s="109"/>
      <c r="AL32" s="16" t="s">
        <v>166</v>
      </c>
      <c r="AM32" s="112"/>
      <c r="AN32" s="16" t="s">
        <v>166</v>
      </c>
      <c r="AO32" s="16" t="s">
        <v>166</v>
      </c>
      <c r="AP32" s="16" t="s">
        <v>166</v>
      </c>
      <c r="AQ32" s="16" t="s">
        <v>166</v>
      </c>
      <c r="AR32" s="109"/>
      <c r="AS32" s="16" t="s">
        <v>166</v>
      </c>
      <c r="AT32" s="16" t="s">
        <v>166</v>
      </c>
      <c r="AU32" s="16" t="s">
        <v>166</v>
      </c>
      <c r="AV32" s="16" t="s">
        <v>166</v>
      </c>
      <c r="AW32" s="16"/>
      <c r="AX32" s="16"/>
      <c r="AY32" s="109"/>
      <c r="AZ32" s="16"/>
      <c r="BA32" s="16"/>
      <c r="BB32" s="16"/>
      <c r="BC32" s="16"/>
      <c r="BD32" s="16"/>
      <c r="BE32" s="16"/>
      <c r="BF32" s="109"/>
      <c r="BG32" s="16"/>
      <c r="BH32" s="16"/>
      <c r="BI32" s="16"/>
      <c r="BJ32" s="16"/>
      <c r="BK32" s="16"/>
      <c r="BL32" s="16"/>
      <c r="BM32" s="109"/>
      <c r="BN32" s="16"/>
      <c r="BO32" s="16"/>
      <c r="BP32" s="16"/>
      <c r="BQ32" s="16"/>
      <c r="BR32" s="16"/>
      <c r="BS32" s="16"/>
      <c r="BT32" s="109"/>
      <c r="BU32" s="16"/>
      <c r="BV32" s="16"/>
      <c r="BW32" s="16"/>
      <c r="BX32" s="16"/>
      <c r="BY32" s="16"/>
      <c r="BZ32" s="16"/>
      <c r="CA32" s="109"/>
      <c r="CB32" s="16"/>
      <c r="CC32" s="16"/>
      <c r="CD32" s="16"/>
      <c r="CE32" s="16"/>
      <c r="CF32" s="16"/>
      <c r="CG32" s="16"/>
      <c r="CH32" s="109"/>
      <c r="CI32" s="16"/>
      <c r="CJ32" s="16"/>
      <c r="CK32" s="16"/>
      <c r="CL32" s="16"/>
      <c r="CM32" s="16"/>
      <c r="CN32" s="16"/>
      <c r="CO32" s="109"/>
      <c r="CP32" s="16"/>
      <c r="CQ32" s="16"/>
      <c r="CR32" s="16"/>
      <c r="CS32" s="16"/>
      <c r="CT32" s="16"/>
      <c r="CU32" s="16"/>
      <c r="CV32" s="109"/>
      <c r="CW32" s="16"/>
      <c r="CX32" s="16"/>
      <c r="CY32" s="16"/>
      <c r="CZ32" s="16"/>
      <c r="DA32" s="16"/>
      <c r="DB32" s="16"/>
      <c r="DC32" s="109"/>
      <c r="DD32" s="16"/>
      <c r="DE32" s="16"/>
      <c r="DF32" s="16"/>
      <c r="DG32" s="16"/>
      <c r="DH32" s="16"/>
      <c r="DI32" s="16"/>
      <c r="DJ32" s="109"/>
      <c r="DK32" s="16"/>
      <c r="DL32" s="16"/>
      <c r="DM32" s="16"/>
      <c r="DN32" s="16"/>
      <c r="DO32" s="16"/>
      <c r="DP32" s="16"/>
      <c r="DQ32" s="109"/>
      <c r="DR32" s="16"/>
      <c r="DS32" s="16"/>
      <c r="DT32" s="16"/>
      <c r="DU32" s="16"/>
      <c r="DV32" s="16"/>
      <c r="DW32" s="16"/>
      <c r="DX32" s="109"/>
      <c r="DY32" s="16"/>
      <c r="DZ32" s="16"/>
      <c r="EA32" s="16"/>
      <c r="EB32" s="16"/>
      <c r="EC32" s="16"/>
      <c r="ED32" s="16"/>
      <c r="EE32" s="109"/>
      <c r="EF32" s="16"/>
      <c r="EG32" s="16"/>
      <c r="EH32" s="16"/>
      <c r="EI32" s="16"/>
      <c r="EJ32" s="16"/>
      <c r="EK32" s="16"/>
      <c r="EL32" s="109"/>
      <c r="EM32" s="16"/>
      <c r="EN32" s="16"/>
      <c r="EO32" s="5">
        <f t="shared" si="3"/>
        <v>26</v>
      </c>
      <c r="EP32" s="5">
        <f t="shared" si="4"/>
        <v>5</v>
      </c>
    </row>
    <row r="33" spans="1:146" x14ac:dyDescent="0.25">
      <c r="A33" s="17">
        <v>28</v>
      </c>
      <c r="B33" s="19">
        <v>78</v>
      </c>
      <c r="C33" s="20" t="s">
        <v>221</v>
      </c>
      <c r="D33" s="21" t="s">
        <v>222</v>
      </c>
      <c r="E33" s="11" t="s">
        <v>8</v>
      </c>
      <c r="F33" s="16" t="s">
        <v>165</v>
      </c>
      <c r="G33" s="16" t="s">
        <v>166</v>
      </c>
      <c r="H33" s="16" t="s">
        <v>166</v>
      </c>
      <c r="I33" s="109"/>
      <c r="J33" s="16" t="s">
        <v>166</v>
      </c>
      <c r="K33" s="112"/>
      <c r="L33" s="16" t="s">
        <v>166</v>
      </c>
      <c r="M33" s="16" t="s">
        <v>165</v>
      </c>
      <c r="N33" s="16" t="s">
        <v>166</v>
      </c>
      <c r="O33" s="112"/>
      <c r="P33" s="109"/>
      <c r="Q33" s="112"/>
      <c r="R33" s="16" t="s">
        <v>166</v>
      </c>
      <c r="S33" s="16" t="s">
        <v>165</v>
      </c>
      <c r="T33" s="16" t="s">
        <v>166</v>
      </c>
      <c r="U33" s="112"/>
      <c r="V33" s="16"/>
      <c r="W33" s="109"/>
      <c r="X33" s="16" t="s">
        <v>166</v>
      </c>
      <c r="Y33" s="16" t="s">
        <v>166</v>
      </c>
      <c r="Z33" s="16" t="s">
        <v>166</v>
      </c>
      <c r="AA33" s="16" t="s">
        <v>166</v>
      </c>
      <c r="AB33" s="16" t="s">
        <v>166</v>
      </c>
      <c r="AC33" s="16" t="s">
        <v>165</v>
      </c>
      <c r="AD33" s="109"/>
      <c r="AE33" s="16" t="s">
        <v>166</v>
      </c>
      <c r="AF33" s="16" t="s">
        <v>166</v>
      </c>
      <c r="AG33" s="16" t="s">
        <v>166</v>
      </c>
      <c r="AH33" s="16" t="s">
        <v>166</v>
      </c>
      <c r="AI33" s="16" t="s">
        <v>165</v>
      </c>
      <c r="AJ33" s="16" t="s">
        <v>166</v>
      </c>
      <c r="AK33" s="109"/>
      <c r="AL33" s="16" t="s">
        <v>165</v>
      </c>
      <c r="AM33" s="112"/>
      <c r="AN33" s="16" t="s">
        <v>166</v>
      </c>
      <c r="AO33" s="16" t="s">
        <v>165</v>
      </c>
      <c r="AP33" s="16" t="s">
        <v>166</v>
      </c>
      <c r="AQ33" s="16" t="s">
        <v>166</v>
      </c>
      <c r="AR33" s="109"/>
      <c r="AS33" s="16" t="s">
        <v>166</v>
      </c>
      <c r="AT33" s="16" t="s">
        <v>166</v>
      </c>
      <c r="AU33" s="16" t="s">
        <v>166</v>
      </c>
      <c r="AV33" s="16" t="s">
        <v>166</v>
      </c>
      <c r="AW33" s="16"/>
      <c r="AX33" s="16"/>
      <c r="AY33" s="109"/>
      <c r="AZ33" s="16"/>
      <c r="BA33" s="16"/>
      <c r="BB33" s="16"/>
      <c r="BC33" s="16"/>
      <c r="BD33" s="16"/>
      <c r="BE33" s="16"/>
      <c r="BF33" s="109"/>
      <c r="BG33" s="16"/>
      <c r="BH33" s="16"/>
      <c r="BI33" s="16"/>
      <c r="BJ33" s="16"/>
      <c r="BK33" s="16"/>
      <c r="BL33" s="16"/>
      <c r="BM33" s="109"/>
      <c r="BN33" s="16"/>
      <c r="BO33" s="16"/>
      <c r="BP33" s="16"/>
      <c r="BQ33" s="16"/>
      <c r="BR33" s="16"/>
      <c r="BS33" s="16"/>
      <c r="BT33" s="109"/>
      <c r="BU33" s="16"/>
      <c r="BV33" s="16"/>
      <c r="BW33" s="16"/>
      <c r="BX33" s="16"/>
      <c r="BY33" s="16"/>
      <c r="BZ33" s="16"/>
      <c r="CA33" s="109"/>
      <c r="CB33" s="16"/>
      <c r="CC33" s="16"/>
      <c r="CD33" s="16"/>
      <c r="CE33" s="16"/>
      <c r="CF33" s="16"/>
      <c r="CG33" s="16"/>
      <c r="CH33" s="109"/>
      <c r="CI33" s="16"/>
      <c r="CJ33" s="16"/>
      <c r="CK33" s="16"/>
      <c r="CL33" s="16"/>
      <c r="CM33" s="16"/>
      <c r="CN33" s="16"/>
      <c r="CO33" s="109"/>
      <c r="CP33" s="16"/>
      <c r="CQ33" s="16"/>
      <c r="CR33" s="16"/>
      <c r="CS33" s="16"/>
      <c r="CT33" s="16"/>
      <c r="CU33" s="16"/>
      <c r="CV33" s="109"/>
      <c r="CW33" s="16"/>
      <c r="CX33" s="16"/>
      <c r="CY33" s="16"/>
      <c r="CZ33" s="16"/>
      <c r="DA33" s="16"/>
      <c r="DB33" s="16"/>
      <c r="DC33" s="109"/>
      <c r="DD33" s="16"/>
      <c r="DE33" s="16"/>
      <c r="DF33" s="16"/>
      <c r="DG33" s="16"/>
      <c r="DH33" s="16"/>
      <c r="DI33" s="16"/>
      <c r="DJ33" s="109"/>
      <c r="DK33" s="16"/>
      <c r="DL33" s="16"/>
      <c r="DM33" s="16"/>
      <c r="DN33" s="16"/>
      <c r="DO33" s="16"/>
      <c r="DP33" s="16"/>
      <c r="DQ33" s="109"/>
      <c r="DR33" s="16"/>
      <c r="DS33" s="16"/>
      <c r="DT33" s="16"/>
      <c r="DU33" s="16"/>
      <c r="DV33" s="16"/>
      <c r="DW33" s="16"/>
      <c r="DX33" s="109"/>
      <c r="DY33" s="16"/>
      <c r="DZ33" s="16"/>
      <c r="EA33" s="16"/>
      <c r="EB33" s="16"/>
      <c r="EC33" s="16"/>
      <c r="ED33" s="16"/>
      <c r="EE33" s="109"/>
      <c r="EF33" s="16"/>
      <c r="EG33" s="16"/>
      <c r="EH33" s="16"/>
      <c r="EI33" s="16"/>
      <c r="EJ33" s="16"/>
      <c r="EK33" s="16"/>
      <c r="EL33" s="109"/>
      <c r="EM33" s="16"/>
      <c r="EN33" s="16"/>
      <c r="EO33" s="5">
        <f t="shared" si="3"/>
        <v>24</v>
      </c>
      <c r="EP33" s="5">
        <f t="shared" si="4"/>
        <v>7</v>
      </c>
    </row>
    <row r="34" spans="1:146" x14ac:dyDescent="0.25">
      <c r="A34" s="6">
        <v>29</v>
      </c>
      <c r="B34" s="19">
        <v>76</v>
      </c>
      <c r="C34" s="20" t="s">
        <v>223</v>
      </c>
      <c r="D34" s="21" t="s">
        <v>224</v>
      </c>
      <c r="E34" s="11" t="s">
        <v>8</v>
      </c>
      <c r="F34" s="16" t="s">
        <v>165</v>
      </c>
      <c r="G34" s="16" t="s">
        <v>165</v>
      </c>
      <c r="H34" s="16" t="s">
        <v>165</v>
      </c>
      <c r="I34" s="109"/>
      <c r="J34" s="16" t="s">
        <v>165</v>
      </c>
      <c r="K34" s="112"/>
      <c r="L34" s="16" t="s">
        <v>166</v>
      </c>
      <c r="M34" s="16" t="s">
        <v>165</v>
      </c>
      <c r="N34" s="16" t="s">
        <v>165</v>
      </c>
      <c r="O34" s="112"/>
      <c r="P34" s="109"/>
      <c r="Q34" s="112"/>
      <c r="R34" s="16" t="s">
        <v>166</v>
      </c>
      <c r="S34" s="16" t="s">
        <v>166</v>
      </c>
      <c r="T34" s="16" t="s">
        <v>166</v>
      </c>
      <c r="U34" s="112"/>
      <c r="V34" s="16"/>
      <c r="W34" s="109"/>
      <c r="X34" s="16" t="s">
        <v>166</v>
      </c>
      <c r="Y34" s="16" t="s">
        <v>166</v>
      </c>
      <c r="Z34" s="16" t="s">
        <v>166</v>
      </c>
      <c r="AA34" s="16" t="s">
        <v>166</v>
      </c>
      <c r="AB34" s="16" t="s">
        <v>165</v>
      </c>
      <c r="AC34" s="16" t="s">
        <v>166</v>
      </c>
      <c r="AD34" s="109"/>
      <c r="AE34" s="16" t="s">
        <v>166</v>
      </c>
      <c r="AF34" s="16" t="s">
        <v>166</v>
      </c>
      <c r="AG34" s="16" t="s">
        <v>166</v>
      </c>
      <c r="AH34" s="16" t="s">
        <v>166</v>
      </c>
      <c r="AI34" s="16" t="s">
        <v>166</v>
      </c>
      <c r="AJ34" s="16" t="s">
        <v>166</v>
      </c>
      <c r="AK34" s="109"/>
      <c r="AL34" s="16" t="s">
        <v>166</v>
      </c>
      <c r="AM34" s="112"/>
      <c r="AN34" s="16" t="s">
        <v>166</v>
      </c>
      <c r="AO34" s="16" t="s">
        <v>166</v>
      </c>
      <c r="AP34" s="16" t="s">
        <v>166</v>
      </c>
      <c r="AQ34" s="16" t="s">
        <v>166</v>
      </c>
      <c r="AR34" s="109"/>
      <c r="AS34" s="16" t="s">
        <v>166</v>
      </c>
      <c r="AT34" s="16" t="s">
        <v>166</v>
      </c>
      <c r="AU34" s="16" t="s">
        <v>166</v>
      </c>
      <c r="AV34" s="16" t="s">
        <v>166</v>
      </c>
      <c r="AW34" s="16"/>
      <c r="AX34" s="16"/>
      <c r="AY34" s="109"/>
      <c r="AZ34" s="16"/>
      <c r="BA34" s="16"/>
      <c r="BB34" s="16"/>
      <c r="BC34" s="16"/>
      <c r="BD34" s="16"/>
      <c r="BE34" s="16"/>
      <c r="BF34" s="109"/>
      <c r="BG34" s="16"/>
      <c r="BH34" s="16"/>
      <c r="BI34" s="16"/>
      <c r="BJ34" s="16"/>
      <c r="BK34" s="16"/>
      <c r="BL34" s="16"/>
      <c r="BM34" s="109"/>
      <c r="BN34" s="16"/>
      <c r="BO34" s="16"/>
      <c r="BP34" s="16"/>
      <c r="BQ34" s="16"/>
      <c r="BR34" s="16"/>
      <c r="BS34" s="16"/>
      <c r="BT34" s="109"/>
      <c r="BU34" s="16"/>
      <c r="BV34" s="16"/>
      <c r="BW34" s="16"/>
      <c r="BX34" s="16"/>
      <c r="BY34" s="16"/>
      <c r="BZ34" s="16"/>
      <c r="CA34" s="109"/>
      <c r="CB34" s="16"/>
      <c r="CC34" s="16"/>
      <c r="CD34" s="16"/>
      <c r="CE34" s="16"/>
      <c r="CF34" s="16"/>
      <c r="CG34" s="16"/>
      <c r="CH34" s="109"/>
      <c r="CI34" s="16"/>
      <c r="CJ34" s="16"/>
      <c r="CK34" s="16"/>
      <c r="CL34" s="16"/>
      <c r="CM34" s="16"/>
      <c r="CN34" s="16"/>
      <c r="CO34" s="109"/>
      <c r="CP34" s="16"/>
      <c r="CQ34" s="16"/>
      <c r="CR34" s="16"/>
      <c r="CS34" s="16"/>
      <c r="CT34" s="16"/>
      <c r="CU34" s="16"/>
      <c r="CV34" s="109"/>
      <c r="CW34" s="16"/>
      <c r="CX34" s="16"/>
      <c r="CY34" s="16"/>
      <c r="CZ34" s="16"/>
      <c r="DA34" s="16"/>
      <c r="DB34" s="16"/>
      <c r="DC34" s="109"/>
      <c r="DD34" s="16"/>
      <c r="DE34" s="16"/>
      <c r="DF34" s="16"/>
      <c r="DG34" s="16"/>
      <c r="DH34" s="16"/>
      <c r="DI34" s="16"/>
      <c r="DJ34" s="109"/>
      <c r="DK34" s="16"/>
      <c r="DL34" s="16"/>
      <c r="DM34" s="16"/>
      <c r="DN34" s="16"/>
      <c r="DO34" s="16"/>
      <c r="DP34" s="16"/>
      <c r="DQ34" s="109"/>
      <c r="DR34" s="16"/>
      <c r="DS34" s="16"/>
      <c r="DT34" s="16"/>
      <c r="DU34" s="16"/>
      <c r="DV34" s="16"/>
      <c r="DW34" s="16"/>
      <c r="DX34" s="109"/>
      <c r="DY34" s="16"/>
      <c r="DZ34" s="16"/>
      <c r="EA34" s="16"/>
      <c r="EB34" s="16"/>
      <c r="EC34" s="16"/>
      <c r="ED34" s="16"/>
      <c r="EE34" s="109"/>
      <c r="EF34" s="16"/>
      <c r="EG34" s="16"/>
      <c r="EH34" s="16"/>
      <c r="EI34" s="16"/>
      <c r="EJ34" s="16"/>
      <c r="EK34" s="16"/>
      <c r="EL34" s="109"/>
      <c r="EM34" s="16"/>
      <c r="EN34" s="16"/>
      <c r="EO34" s="5">
        <f t="shared" si="3"/>
        <v>24</v>
      </c>
      <c r="EP34" s="5">
        <f t="shared" si="4"/>
        <v>7</v>
      </c>
    </row>
    <row r="35" spans="1:146" x14ac:dyDescent="0.25">
      <c r="A35" s="17">
        <v>30</v>
      </c>
      <c r="B35" s="19">
        <v>95</v>
      </c>
      <c r="C35" s="20" t="s">
        <v>225</v>
      </c>
      <c r="D35" s="21" t="s">
        <v>226</v>
      </c>
      <c r="E35" s="11" t="s">
        <v>8</v>
      </c>
      <c r="F35" s="16" t="s">
        <v>165</v>
      </c>
      <c r="G35" s="16" t="s">
        <v>165</v>
      </c>
      <c r="H35" s="16" t="s">
        <v>165</v>
      </c>
      <c r="I35" s="109"/>
      <c r="J35" s="16" t="s">
        <v>165</v>
      </c>
      <c r="K35" s="112"/>
      <c r="L35" s="16" t="s">
        <v>166</v>
      </c>
      <c r="M35" s="16" t="s">
        <v>166</v>
      </c>
      <c r="N35" s="16" t="s">
        <v>166</v>
      </c>
      <c r="O35" s="112"/>
      <c r="P35" s="109"/>
      <c r="Q35" s="112"/>
      <c r="R35" s="16" t="s">
        <v>165</v>
      </c>
      <c r="S35" s="16" t="s">
        <v>165</v>
      </c>
      <c r="T35" s="16" t="s">
        <v>165</v>
      </c>
      <c r="U35" s="112"/>
      <c r="V35" s="16"/>
      <c r="W35" s="109"/>
      <c r="X35" s="16" t="s">
        <v>166</v>
      </c>
      <c r="Y35" s="16" t="s">
        <v>166</v>
      </c>
      <c r="Z35" s="16" t="s">
        <v>166</v>
      </c>
      <c r="AA35" s="16" t="s">
        <v>166</v>
      </c>
      <c r="AB35" s="16" t="s">
        <v>166</v>
      </c>
      <c r="AC35" s="16" t="s">
        <v>166</v>
      </c>
      <c r="AD35" s="109"/>
      <c r="AE35" s="16" t="s">
        <v>166</v>
      </c>
      <c r="AF35" s="16" t="s">
        <v>166</v>
      </c>
      <c r="AG35" s="16" t="s">
        <v>166</v>
      </c>
      <c r="AH35" s="16" t="s">
        <v>166</v>
      </c>
      <c r="AI35" s="16" t="s">
        <v>166</v>
      </c>
      <c r="AJ35" s="16" t="s">
        <v>166</v>
      </c>
      <c r="AK35" s="109"/>
      <c r="AL35" s="16" t="s">
        <v>166</v>
      </c>
      <c r="AM35" s="112"/>
      <c r="AN35" s="16" t="s">
        <v>166</v>
      </c>
      <c r="AO35" s="16" t="s">
        <v>166</v>
      </c>
      <c r="AP35" s="16" t="s">
        <v>166</v>
      </c>
      <c r="AQ35" s="16" t="s">
        <v>166</v>
      </c>
      <c r="AR35" s="109"/>
      <c r="AS35" s="16" t="s">
        <v>166</v>
      </c>
      <c r="AT35" s="16" t="s">
        <v>166</v>
      </c>
      <c r="AU35" s="16" t="s">
        <v>166</v>
      </c>
      <c r="AV35" s="16" t="s">
        <v>166</v>
      </c>
      <c r="AW35" s="16"/>
      <c r="AX35" s="16"/>
      <c r="AY35" s="109"/>
      <c r="AZ35" s="16"/>
      <c r="BA35" s="16"/>
      <c r="BB35" s="16"/>
      <c r="BC35" s="16"/>
      <c r="BD35" s="16"/>
      <c r="BE35" s="16"/>
      <c r="BF35" s="109"/>
      <c r="BG35" s="16"/>
      <c r="BH35" s="16"/>
      <c r="BI35" s="16"/>
      <c r="BJ35" s="16"/>
      <c r="BK35" s="16"/>
      <c r="BL35" s="16"/>
      <c r="BM35" s="109"/>
      <c r="BN35" s="16"/>
      <c r="BO35" s="16"/>
      <c r="BP35" s="16"/>
      <c r="BQ35" s="16"/>
      <c r="BR35" s="16"/>
      <c r="BS35" s="16"/>
      <c r="BT35" s="109"/>
      <c r="BU35" s="16"/>
      <c r="BV35" s="16"/>
      <c r="BW35" s="16"/>
      <c r="BX35" s="16"/>
      <c r="BY35" s="16"/>
      <c r="BZ35" s="16"/>
      <c r="CA35" s="109"/>
      <c r="CB35" s="16"/>
      <c r="CC35" s="16"/>
      <c r="CD35" s="16"/>
      <c r="CE35" s="16"/>
      <c r="CF35" s="16"/>
      <c r="CG35" s="16"/>
      <c r="CH35" s="109"/>
      <c r="CI35" s="16"/>
      <c r="CJ35" s="16"/>
      <c r="CK35" s="16"/>
      <c r="CL35" s="16"/>
      <c r="CM35" s="16"/>
      <c r="CN35" s="16"/>
      <c r="CO35" s="109"/>
      <c r="CP35" s="16"/>
      <c r="CQ35" s="16"/>
      <c r="CR35" s="16"/>
      <c r="CS35" s="16"/>
      <c r="CT35" s="16"/>
      <c r="CU35" s="16"/>
      <c r="CV35" s="109"/>
      <c r="CW35" s="16"/>
      <c r="CX35" s="16"/>
      <c r="CY35" s="16"/>
      <c r="CZ35" s="16"/>
      <c r="DA35" s="16"/>
      <c r="DB35" s="16"/>
      <c r="DC35" s="109"/>
      <c r="DD35" s="16"/>
      <c r="DE35" s="16"/>
      <c r="DF35" s="16"/>
      <c r="DG35" s="16"/>
      <c r="DH35" s="16"/>
      <c r="DI35" s="16"/>
      <c r="DJ35" s="109"/>
      <c r="DK35" s="16"/>
      <c r="DL35" s="16"/>
      <c r="DM35" s="16"/>
      <c r="DN35" s="16"/>
      <c r="DO35" s="16"/>
      <c r="DP35" s="16"/>
      <c r="DQ35" s="109"/>
      <c r="DR35" s="16"/>
      <c r="DS35" s="16"/>
      <c r="DT35" s="16"/>
      <c r="DU35" s="16"/>
      <c r="DV35" s="16"/>
      <c r="DW35" s="16"/>
      <c r="DX35" s="109"/>
      <c r="DY35" s="16"/>
      <c r="DZ35" s="16"/>
      <c r="EA35" s="16"/>
      <c r="EB35" s="16"/>
      <c r="EC35" s="16"/>
      <c r="ED35" s="16"/>
      <c r="EE35" s="109"/>
      <c r="EF35" s="16"/>
      <c r="EG35" s="16"/>
      <c r="EH35" s="16"/>
      <c r="EI35" s="16"/>
      <c r="EJ35" s="16"/>
      <c r="EK35" s="16"/>
      <c r="EL35" s="109"/>
      <c r="EM35" s="16"/>
      <c r="EN35" s="16"/>
      <c r="EO35" s="5">
        <f t="shared" si="3"/>
        <v>24</v>
      </c>
      <c r="EP35" s="5">
        <f t="shared" si="4"/>
        <v>7</v>
      </c>
    </row>
    <row r="36" spans="1:146" x14ac:dyDescent="0.25">
      <c r="A36" s="6">
        <v>31</v>
      </c>
      <c r="B36" s="19">
        <v>96</v>
      </c>
      <c r="C36" s="20" t="s">
        <v>227</v>
      </c>
      <c r="D36" s="21" t="s">
        <v>228</v>
      </c>
      <c r="E36" s="11" t="s">
        <v>8</v>
      </c>
      <c r="F36" s="16" t="s">
        <v>165</v>
      </c>
      <c r="G36" s="16" t="s">
        <v>166</v>
      </c>
      <c r="H36" s="16" t="s">
        <v>166</v>
      </c>
      <c r="I36" s="109"/>
      <c r="J36" s="16" t="s">
        <v>166</v>
      </c>
      <c r="K36" s="112"/>
      <c r="L36" s="16" t="s">
        <v>166</v>
      </c>
      <c r="M36" s="16" t="s">
        <v>171</v>
      </c>
      <c r="N36" s="16" t="s">
        <v>166</v>
      </c>
      <c r="O36" s="112"/>
      <c r="P36" s="109"/>
      <c r="Q36" s="112"/>
      <c r="R36" s="16" t="s">
        <v>166</v>
      </c>
      <c r="S36" s="16" t="s">
        <v>165</v>
      </c>
      <c r="T36" s="16" t="s">
        <v>166</v>
      </c>
      <c r="U36" s="112"/>
      <c r="V36" s="16"/>
      <c r="W36" s="109"/>
      <c r="X36" s="16" t="s">
        <v>166</v>
      </c>
      <c r="Y36" s="16" t="s">
        <v>166</v>
      </c>
      <c r="Z36" s="16" t="s">
        <v>166</v>
      </c>
      <c r="AA36" s="16" t="s">
        <v>166</v>
      </c>
      <c r="AB36" s="16" t="s">
        <v>166</v>
      </c>
      <c r="AC36" s="16" t="s">
        <v>166</v>
      </c>
      <c r="AD36" s="109"/>
      <c r="AE36" s="16" t="s">
        <v>166</v>
      </c>
      <c r="AF36" s="16" t="s">
        <v>166</v>
      </c>
      <c r="AG36" s="16" t="s">
        <v>166</v>
      </c>
      <c r="AH36" s="16" t="s">
        <v>166</v>
      </c>
      <c r="AI36" s="16" t="s">
        <v>166</v>
      </c>
      <c r="AJ36" s="16" t="s">
        <v>166</v>
      </c>
      <c r="AK36" s="109"/>
      <c r="AL36" s="16" t="s">
        <v>166</v>
      </c>
      <c r="AM36" s="112"/>
      <c r="AN36" s="16" t="s">
        <v>165</v>
      </c>
      <c r="AO36" s="16" t="s">
        <v>166</v>
      </c>
      <c r="AP36" s="16" t="s">
        <v>166</v>
      </c>
      <c r="AQ36" s="16" t="s">
        <v>165</v>
      </c>
      <c r="AR36" s="109"/>
      <c r="AS36" s="16" t="s">
        <v>166</v>
      </c>
      <c r="AT36" s="16" t="s">
        <v>166</v>
      </c>
      <c r="AU36" s="16" t="s">
        <v>166</v>
      </c>
      <c r="AV36" s="16" t="s">
        <v>166</v>
      </c>
      <c r="AW36" s="16"/>
      <c r="AX36" s="16"/>
      <c r="AY36" s="109"/>
      <c r="AZ36" s="16"/>
      <c r="BA36" s="16"/>
      <c r="BB36" s="16"/>
      <c r="BC36" s="16"/>
      <c r="BD36" s="16"/>
      <c r="BE36" s="16"/>
      <c r="BF36" s="109"/>
      <c r="BG36" s="16"/>
      <c r="BH36" s="16"/>
      <c r="BI36" s="16"/>
      <c r="BJ36" s="16"/>
      <c r="BK36" s="16"/>
      <c r="BL36" s="16"/>
      <c r="BM36" s="109"/>
      <c r="BN36" s="16"/>
      <c r="BO36" s="16"/>
      <c r="BP36" s="16"/>
      <c r="BQ36" s="16"/>
      <c r="BR36" s="16"/>
      <c r="BS36" s="16"/>
      <c r="BT36" s="109"/>
      <c r="BU36" s="16"/>
      <c r="BV36" s="16"/>
      <c r="BW36" s="16"/>
      <c r="BX36" s="16"/>
      <c r="BY36" s="16"/>
      <c r="BZ36" s="16"/>
      <c r="CA36" s="109"/>
      <c r="CB36" s="16"/>
      <c r="CC36" s="16"/>
      <c r="CD36" s="16"/>
      <c r="CE36" s="16"/>
      <c r="CF36" s="16"/>
      <c r="CG36" s="16"/>
      <c r="CH36" s="109"/>
      <c r="CI36" s="16"/>
      <c r="CJ36" s="16"/>
      <c r="CK36" s="16"/>
      <c r="CL36" s="16"/>
      <c r="CM36" s="16"/>
      <c r="CN36" s="16"/>
      <c r="CO36" s="109"/>
      <c r="CP36" s="16"/>
      <c r="CQ36" s="16"/>
      <c r="CR36" s="16"/>
      <c r="CS36" s="16"/>
      <c r="CT36" s="16"/>
      <c r="CU36" s="16"/>
      <c r="CV36" s="109"/>
      <c r="CW36" s="16"/>
      <c r="CX36" s="16"/>
      <c r="CY36" s="16"/>
      <c r="CZ36" s="16"/>
      <c r="DA36" s="16"/>
      <c r="DB36" s="16"/>
      <c r="DC36" s="109"/>
      <c r="DD36" s="16"/>
      <c r="DE36" s="16"/>
      <c r="DF36" s="16"/>
      <c r="DG36" s="16"/>
      <c r="DH36" s="16"/>
      <c r="DI36" s="16"/>
      <c r="DJ36" s="109"/>
      <c r="DK36" s="16"/>
      <c r="DL36" s="16"/>
      <c r="DM36" s="16"/>
      <c r="DN36" s="16"/>
      <c r="DO36" s="16"/>
      <c r="DP36" s="16"/>
      <c r="DQ36" s="109"/>
      <c r="DR36" s="16"/>
      <c r="DS36" s="16"/>
      <c r="DT36" s="16"/>
      <c r="DU36" s="16"/>
      <c r="DV36" s="16"/>
      <c r="DW36" s="16"/>
      <c r="DX36" s="109"/>
      <c r="DY36" s="16"/>
      <c r="DZ36" s="16"/>
      <c r="EA36" s="16"/>
      <c r="EB36" s="16"/>
      <c r="EC36" s="16"/>
      <c r="ED36" s="16"/>
      <c r="EE36" s="109"/>
      <c r="EF36" s="16"/>
      <c r="EG36" s="16"/>
      <c r="EH36" s="16"/>
      <c r="EI36" s="16"/>
      <c r="EJ36" s="16"/>
      <c r="EK36" s="16"/>
      <c r="EL36" s="109"/>
      <c r="EM36" s="16"/>
      <c r="EN36" s="16"/>
      <c r="EO36" s="5">
        <f t="shared" si="3"/>
        <v>26</v>
      </c>
      <c r="EP36" s="5">
        <f t="shared" si="4"/>
        <v>4</v>
      </c>
    </row>
    <row r="37" spans="1:146" x14ac:dyDescent="0.25">
      <c r="A37" s="17">
        <v>32</v>
      </c>
      <c r="B37" s="19">
        <v>110</v>
      </c>
      <c r="C37" s="20" t="s">
        <v>229</v>
      </c>
      <c r="D37" s="21" t="s">
        <v>230</v>
      </c>
      <c r="E37" s="11" t="s">
        <v>8</v>
      </c>
      <c r="F37" s="16" t="s">
        <v>165</v>
      </c>
      <c r="G37" s="16" t="s">
        <v>165</v>
      </c>
      <c r="H37" s="16" t="s">
        <v>165</v>
      </c>
      <c r="I37" s="109"/>
      <c r="J37" s="16" t="s">
        <v>165</v>
      </c>
      <c r="K37" s="112"/>
      <c r="L37" s="16" t="s">
        <v>165</v>
      </c>
      <c r="M37" s="16" t="s">
        <v>165</v>
      </c>
      <c r="N37" s="16" t="s">
        <v>165</v>
      </c>
      <c r="O37" s="112"/>
      <c r="P37" s="109"/>
      <c r="Q37" s="112"/>
      <c r="R37" s="16" t="s">
        <v>165</v>
      </c>
      <c r="S37" s="16" t="s">
        <v>165</v>
      </c>
      <c r="T37" s="16" t="s">
        <v>165</v>
      </c>
      <c r="U37" s="112"/>
      <c r="V37" s="16"/>
      <c r="W37" s="109"/>
      <c r="X37" s="16" t="s">
        <v>165</v>
      </c>
      <c r="Y37" s="16" t="s">
        <v>165</v>
      </c>
      <c r="Z37" s="16" t="s">
        <v>165</v>
      </c>
      <c r="AA37" s="16" t="s">
        <v>165</v>
      </c>
      <c r="AB37" s="16" t="s">
        <v>165</v>
      </c>
      <c r="AC37" s="16" t="s">
        <v>165</v>
      </c>
      <c r="AD37" s="109"/>
      <c r="AE37" s="16" t="s">
        <v>165</v>
      </c>
      <c r="AF37" s="16" t="s">
        <v>165</v>
      </c>
      <c r="AG37" s="16" t="s">
        <v>165</v>
      </c>
      <c r="AH37" s="16" t="s">
        <v>165</v>
      </c>
      <c r="AI37" s="16" t="s">
        <v>165</v>
      </c>
      <c r="AJ37" s="16" t="s">
        <v>165</v>
      </c>
      <c r="AK37" s="109"/>
      <c r="AL37" s="16" t="s">
        <v>165</v>
      </c>
      <c r="AM37" s="112"/>
      <c r="AN37" s="16" t="s">
        <v>165</v>
      </c>
      <c r="AO37" s="16" t="s">
        <v>165</v>
      </c>
      <c r="AP37" s="16" t="s">
        <v>165</v>
      </c>
      <c r="AQ37" s="16" t="s">
        <v>165</v>
      </c>
      <c r="AR37" s="109"/>
      <c r="AS37" s="16" t="s">
        <v>165</v>
      </c>
      <c r="AT37" s="16" t="s">
        <v>165</v>
      </c>
      <c r="AU37" s="16" t="s">
        <v>165</v>
      </c>
      <c r="AV37" s="16" t="s">
        <v>165</v>
      </c>
      <c r="AW37" s="16"/>
      <c r="AX37" s="16"/>
      <c r="AY37" s="109"/>
      <c r="AZ37" s="16"/>
      <c r="BA37" s="16"/>
      <c r="BB37" s="16"/>
      <c r="BC37" s="16"/>
      <c r="BD37" s="16"/>
      <c r="BE37" s="16"/>
      <c r="BF37" s="109"/>
      <c r="BG37" s="16"/>
      <c r="BH37" s="16"/>
      <c r="BI37" s="16"/>
      <c r="BJ37" s="16"/>
      <c r="BK37" s="16"/>
      <c r="BL37" s="16"/>
      <c r="BM37" s="109"/>
      <c r="BN37" s="16"/>
      <c r="BO37" s="16"/>
      <c r="BP37" s="16"/>
      <c r="BQ37" s="16"/>
      <c r="BR37" s="16"/>
      <c r="BS37" s="16"/>
      <c r="BT37" s="109"/>
      <c r="BU37" s="16"/>
      <c r="BV37" s="16"/>
      <c r="BW37" s="16"/>
      <c r="BX37" s="16"/>
      <c r="BY37" s="16"/>
      <c r="BZ37" s="16"/>
      <c r="CA37" s="109"/>
      <c r="CB37" s="16"/>
      <c r="CC37" s="16"/>
      <c r="CD37" s="16"/>
      <c r="CE37" s="16"/>
      <c r="CF37" s="16"/>
      <c r="CG37" s="16"/>
      <c r="CH37" s="109"/>
      <c r="CI37" s="16"/>
      <c r="CJ37" s="16"/>
      <c r="CK37" s="16"/>
      <c r="CL37" s="16"/>
      <c r="CM37" s="16"/>
      <c r="CN37" s="16"/>
      <c r="CO37" s="109"/>
      <c r="CP37" s="16"/>
      <c r="CQ37" s="16"/>
      <c r="CR37" s="16"/>
      <c r="CS37" s="16"/>
      <c r="CT37" s="16"/>
      <c r="CU37" s="16"/>
      <c r="CV37" s="109"/>
      <c r="CW37" s="16"/>
      <c r="CX37" s="16"/>
      <c r="CY37" s="16"/>
      <c r="CZ37" s="16"/>
      <c r="DA37" s="16"/>
      <c r="DB37" s="16"/>
      <c r="DC37" s="109"/>
      <c r="DD37" s="16"/>
      <c r="DE37" s="16"/>
      <c r="DF37" s="16"/>
      <c r="DG37" s="16"/>
      <c r="DH37" s="16"/>
      <c r="DI37" s="16"/>
      <c r="DJ37" s="109"/>
      <c r="DK37" s="16"/>
      <c r="DL37" s="16"/>
      <c r="DM37" s="16"/>
      <c r="DN37" s="16"/>
      <c r="DO37" s="16"/>
      <c r="DP37" s="16"/>
      <c r="DQ37" s="109"/>
      <c r="DR37" s="16"/>
      <c r="DS37" s="16"/>
      <c r="DT37" s="16"/>
      <c r="DU37" s="16"/>
      <c r="DV37" s="16"/>
      <c r="DW37" s="16"/>
      <c r="DX37" s="109"/>
      <c r="DY37" s="16"/>
      <c r="DZ37" s="16"/>
      <c r="EA37" s="16"/>
      <c r="EB37" s="16"/>
      <c r="EC37" s="16"/>
      <c r="ED37" s="16"/>
      <c r="EE37" s="109"/>
      <c r="EF37" s="16"/>
      <c r="EG37" s="16"/>
      <c r="EH37" s="16"/>
      <c r="EI37" s="16"/>
      <c r="EJ37" s="16"/>
      <c r="EK37" s="16"/>
      <c r="EL37" s="109"/>
      <c r="EM37" s="16"/>
      <c r="EN37" s="16"/>
      <c r="EO37" s="5">
        <f t="shared" si="3"/>
        <v>0</v>
      </c>
      <c r="EP37" s="5">
        <f t="shared" si="4"/>
        <v>31</v>
      </c>
    </row>
    <row r="38" spans="1:146" x14ac:dyDescent="0.25">
      <c r="A38" s="6">
        <v>33</v>
      </c>
      <c r="B38" s="19">
        <v>108</v>
      </c>
      <c r="C38" s="20" t="s">
        <v>229</v>
      </c>
      <c r="D38" s="21" t="s">
        <v>231</v>
      </c>
      <c r="E38" s="11" t="s">
        <v>8</v>
      </c>
      <c r="F38" s="16" t="s">
        <v>166</v>
      </c>
      <c r="G38" s="16" t="s">
        <v>166</v>
      </c>
      <c r="H38" s="16" t="s">
        <v>166</v>
      </c>
      <c r="I38" s="109"/>
      <c r="J38" s="16" t="s">
        <v>166</v>
      </c>
      <c r="K38" s="112"/>
      <c r="L38" s="16" t="s">
        <v>166</v>
      </c>
      <c r="M38" s="16" t="s">
        <v>166</v>
      </c>
      <c r="N38" s="16" t="s">
        <v>166</v>
      </c>
      <c r="O38" s="112"/>
      <c r="P38" s="109"/>
      <c r="Q38" s="112"/>
      <c r="R38" s="16" t="s">
        <v>166</v>
      </c>
      <c r="S38" s="16" t="s">
        <v>165</v>
      </c>
      <c r="T38" s="16" t="s">
        <v>166</v>
      </c>
      <c r="U38" s="112"/>
      <c r="V38" s="16"/>
      <c r="W38" s="109"/>
      <c r="X38" s="16" t="s">
        <v>166</v>
      </c>
      <c r="Y38" s="16" t="s">
        <v>166</v>
      </c>
      <c r="Z38" s="16" t="s">
        <v>166</v>
      </c>
      <c r="AA38" s="16" t="s">
        <v>166</v>
      </c>
      <c r="AB38" s="16" t="s">
        <v>166</v>
      </c>
      <c r="AC38" s="16" t="s">
        <v>166</v>
      </c>
      <c r="AD38" s="109"/>
      <c r="AE38" s="16" t="s">
        <v>166</v>
      </c>
      <c r="AF38" s="16" t="s">
        <v>166</v>
      </c>
      <c r="AG38" s="16" t="s">
        <v>166</v>
      </c>
      <c r="AH38" s="16" t="s">
        <v>166</v>
      </c>
      <c r="AI38" s="16" t="s">
        <v>166</v>
      </c>
      <c r="AJ38" s="16" t="s">
        <v>166</v>
      </c>
      <c r="AK38" s="109"/>
      <c r="AL38" s="16" t="s">
        <v>165</v>
      </c>
      <c r="AM38" s="112"/>
      <c r="AN38" s="16" t="s">
        <v>166</v>
      </c>
      <c r="AO38" s="16" t="s">
        <v>166</v>
      </c>
      <c r="AP38" s="16" t="s">
        <v>166</v>
      </c>
      <c r="AQ38" s="16" t="s">
        <v>165</v>
      </c>
      <c r="AR38" s="109"/>
      <c r="AS38" s="16" t="s">
        <v>166</v>
      </c>
      <c r="AT38" s="16" t="s">
        <v>166</v>
      </c>
      <c r="AU38" s="16" t="s">
        <v>166</v>
      </c>
      <c r="AV38" s="16" t="s">
        <v>166</v>
      </c>
      <c r="AW38" s="16"/>
      <c r="AX38" s="16"/>
      <c r="AY38" s="109"/>
      <c r="AZ38" s="16"/>
      <c r="BA38" s="16"/>
      <c r="BB38" s="16"/>
      <c r="BC38" s="16"/>
      <c r="BD38" s="16"/>
      <c r="BE38" s="16"/>
      <c r="BF38" s="109"/>
      <c r="BG38" s="16"/>
      <c r="BH38" s="16"/>
      <c r="BI38" s="16"/>
      <c r="BJ38" s="16"/>
      <c r="BK38" s="16"/>
      <c r="BL38" s="16"/>
      <c r="BM38" s="109"/>
      <c r="BN38" s="16"/>
      <c r="BO38" s="16"/>
      <c r="BP38" s="16"/>
      <c r="BQ38" s="16"/>
      <c r="BR38" s="16"/>
      <c r="BS38" s="16"/>
      <c r="BT38" s="109"/>
      <c r="BU38" s="16"/>
      <c r="BV38" s="16"/>
      <c r="BW38" s="16"/>
      <c r="BX38" s="16"/>
      <c r="BY38" s="16"/>
      <c r="BZ38" s="16"/>
      <c r="CA38" s="109"/>
      <c r="CB38" s="16"/>
      <c r="CC38" s="16"/>
      <c r="CD38" s="16"/>
      <c r="CE38" s="16"/>
      <c r="CF38" s="16"/>
      <c r="CG38" s="16"/>
      <c r="CH38" s="109"/>
      <c r="CI38" s="16"/>
      <c r="CJ38" s="16"/>
      <c r="CK38" s="16"/>
      <c r="CL38" s="16"/>
      <c r="CM38" s="16"/>
      <c r="CN38" s="16"/>
      <c r="CO38" s="109"/>
      <c r="CP38" s="16"/>
      <c r="CQ38" s="16"/>
      <c r="CR38" s="16"/>
      <c r="CS38" s="16"/>
      <c r="CT38" s="16"/>
      <c r="CU38" s="16"/>
      <c r="CV38" s="109"/>
      <c r="CW38" s="16"/>
      <c r="CX38" s="16"/>
      <c r="CY38" s="16"/>
      <c r="CZ38" s="16"/>
      <c r="DA38" s="16"/>
      <c r="DB38" s="16"/>
      <c r="DC38" s="109"/>
      <c r="DD38" s="16"/>
      <c r="DE38" s="16"/>
      <c r="DF38" s="16"/>
      <c r="DG38" s="16"/>
      <c r="DH38" s="16"/>
      <c r="DI38" s="16"/>
      <c r="DJ38" s="109"/>
      <c r="DK38" s="16"/>
      <c r="DL38" s="16"/>
      <c r="DM38" s="16"/>
      <c r="DN38" s="16"/>
      <c r="DO38" s="16"/>
      <c r="DP38" s="16"/>
      <c r="DQ38" s="109"/>
      <c r="DR38" s="16"/>
      <c r="DS38" s="16"/>
      <c r="DT38" s="16"/>
      <c r="DU38" s="16"/>
      <c r="DV38" s="16"/>
      <c r="DW38" s="16"/>
      <c r="DX38" s="109"/>
      <c r="DY38" s="16"/>
      <c r="DZ38" s="16"/>
      <c r="EA38" s="16"/>
      <c r="EB38" s="16"/>
      <c r="EC38" s="16"/>
      <c r="ED38" s="16"/>
      <c r="EE38" s="109"/>
      <c r="EF38" s="16"/>
      <c r="EG38" s="16"/>
      <c r="EH38" s="16"/>
      <c r="EI38" s="16"/>
      <c r="EJ38" s="16"/>
      <c r="EK38" s="16"/>
      <c r="EL38" s="109"/>
      <c r="EM38" s="16"/>
      <c r="EN38" s="16"/>
      <c r="EO38" s="5">
        <f t="shared" si="3"/>
        <v>28</v>
      </c>
      <c r="EP38" s="5">
        <f t="shared" si="4"/>
        <v>3</v>
      </c>
    </row>
    <row r="39" spans="1:146" x14ac:dyDescent="0.25">
      <c r="A39" s="17">
        <v>34</v>
      </c>
      <c r="B39" s="19">
        <v>131</v>
      </c>
      <c r="C39" s="20" t="s">
        <v>232</v>
      </c>
      <c r="D39" s="21" t="s">
        <v>233</v>
      </c>
      <c r="E39" s="11" t="s">
        <v>8</v>
      </c>
      <c r="F39" s="16" t="s">
        <v>166</v>
      </c>
      <c r="G39" s="16" t="s">
        <v>166</v>
      </c>
      <c r="H39" s="16" t="s">
        <v>166</v>
      </c>
      <c r="I39" s="109"/>
      <c r="J39" s="16" t="s">
        <v>166</v>
      </c>
      <c r="K39" s="112"/>
      <c r="L39" s="16" t="s">
        <v>166</v>
      </c>
      <c r="M39" s="16" t="s">
        <v>166</v>
      </c>
      <c r="N39" s="16" t="s">
        <v>165</v>
      </c>
      <c r="O39" s="112"/>
      <c r="P39" s="109"/>
      <c r="Q39" s="112"/>
      <c r="R39" s="16" t="s">
        <v>165</v>
      </c>
      <c r="S39" s="16" t="s">
        <v>165</v>
      </c>
      <c r="T39" s="16" t="s">
        <v>165</v>
      </c>
      <c r="U39" s="112"/>
      <c r="V39" s="16"/>
      <c r="W39" s="109"/>
      <c r="X39" s="16" t="s">
        <v>166</v>
      </c>
      <c r="Y39" s="16" t="s">
        <v>166</v>
      </c>
      <c r="Z39" s="16" t="s">
        <v>166</v>
      </c>
      <c r="AA39" s="16" t="s">
        <v>166</v>
      </c>
      <c r="AB39" s="16" t="s">
        <v>166</v>
      </c>
      <c r="AC39" s="16" t="s">
        <v>166</v>
      </c>
      <c r="AD39" s="109"/>
      <c r="AE39" s="16" t="s">
        <v>166</v>
      </c>
      <c r="AF39" s="16" t="s">
        <v>166</v>
      </c>
      <c r="AG39" s="16" t="s">
        <v>166</v>
      </c>
      <c r="AH39" s="16" t="s">
        <v>166</v>
      </c>
      <c r="AI39" s="16" t="s">
        <v>166</v>
      </c>
      <c r="AJ39" s="16" t="s">
        <v>166</v>
      </c>
      <c r="AK39" s="109"/>
      <c r="AL39" s="16" t="s">
        <v>165</v>
      </c>
      <c r="AM39" s="112"/>
      <c r="AN39" s="16" t="s">
        <v>166</v>
      </c>
      <c r="AO39" s="16" t="s">
        <v>166</v>
      </c>
      <c r="AP39" s="16" t="s">
        <v>166</v>
      </c>
      <c r="AQ39" s="16" t="s">
        <v>165</v>
      </c>
      <c r="AR39" s="109"/>
      <c r="AS39" s="16" t="s">
        <v>166</v>
      </c>
      <c r="AT39" s="16" t="s">
        <v>166</v>
      </c>
      <c r="AU39" s="16" t="s">
        <v>166</v>
      </c>
      <c r="AV39" s="16" t="s">
        <v>166</v>
      </c>
      <c r="AW39" s="16"/>
      <c r="AX39" s="16"/>
      <c r="AY39" s="109"/>
      <c r="AZ39" s="16"/>
      <c r="BA39" s="16"/>
      <c r="BB39" s="16"/>
      <c r="BC39" s="16"/>
      <c r="BD39" s="16"/>
      <c r="BE39" s="16"/>
      <c r="BF39" s="109"/>
      <c r="BG39" s="16"/>
      <c r="BH39" s="16"/>
      <c r="BI39" s="16"/>
      <c r="BJ39" s="16"/>
      <c r="BK39" s="16"/>
      <c r="BL39" s="16"/>
      <c r="BM39" s="109"/>
      <c r="BN39" s="16"/>
      <c r="BO39" s="16"/>
      <c r="BP39" s="16"/>
      <c r="BQ39" s="16"/>
      <c r="BR39" s="16"/>
      <c r="BS39" s="16"/>
      <c r="BT39" s="109"/>
      <c r="BU39" s="16"/>
      <c r="BV39" s="16"/>
      <c r="BW39" s="16"/>
      <c r="BX39" s="16"/>
      <c r="BY39" s="16"/>
      <c r="BZ39" s="16"/>
      <c r="CA39" s="109"/>
      <c r="CB39" s="16"/>
      <c r="CC39" s="16"/>
      <c r="CD39" s="16"/>
      <c r="CE39" s="16"/>
      <c r="CF39" s="16"/>
      <c r="CG39" s="16"/>
      <c r="CH39" s="109"/>
      <c r="CI39" s="16"/>
      <c r="CJ39" s="16"/>
      <c r="CK39" s="16"/>
      <c r="CL39" s="16"/>
      <c r="CM39" s="16"/>
      <c r="CN39" s="16"/>
      <c r="CO39" s="109"/>
      <c r="CP39" s="16"/>
      <c r="CQ39" s="16"/>
      <c r="CR39" s="16"/>
      <c r="CS39" s="16"/>
      <c r="CT39" s="16"/>
      <c r="CU39" s="16"/>
      <c r="CV39" s="109"/>
      <c r="CW39" s="16"/>
      <c r="CX39" s="16"/>
      <c r="CY39" s="16"/>
      <c r="CZ39" s="16"/>
      <c r="DA39" s="16"/>
      <c r="DB39" s="16"/>
      <c r="DC39" s="109"/>
      <c r="DD39" s="16"/>
      <c r="DE39" s="16"/>
      <c r="DF39" s="16"/>
      <c r="DG39" s="16"/>
      <c r="DH39" s="16"/>
      <c r="DI39" s="16"/>
      <c r="DJ39" s="109"/>
      <c r="DK39" s="16"/>
      <c r="DL39" s="16"/>
      <c r="DM39" s="16"/>
      <c r="DN39" s="16"/>
      <c r="DO39" s="16"/>
      <c r="DP39" s="16"/>
      <c r="DQ39" s="109"/>
      <c r="DR39" s="16"/>
      <c r="DS39" s="16"/>
      <c r="DT39" s="16"/>
      <c r="DU39" s="16"/>
      <c r="DV39" s="16"/>
      <c r="DW39" s="16"/>
      <c r="DX39" s="109"/>
      <c r="DY39" s="16"/>
      <c r="DZ39" s="16"/>
      <c r="EA39" s="16"/>
      <c r="EB39" s="16"/>
      <c r="EC39" s="16"/>
      <c r="ED39" s="16"/>
      <c r="EE39" s="109"/>
      <c r="EF39" s="16"/>
      <c r="EG39" s="16"/>
      <c r="EH39" s="16"/>
      <c r="EI39" s="16"/>
      <c r="EJ39" s="16"/>
      <c r="EK39" s="16"/>
      <c r="EL39" s="109"/>
      <c r="EM39" s="16"/>
      <c r="EN39" s="16"/>
      <c r="EO39" s="5">
        <f t="shared" si="3"/>
        <v>25</v>
      </c>
      <c r="EP39" s="5">
        <f t="shared" si="4"/>
        <v>6</v>
      </c>
    </row>
    <row r="40" spans="1:146" x14ac:dyDescent="0.25">
      <c r="A40" s="6">
        <v>35</v>
      </c>
      <c r="B40" s="19">
        <v>101</v>
      </c>
      <c r="C40" s="20" t="s">
        <v>234</v>
      </c>
      <c r="D40" s="21" t="s">
        <v>235</v>
      </c>
      <c r="E40" s="11" t="s">
        <v>8</v>
      </c>
      <c r="F40" s="16" t="s">
        <v>166</v>
      </c>
      <c r="G40" s="16" t="s">
        <v>166</v>
      </c>
      <c r="H40" s="16" t="s">
        <v>166</v>
      </c>
      <c r="I40" s="109"/>
      <c r="J40" s="16" t="s">
        <v>165</v>
      </c>
      <c r="K40" s="112"/>
      <c r="L40" s="16" t="s">
        <v>166</v>
      </c>
      <c r="M40" s="16" t="s">
        <v>166</v>
      </c>
      <c r="N40" s="16" t="s">
        <v>166</v>
      </c>
      <c r="O40" s="112"/>
      <c r="P40" s="109"/>
      <c r="Q40" s="112"/>
      <c r="R40" s="16" t="s">
        <v>166</v>
      </c>
      <c r="S40" s="16" t="s">
        <v>166</v>
      </c>
      <c r="T40" s="16" t="s">
        <v>166</v>
      </c>
      <c r="U40" s="112"/>
      <c r="V40" s="16"/>
      <c r="W40" s="109"/>
      <c r="X40" s="16" t="s">
        <v>166</v>
      </c>
      <c r="Y40" s="16" t="s">
        <v>166</v>
      </c>
      <c r="Z40" s="16" t="s">
        <v>166</v>
      </c>
      <c r="AA40" s="16" t="s">
        <v>166</v>
      </c>
      <c r="AB40" s="16" t="s">
        <v>166</v>
      </c>
      <c r="AC40" s="16" t="s">
        <v>166</v>
      </c>
      <c r="AD40" s="109"/>
      <c r="AE40" s="16" t="s">
        <v>166</v>
      </c>
      <c r="AF40" s="16" t="s">
        <v>166</v>
      </c>
      <c r="AG40" s="16" t="s">
        <v>166</v>
      </c>
      <c r="AH40" s="16" t="s">
        <v>166</v>
      </c>
      <c r="AI40" s="16" t="s">
        <v>166</v>
      </c>
      <c r="AJ40" s="16" t="s">
        <v>166</v>
      </c>
      <c r="AK40" s="109"/>
      <c r="AL40" s="16" t="s">
        <v>166</v>
      </c>
      <c r="AM40" s="112"/>
      <c r="AN40" s="16" t="s">
        <v>166</v>
      </c>
      <c r="AO40" s="16" t="s">
        <v>166</v>
      </c>
      <c r="AP40" s="16" t="s">
        <v>166</v>
      </c>
      <c r="AQ40" s="16" t="s">
        <v>166</v>
      </c>
      <c r="AR40" s="109"/>
      <c r="AS40" s="16" t="s">
        <v>166</v>
      </c>
      <c r="AT40" s="16" t="s">
        <v>166</v>
      </c>
      <c r="AU40" s="16" t="s">
        <v>166</v>
      </c>
      <c r="AV40" s="16" t="s">
        <v>166</v>
      </c>
      <c r="AW40" s="16"/>
      <c r="AX40" s="16"/>
      <c r="AY40" s="109"/>
      <c r="AZ40" s="16"/>
      <c r="BA40" s="16"/>
      <c r="BB40" s="16"/>
      <c r="BC40" s="16"/>
      <c r="BD40" s="16"/>
      <c r="BE40" s="16"/>
      <c r="BF40" s="109"/>
      <c r="BG40" s="16"/>
      <c r="BH40" s="16"/>
      <c r="BI40" s="16"/>
      <c r="BJ40" s="16"/>
      <c r="BK40" s="16"/>
      <c r="BL40" s="16"/>
      <c r="BM40" s="109"/>
      <c r="BN40" s="16"/>
      <c r="BO40" s="16"/>
      <c r="BP40" s="16"/>
      <c r="BQ40" s="16"/>
      <c r="BR40" s="16"/>
      <c r="BS40" s="16"/>
      <c r="BT40" s="109"/>
      <c r="BU40" s="16"/>
      <c r="BV40" s="16"/>
      <c r="BW40" s="16"/>
      <c r="BX40" s="16"/>
      <c r="BY40" s="16"/>
      <c r="BZ40" s="16"/>
      <c r="CA40" s="109"/>
      <c r="CB40" s="16"/>
      <c r="CC40" s="16"/>
      <c r="CD40" s="16"/>
      <c r="CE40" s="16"/>
      <c r="CF40" s="16"/>
      <c r="CG40" s="16"/>
      <c r="CH40" s="109"/>
      <c r="CI40" s="16"/>
      <c r="CJ40" s="16"/>
      <c r="CK40" s="16"/>
      <c r="CL40" s="16"/>
      <c r="CM40" s="16"/>
      <c r="CN40" s="16"/>
      <c r="CO40" s="109"/>
      <c r="CP40" s="16"/>
      <c r="CQ40" s="16"/>
      <c r="CR40" s="16"/>
      <c r="CS40" s="16"/>
      <c r="CT40" s="16"/>
      <c r="CU40" s="16"/>
      <c r="CV40" s="109"/>
      <c r="CW40" s="16"/>
      <c r="CX40" s="16"/>
      <c r="CY40" s="16"/>
      <c r="CZ40" s="16"/>
      <c r="DA40" s="16"/>
      <c r="DB40" s="16"/>
      <c r="DC40" s="109"/>
      <c r="DD40" s="16"/>
      <c r="DE40" s="16"/>
      <c r="DF40" s="16"/>
      <c r="DG40" s="16"/>
      <c r="DH40" s="16"/>
      <c r="DI40" s="16"/>
      <c r="DJ40" s="109"/>
      <c r="DK40" s="16"/>
      <c r="DL40" s="16"/>
      <c r="DM40" s="16"/>
      <c r="DN40" s="16"/>
      <c r="DO40" s="16"/>
      <c r="DP40" s="16"/>
      <c r="DQ40" s="109"/>
      <c r="DR40" s="16"/>
      <c r="DS40" s="16"/>
      <c r="DT40" s="16"/>
      <c r="DU40" s="16"/>
      <c r="DV40" s="16"/>
      <c r="DW40" s="16"/>
      <c r="DX40" s="109"/>
      <c r="DY40" s="16"/>
      <c r="DZ40" s="16"/>
      <c r="EA40" s="16"/>
      <c r="EB40" s="16"/>
      <c r="EC40" s="16"/>
      <c r="ED40" s="16"/>
      <c r="EE40" s="109"/>
      <c r="EF40" s="16"/>
      <c r="EG40" s="16"/>
      <c r="EH40" s="16"/>
      <c r="EI40" s="16"/>
      <c r="EJ40" s="16"/>
      <c r="EK40" s="16"/>
      <c r="EL40" s="109"/>
      <c r="EM40" s="16"/>
      <c r="EN40" s="16"/>
      <c r="EO40" s="5">
        <f t="shared" si="3"/>
        <v>30</v>
      </c>
      <c r="EP40" s="5">
        <f t="shared" si="4"/>
        <v>1</v>
      </c>
    </row>
    <row r="41" spans="1:146" x14ac:dyDescent="0.25">
      <c r="A41" s="17">
        <v>36</v>
      </c>
      <c r="B41" s="19">
        <v>100</v>
      </c>
      <c r="C41" s="20" t="s">
        <v>236</v>
      </c>
      <c r="D41" s="21" t="s">
        <v>237</v>
      </c>
      <c r="E41" s="11" t="s">
        <v>8</v>
      </c>
      <c r="F41" s="16" t="s">
        <v>166</v>
      </c>
      <c r="G41" s="16" t="s">
        <v>165</v>
      </c>
      <c r="H41" s="16" t="s">
        <v>166</v>
      </c>
      <c r="I41" s="109"/>
      <c r="J41" s="16" t="s">
        <v>166</v>
      </c>
      <c r="K41" s="112"/>
      <c r="L41" s="16" t="s">
        <v>166</v>
      </c>
      <c r="M41" s="16" t="s">
        <v>166</v>
      </c>
      <c r="N41" s="16" t="s">
        <v>165</v>
      </c>
      <c r="O41" s="112"/>
      <c r="P41" s="109"/>
      <c r="Q41" s="112"/>
      <c r="R41" s="16" t="s">
        <v>165</v>
      </c>
      <c r="S41" s="16" t="s">
        <v>165</v>
      </c>
      <c r="T41" s="16" t="s">
        <v>166</v>
      </c>
      <c r="U41" s="112"/>
      <c r="V41" s="16"/>
      <c r="W41" s="109"/>
      <c r="X41" s="16" t="s">
        <v>166</v>
      </c>
      <c r="Y41" s="16" t="s">
        <v>166</v>
      </c>
      <c r="Z41" s="16" t="s">
        <v>165</v>
      </c>
      <c r="AA41" s="16" t="s">
        <v>166</v>
      </c>
      <c r="AB41" s="16" t="s">
        <v>166</v>
      </c>
      <c r="AC41" s="16" t="s">
        <v>166</v>
      </c>
      <c r="AD41" s="109"/>
      <c r="AE41" s="16" t="s">
        <v>166</v>
      </c>
      <c r="AF41" s="16" t="s">
        <v>166</v>
      </c>
      <c r="AG41" s="16" t="s">
        <v>166</v>
      </c>
      <c r="AH41" s="16" t="s">
        <v>166</v>
      </c>
      <c r="AI41" s="16" t="s">
        <v>165</v>
      </c>
      <c r="AJ41" s="16" t="s">
        <v>166</v>
      </c>
      <c r="AK41" s="109"/>
      <c r="AL41" s="16" t="s">
        <v>166</v>
      </c>
      <c r="AM41" s="112"/>
      <c r="AN41" s="16" t="s">
        <v>166</v>
      </c>
      <c r="AO41" s="16" t="s">
        <v>166</v>
      </c>
      <c r="AP41" s="16" t="s">
        <v>166</v>
      </c>
      <c r="AQ41" s="16" t="s">
        <v>166</v>
      </c>
      <c r="AR41" s="109"/>
      <c r="AS41" s="16" t="s">
        <v>166</v>
      </c>
      <c r="AT41" s="16" t="s">
        <v>166</v>
      </c>
      <c r="AU41" s="16" t="s">
        <v>165</v>
      </c>
      <c r="AV41" s="16" t="s">
        <v>166</v>
      </c>
      <c r="AW41" s="16"/>
      <c r="AX41" s="16"/>
      <c r="AY41" s="109"/>
      <c r="AZ41" s="16"/>
      <c r="BA41" s="16"/>
      <c r="BB41" s="16"/>
      <c r="BC41" s="16"/>
      <c r="BD41" s="16"/>
      <c r="BE41" s="16"/>
      <c r="BF41" s="109"/>
      <c r="BG41" s="16"/>
      <c r="BH41" s="16"/>
      <c r="BI41" s="16"/>
      <c r="BJ41" s="16"/>
      <c r="BK41" s="16"/>
      <c r="BL41" s="16"/>
      <c r="BM41" s="109"/>
      <c r="BN41" s="16"/>
      <c r="BO41" s="16"/>
      <c r="BP41" s="16"/>
      <c r="BQ41" s="16"/>
      <c r="BR41" s="16"/>
      <c r="BS41" s="16"/>
      <c r="BT41" s="109"/>
      <c r="BU41" s="16"/>
      <c r="BV41" s="16"/>
      <c r="BW41" s="16"/>
      <c r="BX41" s="16"/>
      <c r="BY41" s="16"/>
      <c r="BZ41" s="16"/>
      <c r="CA41" s="109"/>
      <c r="CB41" s="16"/>
      <c r="CC41" s="16"/>
      <c r="CD41" s="16"/>
      <c r="CE41" s="16"/>
      <c r="CF41" s="16"/>
      <c r="CG41" s="16"/>
      <c r="CH41" s="109"/>
      <c r="CI41" s="16"/>
      <c r="CJ41" s="16"/>
      <c r="CK41" s="16"/>
      <c r="CL41" s="16"/>
      <c r="CM41" s="16"/>
      <c r="CN41" s="16"/>
      <c r="CO41" s="109"/>
      <c r="CP41" s="16"/>
      <c r="CQ41" s="16"/>
      <c r="CR41" s="16"/>
      <c r="CS41" s="16"/>
      <c r="CT41" s="16"/>
      <c r="CU41" s="16"/>
      <c r="CV41" s="109"/>
      <c r="CW41" s="16"/>
      <c r="CX41" s="16"/>
      <c r="CY41" s="16"/>
      <c r="CZ41" s="16"/>
      <c r="DA41" s="16"/>
      <c r="DB41" s="16"/>
      <c r="DC41" s="109"/>
      <c r="DD41" s="16"/>
      <c r="DE41" s="16"/>
      <c r="DF41" s="16"/>
      <c r="DG41" s="16"/>
      <c r="DH41" s="16"/>
      <c r="DI41" s="16"/>
      <c r="DJ41" s="109"/>
      <c r="DK41" s="16"/>
      <c r="DL41" s="16"/>
      <c r="DM41" s="16"/>
      <c r="DN41" s="16"/>
      <c r="DO41" s="16"/>
      <c r="DP41" s="16"/>
      <c r="DQ41" s="109"/>
      <c r="DR41" s="16"/>
      <c r="DS41" s="16"/>
      <c r="DT41" s="16"/>
      <c r="DU41" s="16"/>
      <c r="DV41" s="16"/>
      <c r="DW41" s="16"/>
      <c r="DX41" s="109"/>
      <c r="DY41" s="16"/>
      <c r="DZ41" s="16"/>
      <c r="EA41" s="16"/>
      <c r="EB41" s="16"/>
      <c r="EC41" s="16"/>
      <c r="ED41" s="16"/>
      <c r="EE41" s="109"/>
      <c r="EF41" s="16"/>
      <c r="EG41" s="16"/>
      <c r="EH41" s="16"/>
      <c r="EI41" s="16"/>
      <c r="EJ41" s="16"/>
      <c r="EK41" s="16"/>
      <c r="EL41" s="109"/>
      <c r="EM41" s="16"/>
      <c r="EN41" s="16"/>
      <c r="EO41" s="5">
        <f t="shared" si="3"/>
        <v>24</v>
      </c>
      <c r="EP41" s="5">
        <f t="shared" si="4"/>
        <v>7</v>
      </c>
    </row>
    <row r="42" spans="1:146" x14ac:dyDescent="0.25">
      <c r="A42" s="6">
        <v>37</v>
      </c>
      <c r="B42" s="19">
        <v>90</v>
      </c>
      <c r="C42" s="20" t="s">
        <v>238</v>
      </c>
      <c r="D42" s="21" t="s">
        <v>188</v>
      </c>
      <c r="E42" s="11" t="s">
        <v>8</v>
      </c>
      <c r="F42" s="16" t="s">
        <v>166</v>
      </c>
      <c r="G42" s="16" t="s">
        <v>166</v>
      </c>
      <c r="H42" s="16" t="s">
        <v>166</v>
      </c>
      <c r="I42" s="109"/>
      <c r="J42" s="16" t="s">
        <v>166</v>
      </c>
      <c r="K42" s="112"/>
      <c r="L42" s="16" t="s">
        <v>166</v>
      </c>
      <c r="M42" s="16" t="s">
        <v>166</v>
      </c>
      <c r="N42" s="16" t="s">
        <v>166</v>
      </c>
      <c r="O42" s="112"/>
      <c r="P42" s="109"/>
      <c r="Q42" s="112"/>
      <c r="R42" s="16" t="s">
        <v>165</v>
      </c>
      <c r="S42" s="16" t="s">
        <v>165</v>
      </c>
      <c r="T42" s="16" t="s">
        <v>166</v>
      </c>
      <c r="U42" s="112"/>
      <c r="V42" s="16"/>
      <c r="W42" s="109"/>
      <c r="X42" s="16" t="s">
        <v>166</v>
      </c>
      <c r="Y42" s="16" t="s">
        <v>166</v>
      </c>
      <c r="Z42" s="16" t="s">
        <v>166</v>
      </c>
      <c r="AA42" s="16" t="s">
        <v>166</v>
      </c>
      <c r="AB42" s="16" t="s">
        <v>166</v>
      </c>
      <c r="AC42" s="16" t="s">
        <v>166</v>
      </c>
      <c r="AD42" s="109"/>
      <c r="AE42" s="16" t="s">
        <v>166</v>
      </c>
      <c r="AF42" s="16" t="s">
        <v>166</v>
      </c>
      <c r="AG42" s="16" t="s">
        <v>166</v>
      </c>
      <c r="AH42" s="16" t="s">
        <v>166</v>
      </c>
      <c r="AI42" s="16" t="s">
        <v>166</v>
      </c>
      <c r="AJ42" s="16" t="s">
        <v>166</v>
      </c>
      <c r="AK42" s="109"/>
      <c r="AL42" s="16" t="s">
        <v>166</v>
      </c>
      <c r="AM42" s="112"/>
      <c r="AN42" s="16" t="s">
        <v>166</v>
      </c>
      <c r="AO42" s="16" t="s">
        <v>166</v>
      </c>
      <c r="AP42" s="16" t="s">
        <v>166</v>
      </c>
      <c r="AQ42" s="16" t="s">
        <v>166</v>
      </c>
      <c r="AR42" s="109"/>
      <c r="AS42" s="16" t="s">
        <v>166</v>
      </c>
      <c r="AT42" s="16" t="s">
        <v>166</v>
      </c>
      <c r="AU42" s="16" t="s">
        <v>166</v>
      </c>
      <c r="AV42" s="16" t="s">
        <v>166</v>
      </c>
      <c r="AW42" s="16"/>
      <c r="AX42" s="16"/>
      <c r="AY42" s="109"/>
      <c r="AZ42" s="16"/>
      <c r="BA42" s="16"/>
      <c r="BB42" s="16"/>
      <c r="BC42" s="16"/>
      <c r="BD42" s="16"/>
      <c r="BE42" s="16"/>
      <c r="BF42" s="109"/>
      <c r="BG42" s="16"/>
      <c r="BH42" s="16"/>
      <c r="BI42" s="16"/>
      <c r="BJ42" s="16"/>
      <c r="BK42" s="16"/>
      <c r="BL42" s="16"/>
      <c r="BM42" s="109"/>
      <c r="BN42" s="16"/>
      <c r="BO42" s="16"/>
      <c r="BP42" s="16"/>
      <c r="BQ42" s="16"/>
      <c r="BR42" s="16"/>
      <c r="BS42" s="16"/>
      <c r="BT42" s="109"/>
      <c r="BU42" s="16"/>
      <c r="BV42" s="16"/>
      <c r="BW42" s="16"/>
      <c r="BX42" s="16"/>
      <c r="BY42" s="16"/>
      <c r="BZ42" s="16"/>
      <c r="CA42" s="109"/>
      <c r="CB42" s="16"/>
      <c r="CC42" s="16"/>
      <c r="CD42" s="16"/>
      <c r="CE42" s="16"/>
      <c r="CF42" s="16"/>
      <c r="CG42" s="16"/>
      <c r="CH42" s="109"/>
      <c r="CI42" s="16"/>
      <c r="CJ42" s="16"/>
      <c r="CK42" s="16"/>
      <c r="CL42" s="16"/>
      <c r="CM42" s="16"/>
      <c r="CN42" s="16"/>
      <c r="CO42" s="109"/>
      <c r="CP42" s="16"/>
      <c r="CQ42" s="16"/>
      <c r="CR42" s="16"/>
      <c r="CS42" s="16"/>
      <c r="CT42" s="16"/>
      <c r="CU42" s="16"/>
      <c r="CV42" s="109"/>
      <c r="CW42" s="16"/>
      <c r="CX42" s="16"/>
      <c r="CY42" s="16"/>
      <c r="CZ42" s="16"/>
      <c r="DA42" s="16"/>
      <c r="DB42" s="16"/>
      <c r="DC42" s="109"/>
      <c r="DD42" s="16"/>
      <c r="DE42" s="16"/>
      <c r="DF42" s="16"/>
      <c r="DG42" s="16"/>
      <c r="DH42" s="16"/>
      <c r="DI42" s="16"/>
      <c r="DJ42" s="109"/>
      <c r="DK42" s="16"/>
      <c r="DL42" s="16"/>
      <c r="DM42" s="16"/>
      <c r="DN42" s="16"/>
      <c r="DO42" s="16"/>
      <c r="DP42" s="16"/>
      <c r="DQ42" s="109"/>
      <c r="DR42" s="16"/>
      <c r="DS42" s="16"/>
      <c r="DT42" s="16"/>
      <c r="DU42" s="16"/>
      <c r="DV42" s="16"/>
      <c r="DW42" s="16"/>
      <c r="DX42" s="109"/>
      <c r="DY42" s="16"/>
      <c r="DZ42" s="16"/>
      <c r="EA42" s="16"/>
      <c r="EB42" s="16"/>
      <c r="EC42" s="16"/>
      <c r="ED42" s="16"/>
      <c r="EE42" s="109"/>
      <c r="EF42" s="16"/>
      <c r="EG42" s="16"/>
      <c r="EH42" s="16"/>
      <c r="EI42" s="16"/>
      <c r="EJ42" s="16"/>
      <c r="EK42" s="16"/>
      <c r="EL42" s="109"/>
      <c r="EM42" s="16"/>
      <c r="EN42" s="16"/>
      <c r="EO42" s="5">
        <f t="shared" si="3"/>
        <v>29</v>
      </c>
      <c r="EP42" s="5">
        <f t="shared" si="4"/>
        <v>2</v>
      </c>
    </row>
    <row r="43" spans="1:146" x14ac:dyDescent="0.25">
      <c r="A43" s="17">
        <v>38</v>
      </c>
      <c r="B43" s="19">
        <v>73</v>
      </c>
      <c r="C43" s="20" t="s">
        <v>239</v>
      </c>
      <c r="D43" s="21" t="s">
        <v>240</v>
      </c>
      <c r="E43" s="11" t="s">
        <v>8</v>
      </c>
      <c r="F43" s="16" t="s">
        <v>166</v>
      </c>
      <c r="G43" s="16" t="s">
        <v>166</v>
      </c>
      <c r="H43" s="16" t="s">
        <v>166</v>
      </c>
      <c r="I43" s="109"/>
      <c r="J43" s="16" t="s">
        <v>166</v>
      </c>
      <c r="K43" s="112"/>
      <c r="L43" s="16" t="s">
        <v>166</v>
      </c>
      <c r="M43" s="16" t="s">
        <v>166</v>
      </c>
      <c r="N43" s="16" t="s">
        <v>166</v>
      </c>
      <c r="O43" s="112"/>
      <c r="P43" s="109"/>
      <c r="Q43" s="112"/>
      <c r="R43" s="16" t="s">
        <v>165</v>
      </c>
      <c r="S43" s="16" t="s">
        <v>166</v>
      </c>
      <c r="T43" s="16" t="s">
        <v>165</v>
      </c>
      <c r="U43" s="112"/>
      <c r="V43" s="16"/>
      <c r="W43" s="109"/>
      <c r="X43" s="16" t="s">
        <v>166</v>
      </c>
      <c r="Y43" s="16" t="s">
        <v>166</v>
      </c>
      <c r="Z43" s="16" t="s">
        <v>166</v>
      </c>
      <c r="AA43" s="16" t="s">
        <v>166</v>
      </c>
      <c r="AB43" s="16" t="s">
        <v>166</v>
      </c>
      <c r="AC43" s="16" t="s">
        <v>166</v>
      </c>
      <c r="AD43" s="109"/>
      <c r="AE43" s="16" t="s">
        <v>166</v>
      </c>
      <c r="AF43" s="16" t="s">
        <v>166</v>
      </c>
      <c r="AG43" s="16" t="s">
        <v>166</v>
      </c>
      <c r="AH43" s="16" t="s">
        <v>166</v>
      </c>
      <c r="AI43" s="16" t="s">
        <v>166</v>
      </c>
      <c r="AJ43" s="16" t="s">
        <v>166</v>
      </c>
      <c r="AK43" s="109"/>
      <c r="AL43" s="16" t="s">
        <v>166</v>
      </c>
      <c r="AM43" s="112"/>
      <c r="AN43" s="16" t="s">
        <v>166</v>
      </c>
      <c r="AO43" s="16" t="s">
        <v>166</v>
      </c>
      <c r="AP43" s="16" t="s">
        <v>166</v>
      </c>
      <c r="AQ43" s="16" t="s">
        <v>166</v>
      </c>
      <c r="AR43" s="109"/>
      <c r="AS43" s="16" t="s">
        <v>166</v>
      </c>
      <c r="AT43" s="16" t="s">
        <v>166</v>
      </c>
      <c r="AU43" s="16" t="s">
        <v>166</v>
      </c>
      <c r="AV43" s="16" t="s">
        <v>166</v>
      </c>
      <c r="AW43" s="16"/>
      <c r="AX43" s="16"/>
      <c r="AY43" s="109"/>
      <c r="AZ43" s="16"/>
      <c r="BA43" s="16"/>
      <c r="BB43" s="16"/>
      <c r="BC43" s="16"/>
      <c r="BD43" s="16"/>
      <c r="BE43" s="16"/>
      <c r="BF43" s="109"/>
      <c r="BG43" s="16"/>
      <c r="BH43" s="16"/>
      <c r="BI43" s="16"/>
      <c r="BJ43" s="16"/>
      <c r="BK43" s="16"/>
      <c r="BL43" s="16"/>
      <c r="BM43" s="109"/>
      <c r="BN43" s="16"/>
      <c r="BO43" s="16"/>
      <c r="BP43" s="16"/>
      <c r="BQ43" s="16"/>
      <c r="BR43" s="16"/>
      <c r="BS43" s="16"/>
      <c r="BT43" s="109"/>
      <c r="BU43" s="16"/>
      <c r="BV43" s="16"/>
      <c r="BW43" s="16"/>
      <c r="BX43" s="16"/>
      <c r="BY43" s="16"/>
      <c r="BZ43" s="16"/>
      <c r="CA43" s="109"/>
      <c r="CB43" s="16"/>
      <c r="CC43" s="16"/>
      <c r="CD43" s="16"/>
      <c r="CE43" s="16"/>
      <c r="CF43" s="16"/>
      <c r="CG43" s="16"/>
      <c r="CH43" s="109"/>
      <c r="CI43" s="16"/>
      <c r="CJ43" s="16"/>
      <c r="CK43" s="16"/>
      <c r="CL43" s="16"/>
      <c r="CM43" s="16"/>
      <c r="CN43" s="16"/>
      <c r="CO43" s="109"/>
      <c r="CP43" s="16"/>
      <c r="CQ43" s="16"/>
      <c r="CR43" s="16"/>
      <c r="CS43" s="16"/>
      <c r="CT43" s="16"/>
      <c r="CU43" s="16"/>
      <c r="CV43" s="109"/>
      <c r="CW43" s="16"/>
      <c r="CX43" s="16"/>
      <c r="CY43" s="16"/>
      <c r="CZ43" s="16"/>
      <c r="DA43" s="16"/>
      <c r="DB43" s="16"/>
      <c r="DC43" s="109"/>
      <c r="DD43" s="16"/>
      <c r="DE43" s="16"/>
      <c r="DF43" s="16"/>
      <c r="DG43" s="16"/>
      <c r="DH43" s="16"/>
      <c r="DI43" s="16"/>
      <c r="DJ43" s="109"/>
      <c r="DK43" s="16"/>
      <c r="DL43" s="16"/>
      <c r="DM43" s="16"/>
      <c r="DN43" s="16"/>
      <c r="DO43" s="16"/>
      <c r="DP43" s="16"/>
      <c r="DQ43" s="109"/>
      <c r="DR43" s="16"/>
      <c r="DS43" s="16"/>
      <c r="DT43" s="16"/>
      <c r="DU43" s="16"/>
      <c r="DV43" s="16"/>
      <c r="DW43" s="16"/>
      <c r="DX43" s="109"/>
      <c r="DY43" s="16"/>
      <c r="DZ43" s="16"/>
      <c r="EA43" s="16"/>
      <c r="EB43" s="16"/>
      <c r="EC43" s="16"/>
      <c r="ED43" s="16"/>
      <c r="EE43" s="109"/>
      <c r="EF43" s="16"/>
      <c r="EG43" s="16"/>
      <c r="EH43" s="16"/>
      <c r="EI43" s="16"/>
      <c r="EJ43" s="16"/>
      <c r="EK43" s="16"/>
      <c r="EL43" s="109"/>
      <c r="EM43" s="16"/>
      <c r="EN43" s="16"/>
      <c r="EO43" s="5">
        <f t="shared" si="3"/>
        <v>29</v>
      </c>
      <c r="EP43" s="5">
        <f t="shared" si="4"/>
        <v>2</v>
      </c>
    </row>
    <row r="44" spans="1:146" x14ac:dyDescent="0.25">
      <c r="A44" s="28">
        <v>39</v>
      </c>
      <c r="B44" s="19">
        <v>72</v>
      </c>
      <c r="C44" s="20" t="s">
        <v>241</v>
      </c>
      <c r="D44" s="21" t="s">
        <v>242</v>
      </c>
      <c r="E44" s="11" t="s">
        <v>8</v>
      </c>
      <c r="F44" s="16" t="s">
        <v>166</v>
      </c>
      <c r="G44" s="16" t="s">
        <v>166</v>
      </c>
      <c r="H44" s="16" t="s">
        <v>166</v>
      </c>
      <c r="I44" s="109"/>
      <c r="J44" s="16" t="s">
        <v>166</v>
      </c>
      <c r="K44" s="112"/>
      <c r="L44" s="16" t="s">
        <v>166</v>
      </c>
      <c r="M44" s="16" t="s">
        <v>166</v>
      </c>
      <c r="N44" s="16" t="s">
        <v>166</v>
      </c>
      <c r="O44" s="112"/>
      <c r="P44" s="109"/>
      <c r="Q44" s="112"/>
      <c r="R44" s="16" t="s">
        <v>166</v>
      </c>
      <c r="S44" s="16" t="s">
        <v>165</v>
      </c>
      <c r="T44" s="16" t="s">
        <v>165</v>
      </c>
      <c r="U44" s="112"/>
      <c r="V44" s="16"/>
      <c r="W44" s="109"/>
      <c r="X44" s="16" t="s">
        <v>166</v>
      </c>
      <c r="Y44" s="16" t="s">
        <v>166</v>
      </c>
      <c r="Z44" s="16" t="s">
        <v>166</v>
      </c>
      <c r="AA44" s="16" t="s">
        <v>166</v>
      </c>
      <c r="AB44" s="16" t="s">
        <v>166</v>
      </c>
      <c r="AC44" s="16" t="s">
        <v>166</v>
      </c>
      <c r="AD44" s="109"/>
      <c r="AE44" s="16" t="s">
        <v>166</v>
      </c>
      <c r="AF44" s="16" t="s">
        <v>166</v>
      </c>
      <c r="AG44" s="16" t="s">
        <v>166</v>
      </c>
      <c r="AH44" s="16" t="s">
        <v>166</v>
      </c>
      <c r="AI44" s="16" t="s">
        <v>166</v>
      </c>
      <c r="AJ44" s="16" t="s">
        <v>166</v>
      </c>
      <c r="AK44" s="109"/>
      <c r="AL44" s="16" t="s">
        <v>165</v>
      </c>
      <c r="AM44" s="112"/>
      <c r="AN44" s="16" t="s">
        <v>166</v>
      </c>
      <c r="AO44" s="16" t="s">
        <v>166</v>
      </c>
      <c r="AP44" s="16" t="s">
        <v>166</v>
      </c>
      <c r="AQ44" s="16" t="s">
        <v>166</v>
      </c>
      <c r="AR44" s="109"/>
      <c r="AS44" s="16" t="s">
        <v>166</v>
      </c>
      <c r="AT44" s="16" t="s">
        <v>166</v>
      </c>
      <c r="AU44" s="16" t="s">
        <v>166</v>
      </c>
      <c r="AV44" s="16" t="s">
        <v>166</v>
      </c>
      <c r="AW44" s="16"/>
      <c r="AX44" s="16"/>
      <c r="AY44" s="109"/>
      <c r="AZ44" s="16"/>
      <c r="BA44" s="16"/>
      <c r="BB44" s="16"/>
      <c r="BC44" s="16"/>
      <c r="BD44" s="16"/>
      <c r="BE44" s="16"/>
      <c r="BF44" s="109"/>
      <c r="BG44" s="16"/>
      <c r="BH44" s="16"/>
      <c r="BI44" s="16"/>
      <c r="BJ44" s="16"/>
      <c r="BK44" s="16"/>
      <c r="BL44" s="16"/>
      <c r="BM44" s="109"/>
      <c r="BN44" s="16"/>
      <c r="BO44" s="16"/>
      <c r="BP44" s="16"/>
      <c r="BQ44" s="16"/>
      <c r="BR44" s="16"/>
      <c r="BS44" s="16"/>
      <c r="BT44" s="109"/>
      <c r="BU44" s="16"/>
      <c r="BV44" s="16"/>
      <c r="BW44" s="16"/>
      <c r="BX44" s="16"/>
      <c r="BY44" s="16"/>
      <c r="BZ44" s="16"/>
      <c r="CA44" s="109"/>
      <c r="CB44" s="16"/>
      <c r="CC44" s="16"/>
      <c r="CD44" s="16"/>
      <c r="CE44" s="16"/>
      <c r="CF44" s="16"/>
      <c r="CG44" s="16"/>
      <c r="CH44" s="109"/>
      <c r="CI44" s="16"/>
      <c r="CJ44" s="16"/>
      <c r="CK44" s="16"/>
      <c r="CL44" s="16"/>
      <c r="CM44" s="16"/>
      <c r="CN44" s="16"/>
      <c r="CO44" s="109"/>
      <c r="CP44" s="16"/>
      <c r="CQ44" s="16"/>
      <c r="CR44" s="16"/>
      <c r="CS44" s="16"/>
      <c r="CT44" s="16"/>
      <c r="CU44" s="16"/>
      <c r="CV44" s="109"/>
      <c r="CW44" s="16"/>
      <c r="CX44" s="16"/>
      <c r="CY44" s="16"/>
      <c r="CZ44" s="16"/>
      <c r="DA44" s="16"/>
      <c r="DB44" s="16"/>
      <c r="DC44" s="109"/>
      <c r="DD44" s="16"/>
      <c r="DE44" s="16"/>
      <c r="DF44" s="16"/>
      <c r="DG44" s="16"/>
      <c r="DH44" s="16"/>
      <c r="DI44" s="16"/>
      <c r="DJ44" s="109"/>
      <c r="DK44" s="16"/>
      <c r="DL44" s="16"/>
      <c r="DM44" s="16"/>
      <c r="DN44" s="16"/>
      <c r="DO44" s="16"/>
      <c r="DP44" s="16"/>
      <c r="DQ44" s="109"/>
      <c r="DR44" s="16"/>
      <c r="DS44" s="16"/>
      <c r="DT44" s="16"/>
      <c r="DU44" s="16"/>
      <c r="DV44" s="16"/>
      <c r="DW44" s="16"/>
      <c r="DX44" s="109"/>
      <c r="DY44" s="16"/>
      <c r="DZ44" s="16"/>
      <c r="EA44" s="16"/>
      <c r="EB44" s="16"/>
      <c r="EC44" s="16"/>
      <c r="ED44" s="16"/>
      <c r="EE44" s="109"/>
      <c r="EF44" s="16"/>
      <c r="EG44" s="16"/>
      <c r="EH44" s="16"/>
      <c r="EI44" s="16"/>
      <c r="EJ44" s="16"/>
      <c r="EK44" s="16"/>
      <c r="EL44" s="109"/>
      <c r="EM44" s="16"/>
      <c r="EN44" s="16"/>
      <c r="EO44" s="5">
        <f t="shared" si="3"/>
        <v>28</v>
      </c>
      <c r="EP44" s="5">
        <f t="shared" si="4"/>
        <v>3</v>
      </c>
    </row>
    <row r="45" spans="1:146" x14ac:dyDescent="0.25">
      <c r="A45" s="17">
        <v>40</v>
      </c>
      <c r="B45" s="19">
        <v>74</v>
      </c>
      <c r="C45" s="20" t="s">
        <v>243</v>
      </c>
      <c r="D45" s="21" t="s">
        <v>244</v>
      </c>
      <c r="E45" s="11" t="s">
        <v>8</v>
      </c>
      <c r="F45" s="16" t="s">
        <v>166</v>
      </c>
      <c r="G45" s="16" t="s">
        <v>166</v>
      </c>
      <c r="H45" s="16" t="s">
        <v>166</v>
      </c>
      <c r="I45" s="109"/>
      <c r="J45" s="16" t="s">
        <v>166</v>
      </c>
      <c r="K45" s="112"/>
      <c r="L45" s="16" t="s">
        <v>166</v>
      </c>
      <c r="M45" s="16" t="s">
        <v>166</v>
      </c>
      <c r="N45" s="16" t="s">
        <v>166</v>
      </c>
      <c r="O45" s="112"/>
      <c r="P45" s="109"/>
      <c r="Q45" s="112"/>
      <c r="R45" s="16" t="s">
        <v>166</v>
      </c>
      <c r="S45" s="16" t="s">
        <v>165</v>
      </c>
      <c r="T45" s="16" t="s">
        <v>165</v>
      </c>
      <c r="U45" s="112"/>
      <c r="V45" s="16"/>
      <c r="W45" s="109"/>
      <c r="X45" s="16" t="s">
        <v>166</v>
      </c>
      <c r="Y45" s="16" t="s">
        <v>165</v>
      </c>
      <c r="Z45" s="16" t="s">
        <v>166</v>
      </c>
      <c r="AA45" s="16" t="s">
        <v>166</v>
      </c>
      <c r="AB45" s="16" t="s">
        <v>166</v>
      </c>
      <c r="AC45" s="16" t="s">
        <v>165</v>
      </c>
      <c r="AD45" s="109"/>
      <c r="AE45" s="16" t="s">
        <v>166</v>
      </c>
      <c r="AF45" s="16" t="s">
        <v>166</v>
      </c>
      <c r="AG45" s="16" t="s">
        <v>166</v>
      </c>
      <c r="AH45" s="16" t="s">
        <v>166</v>
      </c>
      <c r="AI45" s="16" t="s">
        <v>166</v>
      </c>
      <c r="AJ45" s="16" t="s">
        <v>166</v>
      </c>
      <c r="AK45" s="109"/>
      <c r="AL45" s="16" t="s">
        <v>166</v>
      </c>
      <c r="AM45" s="112"/>
      <c r="AN45" s="16" t="s">
        <v>166</v>
      </c>
      <c r="AO45" s="16" t="s">
        <v>166</v>
      </c>
      <c r="AP45" s="16" t="s">
        <v>166</v>
      </c>
      <c r="AQ45" s="16" t="s">
        <v>165</v>
      </c>
      <c r="AR45" s="109"/>
      <c r="AS45" s="16" t="s">
        <v>166</v>
      </c>
      <c r="AT45" s="16" t="s">
        <v>166</v>
      </c>
      <c r="AU45" s="16" t="s">
        <v>166</v>
      </c>
      <c r="AV45" s="16" t="s">
        <v>166</v>
      </c>
      <c r="AW45" s="16"/>
      <c r="AX45" s="16"/>
      <c r="AY45" s="109"/>
      <c r="AZ45" s="16"/>
      <c r="BA45" s="16"/>
      <c r="BB45" s="16"/>
      <c r="BC45" s="16"/>
      <c r="BD45" s="16"/>
      <c r="BE45" s="16"/>
      <c r="BF45" s="109"/>
      <c r="BG45" s="16"/>
      <c r="BH45" s="16"/>
      <c r="BI45" s="16"/>
      <c r="BJ45" s="16"/>
      <c r="BK45" s="16"/>
      <c r="BL45" s="16"/>
      <c r="BM45" s="109"/>
      <c r="BN45" s="16"/>
      <c r="BO45" s="16"/>
      <c r="BP45" s="16"/>
      <c r="BQ45" s="16"/>
      <c r="BR45" s="16"/>
      <c r="BS45" s="16"/>
      <c r="BT45" s="109"/>
      <c r="BU45" s="16"/>
      <c r="BV45" s="16"/>
      <c r="BW45" s="16"/>
      <c r="BX45" s="16"/>
      <c r="BY45" s="16"/>
      <c r="BZ45" s="16"/>
      <c r="CA45" s="109"/>
      <c r="CB45" s="16"/>
      <c r="CC45" s="16"/>
      <c r="CD45" s="16"/>
      <c r="CE45" s="16"/>
      <c r="CF45" s="16"/>
      <c r="CG45" s="16"/>
      <c r="CH45" s="109"/>
      <c r="CI45" s="16"/>
      <c r="CJ45" s="16"/>
      <c r="CK45" s="16"/>
      <c r="CL45" s="16"/>
      <c r="CM45" s="16"/>
      <c r="CN45" s="16"/>
      <c r="CO45" s="109"/>
      <c r="CP45" s="16"/>
      <c r="CQ45" s="16"/>
      <c r="CR45" s="16"/>
      <c r="CS45" s="16"/>
      <c r="CT45" s="16"/>
      <c r="CU45" s="16"/>
      <c r="CV45" s="109"/>
      <c r="CW45" s="16"/>
      <c r="CX45" s="16"/>
      <c r="CY45" s="16"/>
      <c r="CZ45" s="16"/>
      <c r="DA45" s="16"/>
      <c r="DB45" s="16"/>
      <c r="DC45" s="109"/>
      <c r="DD45" s="16"/>
      <c r="DE45" s="16"/>
      <c r="DF45" s="16"/>
      <c r="DG45" s="16"/>
      <c r="DH45" s="16"/>
      <c r="DI45" s="16"/>
      <c r="DJ45" s="109"/>
      <c r="DK45" s="16"/>
      <c r="DL45" s="16"/>
      <c r="DM45" s="16"/>
      <c r="DN45" s="16"/>
      <c r="DO45" s="16"/>
      <c r="DP45" s="16"/>
      <c r="DQ45" s="109"/>
      <c r="DR45" s="16"/>
      <c r="DS45" s="16"/>
      <c r="DT45" s="16"/>
      <c r="DU45" s="16"/>
      <c r="DV45" s="16"/>
      <c r="DW45" s="16"/>
      <c r="DX45" s="109"/>
      <c r="DY45" s="16"/>
      <c r="DZ45" s="16"/>
      <c r="EA45" s="16"/>
      <c r="EB45" s="16"/>
      <c r="EC45" s="16"/>
      <c r="ED45" s="16"/>
      <c r="EE45" s="109"/>
      <c r="EF45" s="16"/>
      <c r="EG45" s="16"/>
      <c r="EH45" s="16"/>
      <c r="EI45" s="16"/>
      <c r="EJ45" s="16"/>
      <c r="EK45" s="16"/>
      <c r="EL45" s="109"/>
      <c r="EM45" s="16"/>
      <c r="EN45" s="16"/>
      <c r="EO45" s="5">
        <f t="shared" si="3"/>
        <v>26</v>
      </c>
      <c r="EP45" s="5">
        <f t="shared" si="4"/>
        <v>5</v>
      </c>
    </row>
    <row r="46" spans="1:146" x14ac:dyDescent="0.25">
      <c r="A46" s="28">
        <v>41</v>
      </c>
      <c r="B46" s="19">
        <v>77</v>
      </c>
      <c r="C46" s="20" t="s">
        <v>245</v>
      </c>
      <c r="D46" s="21" t="s">
        <v>246</v>
      </c>
      <c r="E46" s="11" t="s">
        <v>8</v>
      </c>
      <c r="F46" s="16" t="s">
        <v>165</v>
      </c>
      <c r="G46" s="16" t="s">
        <v>165</v>
      </c>
      <c r="H46" s="16" t="s">
        <v>165</v>
      </c>
      <c r="I46" s="109"/>
      <c r="J46" s="16" t="s">
        <v>166</v>
      </c>
      <c r="K46" s="112"/>
      <c r="L46" s="16" t="s">
        <v>165</v>
      </c>
      <c r="M46" s="16" t="s">
        <v>166</v>
      </c>
      <c r="N46" s="16" t="s">
        <v>166</v>
      </c>
      <c r="O46" s="112"/>
      <c r="P46" s="109"/>
      <c r="Q46" s="112"/>
      <c r="R46" s="16" t="s">
        <v>166</v>
      </c>
      <c r="S46" s="16" t="s">
        <v>166</v>
      </c>
      <c r="T46" s="16" t="s">
        <v>166</v>
      </c>
      <c r="U46" s="112"/>
      <c r="V46" s="16"/>
      <c r="W46" s="109"/>
      <c r="X46" s="16" t="s">
        <v>165</v>
      </c>
      <c r="Y46" s="16" t="s">
        <v>165</v>
      </c>
      <c r="Z46" s="16" t="s">
        <v>165</v>
      </c>
      <c r="AA46" s="16" t="s">
        <v>165</v>
      </c>
      <c r="AB46" s="16" t="s">
        <v>165</v>
      </c>
      <c r="AC46" s="16" t="s">
        <v>165</v>
      </c>
      <c r="AD46" s="109"/>
      <c r="AE46" s="16" t="s">
        <v>166</v>
      </c>
      <c r="AF46" s="16" t="s">
        <v>166</v>
      </c>
      <c r="AG46" s="16" t="s">
        <v>166</v>
      </c>
      <c r="AH46" s="16" t="s">
        <v>166</v>
      </c>
      <c r="AI46" s="16" t="s">
        <v>166</v>
      </c>
      <c r="AJ46" s="16" t="s">
        <v>166</v>
      </c>
      <c r="AK46" s="109"/>
      <c r="AL46" s="16" t="s">
        <v>166</v>
      </c>
      <c r="AM46" s="112"/>
      <c r="AN46" s="16" t="s">
        <v>166</v>
      </c>
      <c r="AO46" s="16" t="s">
        <v>165</v>
      </c>
      <c r="AP46" s="16" t="s">
        <v>171</v>
      </c>
      <c r="AQ46" s="16" t="s">
        <v>171</v>
      </c>
      <c r="AR46" s="109"/>
      <c r="AS46" s="16" t="s">
        <v>171</v>
      </c>
      <c r="AT46" s="16" t="s">
        <v>166</v>
      </c>
      <c r="AU46" s="16" t="s">
        <v>166</v>
      </c>
      <c r="AV46" s="16" t="s">
        <v>166</v>
      </c>
      <c r="AW46" s="16"/>
      <c r="AX46" s="16"/>
      <c r="AY46" s="109"/>
      <c r="AZ46" s="16"/>
      <c r="BA46" s="16"/>
      <c r="BB46" s="16"/>
      <c r="BC46" s="16"/>
      <c r="BD46" s="16"/>
      <c r="BE46" s="16"/>
      <c r="BF46" s="109"/>
      <c r="BG46" s="16"/>
      <c r="BH46" s="16"/>
      <c r="BI46" s="16"/>
      <c r="BJ46" s="16"/>
      <c r="BK46" s="16"/>
      <c r="BL46" s="16"/>
      <c r="BM46" s="109"/>
      <c r="BN46" s="16"/>
      <c r="BO46" s="16"/>
      <c r="BP46" s="16"/>
      <c r="BQ46" s="16"/>
      <c r="BR46" s="16"/>
      <c r="BS46" s="16"/>
      <c r="BT46" s="109"/>
      <c r="BU46" s="16"/>
      <c r="BV46" s="16"/>
      <c r="BW46" s="16"/>
      <c r="BX46" s="16"/>
      <c r="BY46" s="16"/>
      <c r="BZ46" s="16"/>
      <c r="CA46" s="109"/>
      <c r="CB46" s="16"/>
      <c r="CC46" s="16"/>
      <c r="CD46" s="16"/>
      <c r="CE46" s="16"/>
      <c r="CF46" s="16"/>
      <c r="CG46" s="16"/>
      <c r="CH46" s="109"/>
      <c r="CI46" s="16"/>
      <c r="CJ46" s="16"/>
      <c r="CK46" s="16"/>
      <c r="CL46" s="16"/>
      <c r="CM46" s="16"/>
      <c r="CN46" s="16"/>
      <c r="CO46" s="109"/>
      <c r="CP46" s="16"/>
      <c r="CQ46" s="16"/>
      <c r="CR46" s="16"/>
      <c r="CS46" s="16"/>
      <c r="CT46" s="16"/>
      <c r="CU46" s="16"/>
      <c r="CV46" s="109"/>
      <c r="CW46" s="16"/>
      <c r="CX46" s="16"/>
      <c r="CY46" s="16"/>
      <c r="CZ46" s="16"/>
      <c r="DA46" s="16"/>
      <c r="DB46" s="16"/>
      <c r="DC46" s="109"/>
      <c r="DD46" s="16"/>
      <c r="DE46" s="16"/>
      <c r="DF46" s="16"/>
      <c r="DG46" s="16"/>
      <c r="DH46" s="16"/>
      <c r="DI46" s="16"/>
      <c r="DJ46" s="109"/>
      <c r="DK46" s="16"/>
      <c r="DL46" s="16"/>
      <c r="DM46" s="16"/>
      <c r="DN46" s="16"/>
      <c r="DO46" s="16"/>
      <c r="DP46" s="16"/>
      <c r="DQ46" s="109"/>
      <c r="DR46" s="16"/>
      <c r="DS46" s="16"/>
      <c r="DT46" s="16"/>
      <c r="DU46" s="16"/>
      <c r="DV46" s="16"/>
      <c r="DW46" s="16"/>
      <c r="DX46" s="109"/>
      <c r="DY46" s="16"/>
      <c r="DZ46" s="16"/>
      <c r="EA46" s="16"/>
      <c r="EB46" s="16"/>
      <c r="EC46" s="16"/>
      <c r="ED46" s="16"/>
      <c r="EE46" s="109"/>
      <c r="EF46" s="16"/>
      <c r="EG46" s="16"/>
      <c r="EH46" s="16"/>
      <c r="EI46" s="16"/>
      <c r="EJ46" s="16"/>
      <c r="EK46" s="16"/>
      <c r="EL46" s="109"/>
      <c r="EM46" s="16"/>
      <c r="EN46" s="16"/>
      <c r="EO46" s="5">
        <f t="shared" si="3"/>
        <v>17</v>
      </c>
      <c r="EP46" s="5">
        <f t="shared" si="4"/>
        <v>11</v>
      </c>
    </row>
    <row r="47" spans="1:146" x14ac:dyDescent="0.25">
      <c r="A47" s="17">
        <v>42</v>
      </c>
      <c r="B47" s="19">
        <v>80</v>
      </c>
      <c r="C47" s="20" t="s">
        <v>247</v>
      </c>
      <c r="D47" s="21" t="s">
        <v>248</v>
      </c>
      <c r="E47" s="11" t="s">
        <v>8</v>
      </c>
      <c r="F47" s="16" t="s">
        <v>166</v>
      </c>
      <c r="G47" s="16" t="s">
        <v>166</v>
      </c>
      <c r="H47" s="16" t="s">
        <v>166</v>
      </c>
      <c r="I47" s="109"/>
      <c r="J47" s="16" t="s">
        <v>166</v>
      </c>
      <c r="K47" s="112"/>
      <c r="L47" s="16" t="s">
        <v>166</v>
      </c>
      <c r="M47" s="16" t="s">
        <v>166</v>
      </c>
      <c r="N47" s="16" t="s">
        <v>166</v>
      </c>
      <c r="O47" s="112"/>
      <c r="P47" s="109"/>
      <c r="Q47" s="112"/>
      <c r="R47" s="16" t="s">
        <v>166</v>
      </c>
      <c r="S47" s="16" t="s">
        <v>165</v>
      </c>
      <c r="T47" s="16" t="s">
        <v>165</v>
      </c>
      <c r="U47" s="112"/>
      <c r="V47" s="16"/>
      <c r="W47" s="109"/>
      <c r="X47" s="16" t="s">
        <v>166</v>
      </c>
      <c r="Y47" s="16" t="s">
        <v>166</v>
      </c>
      <c r="Z47" s="16" t="s">
        <v>166</v>
      </c>
      <c r="AA47" s="16" t="s">
        <v>166</v>
      </c>
      <c r="AB47" s="16" t="s">
        <v>166</v>
      </c>
      <c r="AC47" s="16" t="s">
        <v>165</v>
      </c>
      <c r="AD47" s="109"/>
      <c r="AE47" s="16" t="s">
        <v>165</v>
      </c>
      <c r="AF47" s="16" t="s">
        <v>165</v>
      </c>
      <c r="AG47" s="16" t="s">
        <v>166</v>
      </c>
      <c r="AH47" s="16" t="s">
        <v>166</v>
      </c>
      <c r="AI47" s="16" t="s">
        <v>166</v>
      </c>
      <c r="AJ47" s="16" t="s">
        <v>166</v>
      </c>
      <c r="AK47" s="109"/>
      <c r="AL47" s="16" t="s">
        <v>165</v>
      </c>
      <c r="AM47" s="112"/>
      <c r="AN47" s="16" t="s">
        <v>166</v>
      </c>
      <c r="AO47" s="16" t="s">
        <v>166</v>
      </c>
      <c r="AP47" s="16" t="s">
        <v>166</v>
      </c>
      <c r="AQ47" s="16" t="s">
        <v>165</v>
      </c>
      <c r="AR47" s="109"/>
      <c r="AS47" s="16" t="s">
        <v>166</v>
      </c>
      <c r="AT47" s="16" t="s">
        <v>166</v>
      </c>
      <c r="AU47" s="16" t="s">
        <v>166</v>
      </c>
      <c r="AV47" s="16" t="s">
        <v>166</v>
      </c>
      <c r="AW47" s="16"/>
      <c r="AX47" s="16"/>
      <c r="AY47" s="109"/>
      <c r="AZ47" s="16"/>
      <c r="BA47" s="16"/>
      <c r="BB47" s="16"/>
      <c r="BC47" s="16"/>
      <c r="BD47" s="16"/>
      <c r="BE47" s="16"/>
      <c r="BF47" s="109"/>
      <c r="BG47" s="16"/>
      <c r="BH47" s="16"/>
      <c r="BI47" s="16"/>
      <c r="BJ47" s="16"/>
      <c r="BK47" s="16"/>
      <c r="BL47" s="16"/>
      <c r="BM47" s="109"/>
      <c r="BN47" s="16"/>
      <c r="BO47" s="16"/>
      <c r="BP47" s="16"/>
      <c r="BQ47" s="16"/>
      <c r="BR47" s="16"/>
      <c r="BS47" s="16"/>
      <c r="BT47" s="109"/>
      <c r="BU47" s="16"/>
      <c r="BV47" s="16"/>
      <c r="BW47" s="16"/>
      <c r="BX47" s="16"/>
      <c r="BY47" s="16"/>
      <c r="BZ47" s="16"/>
      <c r="CA47" s="109"/>
      <c r="CB47" s="16"/>
      <c r="CC47" s="16"/>
      <c r="CD47" s="16"/>
      <c r="CE47" s="16"/>
      <c r="CF47" s="16"/>
      <c r="CG47" s="16"/>
      <c r="CH47" s="109"/>
      <c r="CI47" s="16"/>
      <c r="CJ47" s="16"/>
      <c r="CK47" s="16"/>
      <c r="CL47" s="16"/>
      <c r="CM47" s="16"/>
      <c r="CN47" s="16"/>
      <c r="CO47" s="109"/>
      <c r="CP47" s="16"/>
      <c r="CQ47" s="16"/>
      <c r="CR47" s="16"/>
      <c r="CS47" s="16"/>
      <c r="CT47" s="16"/>
      <c r="CU47" s="16"/>
      <c r="CV47" s="109"/>
      <c r="CW47" s="16"/>
      <c r="CX47" s="16"/>
      <c r="CY47" s="16"/>
      <c r="CZ47" s="16"/>
      <c r="DA47" s="16"/>
      <c r="DB47" s="16"/>
      <c r="DC47" s="109"/>
      <c r="DD47" s="16"/>
      <c r="DE47" s="16"/>
      <c r="DF47" s="16"/>
      <c r="DG47" s="16"/>
      <c r="DH47" s="16"/>
      <c r="DI47" s="16"/>
      <c r="DJ47" s="109"/>
      <c r="DK47" s="16"/>
      <c r="DL47" s="16"/>
      <c r="DM47" s="16"/>
      <c r="DN47" s="16"/>
      <c r="DO47" s="16"/>
      <c r="DP47" s="16"/>
      <c r="DQ47" s="109"/>
      <c r="DR47" s="16"/>
      <c r="DS47" s="16"/>
      <c r="DT47" s="16"/>
      <c r="DU47" s="16"/>
      <c r="DV47" s="16"/>
      <c r="DW47" s="16"/>
      <c r="DX47" s="109"/>
      <c r="DY47" s="16"/>
      <c r="DZ47" s="16"/>
      <c r="EA47" s="16"/>
      <c r="EB47" s="16"/>
      <c r="EC47" s="16"/>
      <c r="ED47" s="16"/>
      <c r="EE47" s="109"/>
      <c r="EF47" s="16"/>
      <c r="EG47" s="16"/>
      <c r="EH47" s="16"/>
      <c r="EI47" s="16"/>
      <c r="EJ47" s="16"/>
      <c r="EK47" s="16"/>
      <c r="EL47" s="109"/>
      <c r="EM47" s="16"/>
      <c r="EN47" s="16"/>
      <c r="EO47" s="5">
        <f t="shared" si="3"/>
        <v>24</v>
      </c>
      <c r="EP47" s="5">
        <f t="shared" si="4"/>
        <v>7</v>
      </c>
    </row>
    <row r="48" spans="1:146" x14ac:dyDescent="0.25">
      <c r="A48" s="28">
        <v>43</v>
      </c>
      <c r="B48" s="19">
        <v>92</v>
      </c>
      <c r="C48" s="20" t="s">
        <v>249</v>
      </c>
      <c r="D48" s="21" t="s">
        <v>250</v>
      </c>
      <c r="E48" s="11" t="s">
        <v>8</v>
      </c>
      <c r="F48" s="16" t="s">
        <v>166</v>
      </c>
      <c r="G48" s="16" t="s">
        <v>166</v>
      </c>
      <c r="H48" s="16" t="s">
        <v>166</v>
      </c>
      <c r="I48" s="109"/>
      <c r="J48" s="16" t="s">
        <v>166</v>
      </c>
      <c r="K48" s="112"/>
      <c r="L48" s="16" t="s">
        <v>166</v>
      </c>
      <c r="M48" s="16" t="s">
        <v>166</v>
      </c>
      <c r="N48" s="16" t="s">
        <v>166</v>
      </c>
      <c r="O48" s="112"/>
      <c r="P48" s="109"/>
      <c r="Q48" s="112"/>
      <c r="R48" s="16" t="s">
        <v>166</v>
      </c>
      <c r="S48" s="16" t="s">
        <v>166</v>
      </c>
      <c r="T48" s="16" t="s">
        <v>165</v>
      </c>
      <c r="U48" s="112"/>
      <c r="V48" s="16"/>
      <c r="W48" s="109"/>
      <c r="X48" s="16" t="s">
        <v>166</v>
      </c>
      <c r="Y48" s="16" t="s">
        <v>166</v>
      </c>
      <c r="Z48" s="16" t="s">
        <v>166</v>
      </c>
      <c r="AA48" s="16" t="s">
        <v>166</v>
      </c>
      <c r="AB48" s="16" t="s">
        <v>166</v>
      </c>
      <c r="AC48" s="16" t="s">
        <v>166</v>
      </c>
      <c r="AD48" s="109"/>
      <c r="AE48" s="16" t="s">
        <v>166</v>
      </c>
      <c r="AF48" s="16" t="s">
        <v>166</v>
      </c>
      <c r="AG48" s="16" t="s">
        <v>166</v>
      </c>
      <c r="AH48" s="16" t="s">
        <v>166</v>
      </c>
      <c r="AI48" s="16" t="s">
        <v>166</v>
      </c>
      <c r="AJ48" s="16" t="s">
        <v>166</v>
      </c>
      <c r="AK48" s="109"/>
      <c r="AL48" s="16" t="s">
        <v>166</v>
      </c>
      <c r="AM48" s="112"/>
      <c r="AN48" s="16" t="s">
        <v>166</v>
      </c>
      <c r="AO48" s="16" t="s">
        <v>166</v>
      </c>
      <c r="AP48" s="16" t="s">
        <v>166</v>
      </c>
      <c r="AQ48" s="16" t="s">
        <v>165</v>
      </c>
      <c r="AR48" s="109"/>
      <c r="AS48" s="16" t="s">
        <v>166</v>
      </c>
      <c r="AT48" s="16" t="s">
        <v>166</v>
      </c>
      <c r="AU48" s="16" t="s">
        <v>166</v>
      </c>
      <c r="AV48" s="16" t="s">
        <v>166</v>
      </c>
      <c r="AW48" s="16"/>
      <c r="AX48" s="16"/>
      <c r="AY48" s="109"/>
      <c r="AZ48" s="16"/>
      <c r="BA48" s="16"/>
      <c r="BB48" s="16"/>
      <c r="BC48" s="16"/>
      <c r="BD48" s="16"/>
      <c r="BE48" s="16"/>
      <c r="BF48" s="109"/>
      <c r="BG48" s="16"/>
      <c r="BH48" s="16"/>
      <c r="BI48" s="16"/>
      <c r="BJ48" s="16"/>
      <c r="BK48" s="16"/>
      <c r="BL48" s="16"/>
      <c r="BM48" s="109"/>
      <c r="BN48" s="16"/>
      <c r="BO48" s="16"/>
      <c r="BP48" s="16"/>
      <c r="BQ48" s="16"/>
      <c r="BR48" s="16"/>
      <c r="BS48" s="16"/>
      <c r="BT48" s="109"/>
      <c r="BU48" s="16"/>
      <c r="BV48" s="16"/>
      <c r="BW48" s="16"/>
      <c r="BX48" s="16"/>
      <c r="BY48" s="16"/>
      <c r="BZ48" s="16"/>
      <c r="CA48" s="109"/>
      <c r="CB48" s="16"/>
      <c r="CC48" s="16"/>
      <c r="CD48" s="16"/>
      <c r="CE48" s="16"/>
      <c r="CF48" s="16"/>
      <c r="CG48" s="16"/>
      <c r="CH48" s="109"/>
      <c r="CI48" s="16"/>
      <c r="CJ48" s="16"/>
      <c r="CK48" s="16"/>
      <c r="CL48" s="16"/>
      <c r="CM48" s="16"/>
      <c r="CN48" s="16"/>
      <c r="CO48" s="109"/>
      <c r="CP48" s="16"/>
      <c r="CQ48" s="16"/>
      <c r="CR48" s="16"/>
      <c r="CS48" s="16"/>
      <c r="CT48" s="16"/>
      <c r="CU48" s="16"/>
      <c r="CV48" s="109"/>
      <c r="CW48" s="16"/>
      <c r="CX48" s="16"/>
      <c r="CY48" s="16"/>
      <c r="CZ48" s="16"/>
      <c r="DA48" s="16"/>
      <c r="DB48" s="16"/>
      <c r="DC48" s="109"/>
      <c r="DD48" s="16"/>
      <c r="DE48" s="16"/>
      <c r="DF48" s="16"/>
      <c r="DG48" s="16"/>
      <c r="DH48" s="16"/>
      <c r="DI48" s="16"/>
      <c r="DJ48" s="109"/>
      <c r="DK48" s="16"/>
      <c r="DL48" s="16"/>
      <c r="DM48" s="16"/>
      <c r="DN48" s="16"/>
      <c r="DO48" s="16"/>
      <c r="DP48" s="16"/>
      <c r="DQ48" s="109"/>
      <c r="DR48" s="16"/>
      <c r="DS48" s="16"/>
      <c r="DT48" s="16"/>
      <c r="DU48" s="16"/>
      <c r="DV48" s="16"/>
      <c r="DW48" s="16"/>
      <c r="DX48" s="109"/>
      <c r="DY48" s="16"/>
      <c r="DZ48" s="16"/>
      <c r="EA48" s="16"/>
      <c r="EB48" s="16"/>
      <c r="EC48" s="16"/>
      <c r="ED48" s="16"/>
      <c r="EE48" s="109"/>
      <c r="EF48" s="16"/>
      <c r="EG48" s="16"/>
      <c r="EH48" s="16"/>
      <c r="EI48" s="16"/>
      <c r="EJ48" s="16"/>
      <c r="EK48" s="16"/>
      <c r="EL48" s="109"/>
      <c r="EM48" s="16"/>
      <c r="EN48" s="16"/>
      <c r="EO48" s="5">
        <f t="shared" si="3"/>
        <v>29</v>
      </c>
      <c r="EP48" s="5">
        <f t="shared" si="4"/>
        <v>2</v>
      </c>
    </row>
    <row r="49" spans="1:146" x14ac:dyDescent="0.25">
      <c r="A49" s="17">
        <v>44</v>
      </c>
      <c r="B49" s="19">
        <v>93</v>
      </c>
      <c r="C49" s="20" t="s">
        <v>251</v>
      </c>
      <c r="D49" s="21" t="s">
        <v>89</v>
      </c>
      <c r="E49" s="11" t="s">
        <v>8</v>
      </c>
      <c r="F49" s="16" t="s">
        <v>166</v>
      </c>
      <c r="G49" s="16" t="s">
        <v>166</v>
      </c>
      <c r="H49" s="16" t="s">
        <v>166</v>
      </c>
      <c r="I49" s="109"/>
      <c r="J49" s="16" t="s">
        <v>166</v>
      </c>
      <c r="K49" s="112"/>
      <c r="L49" s="16" t="s">
        <v>166</v>
      </c>
      <c r="M49" s="16" t="s">
        <v>166</v>
      </c>
      <c r="N49" s="16" t="s">
        <v>166</v>
      </c>
      <c r="O49" s="112"/>
      <c r="P49" s="109"/>
      <c r="Q49" s="112"/>
      <c r="R49" s="16" t="s">
        <v>166</v>
      </c>
      <c r="S49" s="16" t="s">
        <v>166</v>
      </c>
      <c r="T49" s="16" t="s">
        <v>165</v>
      </c>
      <c r="U49" s="112"/>
      <c r="V49" s="16"/>
      <c r="W49" s="109"/>
      <c r="X49" s="16" t="s">
        <v>166</v>
      </c>
      <c r="Y49" s="16" t="s">
        <v>166</v>
      </c>
      <c r="Z49" s="16" t="s">
        <v>166</v>
      </c>
      <c r="AA49" s="16" t="s">
        <v>166</v>
      </c>
      <c r="AB49" s="16" t="s">
        <v>166</v>
      </c>
      <c r="AC49" s="16" t="s">
        <v>166</v>
      </c>
      <c r="AD49" s="109"/>
      <c r="AE49" s="16" t="s">
        <v>166</v>
      </c>
      <c r="AF49" s="16" t="s">
        <v>166</v>
      </c>
      <c r="AG49" s="16" t="s">
        <v>166</v>
      </c>
      <c r="AH49" s="16" t="s">
        <v>166</v>
      </c>
      <c r="AI49" s="16" t="s">
        <v>166</v>
      </c>
      <c r="AJ49" s="16" t="s">
        <v>166</v>
      </c>
      <c r="AK49" s="109"/>
      <c r="AL49" s="16" t="s">
        <v>166</v>
      </c>
      <c r="AM49" s="112"/>
      <c r="AN49" s="16" t="s">
        <v>166</v>
      </c>
      <c r="AO49" s="16" t="s">
        <v>166</v>
      </c>
      <c r="AP49" s="16" t="s">
        <v>166</v>
      </c>
      <c r="AQ49" s="16" t="s">
        <v>166</v>
      </c>
      <c r="AR49" s="109"/>
      <c r="AS49" s="16" t="s">
        <v>166</v>
      </c>
      <c r="AT49" s="16" t="s">
        <v>166</v>
      </c>
      <c r="AU49" s="16" t="s">
        <v>166</v>
      </c>
      <c r="AV49" s="16" t="s">
        <v>166</v>
      </c>
      <c r="AW49" s="16"/>
      <c r="AX49" s="16"/>
      <c r="AY49" s="109"/>
      <c r="AZ49" s="16"/>
      <c r="BA49" s="16"/>
      <c r="BB49" s="16"/>
      <c r="BC49" s="16"/>
      <c r="BD49" s="16"/>
      <c r="BE49" s="16"/>
      <c r="BF49" s="109"/>
      <c r="BG49" s="16"/>
      <c r="BH49" s="16"/>
      <c r="BI49" s="16"/>
      <c r="BJ49" s="16"/>
      <c r="BK49" s="16"/>
      <c r="BL49" s="16"/>
      <c r="BM49" s="109"/>
      <c r="BN49" s="16"/>
      <c r="BO49" s="16"/>
      <c r="BP49" s="16"/>
      <c r="BQ49" s="16"/>
      <c r="BR49" s="16"/>
      <c r="BS49" s="16"/>
      <c r="BT49" s="109"/>
      <c r="BU49" s="16"/>
      <c r="BV49" s="16"/>
      <c r="BW49" s="16"/>
      <c r="BX49" s="16"/>
      <c r="BY49" s="16"/>
      <c r="BZ49" s="16"/>
      <c r="CA49" s="109"/>
      <c r="CB49" s="16"/>
      <c r="CC49" s="16"/>
      <c r="CD49" s="16"/>
      <c r="CE49" s="16"/>
      <c r="CF49" s="16"/>
      <c r="CG49" s="16"/>
      <c r="CH49" s="109"/>
      <c r="CI49" s="16"/>
      <c r="CJ49" s="16"/>
      <c r="CK49" s="16"/>
      <c r="CL49" s="16"/>
      <c r="CM49" s="16"/>
      <c r="CN49" s="16"/>
      <c r="CO49" s="109"/>
      <c r="CP49" s="16"/>
      <c r="CQ49" s="16"/>
      <c r="CR49" s="16"/>
      <c r="CS49" s="16"/>
      <c r="CT49" s="16"/>
      <c r="CU49" s="16"/>
      <c r="CV49" s="109"/>
      <c r="CW49" s="16"/>
      <c r="CX49" s="16"/>
      <c r="CY49" s="16"/>
      <c r="CZ49" s="16"/>
      <c r="DA49" s="16"/>
      <c r="DB49" s="16"/>
      <c r="DC49" s="109"/>
      <c r="DD49" s="16"/>
      <c r="DE49" s="16"/>
      <c r="DF49" s="16"/>
      <c r="DG49" s="16"/>
      <c r="DH49" s="16"/>
      <c r="DI49" s="16"/>
      <c r="DJ49" s="109"/>
      <c r="DK49" s="16"/>
      <c r="DL49" s="16"/>
      <c r="DM49" s="16"/>
      <c r="DN49" s="16"/>
      <c r="DO49" s="16"/>
      <c r="DP49" s="16"/>
      <c r="DQ49" s="109"/>
      <c r="DR49" s="16"/>
      <c r="DS49" s="16"/>
      <c r="DT49" s="16"/>
      <c r="DU49" s="16"/>
      <c r="DV49" s="16"/>
      <c r="DW49" s="16"/>
      <c r="DX49" s="109"/>
      <c r="DY49" s="16"/>
      <c r="DZ49" s="16"/>
      <c r="EA49" s="16"/>
      <c r="EB49" s="16"/>
      <c r="EC49" s="16"/>
      <c r="ED49" s="16"/>
      <c r="EE49" s="109"/>
      <c r="EF49" s="16"/>
      <c r="EG49" s="16"/>
      <c r="EH49" s="16"/>
      <c r="EI49" s="16"/>
      <c r="EJ49" s="16"/>
      <c r="EK49" s="16"/>
      <c r="EL49" s="109"/>
      <c r="EM49" s="16"/>
      <c r="EN49" s="16"/>
      <c r="EO49" s="5">
        <f t="shared" si="3"/>
        <v>30</v>
      </c>
      <c r="EP49" s="5">
        <f t="shared" si="4"/>
        <v>1</v>
      </c>
    </row>
    <row r="50" spans="1:146" x14ac:dyDescent="0.25">
      <c r="A50" s="28">
        <v>45</v>
      </c>
      <c r="B50" s="19">
        <v>14</v>
      </c>
      <c r="C50" s="20" t="s">
        <v>252</v>
      </c>
      <c r="D50" s="21" t="s">
        <v>253</v>
      </c>
      <c r="E50" s="11" t="s">
        <v>8</v>
      </c>
      <c r="F50" s="16" t="s">
        <v>166</v>
      </c>
      <c r="G50" s="16" t="s">
        <v>166</v>
      </c>
      <c r="H50" s="16" t="s">
        <v>166</v>
      </c>
      <c r="I50" s="109"/>
      <c r="J50" s="16" t="s">
        <v>166</v>
      </c>
      <c r="K50" s="112"/>
      <c r="L50" s="16" t="s">
        <v>166</v>
      </c>
      <c r="M50" s="16" t="s">
        <v>166</v>
      </c>
      <c r="N50" s="16" t="s">
        <v>165</v>
      </c>
      <c r="O50" s="112"/>
      <c r="P50" s="109"/>
      <c r="Q50" s="112"/>
      <c r="R50" s="16" t="s">
        <v>166</v>
      </c>
      <c r="S50" s="16" t="s">
        <v>165</v>
      </c>
      <c r="T50" s="16" t="s">
        <v>165</v>
      </c>
      <c r="U50" s="112"/>
      <c r="V50" s="16"/>
      <c r="W50" s="109"/>
      <c r="X50" s="16" t="s">
        <v>166</v>
      </c>
      <c r="Y50" s="16" t="s">
        <v>166</v>
      </c>
      <c r="Z50" s="16" t="s">
        <v>166</v>
      </c>
      <c r="AA50" s="16" t="s">
        <v>166</v>
      </c>
      <c r="AB50" s="16" t="s">
        <v>166</v>
      </c>
      <c r="AC50" s="16" t="s">
        <v>166</v>
      </c>
      <c r="AD50" s="109"/>
      <c r="AE50" s="16" t="s">
        <v>166</v>
      </c>
      <c r="AF50" s="16" t="s">
        <v>166</v>
      </c>
      <c r="AG50" s="16" t="s">
        <v>166</v>
      </c>
      <c r="AH50" s="16" t="s">
        <v>166</v>
      </c>
      <c r="AI50" s="16" t="s">
        <v>166</v>
      </c>
      <c r="AJ50" s="16" t="s">
        <v>166</v>
      </c>
      <c r="AK50" s="109"/>
      <c r="AL50" s="16" t="s">
        <v>166</v>
      </c>
      <c r="AM50" s="112"/>
      <c r="AN50" s="16" t="s">
        <v>166</v>
      </c>
      <c r="AO50" s="16" t="s">
        <v>166</v>
      </c>
      <c r="AP50" s="16" t="s">
        <v>165</v>
      </c>
      <c r="AQ50" s="16" t="s">
        <v>166</v>
      </c>
      <c r="AR50" s="109"/>
      <c r="AS50" s="16" t="s">
        <v>166</v>
      </c>
      <c r="AT50" s="16" t="s">
        <v>166</v>
      </c>
      <c r="AU50" s="16" t="s">
        <v>166</v>
      </c>
      <c r="AV50" s="16" t="s">
        <v>166</v>
      </c>
      <c r="AW50" s="16"/>
      <c r="AX50" s="16"/>
      <c r="AY50" s="109"/>
      <c r="AZ50" s="16"/>
      <c r="BA50" s="16"/>
      <c r="BB50" s="16"/>
      <c r="BC50" s="16"/>
      <c r="BD50" s="16"/>
      <c r="BE50" s="16"/>
      <c r="BF50" s="109"/>
      <c r="BG50" s="16"/>
      <c r="BH50" s="16"/>
      <c r="BI50" s="16"/>
      <c r="BJ50" s="16"/>
      <c r="BK50" s="16"/>
      <c r="BL50" s="16"/>
      <c r="BM50" s="109"/>
      <c r="BN50" s="16"/>
      <c r="BO50" s="16"/>
      <c r="BP50" s="16"/>
      <c r="BQ50" s="16"/>
      <c r="BR50" s="16"/>
      <c r="BS50" s="16"/>
      <c r="BT50" s="109"/>
      <c r="BU50" s="16"/>
      <c r="BV50" s="16"/>
      <c r="BW50" s="16"/>
      <c r="BX50" s="16"/>
      <c r="BY50" s="16"/>
      <c r="BZ50" s="16"/>
      <c r="CA50" s="109"/>
      <c r="CB50" s="16"/>
      <c r="CC50" s="16"/>
      <c r="CD50" s="16"/>
      <c r="CE50" s="16"/>
      <c r="CF50" s="16"/>
      <c r="CG50" s="16"/>
      <c r="CH50" s="109"/>
      <c r="CI50" s="16"/>
      <c r="CJ50" s="16"/>
      <c r="CK50" s="16"/>
      <c r="CL50" s="16"/>
      <c r="CM50" s="16"/>
      <c r="CN50" s="16"/>
      <c r="CO50" s="109"/>
      <c r="CP50" s="16"/>
      <c r="CQ50" s="16"/>
      <c r="CR50" s="16"/>
      <c r="CS50" s="16"/>
      <c r="CT50" s="16"/>
      <c r="CU50" s="16"/>
      <c r="CV50" s="109"/>
      <c r="CW50" s="16"/>
      <c r="CX50" s="16"/>
      <c r="CY50" s="16"/>
      <c r="CZ50" s="16"/>
      <c r="DA50" s="16"/>
      <c r="DB50" s="16"/>
      <c r="DC50" s="109"/>
      <c r="DD50" s="16"/>
      <c r="DE50" s="16"/>
      <c r="DF50" s="16"/>
      <c r="DG50" s="16"/>
      <c r="DH50" s="16"/>
      <c r="DI50" s="16"/>
      <c r="DJ50" s="109"/>
      <c r="DK50" s="16"/>
      <c r="DL50" s="16"/>
      <c r="DM50" s="16"/>
      <c r="DN50" s="16"/>
      <c r="DO50" s="16"/>
      <c r="DP50" s="16"/>
      <c r="DQ50" s="109"/>
      <c r="DR50" s="16"/>
      <c r="DS50" s="16"/>
      <c r="DT50" s="16"/>
      <c r="DU50" s="16"/>
      <c r="DV50" s="16"/>
      <c r="DW50" s="16"/>
      <c r="DX50" s="109"/>
      <c r="DY50" s="16"/>
      <c r="DZ50" s="16"/>
      <c r="EA50" s="16"/>
      <c r="EB50" s="16"/>
      <c r="EC50" s="16"/>
      <c r="ED50" s="16"/>
      <c r="EE50" s="109"/>
      <c r="EF50" s="16"/>
      <c r="EG50" s="16"/>
      <c r="EH50" s="16"/>
      <c r="EI50" s="16"/>
      <c r="EJ50" s="16"/>
      <c r="EK50" s="16"/>
      <c r="EL50" s="109"/>
      <c r="EM50" s="16"/>
      <c r="EN50" s="16"/>
      <c r="EO50" s="5">
        <f t="shared" si="3"/>
        <v>27</v>
      </c>
      <c r="EP50" s="5">
        <f t="shared" si="4"/>
        <v>4</v>
      </c>
    </row>
    <row r="51" spans="1:146" x14ac:dyDescent="0.25">
      <c r="A51" s="17">
        <v>46</v>
      </c>
      <c r="B51" s="19">
        <v>94</v>
      </c>
      <c r="C51" s="20" t="s">
        <v>254</v>
      </c>
      <c r="D51" s="21" t="s">
        <v>253</v>
      </c>
      <c r="E51" s="11" t="s">
        <v>8</v>
      </c>
      <c r="F51" s="16" t="s">
        <v>166</v>
      </c>
      <c r="G51" s="16" t="s">
        <v>166</v>
      </c>
      <c r="H51" s="16" t="s">
        <v>166</v>
      </c>
      <c r="I51" s="109"/>
      <c r="J51" s="16" t="s">
        <v>166</v>
      </c>
      <c r="K51" s="112"/>
      <c r="L51" s="16" t="s">
        <v>166</v>
      </c>
      <c r="M51" s="16" t="s">
        <v>166</v>
      </c>
      <c r="N51" s="16" t="s">
        <v>166</v>
      </c>
      <c r="O51" s="112"/>
      <c r="P51" s="109"/>
      <c r="Q51" s="112"/>
      <c r="R51" s="16" t="s">
        <v>166</v>
      </c>
      <c r="S51" s="16" t="s">
        <v>166</v>
      </c>
      <c r="T51" s="16" t="s">
        <v>166</v>
      </c>
      <c r="U51" s="112"/>
      <c r="V51" s="16"/>
      <c r="W51" s="109"/>
      <c r="X51" s="16" t="s">
        <v>166</v>
      </c>
      <c r="Y51" s="16" t="s">
        <v>166</v>
      </c>
      <c r="Z51" s="16" t="s">
        <v>166</v>
      </c>
      <c r="AA51" s="16" t="s">
        <v>166</v>
      </c>
      <c r="AB51" s="16" t="s">
        <v>166</v>
      </c>
      <c r="AC51" s="16" t="s">
        <v>166</v>
      </c>
      <c r="AD51" s="109"/>
      <c r="AE51" s="16" t="s">
        <v>166</v>
      </c>
      <c r="AF51" s="16" t="s">
        <v>166</v>
      </c>
      <c r="AG51" s="16" t="s">
        <v>166</v>
      </c>
      <c r="AH51" s="16" t="s">
        <v>166</v>
      </c>
      <c r="AI51" s="16" t="s">
        <v>166</v>
      </c>
      <c r="AJ51" s="16" t="s">
        <v>166</v>
      </c>
      <c r="AK51" s="109"/>
      <c r="AL51" s="16" t="s">
        <v>166</v>
      </c>
      <c r="AM51" s="112"/>
      <c r="AN51" s="16" t="s">
        <v>166</v>
      </c>
      <c r="AO51" s="16" t="s">
        <v>166</v>
      </c>
      <c r="AP51" s="16" t="s">
        <v>166</v>
      </c>
      <c r="AQ51" s="16" t="s">
        <v>166</v>
      </c>
      <c r="AR51" s="109"/>
      <c r="AS51" s="16" t="s">
        <v>166</v>
      </c>
      <c r="AT51" s="16" t="s">
        <v>166</v>
      </c>
      <c r="AU51" s="16" t="s">
        <v>166</v>
      </c>
      <c r="AV51" s="16" t="s">
        <v>166</v>
      </c>
      <c r="AW51" s="16"/>
      <c r="AX51" s="16"/>
      <c r="AY51" s="109"/>
      <c r="AZ51" s="16"/>
      <c r="BA51" s="16"/>
      <c r="BB51" s="16"/>
      <c r="BC51" s="16"/>
      <c r="BD51" s="16"/>
      <c r="BE51" s="16"/>
      <c r="BF51" s="109"/>
      <c r="BG51" s="16"/>
      <c r="BH51" s="16"/>
      <c r="BI51" s="16"/>
      <c r="BJ51" s="16"/>
      <c r="BK51" s="16"/>
      <c r="BL51" s="16"/>
      <c r="BM51" s="109"/>
      <c r="BN51" s="16"/>
      <c r="BO51" s="16"/>
      <c r="BP51" s="16"/>
      <c r="BQ51" s="16"/>
      <c r="BR51" s="16"/>
      <c r="BS51" s="16"/>
      <c r="BT51" s="109"/>
      <c r="BU51" s="16"/>
      <c r="BV51" s="16"/>
      <c r="BW51" s="16"/>
      <c r="BX51" s="16"/>
      <c r="BY51" s="16"/>
      <c r="BZ51" s="16"/>
      <c r="CA51" s="109"/>
      <c r="CB51" s="16"/>
      <c r="CC51" s="16"/>
      <c r="CD51" s="16"/>
      <c r="CE51" s="16"/>
      <c r="CF51" s="16"/>
      <c r="CG51" s="16"/>
      <c r="CH51" s="109"/>
      <c r="CI51" s="16"/>
      <c r="CJ51" s="16"/>
      <c r="CK51" s="16"/>
      <c r="CL51" s="16"/>
      <c r="CM51" s="16"/>
      <c r="CN51" s="16"/>
      <c r="CO51" s="109"/>
      <c r="CP51" s="16"/>
      <c r="CQ51" s="16"/>
      <c r="CR51" s="16"/>
      <c r="CS51" s="16"/>
      <c r="CT51" s="16"/>
      <c r="CU51" s="16"/>
      <c r="CV51" s="109"/>
      <c r="CW51" s="16"/>
      <c r="CX51" s="16"/>
      <c r="CY51" s="16"/>
      <c r="CZ51" s="16"/>
      <c r="DA51" s="16"/>
      <c r="DB51" s="16"/>
      <c r="DC51" s="109"/>
      <c r="DD51" s="16"/>
      <c r="DE51" s="16"/>
      <c r="DF51" s="16"/>
      <c r="DG51" s="16"/>
      <c r="DH51" s="16"/>
      <c r="DI51" s="16"/>
      <c r="DJ51" s="109"/>
      <c r="DK51" s="16"/>
      <c r="DL51" s="16"/>
      <c r="DM51" s="16"/>
      <c r="DN51" s="16"/>
      <c r="DO51" s="16"/>
      <c r="DP51" s="16"/>
      <c r="DQ51" s="109"/>
      <c r="DR51" s="16"/>
      <c r="DS51" s="16"/>
      <c r="DT51" s="16"/>
      <c r="DU51" s="16"/>
      <c r="DV51" s="16"/>
      <c r="DW51" s="16"/>
      <c r="DX51" s="109"/>
      <c r="DY51" s="16"/>
      <c r="DZ51" s="16"/>
      <c r="EA51" s="16"/>
      <c r="EB51" s="16"/>
      <c r="EC51" s="16"/>
      <c r="ED51" s="16"/>
      <c r="EE51" s="109"/>
      <c r="EF51" s="16"/>
      <c r="EG51" s="16"/>
      <c r="EH51" s="16"/>
      <c r="EI51" s="16"/>
      <c r="EJ51" s="16"/>
      <c r="EK51" s="16"/>
      <c r="EL51" s="109"/>
      <c r="EM51" s="16"/>
      <c r="EN51" s="16"/>
      <c r="EO51" s="5">
        <f t="shared" si="3"/>
        <v>31</v>
      </c>
      <c r="EP51" s="5">
        <f t="shared" si="4"/>
        <v>0</v>
      </c>
    </row>
    <row r="52" spans="1:146" x14ac:dyDescent="0.25">
      <c r="A52" s="28">
        <v>47</v>
      </c>
      <c r="B52" s="19">
        <v>111</v>
      </c>
      <c r="C52" s="20" t="s">
        <v>255</v>
      </c>
      <c r="D52" s="21" t="s">
        <v>256</v>
      </c>
      <c r="E52" s="11" t="s">
        <v>8</v>
      </c>
      <c r="F52" s="16" t="s">
        <v>166</v>
      </c>
      <c r="G52" s="16" t="s">
        <v>166</v>
      </c>
      <c r="H52" s="16" t="s">
        <v>166</v>
      </c>
      <c r="I52" s="109"/>
      <c r="J52" s="16" t="s">
        <v>166</v>
      </c>
      <c r="K52" s="112"/>
      <c r="L52" s="16" t="s">
        <v>166</v>
      </c>
      <c r="M52" s="16" t="s">
        <v>166</v>
      </c>
      <c r="N52" s="16" t="s">
        <v>165</v>
      </c>
      <c r="O52" s="112"/>
      <c r="P52" s="109"/>
      <c r="Q52" s="112"/>
      <c r="R52" s="16" t="s">
        <v>166</v>
      </c>
      <c r="S52" s="16" t="s">
        <v>165</v>
      </c>
      <c r="T52" s="16" t="s">
        <v>166</v>
      </c>
      <c r="U52" s="112"/>
      <c r="V52" s="16"/>
      <c r="W52" s="109"/>
      <c r="X52" s="16" t="s">
        <v>166</v>
      </c>
      <c r="Y52" s="16" t="s">
        <v>166</v>
      </c>
      <c r="Z52" s="16" t="s">
        <v>166</v>
      </c>
      <c r="AA52" s="16" t="s">
        <v>166</v>
      </c>
      <c r="AB52" s="16" t="s">
        <v>166</v>
      </c>
      <c r="AC52" s="16" t="s">
        <v>166</v>
      </c>
      <c r="AD52" s="109"/>
      <c r="AE52" s="16" t="s">
        <v>166</v>
      </c>
      <c r="AF52" s="16" t="s">
        <v>166</v>
      </c>
      <c r="AG52" s="16" t="s">
        <v>166</v>
      </c>
      <c r="AH52" s="16" t="s">
        <v>166</v>
      </c>
      <c r="AI52" s="16" t="s">
        <v>166</v>
      </c>
      <c r="AJ52" s="16" t="s">
        <v>166</v>
      </c>
      <c r="AK52" s="109"/>
      <c r="AL52" s="16" t="s">
        <v>166</v>
      </c>
      <c r="AM52" s="112"/>
      <c r="AN52" s="16" t="s">
        <v>166</v>
      </c>
      <c r="AO52" s="16" t="s">
        <v>166</v>
      </c>
      <c r="AP52" s="16" t="s">
        <v>165</v>
      </c>
      <c r="AQ52" s="16" t="s">
        <v>166</v>
      </c>
      <c r="AR52" s="109"/>
      <c r="AS52" s="16" t="s">
        <v>166</v>
      </c>
      <c r="AT52" s="16" t="s">
        <v>166</v>
      </c>
      <c r="AU52" s="16" t="s">
        <v>166</v>
      </c>
      <c r="AV52" s="16" t="s">
        <v>166</v>
      </c>
      <c r="AW52" s="16"/>
      <c r="AX52" s="16"/>
      <c r="AY52" s="109"/>
      <c r="AZ52" s="16"/>
      <c r="BA52" s="16"/>
      <c r="BB52" s="16"/>
      <c r="BC52" s="16"/>
      <c r="BD52" s="16"/>
      <c r="BE52" s="16"/>
      <c r="BF52" s="109"/>
      <c r="BG52" s="16"/>
      <c r="BH52" s="16"/>
      <c r="BI52" s="16"/>
      <c r="BJ52" s="16"/>
      <c r="BK52" s="16"/>
      <c r="BL52" s="16"/>
      <c r="BM52" s="109"/>
      <c r="BN52" s="16"/>
      <c r="BO52" s="16"/>
      <c r="BP52" s="16"/>
      <c r="BQ52" s="16"/>
      <c r="BR52" s="16"/>
      <c r="BS52" s="16"/>
      <c r="BT52" s="109"/>
      <c r="BU52" s="16"/>
      <c r="BV52" s="16"/>
      <c r="BW52" s="16"/>
      <c r="BX52" s="16"/>
      <c r="BY52" s="16"/>
      <c r="BZ52" s="16"/>
      <c r="CA52" s="109"/>
      <c r="CB52" s="16"/>
      <c r="CC52" s="16"/>
      <c r="CD52" s="16"/>
      <c r="CE52" s="16"/>
      <c r="CF52" s="16"/>
      <c r="CG52" s="16"/>
      <c r="CH52" s="109"/>
      <c r="CI52" s="16"/>
      <c r="CJ52" s="16"/>
      <c r="CK52" s="16"/>
      <c r="CL52" s="16"/>
      <c r="CM52" s="16"/>
      <c r="CN52" s="16"/>
      <c r="CO52" s="109"/>
      <c r="CP52" s="16"/>
      <c r="CQ52" s="16"/>
      <c r="CR52" s="16"/>
      <c r="CS52" s="16"/>
      <c r="CT52" s="16"/>
      <c r="CU52" s="16"/>
      <c r="CV52" s="109"/>
      <c r="CW52" s="16"/>
      <c r="CX52" s="16"/>
      <c r="CY52" s="16"/>
      <c r="CZ52" s="16"/>
      <c r="DA52" s="16"/>
      <c r="DB52" s="16"/>
      <c r="DC52" s="109"/>
      <c r="DD52" s="16"/>
      <c r="DE52" s="16"/>
      <c r="DF52" s="16"/>
      <c r="DG52" s="16"/>
      <c r="DH52" s="16"/>
      <c r="DI52" s="16"/>
      <c r="DJ52" s="109"/>
      <c r="DK52" s="16"/>
      <c r="DL52" s="16"/>
      <c r="DM52" s="16"/>
      <c r="DN52" s="16"/>
      <c r="DO52" s="16"/>
      <c r="DP52" s="16"/>
      <c r="DQ52" s="109"/>
      <c r="DR52" s="16"/>
      <c r="DS52" s="16"/>
      <c r="DT52" s="16"/>
      <c r="DU52" s="16"/>
      <c r="DV52" s="16"/>
      <c r="DW52" s="16"/>
      <c r="DX52" s="109"/>
      <c r="DY52" s="16"/>
      <c r="DZ52" s="16"/>
      <c r="EA52" s="16"/>
      <c r="EB52" s="16"/>
      <c r="EC52" s="16"/>
      <c r="ED52" s="16"/>
      <c r="EE52" s="109"/>
      <c r="EF52" s="16"/>
      <c r="EG52" s="16"/>
      <c r="EH52" s="16"/>
      <c r="EI52" s="16"/>
      <c r="EJ52" s="16"/>
      <c r="EK52" s="16"/>
      <c r="EL52" s="109"/>
      <c r="EM52" s="16"/>
      <c r="EN52" s="16"/>
      <c r="EO52" s="5">
        <f t="shared" si="3"/>
        <v>28</v>
      </c>
      <c r="EP52" s="5">
        <f t="shared" si="4"/>
        <v>3</v>
      </c>
    </row>
    <row r="53" spans="1:146" x14ac:dyDescent="0.25">
      <c r="A53" s="17">
        <v>48</v>
      </c>
      <c r="B53" s="19">
        <v>113</v>
      </c>
      <c r="C53" s="20" t="s">
        <v>257</v>
      </c>
      <c r="D53" s="21" t="s">
        <v>113</v>
      </c>
      <c r="E53" s="11" t="s">
        <v>8</v>
      </c>
      <c r="F53" s="16" t="s">
        <v>166</v>
      </c>
      <c r="G53" s="16" t="s">
        <v>166</v>
      </c>
      <c r="H53" s="16" t="s">
        <v>166</v>
      </c>
      <c r="I53" s="109"/>
      <c r="J53" s="16" t="s">
        <v>166</v>
      </c>
      <c r="K53" s="112"/>
      <c r="L53" s="16" t="s">
        <v>166</v>
      </c>
      <c r="M53" s="16" t="s">
        <v>166</v>
      </c>
      <c r="N53" s="16" t="s">
        <v>166</v>
      </c>
      <c r="O53" s="112"/>
      <c r="P53" s="109"/>
      <c r="Q53" s="112"/>
      <c r="R53" s="16" t="s">
        <v>165</v>
      </c>
      <c r="S53" s="16" t="s">
        <v>165</v>
      </c>
      <c r="T53" s="16" t="s">
        <v>166</v>
      </c>
      <c r="U53" s="112"/>
      <c r="V53" s="16"/>
      <c r="W53" s="109"/>
      <c r="X53" s="16" t="s">
        <v>166</v>
      </c>
      <c r="Y53" s="16" t="s">
        <v>166</v>
      </c>
      <c r="Z53" s="16" t="s">
        <v>166</v>
      </c>
      <c r="AA53" s="16" t="s">
        <v>166</v>
      </c>
      <c r="AB53" s="16" t="s">
        <v>166</v>
      </c>
      <c r="AC53" s="16" t="s">
        <v>166</v>
      </c>
      <c r="AD53" s="109"/>
      <c r="AE53" s="16" t="s">
        <v>166</v>
      </c>
      <c r="AF53" s="16" t="s">
        <v>166</v>
      </c>
      <c r="AG53" s="16" t="s">
        <v>166</v>
      </c>
      <c r="AH53" s="16" t="s">
        <v>166</v>
      </c>
      <c r="AI53" s="16" t="s">
        <v>166</v>
      </c>
      <c r="AJ53" s="16" t="s">
        <v>166</v>
      </c>
      <c r="AK53" s="109"/>
      <c r="AL53" s="16" t="s">
        <v>166</v>
      </c>
      <c r="AM53" s="112"/>
      <c r="AN53" s="16" t="s">
        <v>166</v>
      </c>
      <c r="AO53" s="16" t="s">
        <v>166</v>
      </c>
      <c r="AP53" s="16" t="s">
        <v>166</v>
      </c>
      <c r="AQ53" s="16" t="s">
        <v>166</v>
      </c>
      <c r="AR53" s="109"/>
      <c r="AS53" s="16" t="s">
        <v>166</v>
      </c>
      <c r="AT53" s="16" t="s">
        <v>166</v>
      </c>
      <c r="AU53" s="16" t="s">
        <v>166</v>
      </c>
      <c r="AV53" s="16" t="s">
        <v>166</v>
      </c>
      <c r="AW53" s="16"/>
      <c r="AX53" s="16"/>
      <c r="AY53" s="109"/>
      <c r="AZ53" s="16"/>
      <c r="BA53" s="16"/>
      <c r="BB53" s="16"/>
      <c r="BC53" s="16"/>
      <c r="BD53" s="16"/>
      <c r="BE53" s="16"/>
      <c r="BF53" s="109"/>
      <c r="BG53" s="16"/>
      <c r="BH53" s="16"/>
      <c r="BI53" s="16"/>
      <c r="BJ53" s="16"/>
      <c r="BK53" s="16"/>
      <c r="BL53" s="16"/>
      <c r="BM53" s="109"/>
      <c r="BN53" s="16"/>
      <c r="BO53" s="16"/>
      <c r="BP53" s="16"/>
      <c r="BQ53" s="16"/>
      <c r="BR53" s="16"/>
      <c r="BS53" s="16"/>
      <c r="BT53" s="109"/>
      <c r="BU53" s="16"/>
      <c r="BV53" s="16"/>
      <c r="BW53" s="16"/>
      <c r="BX53" s="16"/>
      <c r="BY53" s="16"/>
      <c r="BZ53" s="16"/>
      <c r="CA53" s="109"/>
      <c r="CB53" s="16"/>
      <c r="CC53" s="16"/>
      <c r="CD53" s="16"/>
      <c r="CE53" s="16"/>
      <c r="CF53" s="16"/>
      <c r="CG53" s="16"/>
      <c r="CH53" s="109"/>
      <c r="CI53" s="16"/>
      <c r="CJ53" s="16"/>
      <c r="CK53" s="16"/>
      <c r="CL53" s="16"/>
      <c r="CM53" s="16"/>
      <c r="CN53" s="16"/>
      <c r="CO53" s="109"/>
      <c r="CP53" s="16"/>
      <c r="CQ53" s="16"/>
      <c r="CR53" s="16"/>
      <c r="CS53" s="16"/>
      <c r="CT53" s="16"/>
      <c r="CU53" s="16"/>
      <c r="CV53" s="109"/>
      <c r="CW53" s="16"/>
      <c r="CX53" s="16"/>
      <c r="CY53" s="16"/>
      <c r="CZ53" s="16"/>
      <c r="DA53" s="16"/>
      <c r="DB53" s="16"/>
      <c r="DC53" s="109"/>
      <c r="DD53" s="16"/>
      <c r="DE53" s="16"/>
      <c r="DF53" s="16"/>
      <c r="DG53" s="16"/>
      <c r="DH53" s="16"/>
      <c r="DI53" s="16"/>
      <c r="DJ53" s="109"/>
      <c r="DK53" s="16"/>
      <c r="DL53" s="16"/>
      <c r="DM53" s="16"/>
      <c r="DN53" s="16"/>
      <c r="DO53" s="16"/>
      <c r="DP53" s="16"/>
      <c r="DQ53" s="109"/>
      <c r="DR53" s="16"/>
      <c r="DS53" s="16"/>
      <c r="DT53" s="16"/>
      <c r="DU53" s="16"/>
      <c r="DV53" s="16"/>
      <c r="DW53" s="16"/>
      <c r="DX53" s="109"/>
      <c r="DY53" s="16"/>
      <c r="DZ53" s="16"/>
      <c r="EA53" s="16"/>
      <c r="EB53" s="16"/>
      <c r="EC53" s="16"/>
      <c r="ED53" s="16"/>
      <c r="EE53" s="109"/>
      <c r="EF53" s="16"/>
      <c r="EG53" s="16"/>
      <c r="EH53" s="16"/>
      <c r="EI53" s="16"/>
      <c r="EJ53" s="16"/>
      <c r="EK53" s="16"/>
      <c r="EL53" s="109"/>
      <c r="EM53" s="16"/>
      <c r="EN53" s="16"/>
      <c r="EO53" s="5">
        <f t="shared" si="3"/>
        <v>29</v>
      </c>
      <c r="EP53" s="5">
        <f t="shared" si="4"/>
        <v>2</v>
      </c>
    </row>
    <row r="54" spans="1:146" x14ac:dyDescent="0.25">
      <c r="A54" s="28">
        <v>49</v>
      </c>
      <c r="B54" s="19">
        <v>115</v>
      </c>
      <c r="C54" s="20" t="s">
        <v>258</v>
      </c>
      <c r="D54" s="21" t="s">
        <v>259</v>
      </c>
      <c r="E54" s="11" t="s">
        <v>8</v>
      </c>
      <c r="F54" s="16" t="s">
        <v>166</v>
      </c>
      <c r="G54" s="16" t="s">
        <v>166</v>
      </c>
      <c r="H54" s="16" t="s">
        <v>166</v>
      </c>
      <c r="I54" s="109"/>
      <c r="J54" s="16" t="s">
        <v>166</v>
      </c>
      <c r="K54" s="112"/>
      <c r="L54" s="16" t="s">
        <v>166</v>
      </c>
      <c r="M54" s="16" t="s">
        <v>166</v>
      </c>
      <c r="N54" s="16" t="s">
        <v>166</v>
      </c>
      <c r="O54" s="112"/>
      <c r="P54" s="109"/>
      <c r="Q54" s="112"/>
      <c r="R54" s="16" t="s">
        <v>165</v>
      </c>
      <c r="S54" s="16" t="s">
        <v>166</v>
      </c>
      <c r="T54" s="16" t="s">
        <v>166</v>
      </c>
      <c r="U54" s="112"/>
      <c r="V54" s="16"/>
      <c r="W54" s="109"/>
      <c r="X54" s="16" t="s">
        <v>166</v>
      </c>
      <c r="Y54" s="16" t="s">
        <v>166</v>
      </c>
      <c r="Z54" s="16" t="s">
        <v>166</v>
      </c>
      <c r="AA54" s="16" t="s">
        <v>166</v>
      </c>
      <c r="AB54" s="16" t="s">
        <v>166</v>
      </c>
      <c r="AC54" s="16" t="s">
        <v>166</v>
      </c>
      <c r="AD54" s="109"/>
      <c r="AE54" s="16" t="s">
        <v>166</v>
      </c>
      <c r="AF54" s="16" t="s">
        <v>166</v>
      </c>
      <c r="AG54" s="16" t="s">
        <v>166</v>
      </c>
      <c r="AH54" s="16" t="s">
        <v>166</v>
      </c>
      <c r="AI54" s="16" t="s">
        <v>166</v>
      </c>
      <c r="AJ54" s="16" t="s">
        <v>166</v>
      </c>
      <c r="AK54" s="109"/>
      <c r="AL54" s="16" t="s">
        <v>166</v>
      </c>
      <c r="AM54" s="112"/>
      <c r="AN54" s="16" t="s">
        <v>166</v>
      </c>
      <c r="AO54" s="16" t="s">
        <v>166</v>
      </c>
      <c r="AP54" s="16" t="s">
        <v>166</v>
      </c>
      <c r="AQ54" s="16" t="s">
        <v>166</v>
      </c>
      <c r="AR54" s="109"/>
      <c r="AS54" s="16" t="s">
        <v>166</v>
      </c>
      <c r="AT54" s="16" t="s">
        <v>166</v>
      </c>
      <c r="AU54" s="16" t="s">
        <v>166</v>
      </c>
      <c r="AV54" s="16" t="s">
        <v>166</v>
      </c>
      <c r="AW54" s="16"/>
      <c r="AX54" s="16"/>
      <c r="AY54" s="109"/>
      <c r="AZ54" s="16"/>
      <c r="BA54" s="16"/>
      <c r="BB54" s="16"/>
      <c r="BC54" s="16"/>
      <c r="BD54" s="16"/>
      <c r="BE54" s="16"/>
      <c r="BF54" s="109"/>
      <c r="BG54" s="16"/>
      <c r="BH54" s="16"/>
      <c r="BI54" s="16"/>
      <c r="BJ54" s="16"/>
      <c r="BK54" s="16"/>
      <c r="BL54" s="16"/>
      <c r="BM54" s="109"/>
      <c r="BN54" s="16"/>
      <c r="BO54" s="16"/>
      <c r="BP54" s="16"/>
      <c r="BQ54" s="16"/>
      <c r="BR54" s="16"/>
      <c r="BS54" s="16"/>
      <c r="BT54" s="109"/>
      <c r="BU54" s="16"/>
      <c r="BV54" s="16"/>
      <c r="BW54" s="16"/>
      <c r="BX54" s="16"/>
      <c r="BY54" s="16"/>
      <c r="BZ54" s="16"/>
      <c r="CA54" s="109"/>
      <c r="CB54" s="16"/>
      <c r="CC54" s="16"/>
      <c r="CD54" s="16"/>
      <c r="CE54" s="16"/>
      <c r="CF54" s="16"/>
      <c r="CG54" s="16"/>
      <c r="CH54" s="109"/>
      <c r="CI54" s="16"/>
      <c r="CJ54" s="16"/>
      <c r="CK54" s="16"/>
      <c r="CL54" s="16"/>
      <c r="CM54" s="16"/>
      <c r="CN54" s="16"/>
      <c r="CO54" s="109"/>
      <c r="CP54" s="16"/>
      <c r="CQ54" s="16"/>
      <c r="CR54" s="16"/>
      <c r="CS54" s="16"/>
      <c r="CT54" s="16"/>
      <c r="CU54" s="16"/>
      <c r="CV54" s="109"/>
      <c r="CW54" s="16"/>
      <c r="CX54" s="16"/>
      <c r="CY54" s="16"/>
      <c r="CZ54" s="16"/>
      <c r="DA54" s="16"/>
      <c r="DB54" s="16"/>
      <c r="DC54" s="109"/>
      <c r="DD54" s="16"/>
      <c r="DE54" s="16"/>
      <c r="DF54" s="16"/>
      <c r="DG54" s="16"/>
      <c r="DH54" s="16"/>
      <c r="DI54" s="16"/>
      <c r="DJ54" s="109"/>
      <c r="DK54" s="16"/>
      <c r="DL54" s="16"/>
      <c r="DM54" s="16"/>
      <c r="DN54" s="16"/>
      <c r="DO54" s="16"/>
      <c r="DP54" s="16"/>
      <c r="DQ54" s="109"/>
      <c r="DR54" s="16"/>
      <c r="DS54" s="16"/>
      <c r="DT54" s="16"/>
      <c r="DU54" s="16"/>
      <c r="DV54" s="16"/>
      <c r="DW54" s="16"/>
      <c r="DX54" s="109"/>
      <c r="DY54" s="16"/>
      <c r="DZ54" s="16"/>
      <c r="EA54" s="16"/>
      <c r="EB54" s="16"/>
      <c r="EC54" s="16"/>
      <c r="ED54" s="16"/>
      <c r="EE54" s="109"/>
      <c r="EF54" s="16"/>
      <c r="EG54" s="16"/>
      <c r="EH54" s="16"/>
      <c r="EI54" s="16"/>
      <c r="EJ54" s="16"/>
      <c r="EK54" s="16"/>
      <c r="EL54" s="109"/>
      <c r="EM54" s="16"/>
      <c r="EN54" s="16"/>
      <c r="EO54" s="5">
        <f t="shared" si="3"/>
        <v>30</v>
      </c>
      <c r="EP54" s="5">
        <f t="shared" si="4"/>
        <v>1</v>
      </c>
    </row>
    <row r="55" spans="1:146" x14ac:dyDescent="0.25">
      <c r="A55" s="17">
        <v>50</v>
      </c>
      <c r="B55" s="19">
        <v>114</v>
      </c>
      <c r="C55" s="20" t="s">
        <v>260</v>
      </c>
      <c r="D55" s="21" t="s">
        <v>259</v>
      </c>
      <c r="E55" s="11" t="s">
        <v>8</v>
      </c>
      <c r="F55" s="16" t="s">
        <v>166</v>
      </c>
      <c r="G55" s="16" t="s">
        <v>166</v>
      </c>
      <c r="H55" s="16" t="s">
        <v>166</v>
      </c>
      <c r="I55" s="109"/>
      <c r="J55" s="16" t="s">
        <v>165</v>
      </c>
      <c r="K55" s="112"/>
      <c r="L55" s="16" t="s">
        <v>165</v>
      </c>
      <c r="M55" s="16" t="s">
        <v>165</v>
      </c>
      <c r="N55" s="16" t="s">
        <v>166</v>
      </c>
      <c r="O55" s="112"/>
      <c r="P55" s="109"/>
      <c r="Q55" s="112"/>
      <c r="R55" s="16" t="s">
        <v>165</v>
      </c>
      <c r="S55" s="16" t="s">
        <v>166</v>
      </c>
      <c r="T55" s="16" t="s">
        <v>166</v>
      </c>
      <c r="U55" s="112"/>
      <c r="V55" s="16"/>
      <c r="W55" s="109"/>
      <c r="X55" s="16" t="s">
        <v>166</v>
      </c>
      <c r="Y55" s="16" t="s">
        <v>166</v>
      </c>
      <c r="Z55" s="16" t="s">
        <v>166</v>
      </c>
      <c r="AA55" s="16" t="s">
        <v>166</v>
      </c>
      <c r="AB55" s="16" t="s">
        <v>166</v>
      </c>
      <c r="AC55" s="16" t="s">
        <v>166</v>
      </c>
      <c r="AD55" s="109"/>
      <c r="AE55" s="16" t="s">
        <v>166</v>
      </c>
      <c r="AF55" s="16" t="s">
        <v>166</v>
      </c>
      <c r="AG55" s="16" t="s">
        <v>166</v>
      </c>
      <c r="AH55" s="16" t="s">
        <v>166</v>
      </c>
      <c r="AI55" s="16" t="s">
        <v>166</v>
      </c>
      <c r="AJ55" s="16" t="s">
        <v>166</v>
      </c>
      <c r="AK55" s="109"/>
      <c r="AL55" s="16" t="s">
        <v>166</v>
      </c>
      <c r="AM55" s="112"/>
      <c r="AN55" s="16" t="s">
        <v>166</v>
      </c>
      <c r="AO55" s="16" t="s">
        <v>166</v>
      </c>
      <c r="AP55" s="16" t="s">
        <v>166</v>
      </c>
      <c r="AQ55" s="16" t="s">
        <v>166</v>
      </c>
      <c r="AR55" s="109"/>
      <c r="AS55" s="16" t="s">
        <v>166</v>
      </c>
      <c r="AT55" s="16" t="s">
        <v>166</v>
      </c>
      <c r="AU55" s="16" t="s">
        <v>166</v>
      </c>
      <c r="AV55" s="16" t="s">
        <v>166</v>
      </c>
      <c r="AW55" s="16"/>
      <c r="AX55" s="16"/>
      <c r="AY55" s="109"/>
      <c r="AZ55" s="16"/>
      <c r="BA55" s="16"/>
      <c r="BB55" s="16"/>
      <c r="BC55" s="16"/>
      <c r="BD55" s="16"/>
      <c r="BE55" s="16"/>
      <c r="BF55" s="109"/>
      <c r="BG55" s="16"/>
      <c r="BH55" s="16"/>
      <c r="BI55" s="16"/>
      <c r="BJ55" s="16"/>
      <c r="BK55" s="16"/>
      <c r="BL55" s="16"/>
      <c r="BM55" s="109"/>
      <c r="BN55" s="16"/>
      <c r="BO55" s="16"/>
      <c r="BP55" s="16"/>
      <c r="BQ55" s="16"/>
      <c r="BR55" s="16"/>
      <c r="BS55" s="16"/>
      <c r="BT55" s="109"/>
      <c r="BU55" s="16"/>
      <c r="BV55" s="16"/>
      <c r="BW55" s="16"/>
      <c r="BX55" s="16"/>
      <c r="BY55" s="16"/>
      <c r="BZ55" s="16"/>
      <c r="CA55" s="109"/>
      <c r="CB55" s="16"/>
      <c r="CC55" s="16"/>
      <c r="CD55" s="16"/>
      <c r="CE55" s="16"/>
      <c r="CF55" s="16"/>
      <c r="CG55" s="16"/>
      <c r="CH55" s="109"/>
      <c r="CI55" s="16"/>
      <c r="CJ55" s="16"/>
      <c r="CK55" s="16"/>
      <c r="CL55" s="16"/>
      <c r="CM55" s="16"/>
      <c r="CN55" s="16"/>
      <c r="CO55" s="109"/>
      <c r="CP55" s="16"/>
      <c r="CQ55" s="16"/>
      <c r="CR55" s="16"/>
      <c r="CS55" s="16"/>
      <c r="CT55" s="16"/>
      <c r="CU55" s="16"/>
      <c r="CV55" s="109"/>
      <c r="CW55" s="16"/>
      <c r="CX55" s="16"/>
      <c r="CY55" s="16"/>
      <c r="CZ55" s="16"/>
      <c r="DA55" s="16"/>
      <c r="DB55" s="16"/>
      <c r="DC55" s="109"/>
      <c r="DD55" s="16"/>
      <c r="DE55" s="16"/>
      <c r="DF55" s="16"/>
      <c r="DG55" s="16"/>
      <c r="DH55" s="16"/>
      <c r="DI55" s="16"/>
      <c r="DJ55" s="109"/>
      <c r="DK55" s="16"/>
      <c r="DL55" s="16"/>
      <c r="DM55" s="16"/>
      <c r="DN55" s="16"/>
      <c r="DO55" s="16"/>
      <c r="DP55" s="16"/>
      <c r="DQ55" s="109"/>
      <c r="DR55" s="16"/>
      <c r="DS55" s="16"/>
      <c r="DT55" s="16"/>
      <c r="DU55" s="16"/>
      <c r="DV55" s="16"/>
      <c r="DW55" s="16"/>
      <c r="DX55" s="109"/>
      <c r="DY55" s="16"/>
      <c r="DZ55" s="16"/>
      <c r="EA55" s="16"/>
      <c r="EB55" s="16"/>
      <c r="EC55" s="16"/>
      <c r="ED55" s="16"/>
      <c r="EE55" s="109"/>
      <c r="EF55" s="16"/>
      <c r="EG55" s="16"/>
      <c r="EH55" s="16"/>
      <c r="EI55" s="16"/>
      <c r="EJ55" s="16"/>
      <c r="EK55" s="16"/>
      <c r="EL55" s="109"/>
      <c r="EM55" s="16"/>
      <c r="EN55" s="16"/>
      <c r="EO55" s="5">
        <f t="shared" si="3"/>
        <v>27</v>
      </c>
      <c r="EP55" s="5">
        <f t="shared" si="4"/>
        <v>4</v>
      </c>
    </row>
    <row r="56" spans="1:146" x14ac:dyDescent="0.25">
      <c r="A56" s="28">
        <v>51</v>
      </c>
      <c r="B56" s="19">
        <v>141</v>
      </c>
      <c r="C56" s="20" t="s">
        <v>261</v>
      </c>
      <c r="D56" s="21" t="s">
        <v>262</v>
      </c>
      <c r="E56" s="11" t="s">
        <v>8</v>
      </c>
      <c r="F56" s="16" t="s">
        <v>166</v>
      </c>
      <c r="G56" s="16" t="s">
        <v>166</v>
      </c>
      <c r="H56" s="16" t="s">
        <v>166</v>
      </c>
      <c r="I56" s="109"/>
      <c r="J56" s="16" t="s">
        <v>166</v>
      </c>
      <c r="K56" s="112"/>
      <c r="L56" s="16" t="s">
        <v>166</v>
      </c>
      <c r="M56" s="16" t="s">
        <v>166</v>
      </c>
      <c r="N56" s="16" t="s">
        <v>166</v>
      </c>
      <c r="O56" s="112"/>
      <c r="P56" s="109"/>
      <c r="Q56" s="112"/>
      <c r="R56" s="16" t="s">
        <v>166</v>
      </c>
      <c r="S56" s="16" t="s">
        <v>165</v>
      </c>
      <c r="T56" s="16" t="s">
        <v>166</v>
      </c>
      <c r="U56" s="112"/>
      <c r="V56" s="16"/>
      <c r="W56" s="109"/>
      <c r="X56" s="16" t="s">
        <v>165</v>
      </c>
      <c r="Y56" s="16" t="s">
        <v>166</v>
      </c>
      <c r="Z56" s="16" t="s">
        <v>165</v>
      </c>
      <c r="AA56" s="16" t="s">
        <v>166</v>
      </c>
      <c r="AB56" s="16" t="s">
        <v>166</v>
      </c>
      <c r="AC56" s="16" t="s">
        <v>166</v>
      </c>
      <c r="AD56" s="109"/>
      <c r="AE56" s="16" t="s">
        <v>166</v>
      </c>
      <c r="AF56" s="16" t="s">
        <v>166</v>
      </c>
      <c r="AG56" s="16" t="s">
        <v>166</v>
      </c>
      <c r="AH56" s="16" t="s">
        <v>166</v>
      </c>
      <c r="AI56" s="16" t="s">
        <v>165</v>
      </c>
      <c r="AJ56" s="16" t="s">
        <v>165</v>
      </c>
      <c r="AK56" s="109"/>
      <c r="AL56" s="16" t="s">
        <v>166</v>
      </c>
      <c r="AM56" s="112"/>
      <c r="AN56" s="16" t="s">
        <v>166</v>
      </c>
      <c r="AO56" s="16" t="s">
        <v>166</v>
      </c>
      <c r="AP56" s="16" t="s">
        <v>166</v>
      </c>
      <c r="AQ56" s="16" t="s">
        <v>166</v>
      </c>
      <c r="AR56" s="109"/>
      <c r="AS56" s="16" t="s">
        <v>166</v>
      </c>
      <c r="AT56" s="16" t="s">
        <v>166</v>
      </c>
      <c r="AU56" s="16" t="s">
        <v>166</v>
      </c>
      <c r="AV56" s="16" t="s">
        <v>166</v>
      </c>
      <c r="AW56" s="16"/>
      <c r="AX56" s="16"/>
      <c r="AY56" s="109"/>
      <c r="AZ56" s="16"/>
      <c r="BA56" s="16"/>
      <c r="BB56" s="16"/>
      <c r="BC56" s="16"/>
      <c r="BD56" s="16"/>
      <c r="BE56" s="16"/>
      <c r="BF56" s="109"/>
      <c r="BG56" s="16"/>
      <c r="BH56" s="16"/>
      <c r="BI56" s="16"/>
      <c r="BJ56" s="16"/>
      <c r="BK56" s="16"/>
      <c r="BL56" s="16"/>
      <c r="BM56" s="109"/>
      <c r="BN56" s="16"/>
      <c r="BO56" s="16"/>
      <c r="BP56" s="16"/>
      <c r="BQ56" s="16"/>
      <c r="BR56" s="16"/>
      <c r="BS56" s="16"/>
      <c r="BT56" s="109"/>
      <c r="BU56" s="16"/>
      <c r="BV56" s="16"/>
      <c r="BW56" s="16"/>
      <c r="BX56" s="16"/>
      <c r="BY56" s="16"/>
      <c r="BZ56" s="16"/>
      <c r="CA56" s="109"/>
      <c r="CB56" s="16"/>
      <c r="CC56" s="16"/>
      <c r="CD56" s="16"/>
      <c r="CE56" s="16"/>
      <c r="CF56" s="16"/>
      <c r="CG56" s="16"/>
      <c r="CH56" s="109"/>
      <c r="CI56" s="16"/>
      <c r="CJ56" s="16"/>
      <c r="CK56" s="16"/>
      <c r="CL56" s="16"/>
      <c r="CM56" s="16"/>
      <c r="CN56" s="16"/>
      <c r="CO56" s="109"/>
      <c r="CP56" s="16"/>
      <c r="CQ56" s="16"/>
      <c r="CR56" s="16"/>
      <c r="CS56" s="16"/>
      <c r="CT56" s="16"/>
      <c r="CU56" s="16"/>
      <c r="CV56" s="109"/>
      <c r="CW56" s="16"/>
      <c r="CX56" s="16"/>
      <c r="CY56" s="16"/>
      <c r="CZ56" s="16"/>
      <c r="DA56" s="16"/>
      <c r="DB56" s="16"/>
      <c r="DC56" s="109"/>
      <c r="DD56" s="16"/>
      <c r="DE56" s="16"/>
      <c r="DF56" s="16"/>
      <c r="DG56" s="16"/>
      <c r="DH56" s="16"/>
      <c r="DI56" s="16"/>
      <c r="DJ56" s="109"/>
      <c r="DK56" s="16"/>
      <c r="DL56" s="16"/>
      <c r="DM56" s="16"/>
      <c r="DN56" s="16"/>
      <c r="DO56" s="16"/>
      <c r="DP56" s="16"/>
      <c r="DQ56" s="109"/>
      <c r="DR56" s="16"/>
      <c r="DS56" s="16"/>
      <c r="DT56" s="16"/>
      <c r="DU56" s="16"/>
      <c r="DV56" s="16"/>
      <c r="DW56" s="16"/>
      <c r="DX56" s="109"/>
      <c r="DY56" s="16"/>
      <c r="DZ56" s="16"/>
      <c r="EA56" s="16"/>
      <c r="EB56" s="16"/>
      <c r="EC56" s="16"/>
      <c r="ED56" s="16"/>
      <c r="EE56" s="109"/>
      <c r="EF56" s="16"/>
      <c r="EG56" s="16"/>
      <c r="EH56" s="16"/>
      <c r="EI56" s="16"/>
      <c r="EJ56" s="16"/>
      <c r="EK56" s="16"/>
      <c r="EL56" s="109"/>
      <c r="EM56" s="16"/>
      <c r="EN56" s="16"/>
      <c r="EO56" s="5">
        <f t="shared" si="3"/>
        <v>26</v>
      </c>
      <c r="EP56" s="5">
        <f t="shared" si="4"/>
        <v>5</v>
      </c>
    </row>
    <row r="57" spans="1:146" x14ac:dyDescent="0.25">
      <c r="A57" s="17">
        <v>52</v>
      </c>
      <c r="B57" s="19">
        <v>140</v>
      </c>
      <c r="C57" s="20" t="s">
        <v>263</v>
      </c>
      <c r="D57" s="21" t="s">
        <v>262</v>
      </c>
      <c r="E57" s="11" t="s">
        <v>8</v>
      </c>
      <c r="F57" s="16" t="s">
        <v>166</v>
      </c>
      <c r="G57" s="16" t="s">
        <v>166</v>
      </c>
      <c r="H57" s="16" t="s">
        <v>166</v>
      </c>
      <c r="I57" s="109"/>
      <c r="J57" s="16" t="s">
        <v>166</v>
      </c>
      <c r="K57" s="112"/>
      <c r="L57" s="16" t="s">
        <v>166</v>
      </c>
      <c r="M57" s="16" t="s">
        <v>166</v>
      </c>
      <c r="N57" s="16" t="s">
        <v>166</v>
      </c>
      <c r="O57" s="112"/>
      <c r="P57" s="109"/>
      <c r="Q57" s="112"/>
      <c r="R57" s="16" t="s">
        <v>166</v>
      </c>
      <c r="S57" s="16" t="s">
        <v>165</v>
      </c>
      <c r="T57" s="16" t="s">
        <v>166</v>
      </c>
      <c r="U57" s="112"/>
      <c r="V57" s="16"/>
      <c r="W57" s="109"/>
      <c r="X57" s="16" t="s">
        <v>166</v>
      </c>
      <c r="Y57" s="16" t="s">
        <v>166</v>
      </c>
      <c r="Z57" s="16" t="s">
        <v>165</v>
      </c>
      <c r="AA57" s="16" t="s">
        <v>166</v>
      </c>
      <c r="AB57" s="16" t="s">
        <v>166</v>
      </c>
      <c r="AC57" s="16" t="s">
        <v>166</v>
      </c>
      <c r="AD57" s="109"/>
      <c r="AE57" s="16" t="s">
        <v>166</v>
      </c>
      <c r="AF57" s="16" t="s">
        <v>166</v>
      </c>
      <c r="AG57" s="16" t="s">
        <v>166</v>
      </c>
      <c r="AH57" s="16" t="s">
        <v>166</v>
      </c>
      <c r="AI57" s="16" t="s">
        <v>165</v>
      </c>
      <c r="AJ57" s="16" t="s">
        <v>165</v>
      </c>
      <c r="AK57" s="109"/>
      <c r="AL57" s="16" t="s">
        <v>166</v>
      </c>
      <c r="AM57" s="112"/>
      <c r="AN57" s="16" t="s">
        <v>166</v>
      </c>
      <c r="AO57" s="16" t="s">
        <v>166</v>
      </c>
      <c r="AP57" s="16" t="s">
        <v>166</v>
      </c>
      <c r="AQ57" s="16" t="s">
        <v>165</v>
      </c>
      <c r="AR57" s="109"/>
      <c r="AS57" s="16" t="s">
        <v>166</v>
      </c>
      <c r="AT57" s="16" t="s">
        <v>166</v>
      </c>
      <c r="AU57" s="16" t="s">
        <v>166</v>
      </c>
      <c r="AV57" s="16" t="s">
        <v>166</v>
      </c>
      <c r="AW57" s="16"/>
      <c r="AX57" s="16"/>
      <c r="AY57" s="109"/>
      <c r="AZ57" s="16"/>
      <c r="BA57" s="16"/>
      <c r="BB57" s="16"/>
      <c r="BC57" s="16"/>
      <c r="BD57" s="16"/>
      <c r="BE57" s="16"/>
      <c r="BF57" s="109"/>
      <c r="BG57" s="16"/>
      <c r="BH57" s="16"/>
      <c r="BI57" s="16"/>
      <c r="BJ57" s="16"/>
      <c r="BK57" s="16"/>
      <c r="BL57" s="16"/>
      <c r="BM57" s="109"/>
      <c r="BN57" s="16"/>
      <c r="BO57" s="16"/>
      <c r="BP57" s="16"/>
      <c r="BQ57" s="16"/>
      <c r="BR57" s="16"/>
      <c r="BS57" s="16"/>
      <c r="BT57" s="109"/>
      <c r="BU57" s="16"/>
      <c r="BV57" s="16"/>
      <c r="BW57" s="16"/>
      <c r="BX57" s="16"/>
      <c r="BY57" s="16"/>
      <c r="BZ57" s="16"/>
      <c r="CA57" s="109"/>
      <c r="CB57" s="16"/>
      <c r="CC57" s="16"/>
      <c r="CD57" s="16"/>
      <c r="CE57" s="16"/>
      <c r="CF57" s="16"/>
      <c r="CG57" s="16"/>
      <c r="CH57" s="109"/>
      <c r="CI57" s="16"/>
      <c r="CJ57" s="16"/>
      <c r="CK57" s="16"/>
      <c r="CL57" s="16"/>
      <c r="CM57" s="16"/>
      <c r="CN57" s="16"/>
      <c r="CO57" s="109"/>
      <c r="CP57" s="16"/>
      <c r="CQ57" s="16"/>
      <c r="CR57" s="16"/>
      <c r="CS57" s="16"/>
      <c r="CT57" s="16"/>
      <c r="CU57" s="16"/>
      <c r="CV57" s="109"/>
      <c r="CW57" s="16"/>
      <c r="CX57" s="16"/>
      <c r="CY57" s="16"/>
      <c r="CZ57" s="16"/>
      <c r="DA57" s="16"/>
      <c r="DB57" s="16"/>
      <c r="DC57" s="109"/>
      <c r="DD57" s="16"/>
      <c r="DE57" s="16"/>
      <c r="DF57" s="16"/>
      <c r="DG57" s="16"/>
      <c r="DH57" s="16"/>
      <c r="DI57" s="16"/>
      <c r="DJ57" s="109"/>
      <c r="DK57" s="16"/>
      <c r="DL57" s="16"/>
      <c r="DM57" s="16"/>
      <c r="DN57" s="16"/>
      <c r="DO57" s="16"/>
      <c r="DP57" s="16"/>
      <c r="DQ57" s="109"/>
      <c r="DR57" s="16"/>
      <c r="DS57" s="16"/>
      <c r="DT57" s="16"/>
      <c r="DU57" s="16"/>
      <c r="DV57" s="16"/>
      <c r="DW57" s="16"/>
      <c r="DX57" s="109"/>
      <c r="DY57" s="16"/>
      <c r="DZ57" s="16"/>
      <c r="EA57" s="16"/>
      <c r="EB57" s="16"/>
      <c r="EC57" s="16"/>
      <c r="ED57" s="16"/>
      <c r="EE57" s="109"/>
      <c r="EF57" s="16"/>
      <c r="EG57" s="16"/>
      <c r="EH57" s="16"/>
      <c r="EI57" s="16"/>
      <c r="EJ57" s="16"/>
      <c r="EK57" s="16"/>
      <c r="EL57" s="109"/>
      <c r="EM57" s="16"/>
      <c r="EN57" s="16"/>
      <c r="EO57" s="5">
        <f t="shared" si="3"/>
        <v>26</v>
      </c>
      <c r="EP57" s="5">
        <f t="shared" si="4"/>
        <v>5</v>
      </c>
    </row>
    <row r="58" spans="1:146" x14ac:dyDescent="0.25">
      <c r="A58" s="28">
        <v>53</v>
      </c>
      <c r="B58" s="19"/>
      <c r="C58" s="20" t="s">
        <v>264</v>
      </c>
      <c r="D58" s="21"/>
      <c r="E58" s="11" t="s">
        <v>8</v>
      </c>
      <c r="F58" s="16" t="s">
        <v>166</v>
      </c>
      <c r="G58" s="16" t="s">
        <v>166</v>
      </c>
      <c r="H58" s="16" t="s">
        <v>166</v>
      </c>
      <c r="I58" s="109"/>
      <c r="J58" s="16" t="s">
        <v>166</v>
      </c>
      <c r="K58" s="112"/>
      <c r="L58" s="16" t="s">
        <v>166</v>
      </c>
      <c r="M58" s="16" t="s">
        <v>165</v>
      </c>
      <c r="N58" s="16" t="s">
        <v>166</v>
      </c>
      <c r="O58" s="112"/>
      <c r="P58" s="109"/>
      <c r="Q58" s="112"/>
      <c r="R58" s="16" t="s">
        <v>165</v>
      </c>
      <c r="S58" s="16" t="s">
        <v>165</v>
      </c>
      <c r="T58" s="16" t="s">
        <v>165</v>
      </c>
      <c r="U58" s="112"/>
      <c r="V58" s="16"/>
      <c r="W58" s="109"/>
      <c r="X58" s="16" t="s">
        <v>166</v>
      </c>
      <c r="Y58" s="16" t="s">
        <v>166</v>
      </c>
      <c r="Z58" s="16" t="s">
        <v>166</v>
      </c>
      <c r="AA58" s="16" t="s">
        <v>166</v>
      </c>
      <c r="AB58" s="16" t="s">
        <v>166</v>
      </c>
      <c r="AC58" s="16" t="s">
        <v>166</v>
      </c>
      <c r="AD58" s="109"/>
      <c r="AE58" s="16" t="s">
        <v>166</v>
      </c>
      <c r="AF58" s="16" t="s">
        <v>166</v>
      </c>
      <c r="AG58" s="16" t="s">
        <v>166</v>
      </c>
      <c r="AH58" s="16" t="s">
        <v>166</v>
      </c>
      <c r="AI58" s="16" t="s">
        <v>166</v>
      </c>
      <c r="AJ58" s="16" t="s">
        <v>166</v>
      </c>
      <c r="AK58" s="109"/>
      <c r="AL58" s="16" t="s">
        <v>166</v>
      </c>
      <c r="AM58" s="112"/>
      <c r="AN58" s="16" t="s">
        <v>166</v>
      </c>
      <c r="AO58" s="16" t="s">
        <v>166</v>
      </c>
      <c r="AP58" s="16" t="s">
        <v>166</v>
      </c>
      <c r="AQ58" s="16" t="s">
        <v>165</v>
      </c>
      <c r="AR58" s="109"/>
      <c r="AS58" s="16" t="s">
        <v>166</v>
      </c>
      <c r="AT58" s="16" t="s">
        <v>166</v>
      </c>
      <c r="AU58" s="16" t="s">
        <v>166</v>
      </c>
      <c r="AV58" s="16" t="s">
        <v>165</v>
      </c>
      <c r="AW58" s="16"/>
      <c r="AX58" s="16"/>
      <c r="AY58" s="109"/>
      <c r="AZ58" s="16"/>
      <c r="BA58" s="16"/>
      <c r="BB58" s="16"/>
      <c r="BC58" s="16"/>
      <c r="BD58" s="16"/>
      <c r="BE58" s="16"/>
      <c r="BF58" s="109"/>
      <c r="BG58" s="16"/>
      <c r="BH58" s="16"/>
      <c r="BI58" s="16"/>
      <c r="BJ58" s="16"/>
      <c r="BK58" s="16"/>
      <c r="BL58" s="16"/>
      <c r="BM58" s="109"/>
      <c r="BN58" s="16"/>
      <c r="BO58" s="16"/>
      <c r="BP58" s="16"/>
      <c r="BQ58" s="16"/>
      <c r="BR58" s="16"/>
      <c r="BS58" s="16"/>
      <c r="BT58" s="109"/>
      <c r="BU58" s="16"/>
      <c r="BV58" s="16"/>
      <c r="BW58" s="16"/>
      <c r="BX58" s="16"/>
      <c r="BY58" s="16"/>
      <c r="BZ58" s="16"/>
      <c r="CA58" s="109"/>
      <c r="CB58" s="16"/>
      <c r="CC58" s="16"/>
      <c r="CD58" s="16"/>
      <c r="CE58" s="16"/>
      <c r="CF58" s="16"/>
      <c r="CG58" s="16"/>
      <c r="CH58" s="109"/>
      <c r="CI58" s="16"/>
      <c r="CJ58" s="16"/>
      <c r="CK58" s="16"/>
      <c r="CL58" s="16"/>
      <c r="CM58" s="16"/>
      <c r="CN58" s="16"/>
      <c r="CO58" s="109"/>
      <c r="CP58" s="16"/>
      <c r="CQ58" s="16"/>
      <c r="CR58" s="16"/>
      <c r="CS58" s="16"/>
      <c r="CT58" s="16"/>
      <c r="CU58" s="16"/>
      <c r="CV58" s="109"/>
      <c r="CW58" s="16"/>
      <c r="CX58" s="16"/>
      <c r="CY58" s="16"/>
      <c r="CZ58" s="16"/>
      <c r="DA58" s="16"/>
      <c r="DB58" s="16"/>
      <c r="DC58" s="109"/>
      <c r="DD58" s="16"/>
      <c r="DE58" s="16"/>
      <c r="DF58" s="16"/>
      <c r="DG58" s="16"/>
      <c r="DH58" s="16"/>
      <c r="DI58" s="16"/>
      <c r="DJ58" s="109"/>
      <c r="DK58" s="16"/>
      <c r="DL58" s="16"/>
      <c r="DM58" s="16"/>
      <c r="DN58" s="16"/>
      <c r="DO58" s="16"/>
      <c r="DP58" s="16"/>
      <c r="DQ58" s="109"/>
      <c r="DR58" s="16"/>
      <c r="DS58" s="16"/>
      <c r="DT58" s="16"/>
      <c r="DU58" s="16"/>
      <c r="DV58" s="16"/>
      <c r="DW58" s="16"/>
      <c r="DX58" s="109"/>
      <c r="DY58" s="16"/>
      <c r="DZ58" s="16"/>
      <c r="EA58" s="16"/>
      <c r="EB58" s="16"/>
      <c r="EC58" s="16"/>
      <c r="ED58" s="16"/>
      <c r="EE58" s="109"/>
      <c r="EF58" s="16"/>
      <c r="EG58" s="16"/>
      <c r="EH58" s="16"/>
      <c r="EI58" s="16"/>
      <c r="EJ58" s="16"/>
      <c r="EK58" s="16"/>
      <c r="EL58" s="109"/>
      <c r="EM58" s="16"/>
      <c r="EN58" s="16"/>
      <c r="EO58" s="5">
        <f t="shared" si="3"/>
        <v>25</v>
      </c>
      <c r="EP58" s="5">
        <f t="shared" si="4"/>
        <v>6</v>
      </c>
    </row>
    <row r="59" spans="1:146" x14ac:dyDescent="0.25">
      <c r="A59" s="17">
        <v>54</v>
      </c>
      <c r="B59" s="19"/>
      <c r="C59" s="20" t="s">
        <v>267</v>
      </c>
      <c r="D59" s="21"/>
      <c r="E59" s="11" t="s">
        <v>8</v>
      </c>
      <c r="F59" s="16"/>
      <c r="G59" s="16"/>
      <c r="H59" s="16"/>
      <c r="I59" s="109"/>
      <c r="J59" s="16"/>
      <c r="K59" s="112"/>
      <c r="L59" s="16"/>
      <c r="M59" s="16"/>
      <c r="N59" s="16"/>
      <c r="O59" s="112"/>
      <c r="P59" s="109"/>
      <c r="Q59" s="112"/>
      <c r="R59" s="16"/>
      <c r="S59" s="16"/>
      <c r="T59" s="16"/>
      <c r="U59" s="112"/>
      <c r="V59" s="16"/>
      <c r="W59" s="109"/>
      <c r="X59" s="16" t="s">
        <v>166</v>
      </c>
      <c r="Y59" s="16" t="s">
        <v>166</v>
      </c>
      <c r="Z59" s="16" t="s">
        <v>166</v>
      </c>
      <c r="AA59" s="16" t="s">
        <v>165</v>
      </c>
      <c r="AB59" s="16" t="s">
        <v>166</v>
      </c>
      <c r="AC59" s="16" t="s">
        <v>166</v>
      </c>
      <c r="AD59" s="109"/>
      <c r="AE59" s="16" t="s">
        <v>166</v>
      </c>
      <c r="AF59" s="16" t="s">
        <v>165</v>
      </c>
      <c r="AG59" s="16" t="s">
        <v>165</v>
      </c>
      <c r="AH59" s="16" t="s">
        <v>166</v>
      </c>
      <c r="AI59" s="16" t="s">
        <v>166</v>
      </c>
      <c r="AJ59" s="16" t="s">
        <v>166</v>
      </c>
      <c r="AK59" s="109"/>
      <c r="AL59" s="16" t="s">
        <v>166</v>
      </c>
      <c r="AM59" s="112"/>
      <c r="AN59" s="16" t="s">
        <v>166</v>
      </c>
      <c r="AO59" s="16" t="s">
        <v>166</v>
      </c>
      <c r="AP59" s="16" t="s">
        <v>166</v>
      </c>
      <c r="AQ59" s="16" t="s">
        <v>166</v>
      </c>
      <c r="AR59" s="109"/>
      <c r="AS59" s="16" t="s">
        <v>166</v>
      </c>
      <c r="AT59" s="16" t="s">
        <v>166</v>
      </c>
      <c r="AU59" s="16" t="s">
        <v>166</v>
      </c>
      <c r="AV59" s="16" t="s">
        <v>166</v>
      </c>
      <c r="AW59" s="16"/>
      <c r="AX59" s="16"/>
      <c r="AY59" s="109"/>
      <c r="AZ59" s="16"/>
      <c r="BA59" s="16"/>
      <c r="BB59" s="16"/>
      <c r="BC59" s="16"/>
      <c r="BD59" s="16"/>
      <c r="BE59" s="16"/>
      <c r="BF59" s="109"/>
      <c r="BG59" s="16"/>
      <c r="BH59" s="16"/>
      <c r="BI59" s="16"/>
      <c r="BJ59" s="16"/>
      <c r="BK59" s="16"/>
      <c r="BL59" s="16"/>
      <c r="BM59" s="109"/>
      <c r="BN59" s="16"/>
      <c r="BO59" s="16"/>
      <c r="BP59" s="16"/>
      <c r="BQ59" s="16"/>
      <c r="BR59" s="16"/>
      <c r="BS59" s="16"/>
      <c r="BT59" s="109"/>
      <c r="BU59" s="16"/>
      <c r="BV59" s="16"/>
      <c r="BW59" s="16"/>
      <c r="BX59" s="16"/>
      <c r="BY59" s="16"/>
      <c r="BZ59" s="16"/>
      <c r="CA59" s="109"/>
      <c r="CB59" s="16"/>
      <c r="CC59" s="16"/>
      <c r="CD59" s="16"/>
      <c r="CE59" s="16"/>
      <c r="CF59" s="16"/>
      <c r="CG59" s="16"/>
      <c r="CH59" s="109"/>
      <c r="CI59" s="16"/>
      <c r="CJ59" s="16"/>
      <c r="CK59" s="16"/>
      <c r="CL59" s="16"/>
      <c r="CM59" s="16"/>
      <c r="CN59" s="16"/>
      <c r="CO59" s="109"/>
      <c r="CP59" s="16"/>
      <c r="CQ59" s="16"/>
      <c r="CR59" s="16"/>
      <c r="CS59" s="16"/>
      <c r="CT59" s="16"/>
      <c r="CU59" s="16"/>
      <c r="CV59" s="109"/>
      <c r="CW59" s="16"/>
      <c r="CX59" s="16"/>
      <c r="CY59" s="16"/>
      <c r="CZ59" s="16"/>
      <c r="DA59" s="16"/>
      <c r="DB59" s="16"/>
      <c r="DC59" s="109"/>
      <c r="DD59" s="16"/>
      <c r="DE59" s="16"/>
      <c r="DF59" s="16"/>
      <c r="DG59" s="16"/>
      <c r="DH59" s="16"/>
      <c r="DI59" s="16"/>
      <c r="DJ59" s="109"/>
      <c r="DK59" s="16"/>
      <c r="DL59" s="16"/>
      <c r="DM59" s="16"/>
      <c r="DN59" s="16"/>
      <c r="DO59" s="16"/>
      <c r="DP59" s="16"/>
      <c r="DQ59" s="109"/>
      <c r="DR59" s="16"/>
      <c r="DS59" s="16"/>
      <c r="DT59" s="16"/>
      <c r="DU59" s="16"/>
      <c r="DV59" s="16"/>
      <c r="DW59" s="16"/>
      <c r="DX59" s="109"/>
      <c r="DY59" s="16"/>
      <c r="DZ59" s="16"/>
      <c r="EA59" s="16"/>
      <c r="EB59" s="16"/>
      <c r="EC59" s="16"/>
      <c r="ED59" s="16"/>
      <c r="EE59" s="109"/>
      <c r="EF59" s="16"/>
      <c r="EG59" s="16"/>
      <c r="EH59" s="16"/>
      <c r="EI59" s="16"/>
      <c r="EJ59" s="16"/>
      <c r="EK59" s="16"/>
      <c r="EL59" s="109"/>
      <c r="EM59" s="16"/>
      <c r="EN59" s="16"/>
      <c r="EO59" s="5">
        <f t="shared" si="3"/>
        <v>18</v>
      </c>
      <c r="EP59" s="5">
        <f t="shared" si="4"/>
        <v>3</v>
      </c>
    </row>
    <row r="60" spans="1:146" x14ac:dyDescent="0.25">
      <c r="A60" s="28">
        <v>55</v>
      </c>
      <c r="B60" s="19"/>
      <c r="C60" s="20" t="s">
        <v>268</v>
      </c>
      <c r="D60" s="21" t="s">
        <v>154</v>
      </c>
      <c r="E60" s="11" t="s">
        <v>8</v>
      </c>
      <c r="F60" s="16"/>
      <c r="G60" s="16"/>
      <c r="H60" s="16"/>
      <c r="I60" s="109"/>
      <c r="J60" s="16"/>
      <c r="K60" s="112"/>
      <c r="L60" s="16"/>
      <c r="M60" s="16"/>
      <c r="N60" s="16"/>
      <c r="O60" s="112"/>
      <c r="P60" s="109"/>
      <c r="Q60" s="112"/>
      <c r="R60" s="16"/>
      <c r="S60" s="16"/>
      <c r="T60" s="16"/>
      <c r="U60" s="112"/>
      <c r="V60" s="16"/>
      <c r="W60" s="109"/>
      <c r="X60" s="16"/>
      <c r="Y60" s="16"/>
      <c r="Z60" s="16"/>
      <c r="AA60" s="16"/>
      <c r="AB60" s="16"/>
      <c r="AC60" s="16"/>
      <c r="AD60" s="109"/>
      <c r="AE60" s="16"/>
      <c r="AF60" s="16"/>
      <c r="AG60" s="16"/>
      <c r="AH60" s="16"/>
      <c r="AI60" s="16" t="s">
        <v>166</v>
      </c>
      <c r="AJ60" s="16" t="s">
        <v>166</v>
      </c>
      <c r="AK60" s="109"/>
      <c r="AL60" s="16"/>
      <c r="AM60" s="112"/>
      <c r="AN60" s="16" t="s">
        <v>166</v>
      </c>
      <c r="AO60" s="16" t="s">
        <v>166</v>
      </c>
      <c r="AP60" s="16" t="s">
        <v>166</v>
      </c>
      <c r="AQ60" s="16" t="s">
        <v>166</v>
      </c>
      <c r="AR60" s="109"/>
      <c r="AS60" s="16" t="s">
        <v>166</v>
      </c>
      <c r="AT60" s="16" t="s">
        <v>166</v>
      </c>
      <c r="AU60" s="16" t="s">
        <v>166</v>
      </c>
      <c r="AV60" s="16" t="s">
        <v>166</v>
      </c>
      <c r="AW60" s="16"/>
      <c r="AX60" s="16"/>
      <c r="AY60" s="109"/>
      <c r="AZ60" s="16"/>
      <c r="BA60" s="16"/>
      <c r="BB60" s="16"/>
      <c r="BC60" s="16"/>
      <c r="BD60" s="16"/>
      <c r="BE60" s="16"/>
      <c r="BF60" s="109"/>
      <c r="BG60" s="16"/>
      <c r="BH60" s="16"/>
      <c r="BI60" s="16"/>
      <c r="BJ60" s="16"/>
      <c r="BK60" s="16"/>
      <c r="BL60" s="16"/>
      <c r="BM60" s="109"/>
      <c r="BN60" s="16"/>
      <c r="BO60" s="16"/>
      <c r="BP60" s="16"/>
      <c r="BQ60" s="16"/>
      <c r="BR60" s="16"/>
      <c r="BS60" s="16"/>
      <c r="BT60" s="109"/>
      <c r="BU60" s="16"/>
      <c r="BV60" s="16"/>
      <c r="BW60" s="16"/>
      <c r="BX60" s="16"/>
      <c r="BY60" s="16"/>
      <c r="BZ60" s="16"/>
      <c r="CA60" s="109"/>
      <c r="CB60" s="16"/>
      <c r="CC60" s="16"/>
      <c r="CD60" s="16"/>
      <c r="CE60" s="16"/>
      <c r="CF60" s="16"/>
      <c r="CG60" s="16"/>
      <c r="CH60" s="109"/>
      <c r="CI60" s="16"/>
      <c r="CJ60" s="16"/>
      <c r="CK60" s="16"/>
      <c r="CL60" s="16"/>
      <c r="CM60" s="16"/>
      <c r="CN60" s="16"/>
      <c r="CO60" s="109"/>
      <c r="CP60" s="16"/>
      <c r="CQ60" s="16"/>
      <c r="CR60" s="16"/>
      <c r="CS60" s="16"/>
      <c r="CT60" s="16"/>
      <c r="CU60" s="16"/>
      <c r="CV60" s="109"/>
      <c r="CW60" s="16"/>
      <c r="CX60" s="16"/>
      <c r="CY60" s="16"/>
      <c r="CZ60" s="16"/>
      <c r="DA60" s="16"/>
      <c r="DB60" s="16"/>
      <c r="DC60" s="109"/>
      <c r="DD60" s="16"/>
      <c r="DE60" s="16"/>
      <c r="DF60" s="16"/>
      <c r="DG60" s="16"/>
      <c r="DH60" s="16"/>
      <c r="DI60" s="16"/>
      <c r="DJ60" s="109"/>
      <c r="DK60" s="16"/>
      <c r="DL60" s="16"/>
      <c r="DM60" s="16"/>
      <c r="DN60" s="16"/>
      <c r="DO60" s="16"/>
      <c r="DP60" s="16"/>
      <c r="DQ60" s="109"/>
      <c r="DR60" s="16"/>
      <c r="DS60" s="16"/>
      <c r="DT60" s="16"/>
      <c r="DU60" s="16"/>
      <c r="DV60" s="16"/>
      <c r="DW60" s="16"/>
      <c r="DX60" s="109"/>
      <c r="DY60" s="16"/>
      <c r="DZ60" s="16"/>
      <c r="EA60" s="16"/>
      <c r="EB60" s="16"/>
      <c r="EC60" s="16"/>
      <c r="ED60" s="16"/>
      <c r="EE60" s="109"/>
      <c r="EF60" s="16"/>
      <c r="EG60" s="16"/>
      <c r="EH60" s="16"/>
      <c r="EI60" s="16"/>
      <c r="EJ60" s="16"/>
      <c r="EK60" s="16"/>
      <c r="EL60" s="109"/>
      <c r="EM60" s="16"/>
      <c r="EN60" s="16"/>
      <c r="EO60" s="5">
        <f t="shared" si="3"/>
        <v>10</v>
      </c>
      <c r="EP60" s="5">
        <f t="shared" si="4"/>
        <v>0</v>
      </c>
    </row>
    <row r="61" spans="1:146" x14ac:dyDescent="0.25">
      <c r="A61" s="17">
        <v>56</v>
      </c>
      <c r="B61" s="19"/>
      <c r="C61" s="20" t="s">
        <v>128</v>
      </c>
      <c r="D61" s="21"/>
      <c r="E61" s="11" t="s">
        <v>8</v>
      </c>
      <c r="F61" s="16"/>
      <c r="G61" s="16"/>
      <c r="H61" s="16"/>
      <c r="I61" s="109"/>
      <c r="J61" s="16"/>
      <c r="K61" s="112"/>
      <c r="L61" s="16"/>
      <c r="M61" s="16"/>
      <c r="N61" s="16"/>
      <c r="O61" s="112"/>
      <c r="P61" s="109"/>
      <c r="Q61" s="112"/>
      <c r="R61" s="16"/>
      <c r="S61" s="16"/>
      <c r="T61" s="16"/>
      <c r="U61" s="112"/>
      <c r="V61" s="16"/>
      <c r="W61" s="109"/>
      <c r="X61" s="16" t="s">
        <v>166</v>
      </c>
      <c r="Y61" s="16" t="s">
        <v>166</v>
      </c>
      <c r="Z61" s="16" t="s">
        <v>166</v>
      </c>
      <c r="AA61" s="16" t="s">
        <v>166</v>
      </c>
      <c r="AB61" s="16" t="s">
        <v>166</v>
      </c>
      <c r="AC61" s="16" t="s">
        <v>166</v>
      </c>
      <c r="AD61" s="109"/>
      <c r="AE61" s="16" t="s">
        <v>166</v>
      </c>
      <c r="AF61" s="16" t="s">
        <v>166</v>
      </c>
      <c r="AG61" s="16" t="s">
        <v>166</v>
      </c>
      <c r="AH61" s="16" t="s">
        <v>166</v>
      </c>
      <c r="AI61" s="16" t="s">
        <v>166</v>
      </c>
      <c r="AJ61" s="16" t="s">
        <v>166</v>
      </c>
      <c r="AK61" s="109"/>
      <c r="AL61" s="16" t="s">
        <v>166</v>
      </c>
      <c r="AM61" s="112"/>
      <c r="AN61" s="16" t="s">
        <v>166</v>
      </c>
      <c r="AO61" s="16" t="s">
        <v>166</v>
      </c>
      <c r="AP61" s="16" t="s">
        <v>166</v>
      </c>
      <c r="AQ61" s="16" t="s">
        <v>165</v>
      </c>
      <c r="AR61" s="109"/>
      <c r="AS61" s="16" t="s">
        <v>166</v>
      </c>
      <c r="AT61" s="16" t="s">
        <v>166</v>
      </c>
      <c r="AU61" s="16" t="s">
        <v>166</v>
      </c>
      <c r="AV61" s="16" t="s">
        <v>166</v>
      </c>
      <c r="AW61" s="16"/>
      <c r="AX61" s="16"/>
      <c r="AY61" s="109"/>
      <c r="AZ61" s="16"/>
      <c r="BA61" s="16"/>
      <c r="BB61" s="16"/>
      <c r="BC61" s="16"/>
      <c r="BD61" s="16"/>
      <c r="BE61" s="16"/>
      <c r="BF61" s="109"/>
      <c r="BG61" s="16"/>
      <c r="BH61" s="16"/>
      <c r="BI61" s="16"/>
      <c r="BJ61" s="16"/>
      <c r="BK61" s="16"/>
      <c r="BL61" s="16"/>
      <c r="BM61" s="109"/>
      <c r="BN61" s="16"/>
      <c r="BO61" s="16"/>
      <c r="BP61" s="16"/>
      <c r="BQ61" s="16"/>
      <c r="BR61" s="16"/>
      <c r="BS61" s="16"/>
      <c r="BT61" s="109"/>
      <c r="BU61" s="16"/>
      <c r="BV61" s="16"/>
      <c r="BW61" s="16"/>
      <c r="BX61" s="16"/>
      <c r="BY61" s="16"/>
      <c r="BZ61" s="16"/>
      <c r="CA61" s="109"/>
      <c r="CB61" s="16"/>
      <c r="CC61" s="16"/>
      <c r="CD61" s="16"/>
      <c r="CE61" s="16"/>
      <c r="CF61" s="16"/>
      <c r="CG61" s="16"/>
      <c r="CH61" s="109"/>
      <c r="CI61" s="16"/>
      <c r="CJ61" s="16"/>
      <c r="CK61" s="16"/>
      <c r="CL61" s="16"/>
      <c r="CM61" s="16"/>
      <c r="CN61" s="16"/>
      <c r="CO61" s="109"/>
      <c r="CP61" s="16"/>
      <c r="CQ61" s="16"/>
      <c r="CR61" s="16"/>
      <c r="CS61" s="16"/>
      <c r="CT61" s="16"/>
      <c r="CU61" s="16"/>
      <c r="CV61" s="109"/>
      <c r="CW61" s="16"/>
      <c r="CX61" s="16"/>
      <c r="CY61" s="16"/>
      <c r="CZ61" s="16"/>
      <c r="DA61" s="16"/>
      <c r="DB61" s="16"/>
      <c r="DC61" s="109"/>
      <c r="DD61" s="16"/>
      <c r="DE61" s="16"/>
      <c r="DF61" s="16"/>
      <c r="DG61" s="16"/>
      <c r="DH61" s="16"/>
      <c r="DI61" s="16"/>
      <c r="DJ61" s="109"/>
      <c r="DK61" s="16"/>
      <c r="DL61" s="16"/>
      <c r="DM61" s="16"/>
      <c r="DN61" s="16"/>
      <c r="DO61" s="16"/>
      <c r="DP61" s="16"/>
      <c r="DQ61" s="109"/>
      <c r="DR61" s="16"/>
      <c r="DS61" s="16"/>
      <c r="DT61" s="16"/>
      <c r="DU61" s="16"/>
      <c r="DV61" s="16"/>
      <c r="DW61" s="16"/>
      <c r="DX61" s="109"/>
      <c r="DY61" s="16"/>
      <c r="DZ61" s="16"/>
      <c r="EA61" s="16"/>
      <c r="EB61" s="16"/>
      <c r="EC61" s="16"/>
      <c r="ED61" s="16"/>
      <c r="EE61" s="109"/>
      <c r="EF61" s="16"/>
      <c r="EG61" s="16"/>
      <c r="EH61" s="16"/>
      <c r="EI61" s="16"/>
      <c r="EJ61" s="16"/>
      <c r="EK61" s="16"/>
      <c r="EL61" s="109"/>
      <c r="EM61" s="16"/>
      <c r="EN61" s="16"/>
      <c r="EO61" s="5">
        <f t="shared" si="3"/>
        <v>20</v>
      </c>
      <c r="EP61" s="5">
        <f t="shared" si="4"/>
        <v>1</v>
      </c>
    </row>
    <row r="62" spans="1:146" x14ac:dyDescent="0.25">
      <c r="A62" s="28">
        <v>57</v>
      </c>
      <c r="B62" s="19"/>
      <c r="C62" s="20" t="s">
        <v>269</v>
      </c>
      <c r="D62" s="21"/>
      <c r="E62" s="11" t="s">
        <v>8</v>
      </c>
      <c r="F62" s="16"/>
      <c r="G62" s="16"/>
      <c r="H62" s="16"/>
      <c r="I62" s="109"/>
      <c r="J62" s="16"/>
      <c r="K62" s="112"/>
      <c r="L62" s="16"/>
      <c r="M62" s="16"/>
      <c r="N62" s="16"/>
      <c r="O62" s="112"/>
      <c r="P62" s="109"/>
      <c r="Q62" s="112"/>
      <c r="R62" s="16"/>
      <c r="S62" s="16"/>
      <c r="T62" s="16"/>
      <c r="U62" s="112"/>
      <c r="V62" s="16"/>
      <c r="W62" s="109"/>
      <c r="X62" s="16"/>
      <c r="Y62" s="16"/>
      <c r="Z62" s="16"/>
      <c r="AA62" s="16"/>
      <c r="AB62" s="16"/>
      <c r="AC62" s="16"/>
      <c r="AD62" s="109"/>
      <c r="AE62" s="16"/>
      <c r="AF62" s="16"/>
      <c r="AG62" s="16"/>
      <c r="AH62" s="16"/>
      <c r="AI62" s="16"/>
      <c r="AJ62" s="16"/>
      <c r="AK62" s="109"/>
      <c r="AL62" s="16"/>
      <c r="AM62" s="112"/>
      <c r="AN62" s="16" t="s">
        <v>166</v>
      </c>
      <c r="AO62" s="16" t="s">
        <v>166</v>
      </c>
      <c r="AP62" s="16" t="s">
        <v>166</v>
      </c>
      <c r="AQ62" s="16" t="s">
        <v>166</v>
      </c>
      <c r="AR62" s="109"/>
      <c r="AS62" s="16" t="s">
        <v>166</v>
      </c>
      <c r="AT62" s="16" t="s">
        <v>166</v>
      </c>
      <c r="AU62" s="16" t="s">
        <v>166</v>
      </c>
      <c r="AV62" s="16" t="s">
        <v>166</v>
      </c>
      <c r="AW62" s="16"/>
      <c r="AX62" s="16"/>
      <c r="AY62" s="109"/>
      <c r="AZ62" s="16"/>
      <c r="BA62" s="16"/>
      <c r="BB62" s="16"/>
      <c r="BC62" s="16"/>
      <c r="BD62" s="16"/>
      <c r="BE62" s="16"/>
      <c r="BF62" s="109"/>
      <c r="BG62" s="16"/>
      <c r="BH62" s="16"/>
      <c r="BI62" s="16"/>
      <c r="BJ62" s="16"/>
      <c r="BK62" s="16"/>
      <c r="BL62" s="16"/>
      <c r="BM62" s="109"/>
      <c r="BN62" s="16"/>
      <c r="BO62" s="16"/>
      <c r="BP62" s="16"/>
      <c r="BQ62" s="16"/>
      <c r="BR62" s="16"/>
      <c r="BS62" s="16"/>
      <c r="BT62" s="109"/>
      <c r="BU62" s="16"/>
      <c r="BV62" s="16"/>
      <c r="BW62" s="16"/>
      <c r="BX62" s="16"/>
      <c r="BY62" s="16"/>
      <c r="BZ62" s="16"/>
      <c r="CA62" s="109"/>
      <c r="CB62" s="16"/>
      <c r="CC62" s="16"/>
      <c r="CD62" s="16"/>
      <c r="CE62" s="16"/>
      <c r="CF62" s="16"/>
      <c r="CG62" s="16"/>
      <c r="CH62" s="109"/>
      <c r="CI62" s="16"/>
      <c r="CJ62" s="16"/>
      <c r="CK62" s="16"/>
      <c r="CL62" s="16"/>
      <c r="CM62" s="16"/>
      <c r="CN62" s="16"/>
      <c r="CO62" s="109"/>
      <c r="CP62" s="16"/>
      <c r="CQ62" s="16"/>
      <c r="CR62" s="16"/>
      <c r="CS62" s="16"/>
      <c r="CT62" s="16"/>
      <c r="CU62" s="16"/>
      <c r="CV62" s="109"/>
      <c r="CW62" s="16"/>
      <c r="CX62" s="16"/>
      <c r="CY62" s="16"/>
      <c r="CZ62" s="16"/>
      <c r="DA62" s="16"/>
      <c r="DB62" s="16"/>
      <c r="DC62" s="109"/>
      <c r="DD62" s="16"/>
      <c r="DE62" s="16"/>
      <c r="DF62" s="16"/>
      <c r="DG62" s="16"/>
      <c r="DH62" s="16"/>
      <c r="DI62" s="16"/>
      <c r="DJ62" s="109"/>
      <c r="DK62" s="16"/>
      <c r="DL62" s="16"/>
      <c r="DM62" s="16"/>
      <c r="DN62" s="16"/>
      <c r="DO62" s="16"/>
      <c r="DP62" s="16"/>
      <c r="DQ62" s="109"/>
      <c r="DR62" s="16"/>
      <c r="DS62" s="16"/>
      <c r="DT62" s="16"/>
      <c r="DU62" s="16"/>
      <c r="DV62" s="16"/>
      <c r="DW62" s="16"/>
      <c r="DX62" s="109"/>
      <c r="DY62" s="16"/>
      <c r="DZ62" s="16"/>
      <c r="EA62" s="16"/>
      <c r="EB62" s="16"/>
      <c r="EC62" s="16"/>
      <c r="ED62" s="16"/>
      <c r="EE62" s="109"/>
      <c r="EF62" s="16"/>
      <c r="EG62" s="16"/>
      <c r="EH62" s="16"/>
      <c r="EI62" s="16"/>
      <c r="EJ62" s="16"/>
      <c r="EK62" s="16"/>
      <c r="EL62" s="109"/>
      <c r="EM62" s="16"/>
      <c r="EN62" s="16"/>
      <c r="EO62" s="5">
        <f t="shared" si="3"/>
        <v>8</v>
      </c>
      <c r="EP62" s="5">
        <f t="shared" si="4"/>
        <v>0</v>
      </c>
    </row>
    <row r="63" spans="1:146" x14ac:dyDescent="0.25">
      <c r="A63" s="17">
        <v>58</v>
      </c>
      <c r="B63" s="19"/>
      <c r="C63" s="20"/>
      <c r="D63" s="21"/>
      <c r="E63" s="11" t="s">
        <v>8</v>
      </c>
      <c r="F63" s="16"/>
      <c r="G63" s="16"/>
      <c r="H63" s="16"/>
      <c r="I63" s="109"/>
      <c r="J63" s="16"/>
      <c r="K63" s="112"/>
      <c r="L63" s="16"/>
      <c r="M63" s="16"/>
      <c r="N63" s="16"/>
      <c r="O63" s="112"/>
      <c r="P63" s="109"/>
      <c r="Q63" s="112"/>
      <c r="R63" s="16"/>
      <c r="S63" s="16"/>
      <c r="T63" s="16"/>
      <c r="U63" s="112"/>
      <c r="V63" s="16"/>
      <c r="W63" s="109"/>
      <c r="X63" s="16"/>
      <c r="Y63" s="16"/>
      <c r="Z63" s="16"/>
      <c r="AA63" s="16"/>
      <c r="AB63" s="16"/>
      <c r="AC63" s="16"/>
      <c r="AD63" s="109"/>
      <c r="AE63" s="16"/>
      <c r="AF63" s="16"/>
      <c r="AG63" s="16"/>
      <c r="AH63" s="16"/>
      <c r="AI63" s="16"/>
      <c r="AJ63" s="16"/>
      <c r="AK63" s="109"/>
      <c r="AL63" s="16"/>
      <c r="AM63" s="112"/>
      <c r="AN63" s="16"/>
      <c r="AO63" s="16"/>
      <c r="AP63" s="16"/>
      <c r="AQ63" s="16"/>
      <c r="AR63" s="109"/>
      <c r="AS63" s="16"/>
      <c r="AT63" s="16"/>
      <c r="AU63" s="16"/>
      <c r="AV63" s="16"/>
      <c r="AW63" s="16"/>
      <c r="AX63" s="16"/>
      <c r="AY63" s="109"/>
      <c r="AZ63" s="16"/>
      <c r="BA63" s="16"/>
      <c r="BB63" s="16"/>
      <c r="BC63" s="16"/>
      <c r="BD63" s="16"/>
      <c r="BE63" s="16"/>
      <c r="BF63" s="109"/>
      <c r="BG63" s="16"/>
      <c r="BH63" s="16"/>
      <c r="BI63" s="16"/>
      <c r="BJ63" s="16"/>
      <c r="BK63" s="16"/>
      <c r="BL63" s="16"/>
      <c r="BM63" s="109"/>
      <c r="BN63" s="16"/>
      <c r="BO63" s="16"/>
      <c r="BP63" s="16"/>
      <c r="BQ63" s="16"/>
      <c r="BR63" s="16"/>
      <c r="BS63" s="16"/>
      <c r="BT63" s="109"/>
      <c r="BU63" s="16"/>
      <c r="BV63" s="16"/>
      <c r="BW63" s="16"/>
      <c r="BX63" s="16"/>
      <c r="BY63" s="16"/>
      <c r="BZ63" s="16"/>
      <c r="CA63" s="109"/>
      <c r="CB63" s="16"/>
      <c r="CC63" s="16"/>
      <c r="CD63" s="16"/>
      <c r="CE63" s="16"/>
      <c r="CF63" s="16"/>
      <c r="CG63" s="16"/>
      <c r="CH63" s="109"/>
      <c r="CI63" s="16"/>
      <c r="CJ63" s="16"/>
      <c r="CK63" s="16"/>
      <c r="CL63" s="16"/>
      <c r="CM63" s="16"/>
      <c r="CN63" s="16"/>
      <c r="CO63" s="109"/>
      <c r="CP63" s="16"/>
      <c r="CQ63" s="16"/>
      <c r="CR63" s="16"/>
      <c r="CS63" s="16"/>
      <c r="CT63" s="16"/>
      <c r="CU63" s="16"/>
      <c r="CV63" s="109"/>
      <c r="CW63" s="16"/>
      <c r="CX63" s="16"/>
      <c r="CY63" s="16"/>
      <c r="CZ63" s="16"/>
      <c r="DA63" s="16"/>
      <c r="DB63" s="16"/>
      <c r="DC63" s="109"/>
      <c r="DD63" s="16"/>
      <c r="DE63" s="16"/>
      <c r="DF63" s="16"/>
      <c r="DG63" s="16"/>
      <c r="DH63" s="16"/>
      <c r="DI63" s="16"/>
      <c r="DJ63" s="109"/>
      <c r="DK63" s="16"/>
      <c r="DL63" s="16"/>
      <c r="DM63" s="16"/>
      <c r="DN63" s="16"/>
      <c r="DO63" s="16"/>
      <c r="DP63" s="16"/>
      <c r="DQ63" s="109"/>
      <c r="DR63" s="16"/>
      <c r="DS63" s="16"/>
      <c r="DT63" s="16"/>
      <c r="DU63" s="16"/>
      <c r="DV63" s="16"/>
      <c r="DW63" s="16"/>
      <c r="DX63" s="109"/>
      <c r="DY63" s="16"/>
      <c r="DZ63" s="16"/>
      <c r="EA63" s="16"/>
      <c r="EB63" s="16"/>
      <c r="EC63" s="16"/>
      <c r="ED63" s="16"/>
      <c r="EE63" s="109"/>
      <c r="EF63" s="16"/>
      <c r="EG63" s="16"/>
      <c r="EH63" s="16"/>
      <c r="EI63" s="16"/>
      <c r="EJ63" s="16"/>
      <c r="EK63" s="16"/>
      <c r="EL63" s="109"/>
      <c r="EM63" s="16"/>
      <c r="EN63" s="16"/>
      <c r="EO63" s="5">
        <f t="shared" si="3"/>
        <v>0</v>
      </c>
      <c r="EP63" s="5">
        <f t="shared" si="4"/>
        <v>0</v>
      </c>
    </row>
    <row r="64" spans="1:146" x14ac:dyDescent="0.25">
      <c r="A64" s="28">
        <v>59</v>
      </c>
      <c r="B64" s="19"/>
      <c r="C64" s="20"/>
      <c r="D64" s="20"/>
      <c r="E64" s="11" t="s">
        <v>8</v>
      </c>
      <c r="F64" s="16"/>
      <c r="G64" s="16"/>
      <c r="H64" s="16"/>
      <c r="I64" s="109"/>
      <c r="J64" s="16"/>
      <c r="K64" s="112"/>
      <c r="L64" s="16"/>
      <c r="M64" s="16"/>
      <c r="N64" s="16"/>
      <c r="O64" s="112"/>
      <c r="P64" s="109"/>
      <c r="Q64" s="112"/>
      <c r="R64" s="16"/>
      <c r="S64" s="16"/>
      <c r="T64" s="16"/>
      <c r="U64" s="112"/>
      <c r="V64" s="16"/>
      <c r="W64" s="109"/>
      <c r="X64" s="16"/>
      <c r="Y64" s="16"/>
      <c r="Z64" s="16"/>
      <c r="AA64" s="16"/>
      <c r="AB64" s="16"/>
      <c r="AC64" s="16"/>
      <c r="AD64" s="109"/>
      <c r="AE64" s="16"/>
      <c r="AF64" s="16"/>
      <c r="AG64" s="16"/>
      <c r="AH64" s="16"/>
      <c r="AI64" s="16"/>
      <c r="AJ64" s="16"/>
      <c r="AK64" s="109"/>
      <c r="AL64" s="16"/>
      <c r="AM64" s="112"/>
      <c r="AN64" s="16"/>
      <c r="AO64" s="16"/>
      <c r="AP64" s="16"/>
      <c r="AQ64" s="16"/>
      <c r="AR64" s="109"/>
      <c r="AS64" s="16"/>
      <c r="AT64" s="16"/>
      <c r="AU64" s="16"/>
      <c r="AV64" s="16"/>
      <c r="AW64" s="16"/>
      <c r="AX64" s="16"/>
      <c r="AY64" s="109"/>
      <c r="AZ64" s="16"/>
      <c r="BA64" s="16"/>
      <c r="BB64" s="16"/>
      <c r="BC64" s="16"/>
      <c r="BD64" s="16"/>
      <c r="BE64" s="16"/>
      <c r="BF64" s="109"/>
      <c r="BG64" s="16"/>
      <c r="BH64" s="16"/>
      <c r="BI64" s="16"/>
      <c r="BJ64" s="16"/>
      <c r="BK64" s="16"/>
      <c r="BL64" s="16"/>
      <c r="BM64" s="109"/>
      <c r="BN64" s="16"/>
      <c r="BO64" s="16"/>
      <c r="BP64" s="16"/>
      <c r="BQ64" s="16"/>
      <c r="BR64" s="16"/>
      <c r="BS64" s="16"/>
      <c r="BT64" s="109"/>
      <c r="BU64" s="16"/>
      <c r="BV64" s="16"/>
      <c r="BW64" s="16"/>
      <c r="BX64" s="16"/>
      <c r="BY64" s="16"/>
      <c r="BZ64" s="16"/>
      <c r="CA64" s="109"/>
      <c r="CB64" s="16"/>
      <c r="CC64" s="16"/>
      <c r="CD64" s="16"/>
      <c r="CE64" s="16"/>
      <c r="CF64" s="16"/>
      <c r="CG64" s="16"/>
      <c r="CH64" s="109"/>
      <c r="CI64" s="16"/>
      <c r="CJ64" s="16"/>
      <c r="CK64" s="16"/>
      <c r="CL64" s="16"/>
      <c r="CM64" s="16"/>
      <c r="CN64" s="16"/>
      <c r="CO64" s="109"/>
      <c r="CP64" s="16"/>
      <c r="CQ64" s="16"/>
      <c r="CR64" s="16"/>
      <c r="CS64" s="16"/>
      <c r="CT64" s="16"/>
      <c r="CU64" s="16"/>
      <c r="CV64" s="109"/>
      <c r="CW64" s="16"/>
      <c r="CX64" s="16"/>
      <c r="CY64" s="16"/>
      <c r="CZ64" s="16"/>
      <c r="DA64" s="16"/>
      <c r="DB64" s="16"/>
      <c r="DC64" s="109"/>
      <c r="DD64" s="16"/>
      <c r="DE64" s="16"/>
      <c r="DF64" s="16"/>
      <c r="DG64" s="16"/>
      <c r="DH64" s="16"/>
      <c r="DI64" s="16"/>
      <c r="DJ64" s="109"/>
      <c r="DK64" s="16"/>
      <c r="DL64" s="16"/>
      <c r="DM64" s="16"/>
      <c r="DN64" s="16"/>
      <c r="DO64" s="16"/>
      <c r="DP64" s="16"/>
      <c r="DQ64" s="109"/>
      <c r="DR64" s="16"/>
      <c r="DS64" s="16"/>
      <c r="DT64" s="16"/>
      <c r="DU64" s="16"/>
      <c r="DV64" s="16"/>
      <c r="DW64" s="16"/>
      <c r="DX64" s="109"/>
      <c r="DY64" s="16"/>
      <c r="DZ64" s="16"/>
      <c r="EA64" s="16"/>
      <c r="EB64" s="16"/>
      <c r="EC64" s="16"/>
      <c r="ED64" s="16"/>
      <c r="EE64" s="109"/>
      <c r="EF64" s="16"/>
      <c r="EG64" s="16"/>
      <c r="EH64" s="16"/>
      <c r="EI64" s="16"/>
      <c r="EJ64" s="16"/>
      <c r="EK64" s="16"/>
      <c r="EL64" s="109"/>
      <c r="EM64" s="16"/>
      <c r="EN64" s="16"/>
      <c r="EO64" s="5">
        <f t="shared" si="3"/>
        <v>0</v>
      </c>
      <c r="EP64" s="5">
        <f t="shared" si="4"/>
        <v>0</v>
      </c>
    </row>
    <row r="65" spans="1:146" x14ac:dyDescent="0.25">
      <c r="A65" s="17">
        <v>60</v>
      </c>
      <c r="B65" s="19"/>
      <c r="C65" s="20"/>
      <c r="D65" s="21"/>
      <c r="E65" s="11" t="s">
        <v>8</v>
      </c>
      <c r="F65" s="16"/>
      <c r="G65" s="16"/>
      <c r="H65" s="16"/>
      <c r="I65" s="109"/>
      <c r="J65" s="16"/>
      <c r="K65" s="112"/>
      <c r="L65" s="16"/>
      <c r="M65" s="16"/>
      <c r="N65" s="16"/>
      <c r="O65" s="112"/>
      <c r="P65" s="109"/>
      <c r="Q65" s="112"/>
      <c r="R65" s="16"/>
      <c r="S65" s="16"/>
      <c r="T65" s="16"/>
      <c r="U65" s="112"/>
      <c r="V65" s="16"/>
      <c r="W65" s="109"/>
      <c r="X65" s="16"/>
      <c r="Y65" s="16"/>
      <c r="Z65" s="16"/>
      <c r="AA65" s="16"/>
      <c r="AB65" s="16"/>
      <c r="AC65" s="16"/>
      <c r="AD65" s="109"/>
      <c r="AE65" s="16"/>
      <c r="AF65" s="16"/>
      <c r="AG65" s="16"/>
      <c r="AH65" s="16"/>
      <c r="AI65" s="16"/>
      <c r="AJ65" s="16"/>
      <c r="AK65" s="109"/>
      <c r="AL65" s="16"/>
      <c r="AM65" s="112"/>
      <c r="AN65" s="16"/>
      <c r="AO65" s="16"/>
      <c r="AP65" s="16"/>
      <c r="AQ65" s="16"/>
      <c r="AR65" s="109"/>
      <c r="AS65" s="16"/>
      <c r="AT65" s="16"/>
      <c r="AU65" s="16"/>
      <c r="AV65" s="16"/>
      <c r="AW65" s="16"/>
      <c r="AX65" s="16"/>
      <c r="AY65" s="109"/>
      <c r="AZ65" s="16"/>
      <c r="BA65" s="16"/>
      <c r="BB65" s="16"/>
      <c r="BC65" s="16"/>
      <c r="BD65" s="16"/>
      <c r="BE65" s="16"/>
      <c r="BF65" s="109"/>
      <c r="BG65" s="16"/>
      <c r="BH65" s="16"/>
      <c r="BI65" s="16"/>
      <c r="BJ65" s="16"/>
      <c r="BK65" s="16"/>
      <c r="BL65" s="16"/>
      <c r="BM65" s="109"/>
      <c r="BN65" s="16"/>
      <c r="BO65" s="16"/>
      <c r="BP65" s="16"/>
      <c r="BQ65" s="16"/>
      <c r="BR65" s="16"/>
      <c r="BS65" s="16"/>
      <c r="BT65" s="109"/>
      <c r="BU65" s="16"/>
      <c r="BV65" s="16"/>
      <c r="BW65" s="16"/>
      <c r="BX65" s="16"/>
      <c r="BY65" s="16"/>
      <c r="BZ65" s="16"/>
      <c r="CA65" s="109"/>
      <c r="CB65" s="16"/>
      <c r="CC65" s="16"/>
      <c r="CD65" s="16"/>
      <c r="CE65" s="16"/>
      <c r="CF65" s="16"/>
      <c r="CG65" s="16"/>
      <c r="CH65" s="109"/>
      <c r="CI65" s="16"/>
      <c r="CJ65" s="16"/>
      <c r="CK65" s="16"/>
      <c r="CL65" s="16"/>
      <c r="CM65" s="16"/>
      <c r="CN65" s="16"/>
      <c r="CO65" s="109"/>
      <c r="CP65" s="16"/>
      <c r="CQ65" s="16"/>
      <c r="CR65" s="16"/>
      <c r="CS65" s="16"/>
      <c r="CT65" s="16"/>
      <c r="CU65" s="16"/>
      <c r="CV65" s="109"/>
      <c r="CW65" s="16"/>
      <c r="CX65" s="16"/>
      <c r="CY65" s="16"/>
      <c r="CZ65" s="16"/>
      <c r="DA65" s="16"/>
      <c r="DB65" s="16"/>
      <c r="DC65" s="109"/>
      <c r="DD65" s="16"/>
      <c r="DE65" s="16"/>
      <c r="DF65" s="16"/>
      <c r="DG65" s="16"/>
      <c r="DH65" s="16"/>
      <c r="DI65" s="16"/>
      <c r="DJ65" s="109"/>
      <c r="DK65" s="16"/>
      <c r="DL65" s="16"/>
      <c r="DM65" s="16"/>
      <c r="DN65" s="16"/>
      <c r="DO65" s="16"/>
      <c r="DP65" s="16"/>
      <c r="DQ65" s="109"/>
      <c r="DR65" s="16"/>
      <c r="DS65" s="16"/>
      <c r="DT65" s="16"/>
      <c r="DU65" s="16"/>
      <c r="DV65" s="16"/>
      <c r="DW65" s="16"/>
      <c r="DX65" s="109"/>
      <c r="DY65" s="16"/>
      <c r="DZ65" s="16"/>
      <c r="EA65" s="16"/>
      <c r="EB65" s="16"/>
      <c r="EC65" s="16"/>
      <c r="ED65" s="16"/>
      <c r="EE65" s="109"/>
      <c r="EF65" s="16"/>
      <c r="EG65" s="16"/>
      <c r="EH65" s="16"/>
      <c r="EI65" s="16"/>
      <c r="EJ65" s="16"/>
      <c r="EK65" s="16"/>
      <c r="EL65" s="109"/>
      <c r="EM65" s="16"/>
      <c r="EN65" s="16"/>
      <c r="EO65" s="5">
        <f t="shared" si="3"/>
        <v>0</v>
      </c>
      <c r="EP65" s="5">
        <f t="shared" si="4"/>
        <v>0</v>
      </c>
    </row>
    <row r="66" spans="1:146" x14ac:dyDescent="0.25">
      <c r="A66" s="28">
        <v>61</v>
      </c>
      <c r="B66" s="19"/>
      <c r="C66" s="20"/>
      <c r="D66" s="21"/>
      <c r="E66" s="11" t="s">
        <v>8</v>
      </c>
      <c r="F66" s="16"/>
      <c r="G66" s="16"/>
      <c r="H66" s="16"/>
      <c r="I66" s="109"/>
      <c r="J66" s="16"/>
      <c r="K66" s="112"/>
      <c r="L66" s="16"/>
      <c r="M66" s="16"/>
      <c r="N66" s="16"/>
      <c r="O66" s="112"/>
      <c r="P66" s="109"/>
      <c r="Q66" s="112"/>
      <c r="R66" s="16"/>
      <c r="S66" s="16"/>
      <c r="T66" s="16"/>
      <c r="U66" s="112"/>
      <c r="V66" s="16"/>
      <c r="W66" s="109"/>
      <c r="X66" s="16"/>
      <c r="Y66" s="16"/>
      <c r="Z66" s="16"/>
      <c r="AA66" s="16"/>
      <c r="AB66" s="16"/>
      <c r="AC66" s="16"/>
      <c r="AD66" s="109"/>
      <c r="AE66" s="16"/>
      <c r="AF66" s="16"/>
      <c r="AG66" s="16"/>
      <c r="AH66" s="16"/>
      <c r="AI66" s="16"/>
      <c r="AJ66" s="16"/>
      <c r="AK66" s="109"/>
      <c r="AL66" s="16"/>
      <c r="AM66" s="112"/>
      <c r="AN66" s="16"/>
      <c r="AO66" s="16"/>
      <c r="AP66" s="16"/>
      <c r="AQ66" s="16"/>
      <c r="AR66" s="109"/>
      <c r="AS66" s="16"/>
      <c r="AT66" s="16"/>
      <c r="AU66" s="16"/>
      <c r="AV66" s="16"/>
      <c r="AW66" s="16"/>
      <c r="AX66" s="16"/>
      <c r="AY66" s="109"/>
      <c r="AZ66" s="16"/>
      <c r="BA66" s="16"/>
      <c r="BB66" s="16"/>
      <c r="BC66" s="16"/>
      <c r="BD66" s="16"/>
      <c r="BE66" s="16"/>
      <c r="BF66" s="109"/>
      <c r="BG66" s="16"/>
      <c r="BH66" s="16"/>
      <c r="BI66" s="16"/>
      <c r="BJ66" s="16"/>
      <c r="BK66" s="16"/>
      <c r="BL66" s="16"/>
      <c r="BM66" s="109"/>
      <c r="BN66" s="16"/>
      <c r="BO66" s="16"/>
      <c r="BP66" s="16"/>
      <c r="BQ66" s="16"/>
      <c r="BR66" s="16"/>
      <c r="BS66" s="16"/>
      <c r="BT66" s="109"/>
      <c r="BU66" s="16"/>
      <c r="BV66" s="16"/>
      <c r="BW66" s="16"/>
      <c r="BX66" s="16"/>
      <c r="BY66" s="16"/>
      <c r="BZ66" s="16"/>
      <c r="CA66" s="109"/>
      <c r="CB66" s="16"/>
      <c r="CC66" s="16"/>
      <c r="CD66" s="16"/>
      <c r="CE66" s="16"/>
      <c r="CF66" s="16"/>
      <c r="CG66" s="16"/>
      <c r="CH66" s="109"/>
      <c r="CI66" s="16"/>
      <c r="CJ66" s="16"/>
      <c r="CK66" s="16"/>
      <c r="CL66" s="16"/>
      <c r="CM66" s="16"/>
      <c r="CN66" s="16"/>
      <c r="CO66" s="109"/>
      <c r="CP66" s="16"/>
      <c r="CQ66" s="16"/>
      <c r="CR66" s="16"/>
      <c r="CS66" s="16"/>
      <c r="CT66" s="16"/>
      <c r="CU66" s="16"/>
      <c r="CV66" s="109"/>
      <c r="CW66" s="16"/>
      <c r="CX66" s="16"/>
      <c r="CY66" s="16"/>
      <c r="CZ66" s="16"/>
      <c r="DA66" s="16"/>
      <c r="DB66" s="16"/>
      <c r="DC66" s="109"/>
      <c r="DD66" s="16"/>
      <c r="DE66" s="16"/>
      <c r="DF66" s="16"/>
      <c r="DG66" s="16"/>
      <c r="DH66" s="16"/>
      <c r="DI66" s="16"/>
      <c r="DJ66" s="109"/>
      <c r="DK66" s="16"/>
      <c r="DL66" s="16"/>
      <c r="DM66" s="16"/>
      <c r="DN66" s="16"/>
      <c r="DO66" s="16"/>
      <c r="DP66" s="16"/>
      <c r="DQ66" s="109"/>
      <c r="DR66" s="16"/>
      <c r="DS66" s="16"/>
      <c r="DT66" s="16"/>
      <c r="DU66" s="16"/>
      <c r="DV66" s="16"/>
      <c r="DW66" s="16"/>
      <c r="DX66" s="109"/>
      <c r="DY66" s="16"/>
      <c r="DZ66" s="16"/>
      <c r="EA66" s="16"/>
      <c r="EB66" s="16"/>
      <c r="EC66" s="16"/>
      <c r="ED66" s="16"/>
      <c r="EE66" s="109"/>
      <c r="EF66" s="16"/>
      <c r="EG66" s="16"/>
      <c r="EH66" s="16"/>
      <c r="EI66" s="16"/>
      <c r="EJ66" s="16"/>
      <c r="EK66" s="16"/>
      <c r="EL66" s="109"/>
      <c r="EM66" s="16"/>
      <c r="EN66" s="16"/>
      <c r="EO66" s="5">
        <f t="shared" si="3"/>
        <v>0</v>
      </c>
      <c r="EP66" s="5">
        <f t="shared" si="4"/>
        <v>0</v>
      </c>
    </row>
    <row r="67" spans="1:146" x14ac:dyDescent="0.25">
      <c r="A67" s="17">
        <v>62</v>
      </c>
      <c r="B67" s="19"/>
      <c r="C67" s="20"/>
      <c r="D67" s="21"/>
      <c r="E67" s="11" t="s">
        <v>8</v>
      </c>
      <c r="F67" s="16"/>
      <c r="G67" s="16"/>
      <c r="H67" s="16"/>
      <c r="I67" s="109"/>
      <c r="J67" s="16"/>
      <c r="K67" s="112"/>
      <c r="L67" s="16"/>
      <c r="M67" s="16"/>
      <c r="N67" s="16"/>
      <c r="O67" s="112"/>
      <c r="P67" s="109"/>
      <c r="Q67" s="112"/>
      <c r="R67" s="16"/>
      <c r="S67" s="16"/>
      <c r="T67" s="16"/>
      <c r="U67" s="112"/>
      <c r="V67" s="16"/>
      <c r="W67" s="109"/>
      <c r="X67" s="16"/>
      <c r="Y67" s="16"/>
      <c r="Z67" s="16"/>
      <c r="AA67" s="16"/>
      <c r="AB67" s="16"/>
      <c r="AC67" s="16"/>
      <c r="AD67" s="109"/>
      <c r="AE67" s="16"/>
      <c r="AF67" s="16"/>
      <c r="AG67" s="16"/>
      <c r="AH67" s="16"/>
      <c r="AI67" s="16"/>
      <c r="AJ67" s="16"/>
      <c r="AK67" s="109"/>
      <c r="AL67" s="16"/>
      <c r="AM67" s="112"/>
      <c r="AN67" s="16"/>
      <c r="AO67" s="16"/>
      <c r="AP67" s="16"/>
      <c r="AQ67" s="16"/>
      <c r="AR67" s="109"/>
      <c r="AS67" s="16"/>
      <c r="AT67" s="16"/>
      <c r="AU67" s="16"/>
      <c r="AV67" s="16"/>
      <c r="AW67" s="16"/>
      <c r="AX67" s="16"/>
      <c r="AY67" s="109"/>
      <c r="AZ67" s="16"/>
      <c r="BA67" s="16"/>
      <c r="BB67" s="16"/>
      <c r="BC67" s="16"/>
      <c r="BD67" s="16"/>
      <c r="BE67" s="16"/>
      <c r="BF67" s="109"/>
      <c r="BG67" s="16"/>
      <c r="BH67" s="16"/>
      <c r="BI67" s="16"/>
      <c r="BJ67" s="16"/>
      <c r="BK67" s="16"/>
      <c r="BL67" s="16"/>
      <c r="BM67" s="109"/>
      <c r="BN67" s="16"/>
      <c r="BO67" s="16"/>
      <c r="BP67" s="16"/>
      <c r="BQ67" s="16"/>
      <c r="BR67" s="16"/>
      <c r="BS67" s="16"/>
      <c r="BT67" s="109"/>
      <c r="BU67" s="16"/>
      <c r="BV67" s="16"/>
      <c r="BW67" s="16"/>
      <c r="BX67" s="16"/>
      <c r="BY67" s="16"/>
      <c r="BZ67" s="16"/>
      <c r="CA67" s="109"/>
      <c r="CB67" s="16"/>
      <c r="CC67" s="16"/>
      <c r="CD67" s="16"/>
      <c r="CE67" s="16"/>
      <c r="CF67" s="16"/>
      <c r="CG67" s="16"/>
      <c r="CH67" s="109"/>
      <c r="CI67" s="16"/>
      <c r="CJ67" s="16"/>
      <c r="CK67" s="16"/>
      <c r="CL67" s="16"/>
      <c r="CM67" s="16"/>
      <c r="CN67" s="16"/>
      <c r="CO67" s="109"/>
      <c r="CP67" s="16"/>
      <c r="CQ67" s="16"/>
      <c r="CR67" s="16"/>
      <c r="CS67" s="16"/>
      <c r="CT67" s="16"/>
      <c r="CU67" s="16"/>
      <c r="CV67" s="109"/>
      <c r="CW67" s="16"/>
      <c r="CX67" s="16"/>
      <c r="CY67" s="16"/>
      <c r="CZ67" s="16"/>
      <c r="DA67" s="16"/>
      <c r="DB67" s="16"/>
      <c r="DC67" s="109"/>
      <c r="DD67" s="16"/>
      <c r="DE67" s="16"/>
      <c r="DF67" s="16"/>
      <c r="DG67" s="16"/>
      <c r="DH67" s="16"/>
      <c r="DI67" s="16"/>
      <c r="DJ67" s="109"/>
      <c r="DK67" s="16"/>
      <c r="DL67" s="16"/>
      <c r="DM67" s="16"/>
      <c r="DN67" s="16"/>
      <c r="DO67" s="16"/>
      <c r="DP67" s="16"/>
      <c r="DQ67" s="109"/>
      <c r="DR67" s="16"/>
      <c r="DS67" s="16"/>
      <c r="DT67" s="16"/>
      <c r="DU67" s="16"/>
      <c r="DV67" s="16"/>
      <c r="DW67" s="16"/>
      <c r="DX67" s="109"/>
      <c r="DY67" s="16"/>
      <c r="DZ67" s="16"/>
      <c r="EA67" s="16"/>
      <c r="EB67" s="16"/>
      <c r="EC67" s="16"/>
      <c r="ED67" s="16"/>
      <c r="EE67" s="109"/>
      <c r="EF67" s="16"/>
      <c r="EG67" s="16"/>
      <c r="EH67" s="16"/>
      <c r="EI67" s="16"/>
      <c r="EJ67" s="16"/>
      <c r="EK67" s="16"/>
      <c r="EL67" s="109"/>
      <c r="EM67" s="16"/>
      <c r="EN67" s="16"/>
      <c r="EO67" s="5">
        <f t="shared" si="3"/>
        <v>0</v>
      </c>
      <c r="EP67" s="5">
        <f t="shared" si="4"/>
        <v>0</v>
      </c>
    </row>
    <row r="68" spans="1:146" x14ac:dyDescent="0.25">
      <c r="A68" s="28">
        <v>63</v>
      </c>
      <c r="B68" s="19"/>
      <c r="C68" s="20"/>
      <c r="D68" s="21"/>
      <c r="E68" s="11" t="s">
        <v>8</v>
      </c>
      <c r="F68" s="16"/>
      <c r="G68" s="16"/>
      <c r="H68" s="16"/>
      <c r="I68" s="109"/>
      <c r="J68" s="16"/>
      <c r="K68" s="112"/>
      <c r="L68" s="16"/>
      <c r="M68" s="16"/>
      <c r="N68" s="16"/>
      <c r="O68" s="112"/>
      <c r="P68" s="109"/>
      <c r="Q68" s="112"/>
      <c r="R68" s="16"/>
      <c r="S68" s="16"/>
      <c r="T68" s="16"/>
      <c r="U68" s="112"/>
      <c r="V68" s="16"/>
      <c r="W68" s="109"/>
      <c r="X68" s="16"/>
      <c r="Y68" s="16"/>
      <c r="Z68" s="16"/>
      <c r="AA68" s="16"/>
      <c r="AB68" s="16"/>
      <c r="AC68" s="16"/>
      <c r="AD68" s="109"/>
      <c r="AE68" s="16"/>
      <c r="AF68" s="16"/>
      <c r="AG68" s="16"/>
      <c r="AH68" s="16"/>
      <c r="AI68" s="16"/>
      <c r="AJ68" s="16"/>
      <c r="AK68" s="109"/>
      <c r="AL68" s="16"/>
      <c r="AM68" s="112"/>
      <c r="AN68" s="16"/>
      <c r="AO68" s="16"/>
      <c r="AP68" s="16"/>
      <c r="AQ68" s="16"/>
      <c r="AR68" s="109"/>
      <c r="AS68" s="16"/>
      <c r="AT68" s="16"/>
      <c r="AU68" s="16"/>
      <c r="AV68" s="16"/>
      <c r="AW68" s="16"/>
      <c r="AX68" s="16"/>
      <c r="AY68" s="109"/>
      <c r="AZ68" s="16"/>
      <c r="BA68" s="16"/>
      <c r="BB68" s="16"/>
      <c r="BC68" s="16"/>
      <c r="BD68" s="16"/>
      <c r="BE68" s="16"/>
      <c r="BF68" s="109"/>
      <c r="BG68" s="16"/>
      <c r="BH68" s="16"/>
      <c r="BI68" s="16"/>
      <c r="BJ68" s="16"/>
      <c r="BK68" s="16"/>
      <c r="BL68" s="16"/>
      <c r="BM68" s="109"/>
      <c r="BN68" s="16"/>
      <c r="BO68" s="16"/>
      <c r="BP68" s="16"/>
      <c r="BQ68" s="16"/>
      <c r="BR68" s="16"/>
      <c r="BS68" s="16"/>
      <c r="BT68" s="109"/>
      <c r="BU68" s="16"/>
      <c r="BV68" s="16"/>
      <c r="BW68" s="16"/>
      <c r="BX68" s="16"/>
      <c r="BY68" s="16"/>
      <c r="BZ68" s="16"/>
      <c r="CA68" s="109"/>
      <c r="CB68" s="16"/>
      <c r="CC68" s="16"/>
      <c r="CD68" s="16"/>
      <c r="CE68" s="16"/>
      <c r="CF68" s="16"/>
      <c r="CG68" s="16"/>
      <c r="CH68" s="109"/>
      <c r="CI68" s="16"/>
      <c r="CJ68" s="16"/>
      <c r="CK68" s="16"/>
      <c r="CL68" s="16"/>
      <c r="CM68" s="16"/>
      <c r="CN68" s="16"/>
      <c r="CO68" s="109"/>
      <c r="CP68" s="16"/>
      <c r="CQ68" s="16"/>
      <c r="CR68" s="16"/>
      <c r="CS68" s="16"/>
      <c r="CT68" s="16"/>
      <c r="CU68" s="16"/>
      <c r="CV68" s="109"/>
      <c r="CW68" s="16"/>
      <c r="CX68" s="16"/>
      <c r="CY68" s="16"/>
      <c r="CZ68" s="16"/>
      <c r="DA68" s="16"/>
      <c r="DB68" s="16"/>
      <c r="DC68" s="109"/>
      <c r="DD68" s="16"/>
      <c r="DE68" s="16"/>
      <c r="DF68" s="16"/>
      <c r="DG68" s="16"/>
      <c r="DH68" s="16"/>
      <c r="DI68" s="16"/>
      <c r="DJ68" s="109"/>
      <c r="DK68" s="16"/>
      <c r="DL68" s="16"/>
      <c r="DM68" s="16"/>
      <c r="DN68" s="16"/>
      <c r="DO68" s="16"/>
      <c r="DP68" s="16"/>
      <c r="DQ68" s="109"/>
      <c r="DR68" s="16"/>
      <c r="DS68" s="16"/>
      <c r="DT68" s="16"/>
      <c r="DU68" s="16"/>
      <c r="DV68" s="16"/>
      <c r="DW68" s="16"/>
      <c r="DX68" s="109"/>
      <c r="DY68" s="16"/>
      <c r="DZ68" s="16"/>
      <c r="EA68" s="16"/>
      <c r="EB68" s="16"/>
      <c r="EC68" s="16"/>
      <c r="ED68" s="16"/>
      <c r="EE68" s="109"/>
      <c r="EF68" s="16"/>
      <c r="EG68" s="16"/>
      <c r="EH68" s="16"/>
      <c r="EI68" s="16"/>
      <c r="EJ68" s="16"/>
      <c r="EK68" s="16"/>
      <c r="EL68" s="109"/>
      <c r="EM68" s="16"/>
      <c r="EN68" s="16"/>
      <c r="EO68" s="5">
        <f t="shared" si="3"/>
        <v>0</v>
      </c>
      <c r="EP68" s="5">
        <f t="shared" si="4"/>
        <v>0</v>
      </c>
    </row>
    <row r="69" spans="1:146" x14ac:dyDescent="0.25">
      <c r="A69" s="17">
        <v>64</v>
      </c>
      <c r="B69" s="19"/>
      <c r="C69" s="20"/>
      <c r="D69" s="21"/>
      <c r="E69" s="11" t="s">
        <v>8</v>
      </c>
      <c r="F69" s="16"/>
      <c r="G69" s="16"/>
      <c r="H69" s="16"/>
      <c r="I69" s="109"/>
      <c r="J69" s="16"/>
      <c r="K69" s="112"/>
      <c r="L69" s="16"/>
      <c r="M69" s="16"/>
      <c r="N69" s="16"/>
      <c r="O69" s="112"/>
      <c r="P69" s="109"/>
      <c r="Q69" s="112"/>
      <c r="R69" s="16"/>
      <c r="S69" s="16"/>
      <c r="T69" s="16"/>
      <c r="U69" s="112"/>
      <c r="V69" s="16"/>
      <c r="W69" s="109"/>
      <c r="X69" s="16"/>
      <c r="Y69" s="16"/>
      <c r="Z69" s="16"/>
      <c r="AA69" s="16"/>
      <c r="AB69" s="16"/>
      <c r="AC69" s="16"/>
      <c r="AD69" s="109"/>
      <c r="AE69" s="16"/>
      <c r="AF69" s="16"/>
      <c r="AG69" s="16"/>
      <c r="AH69" s="16"/>
      <c r="AI69" s="16"/>
      <c r="AJ69" s="16"/>
      <c r="AK69" s="109"/>
      <c r="AL69" s="16"/>
      <c r="AM69" s="112"/>
      <c r="AN69" s="16"/>
      <c r="AO69" s="16"/>
      <c r="AP69" s="16"/>
      <c r="AQ69" s="16"/>
      <c r="AR69" s="109"/>
      <c r="AS69" s="16"/>
      <c r="AT69" s="16"/>
      <c r="AU69" s="16"/>
      <c r="AV69" s="16"/>
      <c r="AW69" s="16"/>
      <c r="AX69" s="16"/>
      <c r="AY69" s="109"/>
      <c r="AZ69" s="16"/>
      <c r="BA69" s="16"/>
      <c r="BB69" s="16"/>
      <c r="BC69" s="16"/>
      <c r="BD69" s="16"/>
      <c r="BE69" s="16"/>
      <c r="BF69" s="109"/>
      <c r="BG69" s="16"/>
      <c r="BH69" s="16"/>
      <c r="BI69" s="16"/>
      <c r="BJ69" s="16"/>
      <c r="BK69" s="16"/>
      <c r="BL69" s="16"/>
      <c r="BM69" s="109"/>
      <c r="BN69" s="16"/>
      <c r="BO69" s="16"/>
      <c r="BP69" s="16"/>
      <c r="BQ69" s="16"/>
      <c r="BR69" s="16"/>
      <c r="BS69" s="16"/>
      <c r="BT69" s="109"/>
      <c r="BU69" s="16"/>
      <c r="BV69" s="16"/>
      <c r="BW69" s="16"/>
      <c r="BX69" s="16"/>
      <c r="BY69" s="16"/>
      <c r="BZ69" s="16"/>
      <c r="CA69" s="109"/>
      <c r="CB69" s="16"/>
      <c r="CC69" s="16"/>
      <c r="CD69" s="16"/>
      <c r="CE69" s="16"/>
      <c r="CF69" s="16"/>
      <c r="CG69" s="16"/>
      <c r="CH69" s="109"/>
      <c r="CI69" s="16"/>
      <c r="CJ69" s="16"/>
      <c r="CK69" s="16"/>
      <c r="CL69" s="16"/>
      <c r="CM69" s="16"/>
      <c r="CN69" s="16"/>
      <c r="CO69" s="109"/>
      <c r="CP69" s="16"/>
      <c r="CQ69" s="16"/>
      <c r="CR69" s="16"/>
      <c r="CS69" s="16"/>
      <c r="CT69" s="16"/>
      <c r="CU69" s="16"/>
      <c r="CV69" s="109"/>
      <c r="CW69" s="16"/>
      <c r="CX69" s="16"/>
      <c r="CY69" s="16"/>
      <c r="CZ69" s="16"/>
      <c r="DA69" s="16"/>
      <c r="DB69" s="16"/>
      <c r="DC69" s="109"/>
      <c r="DD69" s="16"/>
      <c r="DE69" s="16"/>
      <c r="DF69" s="16"/>
      <c r="DG69" s="16"/>
      <c r="DH69" s="16"/>
      <c r="DI69" s="16"/>
      <c r="DJ69" s="109"/>
      <c r="DK69" s="16"/>
      <c r="DL69" s="16"/>
      <c r="DM69" s="16"/>
      <c r="DN69" s="16"/>
      <c r="DO69" s="16"/>
      <c r="DP69" s="16"/>
      <c r="DQ69" s="109"/>
      <c r="DR69" s="16"/>
      <c r="DS69" s="16"/>
      <c r="DT69" s="16"/>
      <c r="DU69" s="16"/>
      <c r="DV69" s="16"/>
      <c r="DW69" s="16"/>
      <c r="DX69" s="109"/>
      <c r="DY69" s="16"/>
      <c r="DZ69" s="16"/>
      <c r="EA69" s="16"/>
      <c r="EB69" s="16"/>
      <c r="EC69" s="16"/>
      <c r="ED69" s="16"/>
      <c r="EE69" s="109"/>
      <c r="EF69" s="16"/>
      <c r="EG69" s="16"/>
      <c r="EH69" s="16"/>
      <c r="EI69" s="16"/>
      <c r="EJ69" s="16"/>
      <c r="EK69" s="16"/>
      <c r="EL69" s="109"/>
      <c r="EM69" s="16"/>
      <c r="EN69" s="16"/>
      <c r="EO69" s="5">
        <f t="shared" si="3"/>
        <v>0</v>
      </c>
      <c r="EP69" s="5">
        <f t="shared" si="4"/>
        <v>0</v>
      </c>
    </row>
    <row r="70" spans="1:146" x14ac:dyDescent="0.25">
      <c r="A70" s="28">
        <v>65</v>
      </c>
      <c r="B70" s="19"/>
      <c r="C70" s="20"/>
      <c r="D70" s="21"/>
      <c r="E70" s="11" t="s">
        <v>8</v>
      </c>
      <c r="F70" s="16"/>
      <c r="G70" s="16"/>
      <c r="H70" s="16"/>
      <c r="I70" s="109"/>
      <c r="J70" s="16"/>
      <c r="K70" s="112"/>
      <c r="L70" s="16"/>
      <c r="M70" s="16"/>
      <c r="N70" s="16"/>
      <c r="O70" s="112"/>
      <c r="P70" s="109"/>
      <c r="Q70" s="112"/>
      <c r="R70" s="16"/>
      <c r="S70" s="16"/>
      <c r="T70" s="16"/>
      <c r="U70" s="112"/>
      <c r="V70" s="16"/>
      <c r="W70" s="109"/>
      <c r="X70" s="16"/>
      <c r="Y70" s="16"/>
      <c r="Z70" s="16"/>
      <c r="AA70" s="16"/>
      <c r="AB70" s="16"/>
      <c r="AC70" s="16"/>
      <c r="AD70" s="109"/>
      <c r="AE70" s="16"/>
      <c r="AF70" s="16"/>
      <c r="AG70" s="16"/>
      <c r="AH70" s="16"/>
      <c r="AI70" s="16"/>
      <c r="AJ70" s="16"/>
      <c r="AK70" s="109"/>
      <c r="AL70" s="16"/>
      <c r="AM70" s="112"/>
      <c r="AN70" s="16"/>
      <c r="AO70" s="16"/>
      <c r="AP70" s="16"/>
      <c r="AQ70" s="16"/>
      <c r="AR70" s="109"/>
      <c r="AS70" s="16"/>
      <c r="AT70" s="16"/>
      <c r="AU70" s="16"/>
      <c r="AV70" s="16"/>
      <c r="AW70" s="16"/>
      <c r="AX70" s="16"/>
      <c r="AY70" s="109"/>
      <c r="AZ70" s="16"/>
      <c r="BA70" s="16"/>
      <c r="BB70" s="16"/>
      <c r="BC70" s="16"/>
      <c r="BD70" s="16"/>
      <c r="BE70" s="16"/>
      <c r="BF70" s="109"/>
      <c r="BG70" s="16"/>
      <c r="BH70" s="16"/>
      <c r="BI70" s="16"/>
      <c r="BJ70" s="16"/>
      <c r="BK70" s="16"/>
      <c r="BL70" s="16"/>
      <c r="BM70" s="109"/>
      <c r="BN70" s="16"/>
      <c r="BO70" s="16"/>
      <c r="BP70" s="16"/>
      <c r="BQ70" s="16"/>
      <c r="BR70" s="16"/>
      <c r="BS70" s="16"/>
      <c r="BT70" s="109"/>
      <c r="BU70" s="16"/>
      <c r="BV70" s="16"/>
      <c r="BW70" s="16"/>
      <c r="BX70" s="16"/>
      <c r="BY70" s="16"/>
      <c r="BZ70" s="16"/>
      <c r="CA70" s="109"/>
      <c r="CB70" s="16"/>
      <c r="CC70" s="16"/>
      <c r="CD70" s="16"/>
      <c r="CE70" s="16"/>
      <c r="CF70" s="16"/>
      <c r="CG70" s="16"/>
      <c r="CH70" s="109"/>
      <c r="CI70" s="16"/>
      <c r="CJ70" s="16"/>
      <c r="CK70" s="16"/>
      <c r="CL70" s="16"/>
      <c r="CM70" s="16"/>
      <c r="CN70" s="16"/>
      <c r="CO70" s="109"/>
      <c r="CP70" s="16"/>
      <c r="CQ70" s="16"/>
      <c r="CR70" s="16"/>
      <c r="CS70" s="16"/>
      <c r="CT70" s="16"/>
      <c r="CU70" s="16"/>
      <c r="CV70" s="109"/>
      <c r="CW70" s="16"/>
      <c r="CX70" s="16"/>
      <c r="CY70" s="16"/>
      <c r="CZ70" s="16"/>
      <c r="DA70" s="16"/>
      <c r="DB70" s="16"/>
      <c r="DC70" s="109"/>
      <c r="DD70" s="16"/>
      <c r="DE70" s="16"/>
      <c r="DF70" s="16"/>
      <c r="DG70" s="16"/>
      <c r="DH70" s="16"/>
      <c r="DI70" s="16"/>
      <c r="DJ70" s="109"/>
      <c r="DK70" s="16"/>
      <c r="DL70" s="16"/>
      <c r="DM70" s="16"/>
      <c r="DN70" s="16"/>
      <c r="DO70" s="16"/>
      <c r="DP70" s="16"/>
      <c r="DQ70" s="109"/>
      <c r="DR70" s="16"/>
      <c r="DS70" s="16"/>
      <c r="DT70" s="16"/>
      <c r="DU70" s="16"/>
      <c r="DV70" s="16"/>
      <c r="DW70" s="16"/>
      <c r="DX70" s="109"/>
      <c r="DY70" s="16"/>
      <c r="DZ70" s="16"/>
      <c r="EA70" s="16"/>
      <c r="EB70" s="16"/>
      <c r="EC70" s="16"/>
      <c r="ED70" s="16"/>
      <c r="EE70" s="109"/>
      <c r="EF70" s="16"/>
      <c r="EG70" s="16"/>
      <c r="EH70" s="16"/>
      <c r="EI70" s="16"/>
      <c r="EJ70" s="16"/>
      <c r="EK70" s="16"/>
      <c r="EL70" s="109"/>
      <c r="EM70" s="16"/>
      <c r="EN70" s="16"/>
      <c r="EO70" s="5">
        <f t="shared" ref="EO70:EO72" si="5">COUNTIF(F70:EN70,"P")</f>
        <v>0</v>
      </c>
      <c r="EP70" s="5">
        <f t="shared" ref="EP70:EP72" si="6">COUNTIF(F70:EN70,"A")</f>
        <v>0</v>
      </c>
    </row>
    <row r="71" spans="1:146" x14ac:dyDescent="0.25">
      <c r="A71" s="17">
        <v>66</v>
      </c>
      <c r="B71" s="19"/>
      <c r="C71" s="20"/>
      <c r="D71" s="21"/>
      <c r="E71" s="11" t="s">
        <v>8</v>
      </c>
      <c r="F71" s="16"/>
      <c r="G71" s="16"/>
      <c r="H71" s="16"/>
      <c r="I71" s="109"/>
      <c r="J71" s="16"/>
      <c r="K71" s="112"/>
      <c r="L71" s="16"/>
      <c r="M71" s="16"/>
      <c r="N71" s="16"/>
      <c r="O71" s="112"/>
      <c r="P71" s="109"/>
      <c r="Q71" s="112"/>
      <c r="R71" s="16"/>
      <c r="S71" s="16"/>
      <c r="T71" s="16"/>
      <c r="U71" s="112"/>
      <c r="V71" s="16"/>
      <c r="W71" s="109"/>
      <c r="X71" s="16"/>
      <c r="Y71" s="16"/>
      <c r="Z71" s="16"/>
      <c r="AA71" s="16"/>
      <c r="AB71" s="16"/>
      <c r="AC71" s="16"/>
      <c r="AD71" s="109"/>
      <c r="AE71" s="16"/>
      <c r="AF71" s="16"/>
      <c r="AG71" s="16"/>
      <c r="AH71" s="16"/>
      <c r="AI71" s="16"/>
      <c r="AJ71" s="16"/>
      <c r="AK71" s="109"/>
      <c r="AL71" s="16"/>
      <c r="AM71" s="112"/>
      <c r="AN71" s="16"/>
      <c r="AO71" s="16"/>
      <c r="AP71" s="16"/>
      <c r="AQ71" s="16"/>
      <c r="AR71" s="109"/>
      <c r="AS71" s="16"/>
      <c r="AT71" s="16"/>
      <c r="AU71" s="16"/>
      <c r="AV71" s="16"/>
      <c r="AW71" s="16"/>
      <c r="AX71" s="16"/>
      <c r="AY71" s="109"/>
      <c r="AZ71" s="16"/>
      <c r="BA71" s="16"/>
      <c r="BB71" s="16"/>
      <c r="BC71" s="16"/>
      <c r="BD71" s="16"/>
      <c r="BE71" s="16"/>
      <c r="BF71" s="109"/>
      <c r="BG71" s="16"/>
      <c r="BH71" s="16"/>
      <c r="BI71" s="16"/>
      <c r="BJ71" s="16"/>
      <c r="BK71" s="16"/>
      <c r="BL71" s="16"/>
      <c r="BM71" s="109"/>
      <c r="BN71" s="16"/>
      <c r="BO71" s="16"/>
      <c r="BP71" s="16"/>
      <c r="BQ71" s="16"/>
      <c r="BR71" s="16"/>
      <c r="BS71" s="16"/>
      <c r="BT71" s="109"/>
      <c r="BU71" s="16"/>
      <c r="BV71" s="16"/>
      <c r="BW71" s="16"/>
      <c r="BX71" s="16"/>
      <c r="BY71" s="16"/>
      <c r="BZ71" s="16"/>
      <c r="CA71" s="109"/>
      <c r="CB71" s="16"/>
      <c r="CC71" s="16"/>
      <c r="CD71" s="16"/>
      <c r="CE71" s="16"/>
      <c r="CF71" s="16"/>
      <c r="CG71" s="16"/>
      <c r="CH71" s="109"/>
      <c r="CI71" s="16"/>
      <c r="CJ71" s="16"/>
      <c r="CK71" s="16"/>
      <c r="CL71" s="16"/>
      <c r="CM71" s="16"/>
      <c r="CN71" s="16"/>
      <c r="CO71" s="109"/>
      <c r="CP71" s="16"/>
      <c r="CQ71" s="16"/>
      <c r="CR71" s="16"/>
      <c r="CS71" s="16"/>
      <c r="CT71" s="16"/>
      <c r="CU71" s="16"/>
      <c r="CV71" s="109"/>
      <c r="CW71" s="16"/>
      <c r="CX71" s="16"/>
      <c r="CY71" s="16"/>
      <c r="CZ71" s="16"/>
      <c r="DA71" s="16"/>
      <c r="DB71" s="16"/>
      <c r="DC71" s="109"/>
      <c r="DD71" s="16"/>
      <c r="DE71" s="16"/>
      <c r="DF71" s="16"/>
      <c r="DG71" s="16"/>
      <c r="DH71" s="16"/>
      <c r="DI71" s="16"/>
      <c r="DJ71" s="109"/>
      <c r="DK71" s="16"/>
      <c r="DL71" s="16"/>
      <c r="DM71" s="16"/>
      <c r="DN71" s="16"/>
      <c r="DO71" s="16"/>
      <c r="DP71" s="16"/>
      <c r="DQ71" s="109"/>
      <c r="DR71" s="16"/>
      <c r="DS71" s="16"/>
      <c r="DT71" s="16"/>
      <c r="DU71" s="16"/>
      <c r="DV71" s="16"/>
      <c r="DW71" s="16"/>
      <c r="DX71" s="109"/>
      <c r="DY71" s="16"/>
      <c r="DZ71" s="16"/>
      <c r="EA71" s="16"/>
      <c r="EB71" s="16"/>
      <c r="EC71" s="16"/>
      <c r="ED71" s="16"/>
      <c r="EE71" s="109"/>
      <c r="EF71" s="16"/>
      <c r="EG71" s="16"/>
      <c r="EH71" s="16"/>
      <c r="EI71" s="16"/>
      <c r="EJ71" s="16"/>
      <c r="EK71" s="16"/>
      <c r="EL71" s="109"/>
      <c r="EM71" s="16"/>
      <c r="EN71" s="16"/>
      <c r="EO71" s="5">
        <f t="shared" si="5"/>
        <v>0</v>
      </c>
      <c r="EP71" s="5">
        <f t="shared" si="6"/>
        <v>0</v>
      </c>
    </row>
    <row r="72" spans="1:146" x14ac:dyDescent="0.25">
      <c r="A72" s="28">
        <v>67</v>
      </c>
      <c r="B72" s="19"/>
      <c r="C72" s="20"/>
      <c r="D72" s="21"/>
      <c r="E72" s="11" t="s">
        <v>8</v>
      </c>
      <c r="F72" s="16"/>
      <c r="G72" s="16"/>
      <c r="H72" s="16"/>
      <c r="I72" s="110"/>
      <c r="J72" s="16"/>
      <c r="K72" s="113"/>
      <c r="L72" s="16"/>
      <c r="M72" s="16"/>
      <c r="N72" s="16"/>
      <c r="O72" s="113"/>
      <c r="P72" s="110"/>
      <c r="Q72" s="113"/>
      <c r="R72" s="16"/>
      <c r="S72" s="16"/>
      <c r="T72" s="16"/>
      <c r="U72" s="113"/>
      <c r="V72" s="16"/>
      <c r="W72" s="110"/>
      <c r="X72" s="16"/>
      <c r="Y72" s="16"/>
      <c r="Z72" s="16"/>
      <c r="AA72" s="16"/>
      <c r="AB72" s="16"/>
      <c r="AC72" s="16"/>
      <c r="AD72" s="110"/>
      <c r="AE72" s="16"/>
      <c r="AF72" s="16"/>
      <c r="AG72" s="16"/>
      <c r="AH72" s="16"/>
      <c r="AI72" s="16"/>
      <c r="AJ72" s="16"/>
      <c r="AK72" s="110"/>
      <c r="AL72" s="16"/>
      <c r="AM72" s="113"/>
      <c r="AN72" s="16"/>
      <c r="AO72" s="16"/>
      <c r="AP72" s="16"/>
      <c r="AQ72" s="16"/>
      <c r="AR72" s="110"/>
      <c r="AS72" s="16"/>
      <c r="AT72" s="16"/>
      <c r="AU72" s="16"/>
      <c r="AV72" s="16"/>
      <c r="AW72" s="16"/>
      <c r="AX72" s="16"/>
      <c r="AY72" s="110"/>
      <c r="AZ72" s="16"/>
      <c r="BA72" s="16"/>
      <c r="BB72" s="16"/>
      <c r="BC72" s="16"/>
      <c r="BD72" s="16"/>
      <c r="BE72" s="16"/>
      <c r="BF72" s="110"/>
      <c r="BG72" s="16"/>
      <c r="BH72" s="16"/>
      <c r="BI72" s="16"/>
      <c r="BJ72" s="16"/>
      <c r="BK72" s="16"/>
      <c r="BL72" s="16"/>
      <c r="BM72" s="110"/>
      <c r="BN72" s="16"/>
      <c r="BO72" s="16"/>
      <c r="BP72" s="16"/>
      <c r="BQ72" s="16"/>
      <c r="BR72" s="16"/>
      <c r="BS72" s="16"/>
      <c r="BT72" s="110"/>
      <c r="BU72" s="16"/>
      <c r="BV72" s="16"/>
      <c r="BW72" s="16"/>
      <c r="BX72" s="16"/>
      <c r="BY72" s="16"/>
      <c r="BZ72" s="16"/>
      <c r="CA72" s="110"/>
      <c r="CB72" s="16"/>
      <c r="CC72" s="16"/>
      <c r="CD72" s="16"/>
      <c r="CE72" s="16"/>
      <c r="CF72" s="16"/>
      <c r="CG72" s="16"/>
      <c r="CH72" s="110"/>
      <c r="CI72" s="16"/>
      <c r="CJ72" s="16"/>
      <c r="CK72" s="16"/>
      <c r="CL72" s="16"/>
      <c r="CM72" s="16"/>
      <c r="CN72" s="16"/>
      <c r="CO72" s="110"/>
      <c r="CP72" s="16"/>
      <c r="CQ72" s="16"/>
      <c r="CR72" s="16"/>
      <c r="CS72" s="16"/>
      <c r="CT72" s="16"/>
      <c r="CU72" s="16"/>
      <c r="CV72" s="110"/>
      <c r="CW72" s="16"/>
      <c r="CX72" s="16"/>
      <c r="CY72" s="16"/>
      <c r="CZ72" s="16"/>
      <c r="DA72" s="16"/>
      <c r="DB72" s="16"/>
      <c r="DC72" s="110"/>
      <c r="DD72" s="16"/>
      <c r="DE72" s="16"/>
      <c r="DF72" s="16"/>
      <c r="DG72" s="16"/>
      <c r="DH72" s="16"/>
      <c r="DI72" s="16"/>
      <c r="DJ72" s="110"/>
      <c r="DK72" s="16"/>
      <c r="DL72" s="16"/>
      <c r="DM72" s="16"/>
      <c r="DN72" s="16"/>
      <c r="DO72" s="16"/>
      <c r="DP72" s="16"/>
      <c r="DQ72" s="110"/>
      <c r="DR72" s="16"/>
      <c r="DS72" s="16"/>
      <c r="DT72" s="16"/>
      <c r="DU72" s="16"/>
      <c r="DV72" s="16"/>
      <c r="DW72" s="16"/>
      <c r="DX72" s="110"/>
      <c r="DY72" s="16"/>
      <c r="DZ72" s="16"/>
      <c r="EA72" s="16"/>
      <c r="EB72" s="16"/>
      <c r="EC72" s="16"/>
      <c r="ED72" s="16"/>
      <c r="EE72" s="110"/>
      <c r="EF72" s="16"/>
      <c r="EG72" s="16"/>
      <c r="EH72" s="16"/>
      <c r="EI72" s="16"/>
      <c r="EJ72" s="16"/>
      <c r="EK72" s="16"/>
      <c r="EL72" s="110"/>
      <c r="EM72" s="16"/>
      <c r="EN72" s="16"/>
      <c r="EO72" s="5">
        <f t="shared" si="5"/>
        <v>0</v>
      </c>
      <c r="EP72" s="5">
        <f t="shared" si="6"/>
        <v>0</v>
      </c>
    </row>
  </sheetData>
  <mergeCells count="38">
    <mergeCell ref="A1:AL1"/>
    <mergeCell ref="A2:AL2"/>
    <mergeCell ref="A3:AL3"/>
    <mergeCell ref="A4:A5"/>
    <mergeCell ref="B4:B5"/>
    <mergeCell ref="C4:C5"/>
    <mergeCell ref="D4:D5"/>
    <mergeCell ref="E4:E5"/>
    <mergeCell ref="EO4:EO5"/>
    <mergeCell ref="EP4:EP5"/>
    <mergeCell ref="EQ4:ER4"/>
    <mergeCell ref="I6:I72"/>
    <mergeCell ref="K6:K72"/>
    <mergeCell ref="P6:P72"/>
    <mergeCell ref="Q6:Q72"/>
    <mergeCell ref="U6:U72"/>
    <mergeCell ref="W6:W72"/>
    <mergeCell ref="AD6:AD72"/>
    <mergeCell ref="O6:O72"/>
    <mergeCell ref="AM6:AM72"/>
    <mergeCell ref="DJ6:DJ72"/>
    <mergeCell ref="AK6:AK72"/>
    <mergeCell ref="AR6:AR72"/>
    <mergeCell ref="AY6:AY72"/>
    <mergeCell ref="BF6:BF72"/>
    <mergeCell ref="BM6:BM72"/>
    <mergeCell ref="BT6:BT72"/>
    <mergeCell ref="CA6:CA72"/>
    <mergeCell ref="CH6:CH72"/>
    <mergeCell ref="EE6:EE72"/>
    <mergeCell ref="EL6:EL72"/>
    <mergeCell ref="EQ9:ET9"/>
    <mergeCell ref="EQ17:ET17"/>
    <mergeCell ref="CO6:CO72"/>
    <mergeCell ref="CV6:CV72"/>
    <mergeCell ref="DC6:DC72"/>
    <mergeCell ref="DQ6:DQ72"/>
    <mergeCell ref="DX6:DX72"/>
  </mergeCells>
  <conditionalFormatting sqref="B6:B72">
    <cfRule type="duplicateValues" dxfId="100" priority="1"/>
  </conditionalFormatting>
  <conditionalFormatting sqref="F6:Q6 U6 W6 AD6 AK6 AM6 AR6 AY6 BF6 BM6 BT6 CA6 CH6 CO6 CV6 DC6 DJ6 DQ6 DX6 EE6 EL6 R6:T72 V6:V72 X6:AC72 AE6:AJ72 AL6:AL72 AN6:AQ72 AS6:AX72 AZ6:BE72 BG6:BL72 BN6:BS72 BU6:BZ72 CB6:CG72 CI6:CN72 CP6:CU72 CW6:DB72 DD6:DI72 DK6:DP72 DR6:DW72 DY6:ED72 EF6:EK72 EM6:EN72 F7:H72 J7:J72 L7:N72 F5:EN5">
    <cfRule type="expression" dxfId="99" priority="9">
      <formula>IF(F$5=TODAY(),TRUE,FALSE)</formula>
    </cfRule>
  </conditionalFormatting>
  <conditionalFormatting sqref="F6:Q6 U6 W6 AD6 AK6 AM6 AR6 AY6 BF6 BM6 BT6 CA6 CH6 CO6 CV6 DC6 DJ6 DQ6 DX6 EE6 EL6 R6:T72 V6:V72 X6:AC72 AE6:AJ72 AL6:AL72 AN6:AQ72 AS6:AX72 AZ6:BE72 BG6:BL72 BN6:BS72 BU6:BZ72 CB6:CG72 CI6:CN72 CP6:CU72 CW6:DB72 DD6:DI72 DK6:DP72 DR6:DW72 DY6:ED72 EF6:EK72 EM6:EN72 F7:H72 J7:J72 L7:N72">
    <cfRule type="cellIs" dxfId="98" priority="2" operator="equal">
      <formula>"A"</formula>
    </cfRule>
    <cfRule type="cellIs" dxfId="97" priority="3" operator="equal">
      <formula>"P"</formula>
    </cfRule>
  </conditionalFormatting>
  <conditionalFormatting sqref="F4:EN5 F6:Q6 U6 W6 AD6 AK6 AM6 AR6 AY6 BF6 BM6 BT6 CA6 CH6 CO6 CV6 DC6 DJ6 DQ6 DX6 EE6 EL6 R6:T72 V6:V72 X6:AC72 AE6:AJ72 AL6:AL72 AN6:AQ72 AS6:AX72 AZ6:BE72 BG6:BL72 BN6:BS72 BU6:BZ72 CB6:CG72 CI6:CN72 CP6:CU72 CW6:DB72 DD6:DI72 DK6:DP72 DR6:DW72 DY6:ED72 EF6:EK72 EM6:EN72 F7:H72 J7:J72 L7:N72 EQ5:ER5">
    <cfRule type="expression" dxfId="96" priority="10">
      <formula>F$4="Sun"</formula>
    </cfRule>
  </conditionalFormatting>
  <conditionalFormatting sqref="EO4:EP4 EO6:EP72">
    <cfRule type="expression" dxfId="95" priority="11">
      <formula>#REF!="Sun"</formula>
    </cfRule>
  </conditionalFormatting>
  <conditionalFormatting sqref="EQ6:EQ7">
    <cfRule type="expression" dxfId="94" priority="8">
      <formula>EQ$4="Sun"</formula>
    </cfRule>
  </conditionalFormatting>
  <conditionalFormatting sqref="EQ10:EQ13">
    <cfRule type="expression" dxfId="93" priority="6">
      <formula>EQ$4="Sun"</formula>
    </cfRule>
  </conditionalFormatting>
  <conditionalFormatting sqref="EQ18:EQ21">
    <cfRule type="expression" dxfId="92" priority="5">
      <formula>EQ$4="Sun"</formula>
    </cfRule>
  </conditionalFormatting>
  <conditionalFormatting sqref="ER10:ET10">
    <cfRule type="expression" dxfId="91" priority="7">
      <formula>ER$4="Sun"</formula>
    </cfRule>
  </conditionalFormatting>
  <conditionalFormatting sqref="ER18:ET18">
    <cfRule type="expression" dxfId="90" priority="4">
      <formula>ER$4="Sun"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1DAD-B72E-4DBB-ADA3-D3D6A173E0BB}">
  <sheetPr>
    <tabColor rgb="FFC00000"/>
  </sheetPr>
  <dimension ref="A1:ET61"/>
  <sheetViews>
    <sheetView workbookViewId="0">
      <pane xSplit="5" ySplit="5" topLeftCell="M18" activePane="bottomRight" state="frozen"/>
      <selection pane="topRight" activeCell="F1" sqref="F1"/>
      <selection pane="bottomLeft" activeCell="A6" sqref="A6"/>
      <selection pane="bottomRight" activeCell="AV59" sqref="AV59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 customWidth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6" width="3.7109375" style="1" bestFit="1" customWidth="1"/>
    <col min="37" max="37" width="3.85546875" style="1" bestFit="1" customWidth="1"/>
    <col min="38" max="38" width="4.5703125" style="1" bestFit="1" customWidth="1"/>
    <col min="39" max="39" width="3.85546875" style="1" bestFit="1" customWidth="1"/>
    <col min="40" max="40" width="4.7109375" style="1" bestFit="1" customWidth="1"/>
    <col min="41" max="41" width="3.85546875" style="1" bestFit="1" customWidth="1"/>
    <col min="42" max="43" width="3.7109375" style="1" bestFit="1" customWidth="1"/>
    <col min="44" max="44" width="3.85546875" style="1" bestFit="1" customWidth="1"/>
    <col min="45" max="45" width="4.5703125" style="1" bestFit="1" customWidth="1"/>
    <col min="46" max="46" width="3.85546875" style="1" bestFit="1" customWidth="1"/>
    <col min="47" max="47" width="4.7109375" style="1" bestFit="1" customWidth="1"/>
    <col min="48" max="48" width="3.85546875" style="1" bestFit="1" customWidth="1"/>
    <col min="49" max="50" width="3.7109375" style="1" bestFit="1" customWidth="1"/>
    <col min="51" max="51" width="3.85546875" style="1" bestFit="1" customWidth="1"/>
    <col min="52" max="52" width="4.5703125" style="1" bestFit="1" customWidth="1"/>
    <col min="53" max="53" width="3.85546875" style="1" bestFit="1" customWidth="1"/>
    <col min="54" max="54" width="4.7109375" style="1" bestFit="1" customWidth="1"/>
    <col min="55" max="55" width="3.85546875" style="1" bestFit="1" customWidth="1"/>
    <col min="56" max="57" width="3.7109375" style="1" bestFit="1" customWidth="1"/>
    <col min="58" max="58" width="3.85546875" style="1" bestFit="1" customWidth="1"/>
    <col min="59" max="59" width="4.5703125" style="1" bestFit="1" customWidth="1"/>
    <col min="60" max="60" width="3.85546875" style="1" bestFit="1" customWidth="1"/>
    <col min="61" max="61" width="4.7109375" style="1" bestFit="1" customWidth="1"/>
    <col min="62" max="62" width="3.85546875" style="1" bestFit="1" customWidth="1"/>
    <col min="63" max="64" width="3.7109375" style="1" bestFit="1" customWidth="1"/>
    <col min="65" max="65" width="3.85546875" style="1" bestFit="1" customWidth="1"/>
    <col min="66" max="66" width="4.5703125" style="1" bestFit="1" customWidth="1"/>
    <col min="67" max="67" width="3.85546875" style="1" bestFit="1" customWidth="1"/>
    <col min="68" max="68" width="4.7109375" style="1" bestFit="1" customWidth="1"/>
    <col min="69" max="69" width="3.85546875" style="1" bestFit="1" customWidth="1"/>
    <col min="70" max="71" width="3.7109375" style="1" bestFit="1" customWidth="1"/>
    <col min="72" max="72" width="3.85546875" style="1" bestFit="1" customWidth="1"/>
    <col min="73" max="73" width="4.5703125" style="1" bestFit="1" customWidth="1"/>
    <col min="74" max="74" width="3.85546875" style="1" bestFit="1" customWidth="1"/>
    <col min="75" max="75" width="4.7109375" style="1" bestFit="1" customWidth="1"/>
    <col min="76" max="76" width="3.85546875" style="1" bestFit="1" customWidth="1"/>
    <col min="77" max="78" width="3.7109375" style="1" bestFit="1" customWidth="1"/>
    <col min="79" max="79" width="3.85546875" style="1" bestFit="1" customWidth="1"/>
    <col min="80" max="80" width="4.5703125" style="1" bestFit="1" customWidth="1"/>
    <col min="81" max="81" width="3.85546875" style="1" bestFit="1" customWidth="1"/>
    <col min="82" max="82" width="4.7109375" style="1" bestFit="1" customWidth="1"/>
    <col min="83" max="83" width="3.85546875" style="1" bestFit="1" customWidth="1"/>
    <col min="84" max="85" width="3.7109375" style="1" bestFit="1" customWidth="1"/>
    <col min="86" max="86" width="3.85546875" style="1" bestFit="1" customWidth="1"/>
    <col min="87" max="87" width="4.5703125" style="1" bestFit="1" customWidth="1"/>
    <col min="88" max="88" width="3.85546875" style="1" bestFit="1" customWidth="1"/>
    <col min="89" max="89" width="4.7109375" style="1" bestFit="1" customWidth="1"/>
    <col min="90" max="90" width="3.85546875" style="1" bestFit="1" customWidth="1"/>
    <col min="91" max="92" width="3.7109375" style="1" bestFit="1" customWidth="1"/>
    <col min="93" max="93" width="3.85546875" style="1" bestFit="1" customWidth="1"/>
    <col min="94" max="94" width="4.5703125" style="1" bestFit="1" customWidth="1"/>
    <col min="95" max="95" width="3.85546875" style="1" bestFit="1" customWidth="1"/>
    <col min="96" max="96" width="4.7109375" style="1" bestFit="1" customWidth="1"/>
    <col min="97" max="97" width="3.85546875" style="1" bestFit="1" customWidth="1"/>
    <col min="98" max="99" width="3.7109375" style="1" bestFit="1" customWidth="1"/>
    <col min="100" max="100" width="3.85546875" style="1" bestFit="1" customWidth="1"/>
    <col min="101" max="101" width="4.5703125" style="1" bestFit="1" customWidth="1"/>
    <col min="102" max="102" width="3.85546875" style="1" bestFit="1" customWidth="1"/>
    <col min="103" max="103" width="4.7109375" style="1" bestFit="1" customWidth="1"/>
    <col min="104" max="104" width="3.85546875" style="1" bestFit="1" customWidth="1"/>
    <col min="105" max="106" width="3.7109375" style="1" bestFit="1" customWidth="1"/>
    <col min="107" max="107" width="3.85546875" style="1" bestFit="1" customWidth="1"/>
    <col min="108" max="108" width="4.5703125" style="1" bestFit="1" customWidth="1"/>
    <col min="109" max="109" width="3.85546875" style="1" bestFit="1" customWidth="1"/>
    <col min="110" max="110" width="4.7109375" style="1" bestFit="1" customWidth="1"/>
    <col min="111" max="111" width="3.85546875" style="1" bestFit="1" customWidth="1"/>
    <col min="112" max="113" width="3.7109375" style="1" bestFit="1" customWidth="1"/>
    <col min="114" max="114" width="3.85546875" style="1" bestFit="1" customWidth="1"/>
    <col min="115" max="115" width="4.5703125" style="1" bestFit="1" customWidth="1"/>
    <col min="116" max="116" width="3.85546875" style="1" bestFit="1" customWidth="1"/>
    <col min="117" max="117" width="4.7109375" style="1" bestFit="1" customWidth="1"/>
    <col min="118" max="118" width="3.85546875" style="1" bestFit="1" customWidth="1"/>
    <col min="119" max="120" width="3.7109375" style="1" bestFit="1" customWidth="1"/>
    <col min="121" max="121" width="3.85546875" style="1" bestFit="1" customWidth="1"/>
    <col min="122" max="122" width="4.5703125" style="1" bestFit="1" customWidth="1"/>
    <col min="123" max="123" width="3.85546875" style="1" bestFit="1" customWidth="1"/>
    <col min="124" max="124" width="4.7109375" style="1" bestFit="1" customWidth="1"/>
    <col min="125" max="125" width="3.85546875" style="1" bestFit="1" customWidth="1"/>
    <col min="126" max="127" width="3.7109375" style="1" bestFit="1" customWidth="1"/>
    <col min="128" max="128" width="3.85546875" style="1" bestFit="1" customWidth="1"/>
    <col min="129" max="129" width="4.5703125" style="1" bestFit="1" customWidth="1"/>
    <col min="130" max="130" width="3.85546875" style="1" bestFit="1" customWidth="1"/>
    <col min="131" max="131" width="4.7109375" style="1" bestFit="1" customWidth="1"/>
    <col min="132" max="132" width="3.85546875" style="1" bestFit="1" customWidth="1"/>
    <col min="133" max="134" width="3.7109375" style="1" bestFit="1" customWidth="1"/>
    <col min="135" max="135" width="3.85546875" style="1" bestFit="1" customWidth="1"/>
    <col min="136" max="136" width="4.5703125" style="1" bestFit="1" customWidth="1"/>
    <col min="137" max="137" width="3.85546875" style="1" bestFit="1" customWidth="1"/>
    <col min="138" max="138" width="4.7109375" style="1" bestFit="1" customWidth="1"/>
    <col min="139" max="139" width="3.85546875" style="1" bestFit="1" customWidth="1"/>
    <col min="140" max="141" width="3.7109375" style="1" bestFit="1" customWidth="1"/>
    <col min="142" max="142" width="3.85546875" style="1" bestFit="1" customWidth="1"/>
    <col min="143" max="143" width="4.5703125" style="1" bestFit="1" customWidth="1"/>
    <col min="144" max="144" width="3.85546875" style="1" bestFit="1" customWidth="1"/>
    <col min="145" max="146" width="6.7109375" style="1" bestFit="1" customWidth="1"/>
    <col min="147" max="147" width="18.5703125" style="1" bestFit="1" customWidth="1"/>
    <col min="148" max="148" width="5.85546875" style="1" bestFit="1" customWidth="1"/>
    <col min="149" max="149" width="14.28515625" style="1" bestFit="1" customWidth="1"/>
    <col min="150" max="150" width="6.7109375" style="1" bestFit="1" customWidth="1"/>
    <col min="151" max="16384" width="3.85546875" style="1"/>
  </cols>
  <sheetData>
    <row r="1" spans="1:150" ht="17.25" x14ac:dyDescent="0.3">
      <c r="A1" s="100"/>
      <c r="B1" s="100"/>
      <c r="C1" s="100"/>
      <c r="D1" s="100"/>
      <c r="E1" s="100"/>
    </row>
    <row r="2" spans="1:150" ht="17.25" x14ac:dyDescent="0.25">
      <c r="A2" s="101" t="s">
        <v>48</v>
      </c>
      <c r="B2" s="101"/>
      <c r="C2" s="101"/>
      <c r="D2" s="101"/>
      <c r="E2" s="101"/>
    </row>
    <row r="3" spans="1:150" ht="17.25" x14ac:dyDescent="0.3">
      <c r="A3" s="100" t="s">
        <v>47</v>
      </c>
      <c r="B3" s="100"/>
      <c r="C3" s="100"/>
      <c r="D3" s="100"/>
      <c r="E3" s="100"/>
    </row>
    <row r="4" spans="1:150" ht="15.75" x14ac:dyDescent="0.25">
      <c r="A4" s="106" t="s">
        <v>0</v>
      </c>
      <c r="B4" s="106" t="s">
        <v>1</v>
      </c>
      <c r="C4" s="106" t="s">
        <v>2</v>
      </c>
      <c r="D4" s="106" t="s">
        <v>3</v>
      </c>
      <c r="E4" s="106" t="s">
        <v>4</v>
      </c>
      <c r="F4" s="2" t="str">
        <f t="shared" ref="F4:AI4" si="0">TEXT(F5,"ddd")</f>
        <v>Thu</v>
      </c>
      <c r="G4" s="2" t="str">
        <f t="shared" si="0"/>
        <v>Fri</v>
      </c>
      <c r="H4" s="2" t="str">
        <f t="shared" si="0"/>
        <v>Sat</v>
      </c>
      <c r="I4" s="2" t="str">
        <f t="shared" si="0"/>
        <v>Sun</v>
      </c>
      <c r="J4" s="2" t="str">
        <f t="shared" si="0"/>
        <v>Mon</v>
      </c>
      <c r="K4" s="2" t="str">
        <f t="shared" si="0"/>
        <v>Tue</v>
      </c>
      <c r="L4" s="2" t="str">
        <f t="shared" si="0"/>
        <v>Wed</v>
      </c>
      <c r="M4" s="2" t="str">
        <f t="shared" si="0"/>
        <v>Thu</v>
      </c>
      <c r="N4" s="2" t="str">
        <f t="shared" si="0"/>
        <v>Fri</v>
      </c>
      <c r="O4" s="2" t="str">
        <f t="shared" si="0"/>
        <v>Sat</v>
      </c>
      <c r="P4" s="2" t="str">
        <f t="shared" si="0"/>
        <v>Sun</v>
      </c>
      <c r="Q4" s="2" t="str">
        <f t="shared" si="0"/>
        <v>Mon</v>
      </c>
      <c r="R4" s="2" t="str">
        <f t="shared" si="0"/>
        <v>Tue</v>
      </c>
      <c r="S4" s="2" t="str">
        <f t="shared" si="0"/>
        <v>Wed</v>
      </c>
      <c r="T4" s="2" t="str">
        <f t="shared" si="0"/>
        <v>Thu</v>
      </c>
      <c r="U4" s="2" t="str">
        <f t="shared" si="0"/>
        <v>Fri</v>
      </c>
      <c r="V4" s="2" t="str">
        <f t="shared" si="0"/>
        <v>Sat</v>
      </c>
      <c r="W4" s="2" t="str">
        <f t="shared" si="0"/>
        <v>Sun</v>
      </c>
      <c r="X4" s="2" t="str">
        <f t="shared" si="0"/>
        <v>Mon</v>
      </c>
      <c r="Y4" s="2" t="str">
        <f t="shared" si="0"/>
        <v>Tue</v>
      </c>
      <c r="Z4" s="2" t="str">
        <f t="shared" si="0"/>
        <v>Wed</v>
      </c>
      <c r="AA4" s="2" t="str">
        <f t="shared" si="0"/>
        <v>Thu</v>
      </c>
      <c r="AB4" s="2" t="str">
        <f t="shared" si="0"/>
        <v>Fri</v>
      </c>
      <c r="AC4" s="2" t="str">
        <f t="shared" si="0"/>
        <v>Sat</v>
      </c>
      <c r="AD4" s="2" t="str">
        <f t="shared" si="0"/>
        <v>Sun</v>
      </c>
      <c r="AE4" s="2" t="str">
        <f t="shared" si="0"/>
        <v>Mon</v>
      </c>
      <c r="AF4" s="2" t="str">
        <f t="shared" si="0"/>
        <v>Tue</v>
      </c>
      <c r="AG4" s="2" t="str">
        <f t="shared" si="0"/>
        <v>Wed</v>
      </c>
      <c r="AH4" s="2" t="str">
        <f t="shared" si="0"/>
        <v>Thu</v>
      </c>
      <c r="AI4" s="2" t="str">
        <f t="shared" si="0"/>
        <v>Fri</v>
      </c>
      <c r="AJ4" s="2" t="str">
        <f t="shared" ref="AJ4:CU4" si="1">TEXT(AJ5,"ddd")</f>
        <v>Sat</v>
      </c>
      <c r="AK4" s="2" t="str">
        <f t="shared" si="1"/>
        <v>Sun</v>
      </c>
      <c r="AL4" s="2" t="str">
        <f t="shared" si="1"/>
        <v>Mon</v>
      </c>
      <c r="AM4" s="2" t="str">
        <f t="shared" si="1"/>
        <v>Tue</v>
      </c>
      <c r="AN4" s="2" t="str">
        <f t="shared" si="1"/>
        <v>Wed</v>
      </c>
      <c r="AO4" s="2" t="str">
        <f t="shared" si="1"/>
        <v>Thu</v>
      </c>
      <c r="AP4" s="2" t="str">
        <f t="shared" si="1"/>
        <v>Fri</v>
      </c>
      <c r="AQ4" s="2" t="str">
        <f t="shared" si="1"/>
        <v>Sat</v>
      </c>
      <c r="AR4" s="2" t="str">
        <f t="shared" si="1"/>
        <v>Sun</v>
      </c>
      <c r="AS4" s="2" t="str">
        <f t="shared" si="1"/>
        <v>Mon</v>
      </c>
      <c r="AT4" s="2" t="str">
        <f t="shared" si="1"/>
        <v>Tue</v>
      </c>
      <c r="AU4" s="2" t="str">
        <f t="shared" si="1"/>
        <v>Wed</v>
      </c>
      <c r="AV4" s="2" t="str">
        <f t="shared" si="1"/>
        <v>Thu</v>
      </c>
      <c r="AW4" s="2" t="str">
        <f t="shared" si="1"/>
        <v>Fri</v>
      </c>
      <c r="AX4" s="2" t="str">
        <f t="shared" si="1"/>
        <v>Sat</v>
      </c>
      <c r="AY4" s="2" t="str">
        <f t="shared" si="1"/>
        <v>Sun</v>
      </c>
      <c r="AZ4" s="2" t="str">
        <f t="shared" si="1"/>
        <v>Mon</v>
      </c>
      <c r="BA4" s="2" t="str">
        <f t="shared" si="1"/>
        <v>Tue</v>
      </c>
      <c r="BB4" s="2" t="str">
        <f t="shared" si="1"/>
        <v>Wed</v>
      </c>
      <c r="BC4" s="2" t="str">
        <f t="shared" si="1"/>
        <v>Thu</v>
      </c>
      <c r="BD4" s="2" t="str">
        <f t="shared" si="1"/>
        <v>Fri</v>
      </c>
      <c r="BE4" s="2" t="str">
        <f t="shared" si="1"/>
        <v>Sat</v>
      </c>
      <c r="BF4" s="2" t="str">
        <f t="shared" si="1"/>
        <v>Sun</v>
      </c>
      <c r="BG4" s="2" t="str">
        <f t="shared" si="1"/>
        <v>Mon</v>
      </c>
      <c r="BH4" s="2" t="str">
        <f t="shared" si="1"/>
        <v>Tue</v>
      </c>
      <c r="BI4" s="2" t="str">
        <f t="shared" si="1"/>
        <v>Wed</v>
      </c>
      <c r="BJ4" s="2" t="str">
        <f t="shared" si="1"/>
        <v>Thu</v>
      </c>
      <c r="BK4" s="2" t="str">
        <f t="shared" si="1"/>
        <v>Fri</v>
      </c>
      <c r="BL4" s="2" t="str">
        <f t="shared" si="1"/>
        <v>Sat</v>
      </c>
      <c r="BM4" s="2" t="str">
        <f t="shared" si="1"/>
        <v>Sun</v>
      </c>
      <c r="BN4" s="2" t="str">
        <f t="shared" si="1"/>
        <v>Mon</v>
      </c>
      <c r="BO4" s="2" t="str">
        <f t="shared" si="1"/>
        <v>Tue</v>
      </c>
      <c r="BP4" s="2" t="str">
        <f t="shared" si="1"/>
        <v>Wed</v>
      </c>
      <c r="BQ4" s="2" t="str">
        <f t="shared" si="1"/>
        <v>Thu</v>
      </c>
      <c r="BR4" s="2" t="str">
        <f t="shared" si="1"/>
        <v>Fri</v>
      </c>
      <c r="BS4" s="2" t="str">
        <f t="shared" si="1"/>
        <v>Sat</v>
      </c>
      <c r="BT4" s="2" t="str">
        <f t="shared" si="1"/>
        <v>Sun</v>
      </c>
      <c r="BU4" s="2" t="str">
        <f t="shared" si="1"/>
        <v>Mon</v>
      </c>
      <c r="BV4" s="2" t="str">
        <f t="shared" si="1"/>
        <v>Tue</v>
      </c>
      <c r="BW4" s="2" t="str">
        <f t="shared" si="1"/>
        <v>Wed</v>
      </c>
      <c r="BX4" s="2" t="str">
        <f t="shared" si="1"/>
        <v>Thu</v>
      </c>
      <c r="BY4" s="2" t="str">
        <f t="shared" si="1"/>
        <v>Fri</v>
      </c>
      <c r="BZ4" s="2" t="str">
        <f t="shared" si="1"/>
        <v>Sat</v>
      </c>
      <c r="CA4" s="2" t="str">
        <f t="shared" si="1"/>
        <v>Sun</v>
      </c>
      <c r="CB4" s="2" t="str">
        <f t="shared" si="1"/>
        <v>Mon</v>
      </c>
      <c r="CC4" s="2" t="str">
        <f t="shared" si="1"/>
        <v>Tue</v>
      </c>
      <c r="CD4" s="2" t="str">
        <f t="shared" si="1"/>
        <v>Wed</v>
      </c>
      <c r="CE4" s="2" t="str">
        <f t="shared" si="1"/>
        <v>Thu</v>
      </c>
      <c r="CF4" s="2" t="str">
        <f t="shared" si="1"/>
        <v>Fri</v>
      </c>
      <c r="CG4" s="2" t="str">
        <f t="shared" si="1"/>
        <v>Sat</v>
      </c>
      <c r="CH4" s="2" t="str">
        <f t="shared" si="1"/>
        <v>Sun</v>
      </c>
      <c r="CI4" s="2" t="str">
        <f t="shared" si="1"/>
        <v>Mon</v>
      </c>
      <c r="CJ4" s="2" t="str">
        <f t="shared" si="1"/>
        <v>Tue</v>
      </c>
      <c r="CK4" s="2" t="str">
        <f t="shared" si="1"/>
        <v>Wed</v>
      </c>
      <c r="CL4" s="2" t="str">
        <f t="shared" si="1"/>
        <v>Thu</v>
      </c>
      <c r="CM4" s="2" t="str">
        <f t="shared" si="1"/>
        <v>Fri</v>
      </c>
      <c r="CN4" s="2" t="str">
        <f t="shared" si="1"/>
        <v>Sat</v>
      </c>
      <c r="CO4" s="2" t="str">
        <f t="shared" si="1"/>
        <v>Sun</v>
      </c>
      <c r="CP4" s="2" t="str">
        <f t="shared" si="1"/>
        <v>Mon</v>
      </c>
      <c r="CQ4" s="2" t="str">
        <f t="shared" si="1"/>
        <v>Tue</v>
      </c>
      <c r="CR4" s="2" t="str">
        <f t="shared" si="1"/>
        <v>Wed</v>
      </c>
      <c r="CS4" s="2" t="str">
        <f t="shared" si="1"/>
        <v>Thu</v>
      </c>
      <c r="CT4" s="2" t="str">
        <f t="shared" si="1"/>
        <v>Fri</v>
      </c>
      <c r="CU4" s="2" t="str">
        <f t="shared" si="1"/>
        <v>Sat</v>
      </c>
      <c r="CV4" s="2" t="str">
        <f t="shared" ref="CV4:EN4" si="2">TEXT(CV5,"ddd")</f>
        <v>Sun</v>
      </c>
      <c r="CW4" s="2" t="str">
        <f t="shared" si="2"/>
        <v>Mon</v>
      </c>
      <c r="CX4" s="2" t="str">
        <f t="shared" si="2"/>
        <v>Tue</v>
      </c>
      <c r="CY4" s="2" t="str">
        <f t="shared" si="2"/>
        <v>Wed</v>
      </c>
      <c r="CZ4" s="2" t="str">
        <f t="shared" si="2"/>
        <v>Thu</v>
      </c>
      <c r="DA4" s="2" t="str">
        <f t="shared" si="2"/>
        <v>Fri</v>
      </c>
      <c r="DB4" s="2" t="str">
        <f t="shared" si="2"/>
        <v>Sat</v>
      </c>
      <c r="DC4" s="2" t="str">
        <f t="shared" si="2"/>
        <v>Sun</v>
      </c>
      <c r="DD4" s="2" t="str">
        <f t="shared" si="2"/>
        <v>Mon</v>
      </c>
      <c r="DE4" s="2" t="str">
        <f t="shared" si="2"/>
        <v>Tue</v>
      </c>
      <c r="DF4" s="2" t="str">
        <f t="shared" si="2"/>
        <v>Wed</v>
      </c>
      <c r="DG4" s="2" t="str">
        <f t="shared" si="2"/>
        <v>Thu</v>
      </c>
      <c r="DH4" s="2" t="str">
        <f t="shared" si="2"/>
        <v>Fri</v>
      </c>
      <c r="DI4" s="2" t="str">
        <f t="shared" si="2"/>
        <v>Sat</v>
      </c>
      <c r="DJ4" s="2" t="str">
        <f t="shared" si="2"/>
        <v>Sun</v>
      </c>
      <c r="DK4" s="2" t="str">
        <f t="shared" si="2"/>
        <v>Mon</v>
      </c>
      <c r="DL4" s="2" t="str">
        <f t="shared" si="2"/>
        <v>Tue</v>
      </c>
      <c r="DM4" s="2" t="str">
        <f t="shared" si="2"/>
        <v>Wed</v>
      </c>
      <c r="DN4" s="2" t="str">
        <f t="shared" si="2"/>
        <v>Thu</v>
      </c>
      <c r="DO4" s="2" t="str">
        <f t="shared" si="2"/>
        <v>Fri</v>
      </c>
      <c r="DP4" s="2" t="str">
        <f t="shared" si="2"/>
        <v>Sat</v>
      </c>
      <c r="DQ4" s="2" t="str">
        <f t="shared" si="2"/>
        <v>Sun</v>
      </c>
      <c r="DR4" s="2" t="str">
        <f t="shared" si="2"/>
        <v>Mon</v>
      </c>
      <c r="DS4" s="2" t="str">
        <f t="shared" si="2"/>
        <v>Tue</v>
      </c>
      <c r="DT4" s="2" t="str">
        <f t="shared" si="2"/>
        <v>Wed</v>
      </c>
      <c r="DU4" s="2" t="str">
        <f t="shared" si="2"/>
        <v>Thu</v>
      </c>
      <c r="DV4" s="2" t="str">
        <f t="shared" si="2"/>
        <v>Fri</v>
      </c>
      <c r="DW4" s="2" t="str">
        <f t="shared" si="2"/>
        <v>Sat</v>
      </c>
      <c r="DX4" s="2" t="str">
        <f t="shared" si="2"/>
        <v>Sun</v>
      </c>
      <c r="DY4" s="2" t="str">
        <f t="shared" si="2"/>
        <v>Mon</v>
      </c>
      <c r="DZ4" s="2" t="str">
        <f t="shared" si="2"/>
        <v>Tue</v>
      </c>
      <c r="EA4" s="2" t="str">
        <f t="shared" si="2"/>
        <v>Wed</v>
      </c>
      <c r="EB4" s="2" t="str">
        <f t="shared" si="2"/>
        <v>Thu</v>
      </c>
      <c r="EC4" s="2" t="str">
        <f t="shared" si="2"/>
        <v>Fri</v>
      </c>
      <c r="ED4" s="2" t="str">
        <f t="shared" si="2"/>
        <v>Sat</v>
      </c>
      <c r="EE4" s="2" t="str">
        <f t="shared" si="2"/>
        <v>Sun</v>
      </c>
      <c r="EF4" s="2" t="str">
        <f t="shared" si="2"/>
        <v>Mon</v>
      </c>
      <c r="EG4" s="2" t="str">
        <f t="shared" si="2"/>
        <v>Tue</v>
      </c>
      <c r="EH4" s="2" t="str">
        <f t="shared" si="2"/>
        <v>Wed</v>
      </c>
      <c r="EI4" s="2" t="str">
        <f t="shared" si="2"/>
        <v>Thu</v>
      </c>
      <c r="EJ4" s="2" t="str">
        <f t="shared" si="2"/>
        <v>Fri</v>
      </c>
      <c r="EK4" s="2" t="str">
        <f t="shared" si="2"/>
        <v>Sat</v>
      </c>
      <c r="EL4" s="2" t="str">
        <f t="shared" si="2"/>
        <v>Sun</v>
      </c>
      <c r="EM4" s="2" t="str">
        <f t="shared" si="2"/>
        <v>Mon</v>
      </c>
      <c r="EN4" s="2" t="str">
        <f t="shared" si="2"/>
        <v>Tue</v>
      </c>
      <c r="EO4" s="114" t="s">
        <v>5</v>
      </c>
      <c r="EP4" s="114" t="s">
        <v>6</v>
      </c>
      <c r="EQ4" s="103" t="s">
        <v>46</v>
      </c>
      <c r="ER4" s="105"/>
      <c r="ES4" s="3"/>
      <c r="ET4" s="3"/>
    </row>
    <row r="5" spans="1:150" ht="37.5" x14ac:dyDescent="0.25">
      <c r="A5" s="107"/>
      <c r="B5" s="107"/>
      <c r="C5" s="107"/>
      <c r="D5" s="107"/>
      <c r="E5" s="107"/>
      <c r="F5" s="77">
        <v>45519</v>
      </c>
      <c r="G5" s="77">
        <v>45520</v>
      </c>
      <c r="H5" s="77">
        <v>45521</v>
      </c>
      <c r="I5" s="77">
        <v>45522</v>
      </c>
      <c r="J5" s="77">
        <v>45523</v>
      </c>
      <c r="K5" s="77">
        <v>45524</v>
      </c>
      <c r="L5" s="77">
        <v>45525</v>
      </c>
      <c r="M5" s="77">
        <v>45526</v>
      </c>
      <c r="N5" s="77">
        <v>45527</v>
      </c>
      <c r="O5" s="77">
        <v>45528</v>
      </c>
      <c r="P5" s="77">
        <v>45529</v>
      </c>
      <c r="Q5" s="77">
        <v>45530</v>
      </c>
      <c r="R5" s="77">
        <v>45531</v>
      </c>
      <c r="S5" s="77">
        <v>45532</v>
      </c>
      <c r="T5" s="77">
        <v>45533</v>
      </c>
      <c r="U5" s="77">
        <v>45534</v>
      </c>
      <c r="V5" s="77">
        <v>45535</v>
      </c>
      <c r="W5" s="77">
        <v>45536</v>
      </c>
      <c r="X5" s="77">
        <v>45537</v>
      </c>
      <c r="Y5" s="77">
        <v>45538</v>
      </c>
      <c r="Z5" s="77">
        <v>45539</v>
      </c>
      <c r="AA5" s="77">
        <v>45540</v>
      </c>
      <c r="AB5" s="77">
        <v>45541</v>
      </c>
      <c r="AC5" s="77">
        <v>45542</v>
      </c>
      <c r="AD5" s="77">
        <v>45543</v>
      </c>
      <c r="AE5" s="77">
        <v>45544</v>
      </c>
      <c r="AF5" s="77">
        <v>45545</v>
      </c>
      <c r="AG5" s="77">
        <v>45546</v>
      </c>
      <c r="AH5" s="77">
        <v>45547</v>
      </c>
      <c r="AI5" s="77">
        <v>45548</v>
      </c>
      <c r="AJ5" s="77">
        <v>45549</v>
      </c>
      <c r="AK5" s="77">
        <v>45550</v>
      </c>
      <c r="AL5" s="77">
        <v>45551</v>
      </c>
      <c r="AM5" s="77">
        <v>45552</v>
      </c>
      <c r="AN5" s="77">
        <v>45553</v>
      </c>
      <c r="AO5" s="77">
        <v>45554</v>
      </c>
      <c r="AP5" s="77">
        <v>45555</v>
      </c>
      <c r="AQ5" s="77">
        <v>45556</v>
      </c>
      <c r="AR5" s="77">
        <v>45557</v>
      </c>
      <c r="AS5" s="77">
        <v>45558</v>
      </c>
      <c r="AT5" s="77">
        <v>45559</v>
      </c>
      <c r="AU5" s="77">
        <v>45560</v>
      </c>
      <c r="AV5" s="77">
        <v>45561</v>
      </c>
      <c r="AW5" s="77">
        <v>45562</v>
      </c>
      <c r="AX5" s="77">
        <v>45563</v>
      </c>
      <c r="AY5" s="77">
        <v>45564</v>
      </c>
      <c r="AZ5" s="77">
        <v>45565</v>
      </c>
      <c r="BA5" s="77">
        <v>45566</v>
      </c>
      <c r="BB5" s="77">
        <v>45567</v>
      </c>
      <c r="BC5" s="77">
        <v>45568</v>
      </c>
      <c r="BD5" s="77">
        <v>45569</v>
      </c>
      <c r="BE5" s="77">
        <v>45570</v>
      </c>
      <c r="BF5" s="77">
        <v>45571</v>
      </c>
      <c r="BG5" s="77">
        <v>45572</v>
      </c>
      <c r="BH5" s="77">
        <v>45573</v>
      </c>
      <c r="BI5" s="77">
        <v>45574</v>
      </c>
      <c r="BJ5" s="77">
        <v>45575</v>
      </c>
      <c r="BK5" s="77">
        <v>45576</v>
      </c>
      <c r="BL5" s="77">
        <v>45577</v>
      </c>
      <c r="BM5" s="77">
        <v>45578</v>
      </c>
      <c r="BN5" s="77">
        <v>45579</v>
      </c>
      <c r="BO5" s="77">
        <v>45580</v>
      </c>
      <c r="BP5" s="77">
        <v>45581</v>
      </c>
      <c r="BQ5" s="77">
        <v>45582</v>
      </c>
      <c r="BR5" s="77">
        <v>45583</v>
      </c>
      <c r="BS5" s="77">
        <v>45584</v>
      </c>
      <c r="BT5" s="77">
        <v>45585</v>
      </c>
      <c r="BU5" s="77">
        <v>45586</v>
      </c>
      <c r="BV5" s="77">
        <v>45587</v>
      </c>
      <c r="BW5" s="77">
        <v>45588</v>
      </c>
      <c r="BX5" s="77">
        <v>45589</v>
      </c>
      <c r="BY5" s="77">
        <v>45590</v>
      </c>
      <c r="BZ5" s="77">
        <v>45591</v>
      </c>
      <c r="CA5" s="77">
        <v>45592</v>
      </c>
      <c r="CB5" s="77">
        <v>45593</v>
      </c>
      <c r="CC5" s="77">
        <v>45594</v>
      </c>
      <c r="CD5" s="77">
        <v>45595</v>
      </c>
      <c r="CE5" s="77">
        <v>45596</v>
      </c>
      <c r="CF5" s="77">
        <v>45597</v>
      </c>
      <c r="CG5" s="77">
        <v>45598</v>
      </c>
      <c r="CH5" s="77">
        <v>45599</v>
      </c>
      <c r="CI5" s="77">
        <v>45600</v>
      </c>
      <c r="CJ5" s="77">
        <v>45601</v>
      </c>
      <c r="CK5" s="77">
        <v>45602</v>
      </c>
      <c r="CL5" s="77">
        <v>45603</v>
      </c>
      <c r="CM5" s="77">
        <v>45604</v>
      </c>
      <c r="CN5" s="77">
        <v>45605</v>
      </c>
      <c r="CO5" s="77">
        <v>45606</v>
      </c>
      <c r="CP5" s="77">
        <v>45607</v>
      </c>
      <c r="CQ5" s="77">
        <v>45608</v>
      </c>
      <c r="CR5" s="77">
        <v>45609</v>
      </c>
      <c r="CS5" s="77">
        <v>45610</v>
      </c>
      <c r="CT5" s="77">
        <v>45611</v>
      </c>
      <c r="CU5" s="77">
        <v>45612</v>
      </c>
      <c r="CV5" s="77">
        <v>45613</v>
      </c>
      <c r="CW5" s="77">
        <v>45614</v>
      </c>
      <c r="CX5" s="77">
        <v>45615</v>
      </c>
      <c r="CY5" s="77">
        <v>45616</v>
      </c>
      <c r="CZ5" s="77">
        <v>45617</v>
      </c>
      <c r="DA5" s="77">
        <v>45618</v>
      </c>
      <c r="DB5" s="77">
        <v>45619</v>
      </c>
      <c r="DC5" s="77">
        <v>45620</v>
      </c>
      <c r="DD5" s="77">
        <v>45621</v>
      </c>
      <c r="DE5" s="77">
        <v>45622</v>
      </c>
      <c r="DF5" s="77">
        <v>45623</v>
      </c>
      <c r="DG5" s="77">
        <v>45624</v>
      </c>
      <c r="DH5" s="77">
        <v>45625</v>
      </c>
      <c r="DI5" s="77">
        <v>45626</v>
      </c>
      <c r="DJ5" s="77">
        <v>45627</v>
      </c>
      <c r="DK5" s="77">
        <v>45628</v>
      </c>
      <c r="DL5" s="77">
        <v>45629</v>
      </c>
      <c r="DM5" s="77">
        <v>45630</v>
      </c>
      <c r="DN5" s="77">
        <v>45631</v>
      </c>
      <c r="DO5" s="77">
        <v>45632</v>
      </c>
      <c r="DP5" s="77">
        <v>45633</v>
      </c>
      <c r="DQ5" s="77">
        <v>45634</v>
      </c>
      <c r="DR5" s="77">
        <v>45635</v>
      </c>
      <c r="DS5" s="77">
        <v>45636</v>
      </c>
      <c r="DT5" s="77">
        <v>45637</v>
      </c>
      <c r="DU5" s="77">
        <v>45638</v>
      </c>
      <c r="DV5" s="77">
        <v>45639</v>
      </c>
      <c r="DW5" s="77">
        <v>45640</v>
      </c>
      <c r="DX5" s="77">
        <v>45641</v>
      </c>
      <c r="DY5" s="77">
        <v>45642</v>
      </c>
      <c r="DZ5" s="77">
        <v>45643</v>
      </c>
      <c r="EA5" s="77">
        <v>45644</v>
      </c>
      <c r="EB5" s="77">
        <v>45645</v>
      </c>
      <c r="EC5" s="77">
        <v>45646</v>
      </c>
      <c r="ED5" s="77">
        <v>45647</v>
      </c>
      <c r="EE5" s="77">
        <v>45648</v>
      </c>
      <c r="EF5" s="77">
        <v>45649</v>
      </c>
      <c r="EG5" s="77">
        <v>45650</v>
      </c>
      <c r="EH5" s="77">
        <v>45651</v>
      </c>
      <c r="EI5" s="77">
        <v>45652</v>
      </c>
      <c r="EJ5" s="77">
        <v>45653</v>
      </c>
      <c r="EK5" s="77">
        <v>45654</v>
      </c>
      <c r="EL5" s="77">
        <v>45655</v>
      </c>
      <c r="EM5" s="77">
        <v>45656</v>
      </c>
      <c r="EN5" s="77">
        <v>45657</v>
      </c>
      <c r="EO5" s="114"/>
      <c r="EP5" s="114"/>
      <c r="EQ5" s="4" t="s">
        <v>7</v>
      </c>
      <c r="ER5" s="5">
        <v>31</v>
      </c>
      <c r="ES5" s="3"/>
      <c r="ET5" s="3"/>
    </row>
    <row r="6" spans="1:150" x14ac:dyDescent="0.25">
      <c r="A6" s="6">
        <v>1</v>
      </c>
      <c r="B6" s="7"/>
      <c r="C6" s="8" t="s">
        <v>270</v>
      </c>
      <c r="D6" s="9" t="s">
        <v>271</v>
      </c>
      <c r="E6" s="10" t="s">
        <v>36</v>
      </c>
      <c r="F6" s="16" t="s">
        <v>166</v>
      </c>
      <c r="G6" s="16" t="s">
        <v>166</v>
      </c>
      <c r="H6" s="16" t="s">
        <v>166</v>
      </c>
      <c r="I6" s="115" t="s">
        <v>365</v>
      </c>
      <c r="J6" s="16" t="s">
        <v>166</v>
      </c>
      <c r="K6" s="111" t="s">
        <v>366</v>
      </c>
      <c r="L6" s="16" t="s">
        <v>166</v>
      </c>
      <c r="M6" s="16" t="s">
        <v>166</v>
      </c>
      <c r="N6" s="16" t="s">
        <v>165</v>
      </c>
      <c r="O6" s="111" t="s">
        <v>367</v>
      </c>
      <c r="P6" s="115" t="s">
        <v>365</v>
      </c>
      <c r="Q6" s="111" t="s">
        <v>368</v>
      </c>
      <c r="R6" s="16" t="s">
        <v>166</v>
      </c>
      <c r="S6" s="16" t="s">
        <v>166</v>
      </c>
      <c r="T6" s="16" t="s">
        <v>166</v>
      </c>
      <c r="U6" s="111" t="s">
        <v>169</v>
      </c>
      <c r="V6" s="16" t="s">
        <v>165</v>
      </c>
      <c r="W6" s="115" t="s">
        <v>365</v>
      </c>
      <c r="X6" s="16" t="s">
        <v>166</v>
      </c>
      <c r="Y6" s="16" t="s">
        <v>166</v>
      </c>
      <c r="Z6" s="16" t="s">
        <v>166</v>
      </c>
      <c r="AA6" s="16" t="s">
        <v>166</v>
      </c>
      <c r="AB6" s="16" t="s">
        <v>166</v>
      </c>
      <c r="AC6" s="16" t="s">
        <v>166</v>
      </c>
      <c r="AD6" s="115" t="s">
        <v>365</v>
      </c>
      <c r="AE6" s="16" t="s">
        <v>166</v>
      </c>
      <c r="AF6" s="16" t="s">
        <v>166</v>
      </c>
      <c r="AG6" s="16" t="s">
        <v>166</v>
      </c>
      <c r="AH6" s="16" t="s">
        <v>166</v>
      </c>
      <c r="AI6" s="16" t="s">
        <v>166</v>
      </c>
      <c r="AJ6" s="16" t="s">
        <v>166</v>
      </c>
      <c r="AK6" s="115" t="s">
        <v>365</v>
      </c>
      <c r="AL6" s="16" t="s">
        <v>166</v>
      </c>
      <c r="AM6" s="111" t="s">
        <v>266</v>
      </c>
      <c r="AN6" s="16" t="s">
        <v>166</v>
      </c>
      <c r="AO6" s="16" t="s">
        <v>166</v>
      </c>
      <c r="AP6" s="16" t="s">
        <v>166</v>
      </c>
      <c r="AQ6" s="16" t="s">
        <v>166</v>
      </c>
      <c r="AR6" s="16"/>
      <c r="AS6" s="16" t="s">
        <v>166</v>
      </c>
      <c r="AT6" s="16" t="s">
        <v>166</v>
      </c>
      <c r="AU6" s="16" t="s">
        <v>166</v>
      </c>
      <c r="AV6" s="16" t="s">
        <v>166</v>
      </c>
      <c r="AW6" s="16" t="s">
        <v>166</v>
      </c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5">
        <f t="shared" ref="EO6:EO45" si="3">COUNTIF(F6:EN6,"P")</f>
        <v>31</v>
      </c>
      <c r="EP6" s="5">
        <f t="shared" ref="EP6:EP45" si="4">COUNTIF(F6:EN6,"A")</f>
        <v>2</v>
      </c>
      <c r="EQ6" s="5" t="s">
        <v>9</v>
      </c>
      <c r="ER6" s="17">
        <v>26</v>
      </c>
      <c r="ES6" s="18" t="s">
        <v>10</v>
      </c>
      <c r="ET6" s="3"/>
    </row>
    <row r="7" spans="1:150" x14ac:dyDescent="0.25">
      <c r="A7" s="17">
        <v>2</v>
      </c>
      <c r="B7" s="19"/>
      <c r="C7" s="20" t="s">
        <v>272</v>
      </c>
      <c r="D7" s="21" t="s">
        <v>273</v>
      </c>
      <c r="E7" s="10" t="s">
        <v>36</v>
      </c>
      <c r="F7" s="16" t="s">
        <v>166</v>
      </c>
      <c r="G7" s="16" t="s">
        <v>166</v>
      </c>
      <c r="H7" s="16" t="s">
        <v>166</v>
      </c>
      <c r="I7" s="115"/>
      <c r="J7" s="16" t="s">
        <v>166</v>
      </c>
      <c r="K7" s="112"/>
      <c r="L7" s="16" t="s">
        <v>166</v>
      </c>
      <c r="M7" s="16" t="s">
        <v>166</v>
      </c>
      <c r="N7" s="16" t="s">
        <v>165</v>
      </c>
      <c r="O7" s="112"/>
      <c r="P7" s="115"/>
      <c r="Q7" s="112"/>
      <c r="R7" s="16" t="s">
        <v>165</v>
      </c>
      <c r="S7" s="16" t="s">
        <v>165</v>
      </c>
      <c r="T7" s="16" t="s">
        <v>166</v>
      </c>
      <c r="U7" s="112"/>
      <c r="V7" s="16" t="s">
        <v>165</v>
      </c>
      <c r="W7" s="115"/>
      <c r="X7" s="16" t="s">
        <v>166</v>
      </c>
      <c r="Y7" s="16" t="s">
        <v>165</v>
      </c>
      <c r="Z7" s="16" t="s">
        <v>166</v>
      </c>
      <c r="AA7" s="16" t="s">
        <v>165</v>
      </c>
      <c r="AB7" s="16" t="s">
        <v>165</v>
      </c>
      <c r="AC7" s="16" t="s">
        <v>165</v>
      </c>
      <c r="AD7" s="115"/>
      <c r="AE7" s="16" t="s">
        <v>166</v>
      </c>
      <c r="AF7" s="16" t="s">
        <v>165</v>
      </c>
      <c r="AG7" s="16" t="s">
        <v>166</v>
      </c>
      <c r="AH7" s="16" t="s">
        <v>369</v>
      </c>
      <c r="AI7" s="16" t="s">
        <v>166</v>
      </c>
      <c r="AJ7" s="16" t="s">
        <v>369</v>
      </c>
      <c r="AK7" s="115"/>
      <c r="AL7" s="16" t="s">
        <v>166</v>
      </c>
      <c r="AM7" s="112"/>
      <c r="AN7" s="16" t="s">
        <v>166</v>
      </c>
      <c r="AO7" s="16" t="s">
        <v>166</v>
      </c>
      <c r="AP7" s="16" t="s">
        <v>166</v>
      </c>
      <c r="AQ7" s="16" t="s">
        <v>166</v>
      </c>
      <c r="AR7" s="16"/>
      <c r="AS7" s="16" t="s">
        <v>166</v>
      </c>
      <c r="AT7" s="16" t="s">
        <v>166</v>
      </c>
      <c r="AU7" s="16" t="s">
        <v>166</v>
      </c>
      <c r="AV7" s="16" t="s">
        <v>369</v>
      </c>
      <c r="AW7" s="16" t="s">
        <v>166</v>
      </c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5">
        <f t="shared" si="3"/>
        <v>21</v>
      </c>
      <c r="EP7" s="5">
        <f t="shared" si="4"/>
        <v>9</v>
      </c>
      <c r="EQ7" s="5" t="s">
        <v>11</v>
      </c>
      <c r="ER7" s="17">
        <v>4</v>
      </c>
      <c r="ES7" s="3"/>
      <c r="ET7" s="3"/>
    </row>
    <row r="8" spans="1:150" x14ac:dyDescent="0.25">
      <c r="A8" s="6">
        <v>3</v>
      </c>
      <c r="B8" s="19"/>
      <c r="C8" s="20" t="s">
        <v>175</v>
      </c>
      <c r="D8" s="21" t="s">
        <v>275</v>
      </c>
      <c r="E8" s="10" t="s">
        <v>36</v>
      </c>
      <c r="F8" s="16" t="s">
        <v>165</v>
      </c>
      <c r="G8" s="16" t="s">
        <v>166</v>
      </c>
      <c r="H8" s="16" t="s">
        <v>165</v>
      </c>
      <c r="I8" s="115"/>
      <c r="J8" s="16" t="s">
        <v>166</v>
      </c>
      <c r="K8" s="112"/>
      <c r="L8" s="16" t="s">
        <v>166</v>
      </c>
      <c r="M8" s="16" t="s">
        <v>166</v>
      </c>
      <c r="N8" s="16" t="s">
        <v>166</v>
      </c>
      <c r="O8" s="112"/>
      <c r="P8" s="115"/>
      <c r="Q8" s="112"/>
      <c r="R8" s="16" t="s">
        <v>166</v>
      </c>
      <c r="S8" s="16" t="s">
        <v>165</v>
      </c>
      <c r="T8" s="16" t="s">
        <v>165</v>
      </c>
      <c r="U8" s="112"/>
      <c r="V8" s="16" t="s">
        <v>165</v>
      </c>
      <c r="W8" s="115"/>
      <c r="X8" s="16" t="s">
        <v>166</v>
      </c>
      <c r="Y8" s="16" t="s">
        <v>166</v>
      </c>
      <c r="Z8" s="16" t="s">
        <v>166</v>
      </c>
      <c r="AA8" s="16" t="s">
        <v>166</v>
      </c>
      <c r="AB8" s="16" t="s">
        <v>166</v>
      </c>
      <c r="AC8" s="16" t="s">
        <v>166</v>
      </c>
      <c r="AD8" s="115"/>
      <c r="AE8" s="16" t="s">
        <v>166</v>
      </c>
      <c r="AF8" s="16" t="s">
        <v>166</v>
      </c>
      <c r="AG8" s="16" t="s">
        <v>166</v>
      </c>
      <c r="AH8" s="16" t="s">
        <v>166</v>
      </c>
      <c r="AI8" s="16" t="s">
        <v>166</v>
      </c>
      <c r="AJ8" s="16" t="s">
        <v>166</v>
      </c>
      <c r="AK8" s="115"/>
      <c r="AL8" s="16" t="s">
        <v>166</v>
      </c>
      <c r="AM8" s="112"/>
      <c r="AN8" s="16" t="s">
        <v>166</v>
      </c>
      <c r="AO8" s="16" t="s">
        <v>166</v>
      </c>
      <c r="AP8" s="16" t="s">
        <v>166</v>
      </c>
      <c r="AQ8" s="16" t="s">
        <v>166</v>
      </c>
      <c r="AR8" s="16"/>
      <c r="AS8" s="16" t="s">
        <v>166</v>
      </c>
      <c r="AT8" s="16" t="s">
        <v>166</v>
      </c>
      <c r="AU8" s="16" t="s">
        <v>166</v>
      </c>
      <c r="AV8" s="16" t="s">
        <v>369</v>
      </c>
      <c r="AW8" s="16" t="s">
        <v>166</v>
      </c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5">
        <f t="shared" si="3"/>
        <v>27</v>
      </c>
      <c r="EP8" s="5">
        <f t="shared" si="4"/>
        <v>5</v>
      </c>
      <c r="EQ8" s="3"/>
      <c r="ER8" s="3"/>
      <c r="ES8" s="3"/>
      <c r="ET8" s="3"/>
    </row>
    <row r="9" spans="1:150" ht="15.75" x14ac:dyDescent="0.25">
      <c r="A9" s="17">
        <v>4</v>
      </c>
      <c r="B9" s="19"/>
      <c r="C9" s="20" t="s">
        <v>276</v>
      </c>
      <c r="D9" s="21" t="s">
        <v>277</v>
      </c>
      <c r="E9" s="10" t="s">
        <v>36</v>
      </c>
      <c r="F9" s="16"/>
      <c r="G9" s="16" t="s">
        <v>165</v>
      </c>
      <c r="H9" s="16" t="s">
        <v>165</v>
      </c>
      <c r="I9" s="115"/>
      <c r="J9" s="16" t="s">
        <v>166</v>
      </c>
      <c r="K9" s="112"/>
      <c r="L9" s="16" t="s">
        <v>166</v>
      </c>
      <c r="M9" s="16" t="s">
        <v>166</v>
      </c>
      <c r="N9" s="16" t="s">
        <v>166</v>
      </c>
      <c r="O9" s="112"/>
      <c r="P9" s="115"/>
      <c r="Q9" s="112"/>
      <c r="R9" s="16" t="s">
        <v>165</v>
      </c>
      <c r="S9" s="16" t="s">
        <v>166</v>
      </c>
      <c r="T9" s="16" t="s">
        <v>166</v>
      </c>
      <c r="U9" s="112"/>
      <c r="V9" s="16" t="s">
        <v>165</v>
      </c>
      <c r="W9" s="115"/>
      <c r="X9" s="16" t="s">
        <v>166</v>
      </c>
      <c r="Y9" s="16" t="s">
        <v>166</v>
      </c>
      <c r="Z9" s="16" t="s">
        <v>166</v>
      </c>
      <c r="AA9" s="16" t="s">
        <v>166</v>
      </c>
      <c r="AB9" s="16" t="s">
        <v>166</v>
      </c>
      <c r="AC9" s="16" t="s">
        <v>166</v>
      </c>
      <c r="AD9" s="115"/>
      <c r="AE9" s="16" t="s">
        <v>166</v>
      </c>
      <c r="AF9" s="16" t="s">
        <v>166</v>
      </c>
      <c r="AG9" s="16" t="s">
        <v>166</v>
      </c>
      <c r="AH9" s="16" t="s">
        <v>166</v>
      </c>
      <c r="AI9" s="16" t="s">
        <v>166</v>
      </c>
      <c r="AJ9" s="16" t="s">
        <v>166</v>
      </c>
      <c r="AK9" s="115"/>
      <c r="AL9" s="16" t="s">
        <v>166</v>
      </c>
      <c r="AM9" s="112"/>
      <c r="AN9" s="16" t="s">
        <v>165</v>
      </c>
      <c r="AO9" s="16" t="s">
        <v>166</v>
      </c>
      <c r="AP9" s="16" t="s">
        <v>166</v>
      </c>
      <c r="AQ9" s="16" t="s">
        <v>166</v>
      </c>
      <c r="AR9" s="16"/>
      <c r="AS9" s="16" t="s">
        <v>166</v>
      </c>
      <c r="AT9" s="16" t="s">
        <v>166</v>
      </c>
      <c r="AU9" s="16" t="s">
        <v>166</v>
      </c>
      <c r="AV9" s="16" t="s">
        <v>166</v>
      </c>
      <c r="AW9" s="16" t="s">
        <v>166</v>
      </c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5">
        <f t="shared" si="3"/>
        <v>27</v>
      </c>
      <c r="EP9" s="5">
        <f t="shared" si="4"/>
        <v>5</v>
      </c>
      <c r="EQ9" s="103" t="s">
        <v>12</v>
      </c>
      <c r="ER9" s="105"/>
      <c r="ES9" s="105"/>
      <c r="ET9" s="104"/>
    </row>
    <row r="10" spans="1:150" x14ac:dyDescent="0.25">
      <c r="A10" s="6">
        <v>5</v>
      </c>
      <c r="B10" s="19"/>
      <c r="C10" s="20" t="s">
        <v>278</v>
      </c>
      <c r="D10" s="21" t="s">
        <v>279</v>
      </c>
      <c r="E10" s="10" t="s">
        <v>36</v>
      </c>
      <c r="F10" s="16" t="s">
        <v>165</v>
      </c>
      <c r="G10" s="16" t="s">
        <v>166</v>
      </c>
      <c r="H10" s="16" t="s">
        <v>166</v>
      </c>
      <c r="I10" s="115"/>
      <c r="J10" s="16" t="s">
        <v>166</v>
      </c>
      <c r="K10" s="112"/>
      <c r="L10" s="16" t="s">
        <v>166</v>
      </c>
      <c r="M10" s="16" t="s">
        <v>166</v>
      </c>
      <c r="N10" s="16" t="s">
        <v>166</v>
      </c>
      <c r="O10" s="112"/>
      <c r="P10" s="115"/>
      <c r="Q10" s="112"/>
      <c r="R10" s="16" t="s">
        <v>165</v>
      </c>
      <c r="S10" s="16" t="s">
        <v>165</v>
      </c>
      <c r="T10" s="16" t="s">
        <v>165</v>
      </c>
      <c r="U10" s="112"/>
      <c r="V10" s="16" t="s">
        <v>165</v>
      </c>
      <c r="W10" s="115"/>
      <c r="X10" s="16" t="s">
        <v>166</v>
      </c>
      <c r="Y10" s="16" t="s">
        <v>166</v>
      </c>
      <c r="Z10" s="16" t="s">
        <v>166</v>
      </c>
      <c r="AA10" s="16" t="s">
        <v>166</v>
      </c>
      <c r="AB10" s="16" t="s">
        <v>166</v>
      </c>
      <c r="AC10" s="16" t="s">
        <v>166</v>
      </c>
      <c r="AD10" s="115"/>
      <c r="AE10" s="16" t="s">
        <v>166</v>
      </c>
      <c r="AF10" s="16" t="s">
        <v>166</v>
      </c>
      <c r="AG10" s="16" t="s">
        <v>166</v>
      </c>
      <c r="AH10" s="16" t="s">
        <v>166</v>
      </c>
      <c r="AI10" s="16" t="s">
        <v>166</v>
      </c>
      <c r="AJ10" s="16" t="s">
        <v>166</v>
      </c>
      <c r="AK10" s="115"/>
      <c r="AL10" s="16" t="s">
        <v>165</v>
      </c>
      <c r="AM10" s="112"/>
      <c r="AN10" s="16" t="s">
        <v>166</v>
      </c>
      <c r="AO10" s="16" t="s">
        <v>166</v>
      </c>
      <c r="AP10" s="16" t="s">
        <v>166</v>
      </c>
      <c r="AQ10" s="16" t="s">
        <v>166</v>
      </c>
      <c r="AR10" s="16"/>
      <c r="AS10" s="16" t="s">
        <v>166</v>
      </c>
      <c r="AT10" s="16" t="s">
        <v>166</v>
      </c>
      <c r="AU10" s="16" t="s">
        <v>166</v>
      </c>
      <c r="AV10" s="16" t="s">
        <v>166</v>
      </c>
      <c r="AW10" s="16" t="s">
        <v>166</v>
      </c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5">
        <f t="shared" si="3"/>
        <v>27</v>
      </c>
      <c r="EP10" s="5">
        <f t="shared" si="4"/>
        <v>6</v>
      </c>
      <c r="EQ10" s="5" t="s">
        <v>13</v>
      </c>
      <c r="ER10" s="5" t="s">
        <v>14</v>
      </c>
      <c r="ES10" s="5" t="s">
        <v>15</v>
      </c>
      <c r="ET10" s="5" t="s">
        <v>16</v>
      </c>
    </row>
    <row r="11" spans="1:150" x14ac:dyDescent="0.25">
      <c r="A11" s="17">
        <v>6</v>
      </c>
      <c r="B11" s="19"/>
      <c r="C11" s="20" t="s">
        <v>274</v>
      </c>
      <c r="D11" s="21" t="s">
        <v>275</v>
      </c>
      <c r="E11" s="10" t="s">
        <v>36</v>
      </c>
      <c r="F11" s="16" t="s">
        <v>166</v>
      </c>
      <c r="G11" s="16" t="s">
        <v>166</v>
      </c>
      <c r="H11" s="16" t="s">
        <v>166</v>
      </c>
      <c r="I11" s="115"/>
      <c r="J11" s="16" t="s">
        <v>166</v>
      </c>
      <c r="K11" s="112"/>
      <c r="L11" s="16" t="s">
        <v>166</v>
      </c>
      <c r="M11" s="16" t="s">
        <v>166</v>
      </c>
      <c r="N11" s="16" t="s">
        <v>165</v>
      </c>
      <c r="O11" s="112"/>
      <c r="P11" s="115"/>
      <c r="Q11" s="112"/>
      <c r="R11" s="16" t="s">
        <v>165</v>
      </c>
      <c r="S11" s="16" t="s">
        <v>165</v>
      </c>
      <c r="T11" s="16" t="s">
        <v>166</v>
      </c>
      <c r="U11" s="112"/>
      <c r="V11" s="16" t="s">
        <v>165</v>
      </c>
      <c r="W11" s="115"/>
      <c r="X11" s="16" t="s">
        <v>166</v>
      </c>
      <c r="Y11" s="16" t="s">
        <v>166</v>
      </c>
      <c r="Z11" s="16" t="s">
        <v>166</v>
      </c>
      <c r="AA11" s="16" t="s">
        <v>166</v>
      </c>
      <c r="AB11" s="16" t="s">
        <v>165</v>
      </c>
      <c r="AC11" s="16" t="s">
        <v>165</v>
      </c>
      <c r="AD11" s="115"/>
      <c r="AE11" s="16" t="s">
        <v>166</v>
      </c>
      <c r="AF11" s="16" t="s">
        <v>166</v>
      </c>
      <c r="AG11" s="16" t="s">
        <v>166</v>
      </c>
      <c r="AH11" s="16" t="s">
        <v>166</v>
      </c>
      <c r="AI11" s="16" t="s">
        <v>166</v>
      </c>
      <c r="AJ11" s="16" t="s">
        <v>166</v>
      </c>
      <c r="AK11" s="115"/>
      <c r="AL11" s="16" t="s">
        <v>166</v>
      </c>
      <c r="AM11" s="112"/>
      <c r="AN11" s="16" t="s">
        <v>166</v>
      </c>
      <c r="AO11" s="16" t="s">
        <v>165</v>
      </c>
      <c r="AP11" s="16" t="s">
        <v>166</v>
      </c>
      <c r="AQ11" s="16" t="s">
        <v>166</v>
      </c>
      <c r="AR11" s="16"/>
      <c r="AS11" s="16" t="s">
        <v>166</v>
      </c>
      <c r="AT11" s="16" t="s">
        <v>166</v>
      </c>
      <c r="AU11" s="16" t="s">
        <v>166</v>
      </c>
      <c r="AV11" s="16" t="s">
        <v>166</v>
      </c>
      <c r="AW11" s="16" t="s">
        <v>166</v>
      </c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5">
        <f t="shared" si="3"/>
        <v>26</v>
      </c>
      <c r="EP11" s="5">
        <f t="shared" si="4"/>
        <v>7</v>
      </c>
      <c r="EQ11" s="5" t="s">
        <v>17</v>
      </c>
      <c r="ER11" s="17">
        <f>19*26</f>
        <v>494</v>
      </c>
      <c r="ES11" s="17">
        <f>21*26</f>
        <v>546</v>
      </c>
      <c r="ET11" s="17">
        <f>SUM(ER11:ES11)</f>
        <v>1040</v>
      </c>
    </row>
    <row r="12" spans="1:150" x14ac:dyDescent="0.25">
      <c r="A12" s="6">
        <v>7</v>
      </c>
      <c r="B12" s="19"/>
      <c r="C12" s="20" t="s">
        <v>280</v>
      </c>
      <c r="D12" s="21" t="s">
        <v>281</v>
      </c>
      <c r="E12" s="10" t="s">
        <v>36</v>
      </c>
      <c r="F12" s="16" t="s">
        <v>166</v>
      </c>
      <c r="G12" s="16" t="s">
        <v>166</v>
      </c>
      <c r="H12" s="16" t="s">
        <v>166</v>
      </c>
      <c r="I12" s="115"/>
      <c r="J12" s="16" t="s">
        <v>166</v>
      </c>
      <c r="K12" s="112"/>
      <c r="L12" s="16" t="s">
        <v>166</v>
      </c>
      <c r="M12" s="16" t="s">
        <v>166</v>
      </c>
      <c r="N12" s="16" t="s">
        <v>166</v>
      </c>
      <c r="O12" s="112"/>
      <c r="P12" s="115"/>
      <c r="Q12" s="112"/>
      <c r="R12" s="16" t="s">
        <v>165</v>
      </c>
      <c r="S12" s="16" t="s">
        <v>165</v>
      </c>
      <c r="T12" s="16" t="s">
        <v>166</v>
      </c>
      <c r="U12" s="112"/>
      <c r="V12" s="16" t="s">
        <v>165</v>
      </c>
      <c r="W12" s="115"/>
      <c r="X12" s="16" t="s">
        <v>166</v>
      </c>
      <c r="Y12" s="16" t="s">
        <v>166</v>
      </c>
      <c r="Z12" s="16" t="s">
        <v>166</v>
      </c>
      <c r="AA12" s="16" t="s">
        <v>166</v>
      </c>
      <c r="AB12" s="16" t="s">
        <v>166</v>
      </c>
      <c r="AC12" s="16" t="s">
        <v>166</v>
      </c>
      <c r="AD12" s="115"/>
      <c r="AE12" s="16" t="s">
        <v>166</v>
      </c>
      <c r="AF12" s="16" t="s">
        <v>166</v>
      </c>
      <c r="AG12" s="16" t="s">
        <v>166</v>
      </c>
      <c r="AH12" s="16" t="s">
        <v>166</v>
      </c>
      <c r="AI12" s="16" t="s">
        <v>166</v>
      </c>
      <c r="AJ12" s="16" t="s">
        <v>166</v>
      </c>
      <c r="AK12" s="115"/>
      <c r="AL12" s="16" t="s">
        <v>165</v>
      </c>
      <c r="AM12" s="112"/>
      <c r="AN12" s="16" t="s">
        <v>165</v>
      </c>
      <c r="AO12" s="16" t="s">
        <v>166</v>
      </c>
      <c r="AP12" s="16" t="s">
        <v>166</v>
      </c>
      <c r="AQ12" s="16" t="s">
        <v>166</v>
      </c>
      <c r="AR12" s="16"/>
      <c r="AS12" s="16" t="s">
        <v>166</v>
      </c>
      <c r="AT12" s="16" t="s">
        <v>166</v>
      </c>
      <c r="AU12" s="16" t="s">
        <v>166</v>
      </c>
      <c r="AV12" s="16" t="s">
        <v>166</v>
      </c>
      <c r="AW12" s="16" t="s">
        <v>166</v>
      </c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5">
        <f t="shared" si="3"/>
        <v>28</v>
      </c>
      <c r="EP12" s="5">
        <f t="shared" si="4"/>
        <v>5</v>
      </c>
      <c r="EQ12" s="5" t="s">
        <v>18</v>
      </c>
      <c r="ER12" s="17">
        <f>EO7+EO8+EO9+EO12+EO13+EO14+EO16+EO20+EO21+EO22+EO23+EO24+EO25+EO26+EO27+EO29+EO30+EO32+EO43</f>
        <v>451</v>
      </c>
      <c r="ES12" s="17">
        <f>EO6+EO10+EO11+EO15+EO17+EO18+EO19+EO28+EO31+EO33+EO34+EO35+EO36+EO37+EO38+EO39+EO40+EO41+EO42+EO44+EO45</f>
        <v>552</v>
      </c>
      <c r="ET12" s="17">
        <f>ER12+ES12</f>
        <v>1003</v>
      </c>
    </row>
    <row r="13" spans="1:150" x14ac:dyDescent="0.25">
      <c r="A13" s="17">
        <v>8</v>
      </c>
      <c r="B13" s="19"/>
      <c r="C13" s="20" t="s">
        <v>282</v>
      </c>
      <c r="D13" s="21" t="s">
        <v>283</v>
      </c>
      <c r="E13" s="10" t="s">
        <v>36</v>
      </c>
      <c r="F13" s="16" t="s">
        <v>165</v>
      </c>
      <c r="G13" s="16" t="s">
        <v>166</v>
      </c>
      <c r="H13" s="16" t="s">
        <v>166</v>
      </c>
      <c r="I13" s="115"/>
      <c r="J13" s="16" t="s">
        <v>166</v>
      </c>
      <c r="K13" s="112"/>
      <c r="L13" s="16" t="s">
        <v>166</v>
      </c>
      <c r="M13" s="16" t="s">
        <v>166</v>
      </c>
      <c r="N13" s="16" t="s">
        <v>166</v>
      </c>
      <c r="O13" s="112"/>
      <c r="P13" s="115"/>
      <c r="Q13" s="112"/>
      <c r="R13" s="16" t="s">
        <v>166</v>
      </c>
      <c r="S13" s="16" t="s">
        <v>165</v>
      </c>
      <c r="T13" s="16" t="s">
        <v>166</v>
      </c>
      <c r="U13" s="112"/>
      <c r="V13" s="16" t="s">
        <v>165</v>
      </c>
      <c r="W13" s="115"/>
      <c r="X13" s="16" t="s">
        <v>166</v>
      </c>
      <c r="Y13" s="16" t="s">
        <v>166</v>
      </c>
      <c r="Z13" s="16" t="s">
        <v>166</v>
      </c>
      <c r="AA13" s="16" t="s">
        <v>166</v>
      </c>
      <c r="AB13" s="16" t="s">
        <v>166</v>
      </c>
      <c r="AC13" s="16" t="s">
        <v>166</v>
      </c>
      <c r="AD13" s="115"/>
      <c r="AE13" s="16" t="s">
        <v>166</v>
      </c>
      <c r="AF13" s="16" t="s">
        <v>166</v>
      </c>
      <c r="AG13" s="16" t="s">
        <v>166</v>
      </c>
      <c r="AH13" s="16" t="s">
        <v>166</v>
      </c>
      <c r="AI13" s="16" t="s">
        <v>166</v>
      </c>
      <c r="AJ13" s="16" t="s">
        <v>166</v>
      </c>
      <c r="AK13" s="115"/>
      <c r="AL13" s="16" t="s">
        <v>165</v>
      </c>
      <c r="AM13" s="112"/>
      <c r="AN13" s="16" t="s">
        <v>165</v>
      </c>
      <c r="AO13" s="16" t="s">
        <v>166</v>
      </c>
      <c r="AP13" s="16" t="s">
        <v>166</v>
      </c>
      <c r="AQ13" s="16" t="s">
        <v>166</v>
      </c>
      <c r="AR13" s="16"/>
      <c r="AS13" s="16" t="s">
        <v>166</v>
      </c>
      <c r="AT13" s="16" t="s">
        <v>166</v>
      </c>
      <c r="AU13" s="16" t="s">
        <v>166</v>
      </c>
      <c r="AV13" s="16" t="s">
        <v>166</v>
      </c>
      <c r="AW13" s="16" t="s">
        <v>165</v>
      </c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5">
        <f t="shared" si="3"/>
        <v>27</v>
      </c>
      <c r="EP13" s="5">
        <f t="shared" si="4"/>
        <v>6</v>
      </c>
      <c r="EQ13" s="5" t="s">
        <v>19</v>
      </c>
      <c r="ER13" s="17">
        <f>ER12/ER11</f>
        <v>0.91295546558704455</v>
      </c>
      <c r="ES13" s="17">
        <f>ES12/ES11</f>
        <v>1.0109890109890109</v>
      </c>
      <c r="ET13" s="17">
        <f>ET12/ET11</f>
        <v>0.96442307692307694</v>
      </c>
    </row>
    <row r="14" spans="1:150" x14ac:dyDescent="0.25">
      <c r="A14" s="6">
        <v>9</v>
      </c>
      <c r="B14" s="19"/>
      <c r="C14" s="20" t="s">
        <v>284</v>
      </c>
      <c r="D14" s="21" t="s">
        <v>287</v>
      </c>
      <c r="E14" s="10" t="s">
        <v>36</v>
      </c>
      <c r="F14" s="16" t="s">
        <v>165</v>
      </c>
      <c r="G14" s="16" t="s">
        <v>166</v>
      </c>
      <c r="H14" s="16" t="s">
        <v>166</v>
      </c>
      <c r="I14" s="115"/>
      <c r="J14" s="16" t="s">
        <v>166</v>
      </c>
      <c r="K14" s="112"/>
      <c r="L14" s="16" t="s">
        <v>166</v>
      </c>
      <c r="M14" s="16" t="s">
        <v>166</v>
      </c>
      <c r="N14" s="16" t="s">
        <v>166</v>
      </c>
      <c r="O14" s="112"/>
      <c r="P14" s="115"/>
      <c r="Q14" s="112"/>
      <c r="R14" s="16" t="s">
        <v>166</v>
      </c>
      <c r="S14" s="16" t="s">
        <v>165</v>
      </c>
      <c r="T14" s="16" t="s">
        <v>166</v>
      </c>
      <c r="U14" s="112"/>
      <c r="V14" s="16" t="s">
        <v>165</v>
      </c>
      <c r="W14" s="115"/>
      <c r="X14" s="16" t="s">
        <v>166</v>
      </c>
      <c r="Y14" s="16" t="s">
        <v>166</v>
      </c>
      <c r="Z14" s="16" t="s">
        <v>166</v>
      </c>
      <c r="AA14" s="16" t="s">
        <v>166</v>
      </c>
      <c r="AB14" s="16" t="s">
        <v>166</v>
      </c>
      <c r="AC14" s="16" t="s">
        <v>166</v>
      </c>
      <c r="AD14" s="115"/>
      <c r="AE14" s="16" t="s">
        <v>166</v>
      </c>
      <c r="AF14" s="16" t="s">
        <v>166</v>
      </c>
      <c r="AG14" s="16" t="s">
        <v>166</v>
      </c>
      <c r="AH14" s="16" t="s">
        <v>166</v>
      </c>
      <c r="AI14" s="16" t="s">
        <v>166</v>
      </c>
      <c r="AJ14" s="16" t="s">
        <v>166</v>
      </c>
      <c r="AK14" s="115"/>
      <c r="AL14" s="16" t="s">
        <v>166</v>
      </c>
      <c r="AM14" s="112"/>
      <c r="AN14" s="16" t="s">
        <v>166</v>
      </c>
      <c r="AO14" s="16" t="s">
        <v>166</v>
      </c>
      <c r="AP14" s="16" t="s">
        <v>166</v>
      </c>
      <c r="AQ14" s="16" t="s">
        <v>165</v>
      </c>
      <c r="AR14" s="16"/>
      <c r="AS14" s="16" t="s">
        <v>166</v>
      </c>
      <c r="AT14" s="16" t="s">
        <v>166</v>
      </c>
      <c r="AU14" s="16" t="s">
        <v>166</v>
      </c>
      <c r="AV14" s="16" t="s">
        <v>166</v>
      </c>
      <c r="AW14" s="16" t="s">
        <v>166</v>
      </c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5">
        <f t="shared" si="3"/>
        <v>29</v>
      </c>
      <c r="EP14" s="5">
        <f t="shared" si="4"/>
        <v>4</v>
      </c>
      <c r="EQ14" s="3"/>
      <c r="ER14" s="24"/>
      <c r="ES14" s="24"/>
      <c r="ET14" s="24"/>
    </row>
    <row r="15" spans="1:150" x14ac:dyDescent="0.25">
      <c r="A15" s="17">
        <v>10</v>
      </c>
      <c r="B15" s="25"/>
      <c r="C15" s="20" t="s">
        <v>285</v>
      </c>
      <c r="D15" s="21" t="s">
        <v>286</v>
      </c>
      <c r="E15" s="10" t="s">
        <v>36</v>
      </c>
      <c r="F15" s="16" t="s">
        <v>166</v>
      </c>
      <c r="G15" s="16" t="s">
        <v>166</v>
      </c>
      <c r="H15" s="16" t="s">
        <v>166</v>
      </c>
      <c r="I15" s="115"/>
      <c r="J15" s="16" t="s">
        <v>166</v>
      </c>
      <c r="K15" s="112"/>
      <c r="L15" s="16" t="s">
        <v>166</v>
      </c>
      <c r="M15" s="16" t="s">
        <v>166</v>
      </c>
      <c r="N15" s="16" t="s">
        <v>166</v>
      </c>
      <c r="O15" s="112"/>
      <c r="P15" s="115"/>
      <c r="Q15" s="112"/>
      <c r="R15" s="16" t="s">
        <v>166</v>
      </c>
      <c r="S15" s="16" t="s">
        <v>166</v>
      </c>
      <c r="T15" s="16" t="s">
        <v>166</v>
      </c>
      <c r="U15" s="112"/>
      <c r="V15" s="16" t="s">
        <v>165</v>
      </c>
      <c r="W15" s="115"/>
      <c r="X15" s="16" t="s">
        <v>166</v>
      </c>
      <c r="Y15" s="16" t="s">
        <v>166</v>
      </c>
      <c r="Z15" s="16" t="s">
        <v>166</v>
      </c>
      <c r="AA15" s="16" t="s">
        <v>166</v>
      </c>
      <c r="AB15" s="16" t="s">
        <v>171</v>
      </c>
      <c r="AC15" s="16" t="s">
        <v>171</v>
      </c>
      <c r="AD15" s="115"/>
      <c r="AE15" s="16" t="s">
        <v>165</v>
      </c>
      <c r="AF15" s="16" t="s">
        <v>165</v>
      </c>
      <c r="AG15" s="16" t="s">
        <v>165</v>
      </c>
      <c r="AH15" s="16" t="s">
        <v>166</v>
      </c>
      <c r="AI15" s="16" t="s">
        <v>166</v>
      </c>
      <c r="AJ15" s="16" t="s">
        <v>166</v>
      </c>
      <c r="AK15" s="115"/>
      <c r="AL15" s="16" t="s">
        <v>166</v>
      </c>
      <c r="AM15" s="112"/>
      <c r="AN15" s="16" t="s">
        <v>166</v>
      </c>
      <c r="AO15" s="16" t="s">
        <v>166</v>
      </c>
      <c r="AP15" s="16" t="s">
        <v>166</v>
      </c>
      <c r="AQ15" s="16" t="s">
        <v>166</v>
      </c>
      <c r="AR15" s="16"/>
      <c r="AS15" s="16" t="s">
        <v>166</v>
      </c>
      <c r="AT15" s="16" t="s">
        <v>166</v>
      </c>
      <c r="AU15" s="16" t="s">
        <v>166</v>
      </c>
      <c r="AV15" s="16" t="s">
        <v>166</v>
      </c>
      <c r="AW15" s="16" t="s">
        <v>166</v>
      </c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5">
        <f t="shared" si="3"/>
        <v>27</v>
      </c>
      <c r="EP15" s="5">
        <f t="shared" si="4"/>
        <v>4</v>
      </c>
      <c r="EQ15" s="26"/>
      <c r="ER15" s="26"/>
      <c r="ES15" s="26"/>
      <c r="ET15" s="26"/>
    </row>
    <row r="16" spans="1:150" x14ac:dyDescent="0.25">
      <c r="A16" s="6">
        <v>11</v>
      </c>
      <c r="B16" s="19"/>
      <c r="C16" s="20" t="s">
        <v>288</v>
      </c>
      <c r="D16" s="21" t="s">
        <v>124</v>
      </c>
      <c r="E16" s="10" t="s">
        <v>36</v>
      </c>
      <c r="F16" s="16" t="s">
        <v>165</v>
      </c>
      <c r="G16" s="16" t="s">
        <v>166</v>
      </c>
      <c r="H16" s="16" t="s">
        <v>166</v>
      </c>
      <c r="I16" s="115"/>
      <c r="J16" s="16" t="s">
        <v>166</v>
      </c>
      <c r="K16" s="112"/>
      <c r="L16" s="16" t="s">
        <v>166</v>
      </c>
      <c r="M16" s="16" t="s">
        <v>166</v>
      </c>
      <c r="N16" s="16" t="s">
        <v>166</v>
      </c>
      <c r="O16" s="112"/>
      <c r="P16" s="115"/>
      <c r="Q16" s="112"/>
      <c r="R16" s="16" t="s">
        <v>165</v>
      </c>
      <c r="S16" s="16" t="s">
        <v>165</v>
      </c>
      <c r="T16" s="16" t="s">
        <v>165</v>
      </c>
      <c r="U16" s="112"/>
      <c r="V16" s="16" t="s">
        <v>165</v>
      </c>
      <c r="W16" s="115"/>
      <c r="X16" s="16" t="s">
        <v>166</v>
      </c>
      <c r="Y16" s="16" t="s">
        <v>166</v>
      </c>
      <c r="Z16" s="16" t="s">
        <v>166</v>
      </c>
      <c r="AA16" s="16" t="s">
        <v>166</v>
      </c>
      <c r="AB16" s="16" t="s">
        <v>166</v>
      </c>
      <c r="AC16" s="16" t="s">
        <v>166</v>
      </c>
      <c r="AD16" s="115"/>
      <c r="AE16" s="16" t="s">
        <v>166</v>
      </c>
      <c r="AF16" s="16" t="s">
        <v>166</v>
      </c>
      <c r="AG16" s="16" t="s">
        <v>166</v>
      </c>
      <c r="AH16" s="16" t="s">
        <v>166</v>
      </c>
      <c r="AI16" s="16" t="s">
        <v>166</v>
      </c>
      <c r="AJ16" s="16" t="s">
        <v>166</v>
      </c>
      <c r="AK16" s="115"/>
      <c r="AL16" s="16" t="s">
        <v>166</v>
      </c>
      <c r="AM16" s="112"/>
      <c r="AN16" s="16" t="s">
        <v>166</v>
      </c>
      <c r="AO16" s="16" t="s">
        <v>166</v>
      </c>
      <c r="AP16" s="16" t="s">
        <v>369</v>
      </c>
      <c r="AQ16" s="16" t="s">
        <v>166</v>
      </c>
      <c r="AR16" s="16"/>
      <c r="AS16" s="16" t="s">
        <v>165</v>
      </c>
      <c r="AT16" s="16" t="s">
        <v>166</v>
      </c>
      <c r="AU16" s="16" t="s">
        <v>166</v>
      </c>
      <c r="AV16" s="16" t="s">
        <v>166</v>
      </c>
      <c r="AW16" s="16" t="s">
        <v>166</v>
      </c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5">
        <f t="shared" si="3"/>
        <v>26</v>
      </c>
      <c r="EP16" s="5">
        <f t="shared" si="4"/>
        <v>6</v>
      </c>
      <c r="EQ16" s="3"/>
      <c r="ER16" s="3"/>
      <c r="ES16" s="3"/>
      <c r="ET16" s="3"/>
    </row>
    <row r="17" spans="1:150" ht="15.75" x14ac:dyDescent="0.25">
      <c r="A17" s="17">
        <v>12</v>
      </c>
      <c r="B17" s="19"/>
      <c r="C17" s="20" t="s">
        <v>289</v>
      </c>
      <c r="D17" s="21" t="s">
        <v>237</v>
      </c>
      <c r="E17" s="10" t="s">
        <v>36</v>
      </c>
      <c r="F17" s="16" t="s">
        <v>165</v>
      </c>
      <c r="G17" s="16" t="s">
        <v>166</v>
      </c>
      <c r="H17" s="16" t="s">
        <v>166</v>
      </c>
      <c r="I17" s="115"/>
      <c r="J17" s="16" t="s">
        <v>166</v>
      </c>
      <c r="K17" s="112"/>
      <c r="L17" s="16" t="s">
        <v>166</v>
      </c>
      <c r="M17" s="16" t="s">
        <v>166</v>
      </c>
      <c r="N17" s="16" t="s">
        <v>165</v>
      </c>
      <c r="O17" s="112"/>
      <c r="P17" s="115"/>
      <c r="Q17" s="112"/>
      <c r="R17" s="16" t="s">
        <v>165</v>
      </c>
      <c r="S17" s="16" t="s">
        <v>165</v>
      </c>
      <c r="T17" s="16" t="s">
        <v>166</v>
      </c>
      <c r="U17" s="112"/>
      <c r="V17" s="16" t="s">
        <v>165</v>
      </c>
      <c r="W17" s="115"/>
      <c r="X17" s="16" t="s">
        <v>166</v>
      </c>
      <c r="Y17" s="16" t="s">
        <v>166</v>
      </c>
      <c r="Z17" s="16" t="s">
        <v>166</v>
      </c>
      <c r="AA17" s="16" t="s">
        <v>166</v>
      </c>
      <c r="AB17" s="16" t="s">
        <v>166</v>
      </c>
      <c r="AC17" s="16" t="s">
        <v>166</v>
      </c>
      <c r="AD17" s="115"/>
      <c r="AE17" s="16" t="s">
        <v>166</v>
      </c>
      <c r="AF17" s="16" t="s">
        <v>166</v>
      </c>
      <c r="AG17" s="16" t="s">
        <v>166</v>
      </c>
      <c r="AH17" s="16" t="s">
        <v>166</v>
      </c>
      <c r="AI17" s="16" t="s">
        <v>166</v>
      </c>
      <c r="AJ17" s="16" t="s">
        <v>166</v>
      </c>
      <c r="AK17" s="115"/>
      <c r="AL17" s="16" t="s">
        <v>166</v>
      </c>
      <c r="AM17" s="112"/>
      <c r="AN17" s="16" t="s">
        <v>166</v>
      </c>
      <c r="AO17" s="16" t="s">
        <v>166</v>
      </c>
      <c r="AP17" s="16" t="s">
        <v>166</v>
      </c>
      <c r="AQ17" s="16" t="s">
        <v>166</v>
      </c>
      <c r="AR17" s="16"/>
      <c r="AS17" s="16" t="s">
        <v>166</v>
      </c>
      <c r="AT17" s="16" t="s">
        <v>166</v>
      </c>
      <c r="AU17" s="16" t="s">
        <v>165</v>
      </c>
      <c r="AV17" s="16" t="s">
        <v>166</v>
      </c>
      <c r="AW17" s="16" t="s">
        <v>165</v>
      </c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5">
        <f t="shared" si="3"/>
        <v>26</v>
      </c>
      <c r="EP17" s="5">
        <f t="shared" si="4"/>
        <v>7</v>
      </c>
      <c r="EQ17" s="103" t="s">
        <v>6</v>
      </c>
      <c r="ER17" s="105"/>
      <c r="ES17" s="105"/>
      <c r="ET17" s="104"/>
    </row>
    <row r="18" spans="1:150" x14ac:dyDescent="0.25">
      <c r="A18" s="6">
        <v>13</v>
      </c>
      <c r="B18" s="19"/>
      <c r="C18" s="20" t="s">
        <v>290</v>
      </c>
      <c r="D18" s="21" t="s">
        <v>291</v>
      </c>
      <c r="E18" s="10" t="s">
        <v>36</v>
      </c>
      <c r="F18" s="16" t="s">
        <v>165</v>
      </c>
      <c r="G18" s="16" t="s">
        <v>165</v>
      </c>
      <c r="H18" s="16" t="s">
        <v>165</v>
      </c>
      <c r="I18" s="115"/>
      <c r="J18" s="16" t="s">
        <v>166</v>
      </c>
      <c r="K18" s="112"/>
      <c r="L18" s="16" t="s">
        <v>165</v>
      </c>
      <c r="M18" s="16" t="s">
        <v>166</v>
      </c>
      <c r="N18" s="16" t="s">
        <v>166</v>
      </c>
      <c r="O18" s="112"/>
      <c r="P18" s="115"/>
      <c r="Q18" s="112"/>
      <c r="R18" s="16" t="s">
        <v>165</v>
      </c>
      <c r="S18" s="16" t="s">
        <v>165</v>
      </c>
      <c r="T18" s="16" t="s">
        <v>165</v>
      </c>
      <c r="U18" s="112"/>
      <c r="V18" s="16" t="s">
        <v>165</v>
      </c>
      <c r="W18" s="115"/>
      <c r="X18" s="16" t="s">
        <v>166</v>
      </c>
      <c r="Y18" s="16" t="s">
        <v>166</v>
      </c>
      <c r="Z18" s="16" t="s">
        <v>165</v>
      </c>
      <c r="AA18" s="16" t="s">
        <v>165</v>
      </c>
      <c r="AB18" s="16" t="s">
        <v>165</v>
      </c>
      <c r="AC18" s="16" t="s">
        <v>165</v>
      </c>
      <c r="AD18" s="115"/>
      <c r="AE18" s="16" t="s">
        <v>166</v>
      </c>
      <c r="AF18" s="16" t="s">
        <v>166</v>
      </c>
      <c r="AG18" s="16" t="s">
        <v>166</v>
      </c>
      <c r="AH18" s="16" t="s">
        <v>166</v>
      </c>
      <c r="AI18" s="16" t="s">
        <v>166</v>
      </c>
      <c r="AJ18" s="16" t="s">
        <v>166</v>
      </c>
      <c r="AK18" s="115"/>
      <c r="AL18" s="16" t="s">
        <v>166</v>
      </c>
      <c r="AM18" s="112"/>
      <c r="AN18" s="16" t="s">
        <v>166</v>
      </c>
      <c r="AO18" s="16" t="s">
        <v>165</v>
      </c>
      <c r="AP18" s="16" t="s">
        <v>165</v>
      </c>
      <c r="AQ18" s="16" t="s">
        <v>165</v>
      </c>
      <c r="AR18" s="16"/>
      <c r="AS18" s="16" t="s">
        <v>166</v>
      </c>
      <c r="AT18" s="16" t="s">
        <v>166</v>
      </c>
      <c r="AU18" s="16" t="s">
        <v>165</v>
      </c>
      <c r="AV18" s="16" t="s">
        <v>166</v>
      </c>
      <c r="AW18" s="16" t="s">
        <v>166</v>
      </c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5">
        <f t="shared" si="3"/>
        <v>17</v>
      </c>
      <c r="EP18" s="5">
        <f t="shared" si="4"/>
        <v>16</v>
      </c>
      <c r="EQ18" s="5" t="s">
        <v>13</v>
      </c>
      <c r="ER18" s="5" t="s">
        <v>14</v>
      </c>
      <c r="ES18" s="5" t="s">
        <v>15</v>
      </c>
      <c r="ET18" s="5" t="s">
        <v>16</v>
      </c>
    </row>
    <row r="19" spans="1:150" x14ac:dyDescent="0.25">
      <c r="A19" s="17">
        <v>14</v>
      </c>
      <c r="B19" s="19"/>
      <c r="C19" s="20" t="s">
        <v>292</v>
      </c>
      <c r="D19" s="21" t="s">
        <v>293</v>
      </c>
      <c r="E19" s="10" t="s">
        <v>36</v>
      </c>
      <c r="F19" s="16"/>
      <c r="G19" s="16"/>
      <c r="H19" s="16"/>
      <c r="I19" s="115"/>
      <c r="J19" s="16"/>
      <c r="K19" s="112"/>
      <c r="L19" s="16"/>
      <c r="M19" s="16" t="s">
        <v>166</v>
      </c>
      <c r="N19" s="16" t="s">
        <v>166</v>
      </c>
      <c r="O19" s="112"/>
      <c r="P19" s="115"/>
      <c r="Q19" s="112"/>
      <c r="R19" s="16" t="s">
        <v>166</v>
      </c>
      <c r="S19" s="16" t="s">
        <v>166</v>
      </c>
      <c r="T19" s="16" t="s">
        <v>165</v>
      </c>
      <c r="U19" s="112"/>
      <c r="V19" s="16" t="s">
        <v>165</v>
      </c>
      <c r="W19" s="115"/>
      <c r="X19" s="16" t="s">
        <v>166</v>
      </c>
      <c r="Y19" s="16" t="s">
        <v>166</v>
      </c>
      <c r="Z19" s="16" t="s">
        <v>166</v>
      </c>
      <c r="AA19" s="16" t="s">
        <v>166</v>
      </c>
      <c r="AB19" s="16" t="s">
        <v>165</v>
      </c>
      <c r="AC19" s="16" t="s">
        <v>166</v>
      </c>
      <c r="AD19" s="115"/>
      <c r="AE19" s="16" t="s">
        <v>166</v>
      </c>
      <c r="AF19" s="16" t="s">
        <v>166</v>
      </c>
      <c r="AG19" s="16" t="s">
        <v>165</v>
      </c>
      <c r="AH19" s="16" t="s">
        <v>165</v>
      </c>
      <c r="AI19" s="16" t="s">
        <v>166</v>
      </c>
      <c r="AJ19" s="16" t="s">
        <v>166</v>
      </c>
      <c r="AK19" s="115"/>
      <c r="AL19" s="16" t="s">
        <v>166</v>
      </c>
      <c r="AM19" s="112"/>
      <c r="AN19" s="16" t="s">
        <v>166</v>
      </c>
      <c r="AO19" s="16" t="s">
        <v>166</v>
      </c>
      <c r="AP19" s="16" t="s">
        <v>166</v>
      </c>
      <c r="AQ19" s="16" t="s">
        <v>166</v>
      </c>
      <c r="AR19" s="16"/>
      <c r="AS19" s="16" t="s">
        <v>166</v>
      </c>
      <c r="AT19" s="16" t="s">
        <v>166</v>
      </c>
      <c r="AU19" s="16" t="s">
        <v>166</v>
      </c>
      <c r="AV19" s="16" t="s">
        <v>166</v>
      </c>
      <c r="AW19" s="16" t="s">
        <v>166</v>
      </c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5">
        <f t="shared" si="3"/>
        <v>23</v>
      </c>
      <c r="EP19" s="5">
        <f t="shared" si="4"/>
        <v>5</v>
      </c>
      <c r="EQ19" s="5" t="s">
        <v>17</v>
      </c>
      <c r="ER19" s="17">
        <f>19*26</f>
        <v>494</v>
      </c>
      <c r="ES19" s="17">
        <f>21*26</f>
        <v>546</v>
      </c>
      <c r="ET19" s="17">
        <f>ER19+ES19</f>
        <v>1040</v>
      </c>
    </row>
    <row r="20" spans="1:150" x14ac:dyDescent="0.25">
      <c r="A20" s="6">
        <v>15</v>
      </c>
      <c r="B20" s="19"/>
      <c r="C20" s="20" t="s">
        <v>294</v>
      </c>
      <c r="D20" s="21" t="s">
        <v>295</v>
      </c>
      <c r="E20" s="10" t="s">
        <v>36</v>
      </c>
      <c r="F20" s="16"/>
      <c r="G20" s="16"/>
      <c r="H20" s="16"/>
      <c r="I20" s="115"/>
      <c r="J20" s="16"/>
      <c r="K20" s="112"/>
      <c r="L20" s="16"/>
      <c r="M20" s="16"/>
      <c r="N20" s="16" t="s">
        <v>166</v>
      </c>
      <c r="O20" s="112"/>
      <c r="P20" s="115"/>
      <c r="Q20" s="112"/>
      <c r="R20" s="16" t="s">
        <v>166</v>
      </c>
      <c r="S20" s="16" t="s">
        <v>166</v>
      </c>
      <c r="T20" s="16" t="s">
        <v>166</v>
      </c>
      <c r="U20" s="112"/>
      <c r="V20" s="16" t="s">
        <v>165</v>
      </c>
      <c r="W20" s="115"/>
      <c r="X20" s="16" t="s">
        <v>166</v>
      </c>
      <c r="Y20" s="16" t="s">
        <v>166</v>
      </c>
      <c r="Z20" s="16" t="s">
        <v>166</v>
      </c>
      <c r="AA20" s="16" t="s">
        <v>166</v>
      </c>
      <c r="AB20" s="16" t="s">
        <v>165</v>
      </c>
      <c r="AC20" s="16" t="s">
        <v>166</v>
      </c>
      <c r="AD20" s="115"/>
      <c r="AE20" s="16" t="s">
        <v>166</v>
      </c>
      <c r="AF20" s="16" t="s">
        <v>166</v>
      </c>
      <c r="AG20" s="16" t="s">
        <v>166</v>
      </c>
      <c r="AH20" s="16" t="s">
        <v>166</v>
      </c>
      <c r="AI20" s="16" t="s">
        <v>166</v>
      </c>
      <c r="AJ20" s="16" t="s">
        <v>165</v>
      </c>
      <c r="AK20" s="115"/>
      <c r="AL20" s="16" t="s">
        <v>166</v>
      </c>
      <c r="AM20" s="112"/>
      <c r="AN20" s="16" t="s">
        <v>165</v>
      </c>
      <c r="AO20" s="16" t="s">
        <v>166</v>
      </c>
      <c r="AP20" s="16" t="s">
        <v>166</v>
      </c>
      <c r="AQ20" s="16" t="s">
        <v>166</v>
      </c>
      <c r="AR20" s="16"/>
      <c r="AS20" s="16" t="s">
        <v>166</v>
      </c>
      <c r="AT20" s="16" t="s">
        <v>166</v>
      </c>
      <c r="AU20" s="16" t="s">
        <v>166</v>
      </c>
      <c r="AV20" s="16" t="s">
        <v>166</v>
      </c>
      <c r="AW20" s="16" t="s">
        <v>166</v>
      </c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5">
        <f t="shared" si="3"/>
        <v>23</v>
      </c>
      <c r="EP20" s="5">
        <f t="shared" si="4"/>
        <v>4</v>
      </c>
      <c r="EQ20" s="5" t="s">
        <v>20</v>
      </c>
      <c r="ER20" s="17">
        <f>ER19-ER12</f>
        <v>43</v>
      </c>
      <c r="ES20" s="17">
        <f>ES19-ES12</f>
        <v>-6</v>
      </c>
      <c r="ET20" s="17">
        <f>ER20+ES20</f>
        <v>37</v>
      </c>
    </row>
    <row r="21" spans="1:150" x14ac:dyDescent="0.25">
      <c r="A21" s="17">
        <v>16</v>
      </c>
      <c r="B21" s="19"/>
      <c r="C21" s="20" t="s">
        <v>296</v>
      </c>
      <c r="D21" s="21" t="s">
        <v>297</v>
      </c>
      <c r="E21" s="10" t="s">
        <v>36</v>
      </c>
      <c r="F21" s="16" t="s">
        <v>165</v>
      </c>
      <c r="G21" s="16" t="s">
        <v>165</v>
      </c>
      <c r="H21" s="16" t="s">
        <v>165</v>
      </c>
      <c r="I21" s="115"/>
      <c r="J21" s="16" t="s">
        <v>166</v>
      </c>
      <c r="K21" s="112"/>
      <c r="L21" s="16" t="s">
        <v>166</v>
      </c>
      <c r="M21" s="16" t="s">
        <v>166</v>
      </c>
      <c r="N21" s="16" t="s">
        <v>166</v>
      </c>
      <c r="O21" s="112"/>
      <c r="P21" s="115"/>
      <c r="Q21" s="112"/>
      <c r="R21" s="16" t="s">
        <v>166</v>
      </c>
      <c r="S21" s="16" t="s">
        <v>165</v>
      </c>
      <c r="T21" s="16" t="s">
        <v>166</v>
      </c>
      <c r="U21" s="112"/>
      <c r="V21" s="16" t="s">
        <v>165</v>
      </c>
      <c r="W21" s="115"/>
      <c r="X21" s="16" t="s">
        <v>166</v>
      </c>
      <c r="Y21" s="16" t="s">
        <v>166</v>
      </c>
      <c r="Z21" s="16" t="s">
        <v>166</v>
      </c>
      <c r="AA21" s="16" t="s">
        <v>166</v>
      </c>
      <c r="AB21" s="16" t="s">
        <v>166</v>
      </c>
      <c r="AC21" s="16" t="s">
        <v>165</v>
      </c>
      <c r="AD21" s="115"/>
      <c r="AE21" s="16" t="s">
        <v>166</v>
      </c>
      <c r="AF21" s="16" t="s">
        <v>166</v>
      </c>
      <c r="AG21" s="16" t="s">
        <v>165</v>
      </c>
      <c r="AH21" s="16" t="s">
        <v>166</v>
      </c>
      <c r="AI21" s="16" t="s">
        <v>166</v>
      </c>
      <c r="AJ21" s="16" t="s">
        <v>165</v>
      </c>
      <c r="AK21" s="115"/>
      <c r="AL21" s="16" t="s">
        <v>165</v>
      </c>
      <c r="AM21" s="112"/>
      <c r="AN21" s="16" t="s">
        <v>165</v>
      </c>
      <c r="AO21" s="16" t="s">
        <v>165</v>
      </c>
      <c r="AP21" s="16" t="s">
        <v>166</v>
      </c>
      <c r="AQ21" s="16" t="s">
        <v>166</v>
      </c>
      <c r="AR21" s="16"/>
      <c r="AS21" s="16" t="s">
        <v>166</v>
      </c>
      <c r="AT21" s="16" t="s">
        <v>166</v>
      </c>
      <c r="AU21" s="16" t="s">
        <v>166</v>
      </c>
      <c r="AV21" s="16" t="s">
        <v>166</v>
      </c>
      <c r="AW21" s="16" t="s">
        <v>166</v>
      </c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5">
        <f t="shared" si="3"/>
        <v>22</v>
      </c>
      <c r="EP21" s="5">
        <f t="shared" si="4"/>
        <v>11</v>
      </c>
      <c r="EQ21" s="5" t="s">
        <v>16</v>
      </c>
      <c r="ER21" s="27">
        <f>ER20/ER19</f>
        <v>8.7044534412955468E-2</v>
      </c>
      <c r="ES21" s="27">
        <f>ES20/ES19</f>
        <v>-1.098901098901099E-2</v>
      </c>
      <c r="ET21" s="27">
        <f>ET20/ET19</f>
        <v>3.5576923076923075E-2</v>
      </c>
    </row>
    <row r="22" spans="1:150" x14ac:dyDescent="0.25">
      <c r="A22" s="6">
        <v>17</v>
      </c>
      <c r="B22" s="19"/>
      <c r="C22" s="20" t="s">
        <v>298</v>
      </c>
      <c r="D22" s="21" t="s">
        <v>299</v>
      </c>
      <c r="E22" s="10" t="s">
        <v>36</v>
      </c>
      <c r="F22" s="16"/>
      <c r="G22" s="16"/>
      <c r="H22" s="16"/>
      <c r="I22" s="115"/>
      <c r="J22" s="16"/>
      <c r="K22" s="112"/>
      <c r="L22" s="16"/>
      <c r="M22" s="16"/>
      <c r="N22" s="16" t="s">
        <v>166</v>
      </c>
      <c r="O22" s="112"/>
      <c r="P22" s="115"/>
      <c r="Q22" s="112"/>
      <c r="R22" s="16" t="s">
        <v>165</v>
      </c>
      <c r="S22" s="16" t="s">
        <v>165</v>
      </c>
      <c r="T22" s="16" t="s">
        <v>166</v>
      </c>
      <c r="U22" s="112"/>
      <c r="V22" s="16" t="s">
        <v>165</v>
      </c>
      <c r="W22" s="115"/>
      <c r="X22" s="16" t="s">
        <v>166</v>
      </c>
      <c r="Y22" s="16" t="s">
        <v>166</v>
      </c>
      <c r="Z22" s="16" t="s">
        <v>166</v>
      </c>
      <c r="AA22" s="16" t="s">
        <v>165</v>
      </c>
      <c r="AB22" s="16" t="s">
        <v>165</v>
      </c>
      <c r="AC22" s="16" t="s">
        <v>166</v>
      </c>
      <c r="AD22" s="115"/>
      <c r="AE22" s="16" t="s">
        <v>165</v>
      </c>
      <c r="AF22" s="16" t="s">
        <v>165</v>
      </c>
      <c r="AG22" s="16" t="s">
        <v>165</v>
      </c>
      <c r="AH22" s="16" t="s">
        <v>165</v>
      </c>
      <c r="AI22" s="16" t="s">
        <v>165</v>
      </c>
      <c r="AJ22" s="16" t="s">
        <v>165</v>
      </c>
      <c r="AK22" s="115"/>
      <c r="AL22" s="16" t="s">
        <v>165</v>
      </c>
      <c r="AM22" s="112"/>
      <c r="AN22" s="16" t="s">
        <v>166</v>
      </c>
      <c r="AO22" s="16" t="s">
        <v>166</v>
      </c>
      <c r="AP22" s="16" t="s">
        <v>166</v>
      </c>
      <c r="AQ22" s="16" t="s">
        <v>166</v>
      </c>
      <c r="AR22" s="16"/>
      <c r="AS22" s="16" t="s">
        <v>166</v>
      </c>
      <c r="AT22" s="16" t="s">
        <v>166</v>
      </c>
      <c r="AU22" s="16" t="s">
        <v>166</v>
      </c>
      <c r="AV22" s="16" t="s">
        <v>166</v>
      </c>
      <c r="AW22" s="16" t="s">
        <v>166</v>
      </c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5">
        <f t="shared" si="3"/>
        <v>15</v>
      </c>
      <c r="EP22" s="5">
        <f t="shared" si="4"/>
        <v>12</v>
      </c>
    </row>
    <row r="23" spans="1:150" x14ac:dyDescent="0.25">
      <c r="A23" s="17">
        <v>18</v>
      </c>
      <c r="B23" s="19"/>
      <c r="C23" s="20" t="s">
        <v>300</v>
      </c>
      <c r="D23" s="21" t="s">
        <v>299</v>
      </c>
      <c r="E23" s="10" t="s">
        <v>36</v>
      </c>
      <c r="F23" s="16"/>
      <c r="G23" s="16"/>
      <c r="H23" s="16"/>
      <c r="I23" s="115"/>
      <c r="J23" s="16"/>
      <c r="K23" s="112"/>
      <c r="L23" s="16"/>
      <c r="M23" s="16"/>
      <c r="N23" s="16" t="s">
        <v>166</v>
      </c>
      <c r="O23" s="112"/>
      <c r="P23" s="115"/>
      <c r="Q23" s="112"/>
      <c r="R23" s="16" t="s">
        <v>165</v>
      </c>
      <c r="S23" s="16" t="s">
        <v>165</v>
      </c>
      <c r="T23" s="16" t="s">
        <v>166</v>
      </c>
      <c r="U23" s="112"/>
      <c r="V23" s="16" t="s">
        <v>165</v>
      </c>
      <c r="W23" s="115"/>
      <c r="X23" s="16" t="s">
        <v>166</v>
      </c>
      <c r="Y23" s="16" t="s">
        <v>166</v>
      </c>
      <c r="Z23" s="16" t="s">
        <v>166</v>
      </c>
      <c r="AA23" s="16" t="s">
        <v>165</v>
      </c>
      <c r="AB23" s="16" t="s">
        <v>165</v>
      </c>
      <c r="AC23" s="16" t="s">
        <v>166</v>
      </c>
      <c r="AD23" s="115"/>
      <c r="AE23" s="16" t="s">
        <v>165</v>
      </c>
      <c r="AF23" s="16" t="s">
        <v>165</v>
      </c>
      <c r="AG23" s="16" t="s">
        <v>165</v>
      </c>
      <c r="AH23" s="16" t="s">
        <v>165</v>
      </c>
      <c r="AI23" s="16" t="s">
        <v>165</v>
      </c>
      <c r="AJ23" s="16" t="s">
        <v>165</v>
      </c>
      <c r="AK23" s="115"/>
      <c r="AL23" s="16" t="s">
        <v>165</v>
      </c>
      <c r="AM23" s="112"/>
      <c r="AN23" s="16" t="s">
        <v>166</v>
      </c>
      <c r="AO23" s="16" t="s">
        <v>166</v>
      </c>
      <c r="AP23" s="16" t="s">
        <v>166</v>
      </c>
      <c r="AQ23" s="16" t="s">
        <v>166</v>
      </c>
      <c r="AR23" s="16"/>
      <c r="AS23" s="16" t="s">
        <v>166</v>
      </c>
      <c r="AT23" s="16" t="s">
        <v>166</v>
      </c>
      <c r="AU23" s="16" t="s">
        <v>166</v>
      </c>
      <c r="AV23" s="16" t="s">
        <v>166</v>
      </c>
      <c r="AW23" s="16" t="s">
        <v>166</v>
      </c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5">
        <f t="shared" si="3"/>
        <v>15</v>
      </c>
      <c r="EP23" s="5">
        <f t="shared" si="4"/>
        <v>12</v>
      </c>
    </row>
    <row r="24" spans="1:150" x14ac:dyDescent="0.25">
      <c r="A24" s="6">
        <v>19</v>
      </c>
      <c r="B24" s="19"/>
      <c r="C24" s="20" t="s">
        <v>301</v>
      </c>
      <c r="D24" s="21" t="s">
        <v>302</v>
      </c>
      <c r="E24" s="10" t="s">
        <v>36</v>
      </c>
      <c r="F24" s="16" t="s">
        <v>166</v>
      </c>
      <c r="G24" s="16" t="s">
        <v>166</v>
      </c>
      <c r="H24" s="16" t="s">
        <v>166</v>
      </c>
      <c r="I24" s="115"/>
      <c r="J24" s="16" t="s">
        <v>166</v>
      </c>
      <c r="K24" s="112"/>
      <c r="L24" s="16" t="s">
        <v>166</v>
      </c>
      <c r="M24" s="16" t="s">
        <v>166</v>
      </c>
      <c r="N24" s="16" t="s">
        <v>166</v>
      </c>
      <c r="O24" s="112"/>
      <c r="P24" s="115"/>
      <c r="Q24" s="112"/>
      <c r="R24" s="16" t="s">
        <v>166</v>
      </c>
      <c r="S24" s="16" t="s">
        <v>165</v>
      </c>
      <c r="T24" s="16" t="s">
        <v>166</v>
      </c>
      <c r="U24" s="112"/>
      <c r="V24" s="16" t="s">
        <v>165</v>
      </c>
      <c r="W24" s="115"/>
      <c r="X24" s="16" t="s">
        <v>166</v>
      </c>
      <c r="Y24" s="16" t="s">
        <v>165</v>
      </c>
      <c r="Z24" s="16" t="s">
        <v>166</v>
      </c>
      <c r="AA24" s="16" t="s">
        <v>166</v>
      </c>
      <c r="AB24" s="16" t="s">
        <v>166</v>
      </c>
      <c r="AC24" s="16" t="s">
        <v>166</v>
      </c>
      <c r="AD24" s="115"/>
      <c r="AE24" s="16" t="s">
        <v>166</v>
      </c>
      <c r="AF24" s="16" t="s">
        <v>166</v>
      </c>
      <c r="AG24" s="16" t="s">
        <v>166</v>
      </c>
      <c r="AH24" s="16" t="s">
        <v>166</v>
      </c>
      <c r="AI24" s="16" t="s">
        <v>166</v>
      </c>
      <c r="AJ24" s="16" t="s">
        <v>166</v>
      </c>
      <c r="AK24" s="115"/>
      <c r="AL24" s="16" t="s">
        <v>369</v>
      </c>
      <c r="AM24" s="112"/>
      <c r="AN24" s="16" t="s">
        <v>166</v>
      </c>
      <c r="AO24" s="16" t="s">
        <v>166</v>
      </c>
      <c r="AP24" s="16" t="s">
        <v>166</v>
      </c>
      <c r="AQ24" s="16" t="s">
        <v>166</v>
      </c>
      <c r="AR24" s="16"/>
      <c r="AS24" s="16" t="s">
        <v>166</v>
      </c>
      <c r="AT24" s="16" t="s">
        <v>166</v>
      </c>
      <c r="AU24" s="16" t="s">
        <v>166</v>
      </c>
      <c r="AV24" s="16" t="s">
        <v>166</v>
      </c>
      <c r="AW24" s="16" t="s">
        <v>166</v>
      </c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5">
        <f t="shared" si="3"/>
        <v>29</v>
      </c>
      <c r="EP24" s="5">
        <f t="shared" si="4"/>
        <v>3</v>
      </c>
    </row>
    <row r="25" spans="1:150" x14ac:dyDescent="0.25">
      <c r="A25" s="17">
        <v>20</v>
      </c>
      <c r="B25" s="19"/>
      <c r="C25" s="20" t="s">
        <v>303</v>
      </c>
      <c r="D25" s="21" t="s">
        <v>304</v>
      </c>
      <c r="E25" s="10" t="s">
        <v>36</v>
      </c>
      <c r="F25" s="16" t="s">
        <v>165</v>
      </c>
      <c r="G25" s="16" t="s">
        <v>166</v>
      </c>
      <c r="H25" s="16" t="s">
        <v>166</v>
      </c>
      <c r="I25" s="115"/>
      <c r="J25" s="16" t="s">
        <v>166</v>
      </c>
      <c r="K25" s="112"/>
      <c r="L25" s="16" t="s">
        <v>166</v>
      </c>
      <c r="M25" s="16" t="s">
        <v>166</v>
      </c>
      <c r="N25" s="16" t="s">
        <v>166</v>
      </c>
      <c r="O25" s="112"/>
      <c r="P25" s="115"/>
      <c r="Q25" s="112"/>
      <c r="R25" s="16" t="s">
        <v>166</v>
      </c>
      <c r="S25" s="16" t="s">
        <v>165</v>
      </c>
      <c r="T25" s="16" t="s">
        <v>166</v>
      </c>
      <c r="U25" s="112"/>
      <c r="V25" s="16" t="s">
        <v>165</v>
      </c>
      <c r="W25" s="115"/>
      <c r="X25" s="16" t="s">
        <v>166</v>
      </c>
      <c r="Y25" s="16" t="s">
        <v>166</v>
      </c>
      <c r="Z25" s="16" t="s">
        <v>166</v>
      </c>
      <c r="AA25" s="16" t="s">
        <v>166</v>
      </c>
      <c r="AB25" s="16" t="s">
        <v>166</v>
      </c>
      <c r="AC25" s="16" t="s">
        <v>166</v>
      </c>
      <c r="AD25" s="115"/>
      <c r="AE25" s="16" t="s">
        <v>166</v>
      </c>
      <c r="AF25" s="16" t="s">
        <v>166</v>
      </c>
      <c r="AG25" s="16" t="s">
        <v>166</v>
      </c>
      <c r="AH25" s="16" t="s">
        <v>166</v>
      </c>
      <c r="AI25" s="16" t="s">
        <v>166</v>
      </c>
      <c r="AJ25" s="16" t="s">
        <v>166</v>
      </c>
      <c r="AK25" s="115"/>
      <c r="AL25" s="16" t="s">
        <v>166</v>
      </c>
      <c r="AM25" s="112"/>
      <c r="AN25" s="16" t="s">
        <v>166</v>
      </c>
      <c r="AO25" s="16" t="s">
        <v>166</v>
      </c>
      <c r="AP25" s="16" t="s">
        <v>166</v>
      </c>
      <c r="AQ25" s="16" t="s">
        <v>166</v>
      </c>
      <c r="AR25" s="16"/>
      <c r="AS25" s="16" t="s">
        <v>166</v>
      </c>
      <c r="AT25" s="16" t="s">
        <v>166</v>
      </c>
      <c r="AU25" s="16" t="s">
        <v>165</v>
      </c>
      <c r="AV25" s="16" t="s">
        <v>166</v>
      </c>
      <c r="AW25" s="16" t="s">
        <v>166</v>
      </c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5">
        <f t="shared" si="3"/>
        <v>29</v>
      </c>
      <c r="EP25" s="5">
        <f t="shared" si="4"/>
        <v>4</v>
      </c>
    </row>
    <row r="26" spans="1:150" x14ac:dyDescent="0.25">
      <c r="A26" s="6">
        <v>21</v>
      </c>
      <c r="B26" s="19"/>
      <c r="C26" s="20" t="s">
        <v>303</v>
      </c>
      <c r="D26" s="21" t="s">
        <v>305</v>
      </c>
      <c r="E26" s="10" t="s">
        <v>36</v>
      </c>
      <c r="F26" s="16" t="s">
        <v>165</v>
      </c>
      <c r="G26" s="16" t="s">
        <v>166</v>
      </c>
      <c r="H26" s="16" t="s">
        <v>166</v>
      </c>
      <c r="I26" s="115"/>
      <c r="J26" s="16" t="s">
        <v>166</v>
      </c>
      <c r="K26" s="112"/>
      <c r="L26" s="16" t="s">
        <v>166</v>
      </c>
      <c r="M26" s="16" t="s">
        <v>166</v>
      </c>
      <c r="N26" s="16" t="s">
        <v>166</v>
      </c>
      <c r="O26" s="112"/>
      <c r="P26" s="115"/>
      <c r="Q26" s="112"/>
      <c r="R26" s="16" t="s">
        <v>166</v>
      </c>
      <c r="S26" s="16" t="s">
        <v>165</v>
      </c>
      <c r="T26" s="16" t="s">
        <v>166</v>
      </c>
      <c r="U26" s="112"/>
      <c r="V26" s="16" t="s">
        <v>165</v>
      </c>
      <c r="W26" s="115"/>
      <c r="X26" s="16" t="s">
        <v>166</v>
      </c>
      <c r="Y26" s="16" t="s">
        <v>166</v>
      </c>
      <c r="Z26" s="16" t="s">
        <v>166</v>
      </c>
      <c r="AA26" s="16" t="s">
        <v>165</v>
      </c>
      <c r="AB26" s="16" t="s">
        <v>165</v>
      </c>
      <c r="AC26" s="16" t="s">
        <v>166</v>
      </c>
      <c r="AD26" s="115"/>
      <c r="AE26" s="16" t="s">
        <v>166</v>
      </c>
      <c r="AF26" s="16" t="s">
        <v>166</v>
      </c>
      <c r="AG26" s="16" t="s">
        <v>166</v>
      </c>
      <c r="AH26" s="16" t="s">
        <v>166</v>
      </c>
      <c r="AI26" s="16" t="s">
        <v>166</v>
      </c>
      <c r="AJ26" s="16" t="s">
        <v>166</v>
      </c>
      <c r="AK26" s="115"/>
      <c r="AL26" s="16" t="s">
        <v>166</v>
      </c>
      <c r="AM26" s="112"/>
      <c r="AN26" s="16" t="s">
        <v>166</v>
      </c>
      <c r="AO26" s="16" t="s">
        <v>166</v>
      </c>
      <c r="AP26" s="16" t="s">
        <v>166</v>
      </c>
      <c r="AQ26" s="16" t="s">
        <v>166</v>
      </c>
      <c r="AR26" s="16"/>
      <c r="AS26" s="16" t="s">
        <v>166</v>
      </c>
      <c r="AT26" s="16" t="s">
        <v>166</v>
      </c>
      <c r="AU26" s="16" t="s">
        <v>166</v>
      </c>
      <c r="AV26" s="16" t="s">
        <v>369</v>
      </c>
      <c r="AW26" s="16" t="s">
        <v>166</v>
      </c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5">
        <f t="shared" si="3"/>
        <v>27</v>
      </c>
      <c r="EP26" s="5">
        <f t="shared" si="4"/>
        <v>5</v>
      </c>
    </row>
    <row r="27" spans="1:150" x14ac:dyDescent="0.25">
      <c r="A27" s="17">
        <v>22</v>
      </c>
      <c r="B27" s="19"/>
      <c r="C27" s="20" t="s">
        <v>306</v>
      </c>
      <c r="D27" s="21" t="s">
        <v>307</v>
      </c>
      <c r="E27" s="10" t="s">
        <v>36</v>
      </c>
      <c r="F27" s="16" t="s">
        <v>165</v>
      </c>
      <c r="G27" s="16" t="s">
        <v>165</v>
      </c>
      <c r="H27" s="16" t="s">
        <v>165</v>
      </c>
      <c r="I27" s="115"/>
      <c r="J27" s="16" t="s">
        <v>166</v>
      </c>
      <c r="K27" s="112"/>
      <c r="L27" s="16" t="s">
        <v>165</v>
      </c>
      <c r="M27" s="16" t="s">
        <v>166</v>
      </c>
      <c r="N27" s="16" t="s">
        <v>166</v>
      </c>
      <c r="O27" s="112"/>
      <c r="P27" s="115"/>
      <c r="Q27" s="112"/>
      <c r="R27" s="16" t="s">
        <v>166</v>
      </c>
      <c r="S27" s="16" t="s">
        <v>165</v>
      </c>
      <c r="T27" s="16" t="s">
        <v>165</v>
      </c>
      <c r="U27" s="112"/>
      <c r="V27" s="16" t="s">
        <v>165</v>
      </c>
      <c r="W27" s="115"/>
      <c r="X27" s="16" t="s">
        <v>165</v>
      </c>
      <c r="Y27" s="16" t="s">
        <v>166</v>
      </c>
      <c r="Z27" s="16" t="s">
        <v>166</v>
      </c>
      <c r="AA27" s="16" t="s">
        <v>165</v>
      </c>
      <c r="AB27" s="16" t="s">
        <v>165</v>
      </c>
      <c r="AC27" s="16" t="s">
        <v>165</v>
      </c>
      <c r="AD27" s="115"/>
      <c r="AE27" s="16" t="s">
        <v>166</v>
      </c>
      <c r="AF27" s="16" t="s">
        <v>166</v>
      </c>
      <c r="AG27" s="16" t="s">
        <v>166</v>
      </c>
      <c r="AH27" s="16" t="s">
        <v>166</v>
      </c>
      <c r="AI27" s="16" t="s">
        <v>166</v>
      </c>
      <c r="AJ27" s="16" t="s">
        <v>166</v>
      </c>
      <c r="AK27" s="115"/>
      <c r="AL27" s="16" t="s">
        <v>166</v>
      </c>
      <c r="AM27" s="112"/>
      <c r="AN27" s="16" t="s">
        <v>165</v>
      </c>
      <c r="AO27" s="16" t="s">
        <v>166</v>
      </c>
      <c r="AP27" s="16" t="s">
        <v>165</v>
      </c>
      <c r="AQ27" s="16" t="s">
        <v>166</v>
      </c>
      <c r="AR27" s="16"/>
      <c r="AS27" s="16" t="s">
        <v>165</v>
      </c>
      <c r="AT27" s="16" t="s">
        <v>166</v>
      </c>
      <c r="AU27" s="16" t="s">
        <v>166</v>
      </c>
      <c r="AV27" s="16" t="s">
        <v>166</v>
      </c>
      <c r="AW27" s="16" t="s">
        <v>369</v>
      </c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5">
        <f t="shared" si="3"/>
        <v>18</v>
      </c>
      <c r="EP27" s="5">
        <f t="shared" si="4"/>
        <v>14</v>
      </c>
    </row>
    <row r="28" spans="1:150" x14ac:dyDescent="0.25">
      <c r="A28" s="6">
        <v>23</v>
      </c>
      <c r="B28" s="19"/>
      <c r="C28" s="20" t="s">
        <v>308</v>
      </c>
      <c r="D28" s="21" t="s">
        <v>309</v>
      </c>
      <c r="E28" s="10" t="s">
        <v>36</v>
      </c>
      <c r="F28" s="16" t="s">
        <v>166</v>
      </c>
      <c r="G28" s="16" t="s">
        <v>166</v>
      </c>
      <c r="H28" s="16" t="s">
        <v>165</v>
      </c>
      <c r="I28" s="115"/>
      <c r="J28" s="16" t="s">
        <v>166</v>
      </c>
      <c r="K28" s="112"/>
      <c r="L28" s="16" t="s">
        <v>166</v>
      </c>
      <c r="M28" s="16" t="s">
        <v>166</v>
      </c>
      <c r="N28" s="16" t="s">
        <v>166</v>
      </c>
      <c r="O28" s="112"/>
      <c r="P28" s="115"/>
      <c r="Q28" s="112"/>
      <c r="R28" s="16" t="s">
        <v>166</v>
      </c>
      <c r="S28" s="16" t="s">
        <v>166</v>
      </c>
      <c r="T28" s="16" t="s">
        <v>165</v>
      </c>
      <c r="U28" s="112"/>
      <c r="V28" s="16" t="s">
        <v>165</v>
      </c>
      <c r="W28" s="115"/>
      <c r="X28" s="16" t="s">
        <v>166</v>
      </c>
      <c r="Y28" s="16" t="s">
        <v>166</v>
      </c>
      <c r="Z28" s="16" t="s">
        <v>166</v>
      </c>
      <c r="AA28" s="16" t="s">
        <v>166</v>
      </c>
      <c r="AB28" s="16" t="s">
        <v>166</v>
      </c>
      <c r="AC28" s="16" t="s">
        <v>165</v>
      </c>
      <c r="AD28" s="115"/>
      <c r="AE28" s="16" t="s">
        <v>165</v>
      </c>
      <c r="AF28" s="16" t="s">
        <v>166</v>
      </c>
      <c r="AG28" s="16" t="s">
        <v>166</v>
      </c>
      <c r="AH28" s="16" t="s">
        <v>369</v>
      </c>
      <c r="AI28" s="16" t="s">
        <v>166</v>
      </c>
      <c r="AJ28" s="16" t="s">
        <v>166</v>
      </c>
      <c r="AK28" s="115"/>
      <c r="AL28" s="16" t="s">
        <v>166</v>
      </c>
      <c r="AM28" s="112"/>
      <c r="AN28" s="16" t="s">
        <v>166</v>
      </c>
      <c r="AO28" s="16" t="s">
        <v>166</v>
      </c>
      <c r="AP28" s="16" t="s">
        <v>166</v>
      </c>
      <c r="AQ28" s="16" t="s">
        <v>166</v>
      </c>
      <c r="AR28" s="16"/>
      <c r="AS28" s="16" t="s">
        <v>166</v>
      </c>
      <c r="AT28" s="16" t="s">
        <v>166</v>
      </c>
      <c r="AU28" s="16" t="s">
        <v>166</v>
      </c>
      <c r="AV28" s="16" t="s">
        <v>166</v>
      </c>
      <c r="AW28" s="16" t="s">
        <v>166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5">
        <f t="shared" si="3"/>
        <v>27</v>
      </c>
      <c r="EP28" s="5">
        <f t="shared" si="4"/>
        <v>5</v>
      </c>
    </row>
    <row r="29" spans="1:150" x14ac:dyDescent="0.25">
      <c r="A29" s="17">
        <v>24</v>
      </c>
      <c r="B29" s="19"/>
      <c r="C29" s="20" t="s">
        <v>310</v>
      </c>
      <c r="D29" s="21" t="s">
        <v>311</v>
      </c>
      <c r="E29" s="10" t="s">
        <v>36</v>
      </c>
      <c r="F29" s="16"/>
      <c r="G29" s="16"/>
      <c r="H29" s="16"/>
      <c r="I29" s="115"/>
      <c r="J29" s="16"/>
      <c r="K29" s="112"/>
      <c r="L29" s="16"/>
      <c r="M29" s="16"/>
      <c r="N29" s="16"/>
      <c r="O29" s="112"/>
      <c r="P29" s="115"/>
      <c r="Q29" s="112"/>
      <c r="R29" s="16"/>
      <c r="S29" s="16"/>
      <c r="T29" s="16"/>
      <c r="U29" s="112"/>
      <c r="V29" s="16"/>
      <c r="W29" s="115"/>
      <c r="X29" s="16"/>
      <c r="Y29" s="16"/>
      <c r="Z29" s="16"/>
      <c r="AA29" s="16"/>
      <c r="AB29" s="16"/>
      <c r="AC29" s="16"/>
      <c r="AD29" s="115"/>
      <c r="AE29" s="16" t="s">
        <v>166</v>
      </c>
      <c r="AF29" s="16" t="s">
        <v>166</v>
      </c>
      <c r="AG29" s="16" t="s">
        <v>166</v>
      </c>
      <c r="AH29" s="16" t="s">
        <v>166</v>
      </c>
      <c r="AI29" s="16" t="s">
        <v>166</v>
      </c>
      <c r="AJ29" s="16" t="s">
        <v>166</v>
      </c>
      <c r="AK29" s="115"/>
      <c r="AL29" s="16" t="s">
        <v>166</v>
      </c>
      <c r="AM29" s="112"/>
      <c r="AN29" s="16" t="s">
        <v>166</v>
      </c>
      <c r="AO29" s="16" t="s">
        <v>166</v>
      </c>
      <c r="AP29" s="16" t="s">
        <v>166</v>
      </c>
      <c r="AQ29" s="16" t="s">
        <v>166</v>
      </c>
      <c r="AR29" s="16"/>
      <c r="AS29" s="16" t="s">
        <v>166</v>
      </c>
      <c r="AT29" s="16" t="s">
        <v>166</v>
      </c>
      <c r="AU29" s="16" t="s">
        <v>166</v>
      </c>
      <c r="AV29" s="16" t="s">
        <v>166</v>
      </c>
      <c r="AW29" s="16" t="s">
        <v>166</v>
      </c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5">
        <f t="shared" si="3"/>
        <v>16</v>
      </c>
      <c r="EP29" s="5">
        <f t="shared" si="4"/>
        <v>0</v>
      </c>
    </row>
    <row r="30" spans="1:150" x14ac:dyDescent="0.25">
      <c r="A30" s="6">
        <v>1</v>
      </c>
      <c r="B30" s="19"/>
      <c r="C30" s="20" t="s">
        <v>312</v>
      </c>
      <c r="D30" s="21" t="s">
        <v>305</v>
      </c>
      <c r="E30" s="10" t="s">
        <v>36</v>
      </c>
      <c r="F30" s="16" t="s">
        <v>165</v>
      </c>
      <c r="G30" s="16" t="s">
        <v>165</v>
      </c>
      <c r="H30" s="16" t="s">
        <v>166</v>
      </c>
      <c r="I30" s="115"/>
      <c r="J30" s="16" t="s">
        <v>166</v>
      </c>
      <c r="K30" s="112"/>
      <c r="L30" s="16" t="s">
        <v>166</v>
      </c>
      <c r="M30" s="16" t="s">
        <v>166</v>
      </c>
      <c r="N30" s="16" t="s">
        <v>166</v>
      </c>
      <c r="O30" s="112"/>
      <c r="P30" s="115"/>
      <c r="Q30" s="112"/>
      <c r="R30" s="16" t="s">
        <v>166</v>
      </c>
      <c r="S30" s="16" t="s">
        <v>165</v>
      </c>
      <c r="T30" s="16" t="s">
        <v>166</v>
      </c>
      <c r="U30" s="112"/>
      <c r="V30" s="16" t="s">
        <v>165</v>
      </c>
      <c r="W30" s="115"/>
      <c r="X30" s="16" t="s">
        <v>166</v>
      </c>
      <c r="Y30" s="16" t="s">
        <v>166</v>
      </c>
      <c r="Z30" s="16" t="s">
        <v>166</v>
      </c>
      <c r="AA30" s="16" t="s">
        <v>166</v>
      </c>
      <c r="AB30" s="16" t="s">
        <v>165</v>
      </c>
      <c r="AC30" s="16" t="s">
        <v>165</v>
      </c>
      <c r="AD30" s="115"/>
      <c r="AE30" s="16" t="s">
        <v>165</v>
      </c>
      <c r="AF30" s="16" t="s">
        <v>165</v>
      </c>
      <c r="AG30" s="16" t="s">
        <v>369</v>
      </c>
      <c r="AH30" s="16" t="s">
        <v>369</v>
      </c>
      <c r="AI30" s="16" t="s">
        <v>369</v>
      </c>
      <c r="AJ30" s="16" t="s">
        <v>369</v>
      </c>
      <c r="AK30" s="115"/>
      <c r="AL30" s="16" t="s">
        <v>165</v>
      </c>
      <c r="AM30" s="112"/>
      <c r="AN30" s="16" t="s">
        <v>369</v>
      </c>
      <c r="AO30" s="16" t="s">
        <v>369</v>
      </c>
      <c r="AP30" s="16" t="s">
        <v>369</v>
      </c>
      <c r="AQ30" s="16" t="s">
        <v>369</v>
      </c>
      <c r="AR30" s="16"/>
      <c r="AS30" s="16" t="s">
        <v>166</v>
      </c>
      <c r="AT30" s="16" t="s">
        <v>166</v>
      </c>
      <c r="AU30" s="16" t="s">
        <v>166</v>
      </c>
      <c r="AV30" s="16" t="s">
        <v>166</v>
      </c>
      <c r="AW30" s="16" t="s">
        <v>369</v>
      </c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5">
        <f t="shared" si="3"/>
        <v>15</v>
      </c>
      <c r="EP30" s="5">
        <f t="shared" si="4"/>
        <v>9</v>
      </c>
    </row>
    <row r="31" spans="1:150" x14ac:dyDescent="0.25">
      <c r="A31" s="17">
        <v>2</v>
      </c>
      <c r="B31" s="19"/>
      <c r="C31" s="20" t="s">
        <v>312</v>
      </c>
      <c r="D31" s="21" t="s">
        <v>313</v>
      </c>
      <c r="E31" s="10" t="s">
        <v>36</v>
      </c>
      <c r="F31" s="16" t="s">
        <v>165</v>
      </c>
      <c r="G31" s="16" t="s">
        <v>165</v>
      </c>
      <c r="H31" s="16" t="s">
        <v>166</v>
      </c>
      <c r="I31" s="115"/>
      <c r="J31" s="16" t="s">
        <v>166</v>
      </c>
      <c r="K31" s="112"/>
      <c r="L31" s="16" t="s">
        <v>166</v>
      </c>
      <c r="M31" s="16" t="s">
        <v>166</v>
      </c>
      <c r="N31" s="16" t="s">
        <v>166</v>
      </c>
      <c r="O31" s="112"/>
      <c r="P31" s="115"/>
      <c r="Q31" s="112"/>
      <c r="R31" s="16" t="s">
        <v>165</v>
      </c>
      <c r="S31" s="16" t="s">
        <v>165</v>
      </c>
      <c r="T31" s="16" t="s">
        <v>165</v>
      </c>
      <c r="U31" s="112"/>
      <c r="V31" s="16" t="s">
        <v>165</v>
      </c>
      <c r="W31" s="115"/>
      <c r="X31" s="16" t="s">
        <v>166</v>
      </c>
      <c r="Y31" s="16" t="s">
        <v>166</v>
      </c>
      <c r="Z31" s="16" t="s">
        <v>166</v>
      </c>
      <c r="AA31" s="16" t="s">
        <v>166</v>
      </c>
      <c r="AB31" s="16" t="s">
        <v>165</v>
      </c>
      <c r="AC31" s="16" t="s">
        <v>165</v>
      </c>
      <c r="AD31" s="115"/>
      <c r="AE31" s="16" t="s">
        <v>166</v>
      </c>
      <c r="AF31" s="16" t="s">
        <v>166</v>
      </c>
      <c r="AG31" s="16" t="s">
        <v>166</v>
      </c>
      <c r="AH31" s="16" t="s">
        <v>369</v>
      </c>
      <c r="AI31" s="16" t="s">
        <v>166</v>
      </c>
      <c r="AJ31" s="16" t="s">
        <v>369</v>
      </c>
      <c r="AK31" s="115"/>
      <c r="AL31" s="16" t="s">
        <v>166</v>
      </c>
      <c r="AM31" s="112"/>
      <c r="AN31" s="16" t="s">
        <v>166</v>
      </c>
      <c r="AO31" s="16" t="s">
        <v>166</v>
      </c>
      <c r="AP31" s="16" t="s">
        <v>166</v>
      </c>
      <c r="AQ31" s="16" t="s">
        <v>369</v>
      </c>
      <c r="AR31" s="16"/>
      <c r="AS31" s="16" t="s">
        <v>166</v>
      </c>
      <c r="AT31" s="16" t="s">
        <v>166</v>
      </c>
      <c r="AU31" s="16" t="s">
        <v>165</v>
      </c>
      <c r="AV31" s="16" t="s">
        <v>369</v>
      </c>
      <c r="AW31" s="16" t="s">
        <v>166</v>
      </c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5">
        <f t="shared" si="3"/>
        <v>20</v>
      </c>
      <c r="EP31" s="5">
        <f t="shared" si="4"/>
        <v>9</v>
      </c>
    </row>
    <row r="32" spans="1:150" x14ac:dyDescent="0.25">
      <c r="A32" s="6">
        <v>3</v>
      </c>
      <c r="B32" s="19"/>
      <c r="C32" s="20" t="s">
        <v>314</v>
      </c>
      <c r="D32" s="21" t="s">
        <v>315</v>
      </c>
      <c r="E32" s="10" t="s">
        <v>36</v>
      </c>
      <c r="F32" s="16" t="s">
        <v>165</v>
      </c>
      <c r="G32" s="16" t="s">
        <v>165</v>
      </c>
      <c r="H32" s="16" t="s">
        <v>166</v>
      </c>
      <c r="I32" s="115"/>
      <c r="J32" s="16" t="s">
        <v>166</v>
      </c>
      <c r="K32" s="112"/>
      <c r="L32" s="16" t="s">
        <v>166</v>
      </c>
      <c r="M32" s="16" t="s">
        <v>166</v>
      </c>
      <c r="N32" s="16" t="s">
        <v>166</v>
      </c>
      <c r="O32" s="112"/>
      <c r="P32" s="115"/>
      <c r="Q32" s="112"/>
      <c r="R32" s="16" t="s">
        <v>166</v>
      </c>
      <c r="S32" s="16" t="s">
        <v>165</v>
      </c>
      <c r="T32" s="16" t="s">
        <v>166</v>
      </c>
      <c r="U32" s="112"/>
      <c r="V32" s="16" t="s">
        <v>165</v>
      </c>
      <c r="W32" s="115"/>
      <c r="X32" s="16" t="s">
        <v>166</v>
      </c>
      <c r="Y32" s="16" t="s">
        <v>166</v>
      </c>
      <c r="Z32" s="16" t="s">
        <v>166</v>
      </c>
      <c r="AA32" s="16" t="s">
        <v>166</v>
      </c>
      <c r="AB32" s="16" t="s">
        <v>166</v>
      </c>
      <c r="AC32" s="16" t="s">
        <v>166</v>
      </c>
      <c r="AD32" s="115"/>
      <c r="AE32" s="16" t="s">
        <v>166</v>
      </c>
      <c r="AF32" s="16" t="s">
        <v>166</v>
      </c>
      <c r="AG32" s="16" t="s">
        <v>166</v>
      </c>
      <c r="AH32" s="16" t="s">
        <v>166</v>
      </c>
      <c r="AI32" s="16" t="s">
        <v>166</v>
      </c>
      <c r="AJ32" s="16" t="s">
        <v>166</v>
      </c>
      <c r="AK32" s="115"/>
      <c r="AL32" s="16" t="s">
        <v>165</v>
      </c>
      <c r="AM32" s="112"/>
      <c r="AN32" s="16" t="s">
        <v>166</v>
      </c>
      <c r="AO32" s="16" t="s">
        <v>166</v>
      </c>
      <c r="AP32" s="16" t="s">
        <v>166</v>
      </c>
      <c r="AQ32" s="16" t="s">
        <v>166</v>
      </c>
      <c r="AR32" s="16"/>
      <c r="AS32" s="16" t="s">
        <v>166</v>
      </c>
      <c r="AT32" s="16" t="s">
        <v>166</v>
      </c>
      <c r="AU32" s="16" t="s">
        <v>166</v>
      </c>
      <c r="AV32" s="16" t="s">
        <v>166</v>
      </c>
      <c r="AW32" s="16" t="s">
        <v>166</v>
      </c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5">
        <f t="shared" si="3"/>
        <v>28</v>
      </c>
      <c r="EP32" s="5">
        <f t="shared" si="4"/>
        <v>5</v>
      </c>
    </row>
    <row r="33" spans="1:146" x14ac:dyDescent="0.25">
      <c r="A33" s="17">
        <v>4</v>
      </c>
      <c r="B33" s="19"/>
      <c r="C33" s="20" t="s">
        <v>316</v>
      </c>
      <c r="D33" s="21" t="s">
        <v>317</v>
      </c>
      <c r="E33" s="10" t="s">
        <v>36</v>
      </c>
      <c r="F33" s="16" t="s">
        <v>165</v>
      </c>
      <c r="G33" s="16" t="s">
        <v>165</v>
      </c>
      <c r="H33" s="16" t="s">
        <v>166</v>
      </c>
      <c r="I33" s="115"/>
      <c r="J33" s="16" t="s">
        <v>166</v>
      </c>
      <c r="K33" s="112"/>
      <c r="L33" s="16" t="s">
        <v>166</v>
      </c>
      <c r="M33" s="16" t="s">
        <v>166</v>
      </c>
      <c r="N33" s="16" t="s">
        <v>166</v>
      </c>
      <c r="O33" s="112"/>
      <c r="P33" s="115"/>
      <c r="Q33" s="112"/>
      <c r="R33" s="16" t="s">
        <v>165</v>
      </c>
      <c r="S33" s="16" t="s">
        <v>165</v>
      </c>
      <c r="T33" s="16" t="s">
        <v>165</v>
      </c>
      <c r="U33" s="112"/>
      <c r="V33" s="16" t="s">
        <v>165</v>
      </c>
      <c r="W33" s="115"/>
      <c r="X33" s="16" t="s">
        <v>165</v>
      </c>
      <c r="Y33" s="16" t="s">
        <v>166</v>
      </c>
      <c r="Z33" s="16" t="s">
        <v>166</v>
      </c>
      <c r="AA33" s="16" t="s">
        <v>166</v>
      </c>
      <c r="AB33" s="16" t="s">
        <v>165</v>
      </c>
      <c r="AC33" s="16" t="s">
        <v>165</v>
      </c>
      <c r="AD33" s="115"/>
      <c r="AE33" s="16" t="s">
        <v>166</v>
      </c>
      <c r="AF33" s="16" t="s">
        <v>166</v>
      </c>
      <c r="AG33" s="16" t="s">
        <v>166</v>
      </c>
      <c r="AH33" s="16" t="s">
        <v>166</v>
      </c>
      <c r="AI33" s="16" t="s">
        <v>369</v>
      </c>
      <c r="AJ33" s="16" t="s">
        <v>166</v>
      </c>
      <c r="AK33" s="115"/>
      <c r="AL33" s="16" t="s">
        <v>165</v>
      </c>
      <c r="AM33" s="112"/>
      <c r="AN33" s="16" t="s">
        <v>166</v>
      </c>
      <c r="AO33" s="16" t="s">
        <v>166</v>
      </c>
      <c r="AP33" s="16" t="s">
        <v>166</v>
      </c>
      <c r="AQ33" s="16" t="s">
        <v>369</v>
      </c>
      <c r="AR33" s="16"/>
      <c r="AS33" s="16" t="s">
        <v>166</v>
      </c>
      <c r="AT33" s="16" t="s">
        <v>166</v>
      </c>
      <c r="AU33" s="16" t="s">
        <v>166</v>
      </c>
      <c r="AV33" s="16" t="s">
        <v>166</v>
      </c>
      <c r="AW33" s="16" t="s">
        <v>166</v>
      </c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5">
        <f t="shared" si="3"/>
        <v>21</v>
      </c>
      <c r="EP33" s="5">
        <f t="shared" si="4"/>
        <v>10</v>
      </c>
    </row>
    <row r="34" spans="1:146" x14ac:dyDescent="0.25">
      <c r="A34" s="6">
        <v>5</v>
      </c>
      <c r="B34" s="19"/>
      <c r="C34" s="20" t="s">
        <v>318</v>
      </c>
      <c r="D34" s="21" t="s">
        <v>319</v>
      </c>
      <c r="E34" s="10" t="s">
        <v>36</v>
      </c>
      <c r="F34" s="16" t="s">
        <v>166</v>
      </c>
      <c r="G34" s="16" t="s">
        <v>165</v>
      </c>
      <c r="H34" s="16" t="s">
        <v>165</v>
      </c>
      <c r="I34" s="115"/>
      <c r="J34" s="16" t="s">
        <v>166</v>
      </c>
      <c r="K34" s="112"/>
      <c r="L34" s="16" t="s">
        <v>166</v>
      </c>
      <c r="M34" s="16" t="s">
        <v>166</v>
      </c>
      <c r="N34" s="16" t="s">
        <v>166</v>
      </c>
      <c r="O34" s="112"/>
      <c r="P34" s="115"/>
      <c r="Q34" s="112"/>
      <c r="R34" s="16" t="s">
        <v>166</v>
      </c>
      <c r="S34" s="16" t="s">
        <v>166</v>
      </c>
      <c r="T34" s="16" t="s">
        <v>165</v>
      </c>
      <c r="U34" s="112"/>
      <c r="V34" s="16" t="s">
        <v>165</v>
      </c>
      <c r="W34" s="115"/>
      <c r="X34" s="16" t="s">
        <v>166</v>
      </c>
      <c r="Y34" s="16" t="s">
        <v>166</v>
      </c>
      <c r="Z34" s="16" t="s">
        <v>166</v>
      </c>
      <c r="AA34" s="16" t="s">
        <v>166</v>
      </c>
      <c r="AB34" s="16" t="s">
        <v>166</v>
      </c>
      <c r="AC34" s="16" t="s">
        <v>166</v>
      </c>
      <c r="AD34" s="115"/>
      <c r="AE34" s="16" t="s">
        <v>166</v>
      </c>
      <c r="AF34" s="16" t="s">
        <v>166</v>
      </c>
      <c r="AG34" s="16" t="s">
        <v>166</v>
      </c>
      <c r="AH34" s="16" t="s">
        <v>166</v>
      </c>
      <c r="AI34" s="16" t="s">
        <v>166</v>
      </c>
      <c r="AJ34" s="16" t="s">
        <v>166</v>
      </c>
      <c r="AK34" s="115"/>
      <c r="AL34" s="16" t="s">
        <v>165</v>
      </c>
      <c r="AM34" s="112"/>
      <c r="AN34" s="16" t="s">
        <v>166</v>
      </c>
      <c r="AO34" s="16" t="s">
        <v>166</v>
      </c>
      <c r="AP34" s="16" t="s">
        <v>166</v>
      </c>
      <c r="AQ34" s="16" t="s">
        <v>166</v>
      </c>
      <c r="AR34" s="16"/>
      <c r="AS34" s="16" t="s">
        <v>166</v>
      </c>
      <c r="AT34" s="16" t="s">
        <v>166</v>
      </c>
      <c r="AU34" s="16" t="s">
        <v>166</v>
      </c>
      <c r="AV34" s="16" t="s">
        <v>166</v>
      </c>
      <c r="AW34" s="16" t="s">
        <v>166</v>
      </c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5">
        <f t="shared" si="3"/>
        <v>28</v>
      </c>
      <c r="EP34" s="5">
        <f t="shared" si="4"/>
        <v>5</v>
      </c>
    </row>
    <row r="35" spans="1:146" x14ac:dyDescent="0.25">
      <c r="A35" s="17">
        <v>6</v>
      </c>
      <c r="B35" s="19"/>
      <c r="C35" s="20" t="s">
        <v>320</v>
      </c>
      <c r="D35" s="21" t="s">
        <v>321</v>
      </c>
      <c r="E35" s="10" t="s">
        <v>36</v>
      </c>
      <c r="F35" s="16" t="s">
        <v>166</v>
      </c>
      <c r="G35" s="16" t="s">
        <v>166</v>
      </c>
      <c r="H35" s="16" t="s">
        <v>166</v>
      </c>
      <c r="I35" s="115"/>
      <c r="J35" s="16" t="s">
        <v>166</v>
      </c>
      <c r="K35" s="112"/>
      <c r="L35" s="16" t="s">
        <v>166</v>
      </c>
      <c r="M35" s="16" t="s">
        <v>166</v>
      </c>
      <c r="N35" s="16" t="s">
        <v>166</v>
      </c>
      <c r="O35" s="112"/>
      <c r="P35" s="115"/>
      <c r="Q35" s="112"/>
      <c r="R35" s="16" t="s">
        <v>166</v>
      </c>
      <c r="S35" s="16" t="s">
        <v>165</v>
      </c>
      <c r="T35" s="16" t="s">
        <v>166</v>
      </c>
      <c r="U35" s="112"/>
      <c r="V35" s="16" t="s">
        <v>165</v>
      </c>
      <c r="W35" s="115"/>
      <c r="X35" s="16" t="s">
        <v>166</v>
      </c>
      <c r="Y35" s="16" t="s">
        <v>166</v>
      </c>
      <c r="Z35" s="16" t="s">
        <v>165</v>
      </c>
      <c r="AA35" s="16" t="s">
        <v>166</v>
      </c>
      <c r="AB35" s="16" t="s">
        <v>165</v>
      </c>
      <c r="AC35" s="16" t="s">
        <v>166</v>
      </c>
      <c r="AD35" s="115"/>
      <c r="AE35" s="16" t="s">
        <v>166</v>
      </c>
      <c r="AF35" s="16" t="s">
        <v>166</v>
      </c>
      <c r="AG35" s="16" t="s">
        <v>166</v>
      </c>
      <c r="AH35" s="16" t="s">
        <v>166</v>
      </c>
      <c r="AI35" s="16" t="s">
        <v>166</v>
      </c>
      <c r="AJ35" s="16" t="s">
        <v>166</v>
      </c>
      <c r="AK35" s="115"/>
      <c r="AL35" s="16" t="s">
        <v>166</v>
      </c>
      <c r="AM35" s="112"/>
      <c r="AN35" s="16" t="s">
        <v>166</v>
      </c>
      <c r="AO35" s="16" t="s">
        <v>166</v>
      </c>
      <c r="AP35" s="16" t="s">
        <v>166</v>
      </c>
      <c r="AQ35" s="16" t="s">
        <v>166</v>
      </c>
      <c r="AR35" s="16"/>
      <c r="AS35" s="16" t="s">
        <v>166</v>
      </c>
      <c r="AT35" s="16" t="s">
        <v>166</v>
      </c>
      <c r="AU35" s="16" t="s">
        <v>166</v>
      </c>
      <c r="AV35" s="16" t="s">
        <v>166</v>
      </c>
      <c r="AW35" s="16" t="s">
        <v>166</v>
      </c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5">
        <f t="shared" si="3"/>
        <v>29</v>
      </c>
      <c r="EP35" s="5">
        <f t="shared" si="4"/>
        <v>4</v>
      </c>
    </row>
    <row r="36" spans="1:146" x14ac:dyDescent="0.25">
      <c r="A36" s="6">
        <v>7</v>
      </c>
      <c r="B36" s="19"/>
      <c r="C36" s="20" t="s">
        <v>322</v>
      </c>
      <c r="D36" s="21" t="s">
        <v>323</v>
      </c>
      <c r="E36" s="10" t="s">
        <v>36</v>
      </c>
      <c r="F36" s="16" t="s">
        <v>166</v>
      </c>
      <c r="G36" s="16" t="s">
        <v>165</v>
      </c>
      <c r="H36" s="16" t="s">
        <v>165</v>
      </c>
      <c r="I36" s="115"/>
      <c r="J36" s="16" t="s">
        <v>165</v>
      </c>
      <c r="K36" s="112"/>
      <c r="L36" s="16" t="s">
        <v>166</v>
      </c>
      <c r="M36" s="16" t="s">
        <v>166</v>
      </c>
      <c r="N36" s="16" t="s">
        <v>166</v>
      </c>
      <c r="O36" s="112"/>
      <c r="P36" s="115"/>
      <c r="Q36" s="112"/>
      <c r="R36" s="16" t="s">
        <v>165</v>
      </c>
      <c r="S36" s="16" t="s">
        <v>165</v>
      </c>
      <c r="T36" s="16" t="s">
        <v>165</v>
      </c>
      <c r="U36" s="112"/>
      <c r="V36" s="16" t="s">
        <v>165</v>
      </c>
      <c r="W36" s="115"/>
      <c r="X36" s="16" t="s">
        <v>166</v>
      </c>
      <c r="Y36" s="16" t="s">
        <v>166</v>
      </c>
      <c r="Z36" s="16" t="s">
        <v>166</v>
      </c>
      <c r="AA36" s="16" t="s">
        <v>166</v>
      </c>
      <c r="AB36" s="16" t="s">
        <v>166</v>
      </c>
      <c r="AC36" s="16" t="s">
        <v>166</v>
      </c>
      <c r="AD36" s="115"/>
      <c r="AE36" s="16" t="s">
        <v>166</v>
      </c>
      <c r="AF36" s="16" t="s">
        <v>166</v>
      </c>
      <c r="AG36" s="16" t="s">
        <v>166</v>
      </c>
      <c r="AH36" s="16" t="s">
        <v>166</v>
      </c>
      <c r="AI36" s="16" t="s">
        <v>166</v>
      </c>
      <c r="AJ36" s="16" t="s">
        <v>166</v>
      </c>
      <c r="AK36" s="115"/>
      <c r="AL36" s="16" t="s">
        <v>166</v>
      </c>
      <c r="AM36" s="112"/>
      <c r="AN36" s="16" t="s">
        <v>166</v>
      </c>
      <c r="AO36" s="16" t="s">
        <v>166</v>
      </c>
      <c r="AP36" s="16" t="s">
        <v>166</v>
      </c>
      <c r="AQ36" s="16" t="s">
        <v>166</v>
      </c>
      <c r="AR36" s="16"/>
      <c r="AS36" s="16" t="s">
        <v>166</v>
      </c>
      <c r="AT36" s="16" t="s">
        <v>166</v>
      </c>
      <c r="AU36" s="16" t="s">
        <v>166</v>
      </c>
      <c r="AV36" s="16" t="s">
        <v>166</v>
      </c>
      <c r="AW36" s="16" t="s">
        <v>166</v>
      </c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5">
        <f t="shared" si="3"/>
        <v>26</v>
      </c>
      <c r="EP36" s="5">
        <f t="shared" si="4"/>
        <v>7</v>
      </c>
    </row>
    <row r="37" spans="1:146" x14ac:dyDescent="0.25">
      <c r="A37" s="17">
        <v>8</v>
      </c>
      <c r="B37" s="19"/>
      <c r="C37" s="20" t="s">
        <v>324</v>
      </c>
      <c r="D37" s="21" t="s">
        <v>325</v>
      </c>
      <c r="E37" s="10" t="s">
        <v>36</v>
      </c>
      <c r="F37" s="16" t="s">
        <v>166</v>
      </c>
      <c r="G37" s="16" t="s">
        <v>166</v>
      </c>
      <c r="H37" s="16" t="s">
        <v>166</v>
      </c>
      <c r="I37" s="115"/>
      <c r="J37" s="16" t="s">
        <v>166</v>
      </c>
      <c r="K37" s="112"/>
      <c r="L37" s="16" t="s">
        <v>166</v>
      </c>
      <c r="M37" s="16" t="s">
        <v>165</v>
      </c>
      <c r="N37" s="16" t="s">
        <v>166</v>
      </c>
      <c r="O37" s="112"/>
      <c r="P37" s="115"/>
      <c r="Q37" s="112"/>
      <c r="R37" s="16" t="s">
        <v>165</v>
      </c>
      <c r="S37" s="16" t="s">
        <v>165</v>
      </c>
      <c r="T37" s="16" t="s">
        <v>166</v>
      </c>
      <c r="U37" s="112"/>
      <c r="V37" s="16" t="s">
        <v>165</v>
      </c>
      <c r="W37" s="115"/>
      <c r="X37" s="16" t="s">
        <v>166</v>
      </c>
      <c r="Y37" s="16" t="s">
        <v>166</v>
      </c>
      <c r="Z37" s="16" t="s">
        <v>166</v>
      </c>
      <c r="AA37" s="16" t="s">
        <v>166</v>
      </c>
      <c r="AB37" s="16" t="s">
        <v>166</v>
      </c>
      <c r="AC37" s="16" t="s">
        <v>166</v>
      </c>
      <c r="AD37" s="115"/>
      <c r="AE37" s="16" t="s">
        <v>166</v>
      </c>
      <c r="AF37" s="16" t="s">
        <v>166</v>
      </c>
      <c r="AG37" s="16" t="s">
        <v>166</v>
      </c>
      <c r="AH37" s="16" t="s">
        <v>166</v>
      </c>
      <c r="AI37" s="16" t="s">
        <v>166</v>
      </c>
      <c r="AJ37" s="16" t="s">
        <v>166</v>
      </c>
      <c r="AK37" s="115"/>
      <c r="AL37" s="16" t="s">
        <v>166</v>
      </c>
      <c r="AM37" s="112"/>
      <c r="AN37" s="16" t="s">
        <v>165</v>
      </c>
      <c r="AO37" s="16" t="s">
        <v>165</v>
      </c>
      <c r="AP37" s="16" t="s">
        <v>165</v>
      </c>
      <c r="AQ37" s="16" t="s">
        <v>165</v>
      </c>
      <c r="AR37" s="16"/>
      <c r="AS37" s="16" t="s">
        <v>166</v>
      </c>
      <c r="AT37" s="16" t="s">
        <v>166</v>
      </c>
      <c r="AU37" s="16" t="s">
        <v>166</v>
      </c>
      <c r="AV37" s="16" t="s">
        <v>166</v>
      </c>
      <c r="AW37" s="16" t="s">
        <v>166</v>
      </c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5">
        <f t="shared" si="3"/>
        <v>25</v>
      </c>
      <c r="EP37" s="5">
        <f t="shared" si="4"/>
        <v>8</v>
      </c>
    </row>
    <row r="38" spans="1:146" x14ac:dyDescent="0.25">
      <c r="A38" s="6">
        <v>9</v>
      </c>
      <c r="B38" s="19"/>
      <c r="C38" s="20" t="s">
        <v>145</v>
      </c>
      <c r="D38" s="21" t="s">
        <v>326</v>
      </c>
      <c r="E38" s="10" t="s">
        <v>36</v>
      </c>
      <c r="F38" s="16" t="s">
        <v>166</v>
      </c>
      <c r="G38" s="16" t="s">
        <v>166</v>
      </c>
      <c r="H38" s="16" t="s">
        <v>166</v>
      </c>
      <c r="I38" s="115"/>
      <c r="J38" s="16" t="s">
        <v>166</v>
      </c>
      <c r="K38" s="112"/>
      <c r="L38" s="16" t="s">
        <v>166</v>
      </c>
      <c r="M38" s="16" t="s">
        <v>166</v>
      </c>
      <c r="N38" s="16" t="s">
        <v>166</v>
      </c>
      <c r="O38" s="112"/>
      <c r="P38" s="115"/>
      <c r="Q38" s="112"/>
      <c r="R38" s="16" t="s">
        <v>166</v>
      </c>
      <c r="S38" s="16" t="s">
        <v>165</v>
      </c>
      <c r="T38" s="16" t="s">
        <v>166</v>
      </c>
      <c r="U38" s="112"/>
      <c r="V38" s="16" t="s">
        <v>165</v>
      </c>
      <c r="W38" s="115"/>
      <c r="X38" s="16" t="s">
        <v>166</v>
      </c>
      <c r="Y38" s="16" t="s">
        <v>166</v>
      </c>
      <c r="Z38" s="16" t="s">
        <v>166</v>
      </c>
      <c r="AA38" s="16" t="s">
        <v>166</v>
      </c>
      <c r="AB38" s="16" t="s">
        <v>166</v>
      </c>
      <c r="AC38" s="16" t="s">
        <v>166</v>
      </c>
      <c r="AD38" s="115"/>
      <c r="AE38" s="16" t="s">
        <v>166</v>
      </c>
      <c r="AF38" s="16" t="s">
        <v>166</v>
      </c>
      <c r="AG38" s="16" t="s">
        <v>166</v>
      </c>
      <c r="AH38" s="16" t="s">
        <v>166</v>
      </c>
      <c r="AI38" s="16" t="s">
        <v>166</v>
      </c>
      <c r="AJ38" s="16" t="s">
        <v>166</v>
      </c>
      <c r="AK38" s="115"/>
      <c r="AL38" s="16" t="s">
        <v>166</v>
      </c>
      <c r="AM38" s="112"/>
      <c r="AN38" s="16" t="s">
        <v>166</v>
      </c>
      <c r="AO38" s="16" t="s">
        <v>166</v>
      </c>
      <c r="AP38" s="16" t="s">
        <v>166</v>
      </c>
      <c r="AQ38" s="16" t="s">
        <v>166</v>
      </c>
      <c r="AR38" s="16"/>
      <c r="AS38" s="16" t="s">
        <v>166</v>
      </c>
      <c r="AT38" s="16" t="s">
        <v>166</v>
      </c>
      <c r="AU38" s="16" t="s">
        <v>166</v>
      </c>
      <c r="AV38" s="16" t="s">
        <v>166</v>
      </c>
      <c r="AW38" s="16" t="s">
        <v>166</v>
      </c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5">
        <f t="shared" si="3"/>
        <v>31</v>
      </c>
      <c r="EP38" s="5">
        <f t="shared" si="4"/>
        <v>2</v>
      </c>
    </row>
    <row r="39" spans="1:146" x14ac:dyDescent="0.25">
      <c r="A39" s="17">
        <v>10</v>
      </c>
      <c r="B39" s="19"/>
      <c r="C39" s="20" t="s">
        <v>327</v>
      </c>
      <c r="D39" s="21" t="s">
        <v>328</v>
      </c>
      <c r="E39" s="10" t="s">
        <v>36</v>
      </c>
      <c r="F39" s="16" t="s">
        <v>165</v>
      </c>
      <c r="G39" s="16" t="s">
        <v>166</v>
      </c>
      <c r="H39" s="16" t="s">
        <v>166</v>
      </c>
      <c r="I39" s="115"/>
      <c r="J39" s="16" t="s">
        <v>166</v>
      </c>
      <c r="K39" s="112"/>
      <c r="L39" s="16" t="s">
        <v>166</v>
      </c>
      <c r="M39" s="16" t="s">
        <v>166</v>
      </c>
      <c r="N39" s="16" t="s">
        <v>166</v>
      </c>
      <c r="O39" s="112"/>
      <c r="P39" s="115"/>
      <c r="Q39" s="112"/>
      <c r="R39" s="16" t="s">
        <v>166</v>
      </c>
      <c r="S39" s="16" t="s">
        <v>166</v>
      </c>
      <c r="T39" s="16" t="s">
        <v>165</v>
      </c>
      <c r="U39" s="112"/>
      <c r="V39" s="16" t="s">
        <v>165</v>
      </c>
      <c r="W39" s="115"/>
      <c r="X39" s="16" t="s">
        <v>166</v>
      </c>
      <c r="Y39" s="16" t="s">
        <v>166</v>
      </c>
      <c r="Z39" s="16" t="s">
        <v>166</v>
      </c>
      <c r="AA39" s="16" t="s">
        <v>166</v>
      </c>
      <c r="AB39" s="16" t="s">
        <v>166</v>
      </c>
      <c r="AC39" s="16" t="s">
        <v>166</v>
      </c>
      <c r="AD39" s="115"/>
      <c r="AE39" s="16" t="s">
        <v>166</v>
      </c>
      <c r="AF39" s="16" t="s">
        <v>166</v>
      </c>
      <c r="AG39" s="16" t="s">
        <v>166</v>
      </c>
      <c r="AH39" s="16" t="s">
        <v>166</v>
      </c>
      <c r="AI39" s="16" t="s">
        <v>166</v>
      </c>
      <c r="AJ39" s="16" t="s">
        <v>166</v>
      </c>
      <c r="AK39" s="115"/>
      <c r="AL39" s="16" t="s">
        <v>166</v>
      </c>
      <c r="AM39" s="112"/>
      <c r="AN39" s="16" t="s">
        <v>166</v>
      </c>
      <c r="AO39" s="16" t="s">
        <v>166</v>
      </c>
      <c r="AP39" s="16" t="s">
        <v>166</v>
      </c>
      <c r="AQ39" s="16" t="s">
        <v>166</v>
      </c>
      <c r="AR39" s="16"/>
      <c r="AS39" s="16" t="s">
        <v>166</v>
      </c>
      <c r="AT39" s="16" t="s">
        <v>166</v>
      </c>
      <c r="AU39" s="16" t="s">
        <v>166</v>
      </c>
      <c r="AV39" s="16" t="s">
        <v>166</v>
      </c>
      <c r="AW39" s="16" t="s">
        <v>166</v>
      </c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5">
        <f t="shared" si="3"/>
        <v>30</v>
      </c>
      <c r="EP39" s="5">
        <f t="shared" si="4"/>
        <v>3</v>
      </c>
    </row>
    <row r="40" spans="1:146" x14ac:dyDescent="0.25">
      <c r="A40" s="6">
        <v>11</v>
      </c>
      <c r="B40" s="19"/>
      <c r="C40" s="20" t="s">
        <v>329</v>
      </c>
      <c r="D40" s="21" t="s">
        <v>330</v>
      </c>
      <c r="E40" s="10" t="s">
        <v>36</v>
      </c>
      <c r="F40" s="16" t="s">
        <v>166</v>
      </c>
      <c r="G40" s="16" t="s">
        <v>166</v>
      </c>
      <c r="H40" s="16" t="s">
        <v>165</v>
      </c>
      <c r="I40" s="115"/>
      <c r="J40" s="16" t="s">
        <v>166</v>
      </c>
      <c r="K40" s="112"/>
      <c r="L40" s="16" t="s">
        <v>166</v>
      </c>
      <c r="M40" s="16" t="s">
        <v>166</v>
      </c>
      <c r="N40" s="16" t="s">
        <v>166</v>
      </c>
      <c r="O40" s="112"/>
      <c r="P40" s="115"/>
      <c r="Q40" s="112"/>
      <c r="R40" s="16" t="s">
        <v>165</v>
      </c>
      <c r="S40" s="16" t="s">
        <v>165</v>
      </c>
      <c r="T40" s="16" t="s">
        <v>165</v>
      </c>
      <c r="U40" s="112"/>
      <c r="V40" s="16" t="s">
        <v>165</v>
      </c>
      <c r="W40" s="115"/>
      <c r="X40" s="16" t="s">
        <v>166</v>
      </c>
      <c r="Y40" s="16" t="s">
        <v>166</v>
      </c>
      <c r="Z40" s="16" t="s">
        <v>165</v>
      </c>
      <c r="AA40" s="16" t="s">
        <v>166</v>
      </c>
      <c r="AB40" s="16" t="s">
        <v>166</v>
      </c>
      <c r="AC40" s="16" t="s">
        <v>166</v>
      </c>
      <c r="AD40" s="115"/>
      <c r="AE40" s="16" t="s">
        <v>165</v>
      </c>
      <c r="AF40" s="16" t="s">
        <v>166</v>
      </c>
      <c r="AG40" s="16" t="s">
        <v>166</v>
      </c>
      <c r="AH40" s="16" t="s">
        <v>166</v>
      </c>
      <c r="AI40" s="16" t="s">
        <v>166</v>
      </c>
      <c r="AJ40" s="16" t="s">
        <v>166</v>
      </c>
      <c r="AK40" s="115"/>
      <c r="AL40" s="16" t="s">
        <v>166</v>
      </c>
      <c r="AM40" s="112"/>
      <c r="AN40" s="16" t="s">
        <v>166</v>
      </c>
      <c r="AO40" s="16" t="s">
        <v>166</v>
      </c>
      <c r="AP40" s="16" t="s">
        <v>166</v>
      </c>
      <c r="AQ40" s="16" t="s">
        <v>166</v>
      </c>
      <c r="AR40" s="16"/>
      <c r="AS40" s="16" t="s">
        <v>166</v>
      </c>
      <c r="AT40" s="16" t="s">
        <v>166</v>
      </c>
      <c r="AU40" s="16" t="s">
        <v>166</v>
      </c>
      <c r="AV40" s="16" t="s">
        <v>166</v>
      </c>
      <c r="AW40" s="16" t="s">
        <v>166</v>
      </c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5">
        <f t="shared" si="3"/>
        <v>26</v>
      </c>
      <c r="EP40" s="5">
        <f t="shared" si="4"/>
        <v>7</v>
      </c>
    </row>
    <row r="41" spans="1:146" x14ac:dyDescent="0.25">
      <c r="A41" s="17">
        <v>12</v>
      </c>
      <c r="B41" s="19"/>
      <c r="C41" s="20" t="s">
        <v>331</v>
      </c>
      <c r="D41" s="21" t="s">
        <v>332</v>
      </c>
      <c r="E41" s="10" t="s">
        <v>36</v>
      </c>
      <c r="F41" s="16" t="s">
        <v>166</v>
      </c>
      <c r="G41" s="16" t="s">
        <v>166</v>
      </c>
      <c r="H41" s="16" t="s">
        <v>166</v>
      </c>
      <c r="I41" s="115"/>
      <c r="J41" s="16" t="s">
        <v>166</v>
      </c>
      <c r="K41" s="112"/>
      <c r="L41" s="16" t="s">
        <v>166</v>
      </c>
      <c r="M41" s="16" t="s">
        <v>166</v>
      </c>
      <c r="N41" s="16" t="s">
        <v>166</v>
      </c>
      <c r="O41" s="112"/>
      <c r="P41" s="115"/>
      <c r="Q41" s="112"/>
      <c r="R41" s="16" t="s">
        <v>166</v>
      </c>
      <c r="S41" s="16" t="s">
        <v>166</v>
      </c>
      <c r="T41" s="16" t="s">
        <v>166</v>
      </c>
      <c r="U41" s="112"/>
      <c r="V41" s="16" t="s">
        <v>165</v>
      </c>
      <c r="W41" s="115"/>
      <c r="X41" s="16" t="s">
        <v>166</v>
      </c>
      <c r="Y41" s="16" t="s">
        <v>166</v>
      </c>
      <c r="Z41" s="16" t="s">
        <v>165</v>
      </c>
      <c r="AA41" s="16" t="s">
        <v>166</v>
      </c>
      <c r="AB41" s="16" t="s">
        <v>166</v>
      </c>
      <c r="AC41" s="16" t="s">
        <v>166</v>
      </c>
      <c r="AD41" s="115"/>
      <c r="AE41" s="16" t="s">
        <v>166</v>
      </c>
      <c r="AF41" s="16" t="s">
        <v>166</v>
      </c>
      <c r="AG41" s="16" t="s">
        <v>166</v>
      </c>
      <c r="AH41" s="16" t="s">
        <v>166</v>
      </c>
      <c r="AI41" s="16" t="s">
        <v>166</v>
      </c>
      <c r="AJ41" s="16" t="s">
        <v>166</v>
      </c>
      <c r="AK41" s="115"/>
      <c r="AL41" s="16" t="s">
        <v>166</v>
      </c>
      <c r="AM41" s="112"/>
      <c r="AN41" s="16" t="s">
        <v>166</v>
      </c>
      <c r="AO41" s="16" t="s">
        <v>166</v>
      </c>
      <c r="AP41" s="16" t="s">
        <v>166</v>
      </c>
      <c r="AQ41" s="16" t="s">
        <v>166</v>
      </c>
      <c r="AR41" s="16"/>
      <c r="AS41" s="16" t="s">
        <v>166</v>
      </c>
      <c r="AT41" s="16" t="s">
        <v>166</v>
      </c>
      <c r="AU41" s="16" t="s">
        <v>166</v>
      </c>
      <c r="AV41" s="16" t="s">
        <v>166</v>
      </c>
      <c r="AW41" s="16" t="s">
        <v>166</v>
      </c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5">
        <f t="shared" si="3"/>
        <v>31</v>
      </c>
      <c r="EP41" s="5">
        <f t="shared" si="4"/>
        <v>2</v>
      </c>
    </row>
    <row r="42" spans="1:146" x14ac:dyDescent="0.25">
      <c r="A42" s="6">
        <v>13</v>
      </c>
      <c r="B42" s="19"/>
      <c r="C42" s="20" t="s">
        <v>331</v>
      </c>
      <c r="D42" s="21" t="s">
        <v>254</v>
      </c>
      <c r="E42" s="10" t="s">
        <v>36</v>
      </c>
      <c r="F42" s="16" t="s">
        <v>165</v>
      </c>
      <c r="G42" s="16" t="s">
        <v>166</v>
      </c>
      <c r="H42" s="16" t="s">
        <v>166</v>
      </c>
      <c r="I42" s="115"/>
      <c r="J42" s="16" t="s">
        <v>166</v>
      </c>
      <c r="K42" s="112"/>
      <c r="L42" s="16" t="s">
        <v>166</v>
      </c>
      <c r="M42" s="16" t="s">
        <v>166</v>
      </c>
      <c r="N42" s="16" t="s">
        <v>166</v>
      </c>
      <c r="O42" s="112"/>
      <c r="P42" s="115"/>
      <c r="Q42" s="112"/>
      <c r="R42" s="16" t="s">
        <v>166</v>
      </c>
      <c r="S42" s="16" t="s">
        <v>165</v>
      </c>
      <c r="T42" s="16" t="s">
        <v>166</v>
      </c>
      <c r="U42" s="112"/>
      <c r="V42" s="16" t="s">
        <v>165</v>
      </c>
      <c r="W42" s="115"/>
      <c r="X42" s="16" t="s">
        <v>166</v>
      </c>
      <c r="Y42" s="16" t="s">
        <v>166</v>
      </c>
      <c r="Z42" s="16" t="s">
        <v>166</v>
      </c>
      <c r="AA42" s="16" t="s">
        <v>166</v>
      </c>
      <c r="AB42" s="16" t="s">
        <v>166</v>
      </c>
      <c r="AC42" s="16" t="s">
        <v>166</v>
      </c>
      <c r="AD42" s="115"/>
      <c r="AE42" s="16" t="s">
        <v>166</v>
      </c>
      <c r="AF42" s="16" t="s">
        <v>166</v>
      </c>
      <c r="AG42" s="16" t="s">
        <v>166</v>
      </c>
      <c r="AH42" s="16" t="s">
        <v>166</v>
      </c>
      <c r="AI42" s="16" t="s">
        <v>166</v>
      </c>
      <c r="AJ42" s="16" t="s">
        <v>166</v>
      </c>
      <c r="AK42" s="115"/>
      <c r="AL42" s="16" t="s">
        <v>166</v>
      </c>
      <c r="AM42" s="112"/>
      <c r="AN42" s="16" t="s">
        <v>166</v>
      </c>
      <c r="AO42" s="16" t="s">
        <v>166</v>
      </c>
      <c r="AP42" s="16" t="s">
        <v>166</v>
      </c>
      <c r="AQ42" s="16" t="s">
        <v>166</v>
      </c>
      <c r="AR42" s="16"/>
      <c r="AS42" s="16" t="s">
        <v>166</v>
      </c>
      <c r="AT42" s="16" t="s">
        <v>166</v>
      </c>
      <c r="AU42" s="16" t="s">
        <v>165</v>
      </c>
      <c r="AV42" s="16" t="s">
        <v>166</v>
      </c>
      <c r="AW42" s="16" t="s">
        <v>166</v>
      </c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5">
        <f t="shared" si="3"/>
        <v>29</v>
      </c>
      <c r="EP42" s="5">
        <f t="shared" si="4"/>
        <v>4</v>
      </c>
    </row>
    <row r="43" spans="1:146" x14ac:dyDescent="0.25">
      <c r="A43" s="17">
        <v>14</v>
      </c>
      <c r="B43" s="19"/>
      <c r="C43" s="20" t="s">
        <v>238</v>
      </c>
      <c r="D43" s="21" t="s">
        <v>333</v>
      </c>
      <c r="E43" s="10" t="s">
        <v>36</v>
      </c>
      <c r="F43" s="16" t="s">
        <v>166</v>
      </c>
      <c r="G43" s="16" t="s">
        <v>166</v>
      </c>
      <c r="H43" s="16" t="s">
        <v>166</v>
      </c>
      <c r="I43" s="115"/>
      <c r="J43" s="16" t="s">
        <v>166</v>
      </c>
      <c r="K43" s="112"/>
      <c r="L43" s="16" t="s">
        <v>166</v>
      </c>
      <c r="M43" s="16" t="s">
        <v>166</v>
      </c>
      <c r="N43" s="16" t="s">
        <v>166</v>
      </c>
      <c r="O43" s="112"/>
      <c r="P43" s="115"/>
      <c r="Q43" s="112"/>
      <c r="R43" s="16" t="s">
        <v>166</v>
      </c>
      <c r="S43" s="16" t="s">
        <v>165</v>
      </c>
      <c r="T43" s="16" t="s">
        <v>166</v>
      </c>
      <c r="U43" s="112"/>
      <c r="V43" s="16" t="s">
        <v>165</v>
      </c>
      <c r="W43" s="115"/>
      <c r="X43" s="16" t="s">
        <v>166</v>
      </c>
      <c r="Y43" s="16" t="s">
        <v>166</v>
      </c>
      <c r="Z43" s="16" t="s">
        <v>166</v>
      </c>
      <c r="AA43" s="16" t="s">
        <v>166</v>
      </c>
      <c r="AB43" s="16" t="s">
        <v>166</v>
      </c>
      <c r="AC43" s="16" t="s">
        <v>166</v>
      </c>
      <c r="AD43" s="115"/>
      <c r="AE43" s="16" t="s">
        <v>166</v>
      </c>
      <c r="AF43" s="16" t="s">
        <v>166</v>
      </c>
      <c r="AG43" s="16" t="s">
        <v>165</v>
      </c>
      <c r="AH43" s="16" t="s">
        <v>166</v>
      </c>
      <c r="AI43" s="16" t="s">
        <v>166</v>
      </c>
      <c r="AJ43" s="16" t="s">
        <v>166</v>
      </c>
      <c r="AK43" s="115"/>
      <c r="AL43" s="16" t="s">
        <v>166</v>
      </c>
      <c r="AM43" s="112"/>
      <c r="AN43" s="16" t="s">
        <v>166</v>
      </c>
      <c r="AO43" s="16" t="s">
        <v>166</v>
      </c>
      <c r="AP43" s="16" t="s">
        <v>166</v>
      </c>
      <c r="AQ43" s="16" t="s">
        <v>166</v>
      </c>
      <c r="AR43" s="16"/>
      <c r="AS43" s="16" t="s">
        <v>166</v>
      </c>
      <c r="AT43" s="16" t="s">
        <v>166</v>
      </c>
      <c r="AU43" s="16" t="s">
        <v>166</v>
      </c>
      <c r="AV43" s="16" t="s">
        <v>165</v>
      </c>
      <c r="AW43" s="16" t="s">
        <v>166</v>
      </c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5">
        <f t="shared" si="3"/>
        <v>29</v>
      </c>
      <c r="EP43" s="5">
        <f t="shared" si="4"/>
        <v>4</v>
      </c>
    </row>
    <row r="44" spans="1:146" x14ac:dyDescent="0.25">
      <c r="A44" s="6">
        <v>15</v>
      </c>
      <c r="B44" s="19"/>
      <c r="C44" s="20" t="s">
        <v>334</v>
      </c>
      <c r="D44" s="21" t="s">
        <v>335</v>
      </c>
      <c r="E44" s="10" t="s">
        <v>36</v>
      </c>
      <c r="F44" s="16" t="s">
        <v>165</v>
      </c>
      <c r="G44" s="16" t="s">
        <v>166</v>
      </c>
      <c r="H44" s="16" t="s">
        <v>165</v>
      </c>
      <c r="I44" s="115"/>
      <c r="J44" s="16" t="s">
        <v>166</v>
      </c>
      <c r="K44" s="112"/>
      <c r="L44" s="16" t="s">
        <v>166</v>
      </c>
      <c r="M44" s="16" t="s">
        <v>166</v>
      </c>
      <c r="N44" s="16" t="s">
        <v>166</v>
      </c>
      <c r="O44" s="112"/>
      <c r="P44" s="115"/>
      <c r="Q44" s="112"/>
      <c r="R44" s="16" t="s">
        <v>166</v>
      </c>
      <c r="S44" s="16" t="s">
        <v>165</v>
      </c>
      <c r="T44" s="16" t="s">
        <v>165</v>
      </c>
      <c r="U44" s="112"/>
      <c r="V44" s="16" t="s">
        <v>165</v>
      </c>
      <c r="W44" s="115"/>
      <c r="X44" s="16" t="s">
        <v>166</v>
      </c>
      <c r="Y44" s="16" t="s">
        <v>166</v>
      </c>
      <c r="Z44" s="16" t="s">
        <v>166</v>
      </c>
      <c r="AA44" s="16" t="s">
        <v>166</v>
      </c>
      <c r="AB44" s="16" t="s">
        <v>166</v>
      </c>
      <c r="AC44" s="16" t="s">
        <v>166</v>
      </c>
      <c r="AD44" s="115"/>
      <c r="AE44" s="16" t="s">
        <v>166</v>
      </c>
      <c r="AF44" s="16" t="s">
        <v>166</v>
      </c>
      <c r="AG44" s="16" t="s">
        <v>166</v>
      </c>
      <c r="AH44" s="16" t="s">
        <v>166</v>
      </c>
      <c r="AI44" s="16" t="s">
        <v>166</v>
      </c>
      <c r="AJ44" s="16" t="s">
        <v>166</v>
      </c>
      <c r="AK44" s="115"/>
      <c r="AL44" s="16" t="s">
        <v>166</v>
      </c>
      <c r="AM44" s="112"/>
      <c r="AN44" s="16" t="s">
        <v>166</v>
      </c>
      <c r="AO44" s="16" t="s">
        <v>166</v>
      </c>
      <c r="AP44" s="16" t="s">
        <v>166</v>
      </c>
      <c r="AQ44" s="16" t="s">
        <v>166</v>
      </c>
      <c r="AR44" s="16"/>
      <c r="AS44" s="16" t="s">
        <v>166</v>
      </c>
      <c r="AT44" s="16" t="s">
        <v>166</v>
      </c>
      <c r="AU44" s="16" t="s">
        <v>166</v>
      </c>
      <c r="AV44" s="16" t="s">
        <v>165</v>
      </c>
      <c r="AW44" s="16" t="s">
        <v>166</v>
      </c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5">
        <f t="shared" si="3"/>
        <v>27</v>
      </c>
      <c r="EP44" s="5">
        <f t="shared" si="4"/>
        <v>6</v>
      </c>
    </row>
    <row r="45" spans="1:146" x14ac:dyDescent="0.25">
      <c r="A45" s="17">
        <v>16</v>
      </c>
      <c r="B45" s="19"/>
      <c r="C45" s="20" t="s">
        <v>336</v>
      </c>
      <c r="D45" s="21" t="s">
        <v>337</v>
      </c>
      <c r="E45" s="10" t="s">
        <v>36</v>
      </c>
      <c r="F45" s="16" t="s">
        <v>165</v>
      </c>
      <c r="G45" s="16" t="s">
        <v>165</v>
      </c>
      <c r="H45" s="16" t="s">
        <v>166</v>
      </c>
      <c r="I45" s="115"/>
      <c r="J45" s="16" t="s">
        <v>166</v>
      </c>
      <c r="K45" s="112"/>
      <c r="L45" s="16" t="s">
        <v>166</v>
      </c>
      <c r="M45" s="16" t="s">
        <v>166</v>
      </c>
      <c r="N45" s="16" t="s">
        <v>166</v>
      </c>
      <c r="O45" s="112"/>
      <c r="P45" s="115"/>
      <c r="Q45" s="112"/>
      <c r="R45" s="16" t="s">
        <v>165</v>
      </c>
      <c r="S45" s="16" t="s">
        <v>165</v>
      </c>
      <c r="T45" s="16" t="s">
        <v>165</v>
      </c>
      <c r="U45" s="112"/>
      <c r="V45" s="16" t="s">
        <v>165</v>
      </c>
      <c r="W45" s="115"/>
      <c r="X45" s="16" t="s">
        <v>165</v>
      </c>
      <c r="Y45" s="16" t="s">
        <v>166</v>
      </c>
      <c r="Z45" s="16" t="s">
        <v>166</v>
      </c>
      <c r="AA45" s="16" t="s">
        <v>166</v>
      </c>
      <c r="AB45" s="16" t="s">
        <v>166</v>
      </c>
      <c r="AC45" s="16" t="s">
        <v>166</v>
      </c>
      <c r="AD45" s="115"/>
      <c r="AE45" s="16" t="s">
        <v>166</v>
      </c>
      <c r="AF45" s="16" t="s">
        <v>166</v>
      </c>
      <c r="AG45" s="16" t="s">
        <v>166</v>
      </c>
      <c r="AH45" s="16" t="s">
        <v>166</v>
      </c>
      <c r="AI45" s="16" t="s">
        <v>166</v>
      </c>
      <c r="AJ45" s="16" t="s">
        <v>166</v>
      </c>
      <c r="AK45" s="115"/>
      <c r="AL45" s="16" t="s">
        <v>166</v>
      </c>
      <c r="AM45" s="112"/>
      <c r="AN45" s="16" t="s">
        <v>166</v>
      </c>
      <c r="AO45" s="16" t="s">
        <v>166</v>
      </c>
      <c r="AP45" s="16" t="s">
        <v>166</v>
      </c>
      <c r="AQ45" s="16" t="s">
        <v>166</v>
      </c>
      <c r="AR45" s="16"/>
      <c r="AS45" s="16" t="s">
        <v>166</v>
      </c>
      <c r="AT45" s="16" t="s">
        <v>166</v>
      </c>
      <c r="AU45" s="16" t="s">
        <v>166</v>
      </c>
      <c r="AV45" s="16" t="s">
        <v>166</v>
      </c>
      <c r="AW45" s="16" t="s">
        <v>369</v>
      </c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5">
        <f t="shared" si="3"/>
        <v>25</v>
      </c>
      <c r="EP45" s="5">
        <f t="shared" si="4"/>
        <v>7</v>
      </c>
    </row>
    <row r="46" spans="1:146" x14ac:dyDescent="0.25">
      <c r="A46" s="6">
        <v>17</v>
      </c>
      <c r="B46" s="19"/>
      <c r="C46" s="20" t="s">
        <v>338</v>
      </c>
      <c r="D46" s="21" t="s">
        <v>275</v>
      </c>
      <c r="E46" s="10" t="s">
        <v>36</v>
      </c>
      <c r="F46" s="16" t="s">
        <v>166</v>
      </c>
      <c r="G46" s="16" t="s">
        <v>166</v>
      </c>
      <c r="H46" s="16" t="s">
        <v>166</v>
      </c>
      <c r="I46" s="115"/>
      <c r="J46" s="16" t="s">
        <v>166</v>
      </c>
      <c r="K46" s="112"/>
      <c r="L46" s="16" t="s">
        <v>166</v>
      </c>
      <c r="M46" s="16" t="s">
        <v>166</v>
      </c>
      <c r="N46" s="16" t="s">
        <v>165</v>
      </c>
      <c r="O46" s="112"/>
      <c r="P46" s="115"/>
      <c r="Q46" s="112"/>
      <c r="R46" s="16" t="s">
        <v>165</v>
      </c>
      <c r="S46" s="16" t="s">
        <v>165</v>
      </c>
      <c r="T46" s="16" t="s">
        <v>166</v>
      </c>
      <c r="U46" s="112"/>
      <c r="V46" s="16" t="s">
        <v>165</v>
      </c>
      <c r="W46" s="115"/>
      <c r="X46" s="16" t="s">
        <v>166</v>
      </c>
      <c r="Y46" s="16" t="s">
        <v>166</v>
      </c>
      <c r="Z46" s="16" t="s">
        <v>166</v>
      </c>
      <c r="AA46" s="16" t="s">
        <v>166</v>
      </c>
      <c r="AB46" s="16" t="s">
        <v>165</v>
      </c>
      <c r="AC46" s="16" t="s">
        <v>165</v>
      </c>
      <c r="AD46" s="115"/>
      <c r="AE46" s="16" t="s">
        <v>166</v>
      </c>
      <c r="AF46" s="16" t="s">
        <v>166</v>
      </c>
      <c r="AG46" s="16" t="s">
        <v>166</v>
      </c>
      <c r="AH46" s="16" t="s">
        <v>165</v>
      </c>
      <c r="AI46" s="16" t="s">
        <v>166</v>
      </c>
      <c r="AJ46" s="16" t="s">
        <v>166</v>
      </c>
      <c r="AK46" s="115"/>
      <c r="AL46" s="16" t="s">
        <v>166</v>
      </c>
      <c r="AM46" s="112"/>
      <c r="AN46" s="16" t="s">
        <v>166</v>
      </c>
      <c r="AO46" s="16" t="s">
        <v>166</v>
      </c>
      <c r="AP46" s="16" t="s">
        <v>166</v>
      </c>
      <c r="AQ46" s="16" t="s">
        <v>166</v>
      </c>
      <c r="AR46" s="16"/>
      <c r="AS46" s="16" t="s">
        <v>166</v>
      </c>
      <c r="AT46" s="16" t="s">
        <v>166</v>
      </c>
      <c r="AU46" s="16" t="s">
        <v>166</v>
      </c>
      <c r="AV46" s="16" t="s">
        <v>166</v>
      </c>
      <c r="AW46" s="16" t="s">
        <v>166</v>
      </c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5">
        <f t="shared" ref="EO46:EO61" si="5">COUNTIF(F46:EN46,"P")</f>
        <v>26</v>
      </c>
      <c r="EP46" s="5">
        <f t="shared" ref="EP46:EP61" si="6">COUNTIF(F46:EN46,"A")</f>
        <v>7</v>
      </c>
    </row>
    <row r="47" spans="1:146" x14ac:dyDescent="0.25">
      <c r="A47" s="17">
        <v>18</v>
      </c>
      <c r="B47" s="19"/>
      <c r="C47" s="20" t="s">
        <v>339</v>
      </c>
      <c r="D47" s="21" t="s">
        <v>333</v>
      </c>
      <c r="E47" s="10" t="s">
        <v>36</v>
      </c>
      <c r="F47" s="16" t="s">
        <v>166</v>
      </c>
      <c r="G47" s="16" t="s">
        <v>166</v>
      </c>
      <c r="H47" s="16" t="s">
        <v>166</v>
      </c>
      <c r="I47" s="115"/>
      <c r="J47" s="16" t="s">
        <v>166</v>
      </c>
      <c r="K47" s="112"/>
      <c r="L47" s="16" t="s">
        <v>166</v>
      </c>
      <c r="M47" s="16" t="s">
        <v>166</v>
      </c>
      <c r="N47" s="16" t="s">
        <v>166</v>
      </c>
      <c r="O47" s="112"/>
      <c r="P47" s="115"/>
      <c r="Q47" s="112"/>
      <c r="R47" s="16" t="s">
        <v>166</v>
      </c>
      <c r="S47" s="16" t="s">
        <v>165</v>
      </c>
      <c r="T47" s="16" t="s">
        <v>166</v>
      </c>
      <c r="U47" s="112"/>
      <c r="V47" s="16" t="s">
        <v>165</v>
      </c>
      <c r="W47" s="115"/>
      <c r="X47" s="16" t="s">
        <v>166</v>
      </c>
      <c r="Y47" s="16" t="s">
        <v>166</v>
      </c>
      <c r="Z47" s="16" t="s">
        <v>166</v>
      </c>
      <c r="AA47" s="16" t="s">
        <v>166</v>
      </c>
      <c r="AB47" s="16" t="s">
        <v>166</v>
      </c>
      <c r="AC47" s="16" t="s">
        <v>166</v>
      </c>
      <c r="AD47" s="115"/>
      <c r="AE47" s="16" t="s">
        <v>166</v>
      </c>
      <c r="AF47" s="16" t="s">
        <v>166</v>
      </c>
      <c r="AG47" s="16" t="s">
        <v>165</v>
      </c>
      <c r="AH47" s="16" t="s">
        <v>166</v>
      </c>
      <c r="AI47" s="16" t="s">
        <v>166</v>
      </c>
      <c r="AJ47" s="16" t="s">
        <v>166</v>
      </c>
      <c r="AK47" s="115"/>
      <c r="AL47" s="16" t="s">
        <v>166</v>
      </c>
      <c r="AM47" s="112"/>
      <c r="AN47" s="16" t="s">
        <v>166</v>
      </c>
      <c r="AO47" s="16" t="s">
        <v>166</v>
      </c>
      <c r="AP47" s="16" t="s">
        <v>166</v>
      </c>
      <c r="AQ47" s="16" t="s">
        <v>166</v>
      </c>
      <c r="AR47" s="16"/>
      <c r="AS47" s="16" t="s">
        <v>166</v>
      </c>
      <c r="AT47" s="16" t="s">
        <v>166</v>
      </c>
      <c r="AU47" s="16" t="s">
        <v>166</v>
      </c>
      <c r="AV47" s="16" t="s">
        <v>166</v>
      </c>
      <c r="AW47" s="16" t="s">
        <v>166</v>
      </c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5">
        <f t="shared" si="5"/>
        <v>30</v>
      </c>
      <c r="EP47" s="5">
        <f t="shared" si="6"/>
        <v>3</v>
      </c>
    </row>
    <row r="48" spans="1:146" x14ac:dyDescent="0.25">
      <c r="A48" s="6">
        <v>19</v>
      </c>
      <c r="B48" s="19"/>
      <c r="C48" s="20" t="s">
        <v>340</v>
      </c>
      <c r="D48" s="21" t="s">
        <v>341</v>
      </c>
      <c r="E48" s="10" t="s">
        <v>36</v>
      </c>
      <c r="F48" s="16" t="s">
        <v>166</v>
      </c>
      <c r="G48" s="16" t="s">
        <v>166</v>
      </c>
      <c r="H48" s="16" t="s">
        <v>166</v>
      </c>
      <c r="I48" s="115"/>
      <c r="J48" s="16" t="s">
        <v>166</v>
      </c>
      <c r="K48" s="112"/>
      <c r="L48" s="16" t="s">
        <v>166</v>
      </c>
      <c r="M48" s="16" t="s">
        <v>166</v>
      </c>
      <c r="N48" s="16" t="s">
        <v>166</v>
      </c>
      <c r="O48" s="112"/>
      <c r="P48" s="115"/>
      <c r="Q48" s="112"/>
      <c r="R48" s="16" t="s">
        <v>165</v>
      </c>
      <c r="S48" s="16" t="s">
        <v>165</v>
      </c>
      <c r="T48" s="16" t="s">
        <v>166</v>
      </c>
      <c r="U48" s="112"/>
      <c r="V48" s="16" t="s">
        <v>165</v>
      </c>
      <c r="W48" s="115"/>
      <c r="X48" s="16" t="s">
        <v>166</v>
      </c>
      <c r="Y48" s="16" t="s">
        <v>166</v>
      </c>
      <c r="Z48" s="16" t="s">
        <v>166</v>
      </c>
      <c r="AA48" s="16" t="s">
        <v>166</v>
      </c>
      <c r="AB48" s="16" t="s">
        <v>166</v>
      </c>
      <c r="AC48" s="16" t="s">
        <v>166</v>
      </c>
      <c r="AD48" s="115"/>
      <c r="AE48" s="16" t="s">
        <v>166</v>
      </c>
      <c r="AF48" s="16" t="s">
        <v>166</v>
      </c>
      <c r="AG48" s="16" t="s">
        <v>166</v>
      </c>
      <c r="AH48" s="16" t="s">
        <v>166</v>
      </c>
      <c r="AI48" s="16" t="s">
        <v>166</v>
      </c>
      <c r="AJ48" s="16" t="s">
        <v>166</v>
      </c>
      <c r="AK48" s="115"/>
      <c r="AL48" s="16" t="s">
        <v>166</v>
      </c>
      <c r="AM48" s="112"/>
      <c r="AN48" s="16" t="s">
        <v>166</v>
      </c>
      <c r="AO48" s="16" t="s">
        <v>166</v>
      </c>
      <c r="AP48" s="16" t="s">
        <v>166</v>
      </c>
      <c r="AQ48" s="16" t="s">
        <v>166</v>
      </c>
      <c r="AR48" s="16"/>
      <c r="AS48" s="16" t="s">
        <v>166</v>
      </c>
      <c r="AT48" s="16" t="s">
        <v>166</v>
      </c>
      <c r="AU48" s="16" t="s">
        <v>166</v>
      </c>
      <c r="AV48" s="16" t="s">
        <v>166</v>
      </c>
      <c r="AW48" s="16" t="s">
        <v>166</v>
      </c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5">
        <f t="shared" si="5"/>
        <v>30</v>
      </c>
      <c r="EP48" s="5">
        <f t="shared" si="6"/>
        <v>3</v>
      </c>
    </row>
    <row r="49" spans="1:146" x14ac:dyDescent="0.25">
      <c r="A49" s="17">
        <v>20</v>
      </c>
      <c r="B49" s="19"/>
      <c r="C49" s="20" t="s">
        <v>342</v>
      </c>
      <c r="D49" s="21" t="s">
        <v>343</v>
      </c>
      <c r="E49" s="10" t="s">
        <v>36</v>
      </c>
      <c r="F49" s="16" t="s">
        <v>166</v>
      </c>
      <c r="G49" s="16" t="s">
        <v>166</v>
      </c>
      <c r="H49" s="16" t="s">
        <v>166</v>
      </c>
      <c r="I49" s="115"/>
      <c r="J49" s="16" t="s">
        <v>166</v>
      </c>
      <c r="K49" s="112"/>
      <c r="L49" s="16" t="s">
        <v>166</v>
      </c>
      <c r="M49" s="16" t="s">
        <v>166</v>
      </c>
      <c r="N49" s="16" t="s">
        <v>166</v>
      </c>
      <c r="O49" s="112"/>
      <c r="P49" s="115"/>
      <c r="Q49" s="112"/>
      <c r="R49" s="16" t="s">
        <v>166</v>
      </c>
      <c r="S49" s="16" t="s">
        <v>165</v>
      </c>
      <c r="T49" s="16" t="s">
        <v>165</v>
      </c>
      <c r="U49" s="112"/>
      <c r="V49" s="16" t="s">
        <v>165</v>
      </c>
      <c r="W49" s="115"/>
      <c r="X49" s="16" t="s">
        <v>166</v>
      </c>
      <c r="Y49" s="16" t="s">
        <v>166</v>
      </c>
      <c r="Z49" s="16" t="s">
        <v>166</v>
      </c>
      <c r="AA49" s="16" t="s">
        <v>166</v>
      </c>
      <c r="AB49" s="16" t="s">
        <v>166</v>
      </c>
      <c r="AC49" s="16" t="s">
        <v>166</v>
      </c>
      <c r="AD49" s="115"/>
      <c r="AE49" s="16" t="s">
        <v>166</v>
      </c>
      <c r="AF49" s="16" t="s">
        <v>166</v>
      </c>
      <c r="AG49" s="16" t="s">
        <v>166</v>
      </c>
      <c r="AH49" s="16" t="s">
        <v>166</v>
      </c>
      <c r="AI49" s="16" t="s">
        <v>166</v>
      </c>
      <c r="AJ49" s="16" t="s">
        <v>166</v>
      </c>
      <c r="AK49" s="115"/>
      <c r="AL49" s="16" t="s">
        <v>166</v>
      </c>
      <c r="AM49" s="112"/>
      <c r="AN49" s="16" t="s">
        <v>166</v>
      </c>
      <c r="AO49" s="16" t="s">
        <v>166</v>
      </c>
      <c r="AP49" s="16" t="s">
        <v>166</v>
      </c>
      <c r="AQ49" s="16" t="s">
        <v>166</v>
      </c>
      <c r="AR49" s="16"/>
      <c r="AS49" s="16" t="s">
        <v>166</v>
      </c>
      <c r="AT49" s="16" t="s">
        <v>166</v>
      </c>
      <c r="AU49" s="16" t="s">
        <v>166</v>
      </c>
      <c r="AV49" s="16" t="s">
        <v>166</v>
      </c>
      <c r="AW49" s="16" t="s">
        <v>166</v>
      </c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5">
        <f t="shared" si="5"/>
        <v>30</v>
      </c>
      <c r="EP49" s="5">
        <f t="shared" si="6"/>
        <v>3</v>
      </c>
    </row>
    <row r="50" spans="1:146" x14ac:dyDescent="0.25">
      <c r="A50" s="6">
        <v>21</v>
      </c>
      <c r="B50" s="19"/>
      <c r="C50" s="20" t="s">
        <v>344</v>
      </c>
      <c r="D50" s="21" t="s">
        <v>345</v>
      </c>
      <c r="E50" s="10" t="s">
        <v>36</v>
      </c>
      <c r="F50" s="16" t="s">
        <v>166</v>
      </c>
      <c r="G50" s="16" t="s">
        <v>166</v>
      </c>
      <c r="H50" s="16" t="s">
        <v>166</v>
      </c>
      <c r="I50" s="115"/>
      <c r="J50" s="16" t="s">
        <v>166</v>
      </c>
      <c r="K50" s="112"/>
      <c r="L50" s="16" t="s">
        <v>166</v>
      </c>
      <c r="M50" s="16" t="s">
        <v>166</v>
      </c>
      <c r="N50" s="16" t="s">
        <v>166</v>
      </c>
      <c r="O50" s="112"/>
      <c r="P50" s="115"/>
      <c r="Q50" s="112"/>
      <c r="R50" s="16" t="s">
        <v>165</v>
      </c>
      <c r="S50" s="16" t="s">
        <v>165</v>
      </c>
      <c r="T50" s="16" t="s">
        <v>165</v>
      </c>
      <c r="U50" s="112"/>
      <c r="V50" s="16" t="s">
        <v>165</v>
      </c>
      <c r="W50" s="115"/>
      <c r="X50" s="16" t="s">
        <v>166</v>
      </c>
      <c r="Y50" s="16" t="s">
        <v>166</v>
      </c>
      <c r="Z50" s="16" t="s">
        <v>166</v>
      </c>
      <c r="AA50" s="16" t="s">
        <v>166</v>
      </c>
      <c r="AB50" s="16" t="s">
        <v>166</v>
      </c>
      <c r="AC50" s="16" t="s">
        <v>166</v>
      </c>
      <c r="AD50" s="115"/>
      <c r="AE50" s="16" t="s">
        <v>166</v>
      </c>
      <c r="AF50" s="16" t="s">
        <v>166</v>
      </c>
      <c r="AG50" s="16" t="s">
        <v>166</v>
      </c>
      <c r="AH50" s="16" t="s">
        <v>166</v>
      </c>
      <c r="AI50" s="16" t="s">
        <v>166</v>
      </c>
      <c r="AJ50" s="16" t="s">
        <v>166</v>
      </c>
      <c r="AK50" s="115"/>
      <c r="AL50" s="16" t="s">
        <v>166</v>
      </c>
      <c r="AM50" s="112"/>
      <c r="AN50" s="16" t="s">
        <v>166</v>
      </c>
      <c r="AO50" s="16" t="s">
        <v>166</v>
      </c>
      <c r="AP50" s="16" t="s">
        <v>166</v>
      </c>
      <c r="AQ50" s="16" t="s">
        <v>166</v>
      </c>
      <c r="AR50" s="16"/>
      <c r="AS50" s="16" t="s">
        <v>166</v>
      </c>
      <c r="AT50" s="16" t="s">
        <v>166</v>
      </c>
      <c r="AU50" s="16" t="s">
        <v>166</v>
      </c>
      <c r="AV50" s="16" t="s">
        <v>166</v>
      </c>
      <c r="AW50" s="16" t="s">
        <v>166</v>
      </c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5">
        <f t="shared" si="5"/>
        <v>29</v>
      </c>
      <c r="EP50" s="5">
        <f t="shared" si="6"/>
        <v>4</v>
      </c>
    </row>
    <row r="51" spans="1:146" x14ac:dyDescent="0.25">
      <c r="A51" s="17">
        <v>22</v>
      </c>
      <c r="B51" s="19"/>
      <c r="C51" s="20" t="s">
        <v>346</v>
      </c>
      <c r="D51" s="21" t="s">
        <v>347</v>
      </c>
      <c r="E51" s="10" t="s">
        <v>36</v>
      </c>
      <c r="F51" s="16" t="s">
        <v>166</v>
      </c>
      <c r="G51" s="16" t="s">
        <v>166</v>
      </c>
      <c r="H51" s="16" t="s">
        <v>166</v>
      </c>
      <c r="I51" s="115"/>
      <c r="J51" s="16" t="s">
        <v>166</v>
      </c>
      <c r="K51" s="112"/>
      <c r="L51" s="16" t="s">
        <v>166</v>
      </c>
      <c r="M51" s="16" t="s">
        <v>166</v>
      </c>
      <c r="N51" s="16" t="s">
        <v>165</v>
      </c>
      <c r="O51" s="112"/>
      <c r="P51" s="115"/>
      <c r="Q51" s="112"/>
      <c r="R51" s="16" t="s">
        <v>166</v>
      </c>
      <c r="S51" s="16" t="s">
        <v>166</v>
      </c>
      <c r="T51" s="16" t="s">
        <v>166</v>
      </c>
      <c r="U51" s="112"/>
      <c r="V51" s="16" t="s">
        <v>165</v>
      </c>
      <c r="W51" s="115"/>
      <c r="X51" s="16" t="s">
        <v>166</v>
      </c>
      <c r="Y51" s="16" t="s">
        <v>166</v>
      </c>
      <c r="Z51" s="16" t="s">
        <v>166</v>
      </c>
      <c r="AA51" s="16" t="s">
        <v>166</v>
      </c>
      <c r="AB51" s="16" t="s">
        <v>166</v>
      </c>
      <c r="AC51" s="16" t="s">
        <v>166</v>
      </c>
      <c r="AD51" s="115"/>
      <c r="AE51" s="16" t="s">
        <v>166</v>
      </c>
      <c r="AF51" s="16" t="s">
        <v>166</v>
      </c>
      <c r="AG51" s="16" t="s">
        <v>166</v>
      </c>
      <c r="AH51" s="16" t="s">
        <v>166</v>
      </c>
      <c r="AI51" s="16" t="s">
        <v>166</v>
      </c>
      <c r="AJ51" s="16" t="s">
        <v>166</v>
      </c>
      <c r="AK51" s="115"/>
      <c r="AL51" s="16" t="s">
        <v>166</v>
      </c>
      <c r="AM51" s="112"/>
      <c r="AN51" s="16" t="s">
        <v>166</v>
      </c>
      <c r="AO51" s="16" t="s">
        <v>166</v>
      </c>
      <c r="AP51" s="16" t="s">
        <v>166</v>
      </c>
      <c r="AQ51" s="16" t="s">
        <v>166</v>
      </c>
      <c r="AR51" s="16"/>
      <c r="AS51" s="16" t="s">
        <v>166</v>
      </c>
      <c r="AT51" s="16" t="s">
        <v>166</v>
      </c>
      <c r="AU51" s="16" t="s">
        <v>166</v>
      </c>
      <c r="AV51" s="16" t="s">
        <v>166</v>
      </c>
      <c r="AW51" s="16" t="s">
        <v>166</v>
      </c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5">
        <f t="shared" si="5"/>
        <v>31</v>
      </c>
      <c r="EP51" s="5">
        <f t="shared" si="6"/>
        <v>2</v>
      </c>
    </row>
    <row r="52" spans="1:146" x14ac:dyDescent="0.25">
      <c r="A52" s="6">
        <v>23</v>
      </c>
      <c r="B52" s="19"/>
      <c r="C52" s="20" t="s">
        <v>348</v>
      </c>
      <c r="D52" s="21" t="s">
        <v>349</v>
      </c>
      <c r="E52" s="10" t="s">
        <v>36</v>
      </c>
      <c r="F52" s="16" t="s">
        <v>165</v>
      </c>
      <c r="G52" s="16" t="s">
        <v>166</v>
      </c>
      <c r="H52" s="16" t="s">
        <v>166</v>
      </c>
      <c r="I52" s="115"/>
      <c r="J52" s="16" t="s">
        <v>166</v>
      </c>
      <c r="K52" s="112"/>
      <c r="L52" s="16" t="s">
        <v>166</v>
      </c>
      <c r="M52" s="16" t="s">
        <v>166</v>
      </c>
      <c r="N52" s="16" t="s">
        <v>166</v>
      </c>
      <c r="O52" s="112"/>
      <c r="P52" s="115"/>
      <c r="Q52" s="112"/>
      <c r="R52" s="16" t="s">
        <v>166</v>
      </c>
      <c r="S52" s="16" t="s">
        <v>165</v>
      </c>
      <c r="T52" s="16" t="s">
        <v>166</v>
      </c>
      <c r="U52" s="112"/>
      <c r="V52" s="16" t="s">
        <v>165</v>
      </c>
      <c r="W52" s="115"/>
      <c r="X52" s="16" t="s">
        <v>166</v>
      </c>
      <c r="Y52" s="16" t="s">
        <v>166</v>
      </c>
      <c r="Z52" s="16" t="s">
        <v>166</v>
      </c>
      <c r="AA52" s="16" t="s">
        <v>166</v>
      </c>
      <c r="AB52" s="16" t="s">
        <v>165</v>
      </c>
      <c r="AC52" s="16" t="s">
        <v>166</v>
      </c>
      <c r="AD52" s="115"/>
      <c r="AE52" s="16" t="s">
        <v>166</v>
      </c>
      <c r="AF52" s="16" t="s">
        <v>166</v>
      </c>
      <c r="AG52" s="16" t="s">
        <v>166</v>
      </c>
      <c r="AH52" s="16" t="s">
        <v>166</v>
      </c>
      <c r="AI52" s="16" t="s">
        <v>166</v>
      </c>
      <c r="AJ52" s="16" t="s">
        <v>166</v>
      </c>
      <c r="AK52" s="115"/>
      <c r="AL52" s="16" t="s">
        <v>166</v>
      </c>
      <c r="AM52" s="112"/>
      <c r="AN52" s="16" t="s">
        <v>166</v>
      </c>
      <c r="AO52" s="16" t="s">
        <v>166</v>
      </c>
      <c r="AP52" s="16" t="s">
        <v>166</v>
      </c>
      <c r="AQ52" s="16" t="s">
        <v>166</v>
      </c>
      <c r="AR52" s="16"/>
      <c r="AS52" s="16" t="s">
        <v>166</v>
      </c>
      <c r="AT52" s="16" t="s">
        <v>166</v>
      </c>
      <c r="AU52" s="16" t="s">
        <v>166</v>
      </c>
      <c r="AV52" s="16" t="s">
        <v>166</v>
      </c>
      <c r="AW52" s="16" t="s">
        <v>166</v>
      </c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5">
        <f t="shared" si="5"/>
        <v>29</v>
      </c>
      <c r="EP52" s="5">
        <f t="shared" si="6"/>
        <v>4</v>
      </c>
    </row>
    <row r="53" spans="1:146" x14ac:dyDescent="0.25">
      <c r="A53" s="17">
        <v>24</v>
      </c>
      <c r="B53" s="19"/>
      <c r="C53" s="20" t="s">
        <v>350</v>
      </c>
      <c r="D53" s="21" t="s">
        <v>351</v>
      </c>
      <c r="E53" s="10" t="s">
        <v>36</v>
      </c>
      <c r="F53" s="16" t="s">
        <v>165</v>
      </c>
      <c r="G53" s="16" t="s">
        <v>166</v>
      </c>
      <c r="H53" s="16" t="s">
        <v>166</v>
      </c>
      <c r="I53" s="115"/>
      <c r="J53" s="16" t="s">
        <v>166</v>
      </c>
      <c r="K53" s="112"/>
      <c r="L53" s="16" t="s">
        <v>166</v>
      </c>
      <c r="M53" s="16" t="s">
        <v>166</v>
      </c>
      <c r="N53" s="16" t="s">
        <v>166</v>
      </c>
      <c r="O53" s="112"/>
      <c r="P53" s="115"/>
      <c r="Q53" s="112"/>
      <c r="R53" s="16" t="s">
        <v>166</v>
      </c>
      <c r="S53" s="16" t="s">
        <v>166</v>
      </c>
      <c r="T53" s="16" t="s">
        <v>166</v>
      </c>
      <c r="U53" s="112"/>
      <c r="V53" s="16" t="s">
        <v>165</v>
      </c>
      <c r="W53" s="115"/>
      <c r="X53" s="16" t="s">
        <v>166</v>
      </c>
      <c r="Y53" s="16" t="s">
        <v>166</v>
      </c>
      <c r="Z53" s="16" t="s">
        <v>166</v>
      </c>
      <c r="AA53" s="16" t="s">
        <v>166</v>
      </c>
      <c r="AB53" s="16" t="s">
        <v>166</v>
      </c>
      <c r="AC53" s="16" t="s">
        <v>166</v>
      </c>
      <c r="AD53" s="115"/>
      <c r="AE53" s="16" t="s">
        <v>166</v>
      </c>
      <c r="AF53" s="16" t="s">
        <v>166</v>
      </c>
      <c r="AG53" s="16" t="s">
        <v>166</v>
      </c>
      <c r="AH53" s="16" t="s">
        <v>166</v>
      </c>
      <c r="AI53" s="16" t="s">
        <v>166</v>
      </c>
      <c r="AJ53" s="16" t="s">
        <v>166</v>
      </c>
      <c r="AK53" s="115"/>
      <c r="AL53" s="16" t="s">
        <v>166</v>
      </c>
      <c r="AM53" s="112"/>
      <c r="AN53" s="16" t="s">
        <v>166</v>
      </c>
      <c r="AO53" s="16" t="s">
        <v>166</v>
      </c>
      <c r="AP53" s="16" t="s">
        <v>166</v>
      </c>
      <c r="AQ53" s="16" t="s">
        <v>166</v>
      </c>
      <c r="AR53" s="16"/>
      <c r="AS53" s="16" t="s">
        <v>166</v>
      </c>
      <c r="AT53" s="16" t="s">
        <v>166</v>
      </c>
      <c r="AU53" s="16" t="s">
        <v>165</v>
      </c>
      <c r="AV53" s="16" t="s">
        <v>166</v>
      </c>
      <c r="AW53" s="16" t="s">
        <v>166</v>
      </c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5">
        <f t="shared" si="5"/>
        <v>30</v>
      </c>
      <c r="EP53" s="5">
        <f t="shared" si="6"/>
        <v>3</v>
      </c>
    </row>
    <row r="54" spans="1:146" x14ac:dyDescent="0.25">
      <c r="A54" s="6">
        <v>25</v>
      </c>
      <c r="B54" s="19"/>
      <c r="C54" s="20" t="s">
        <v>354</v>
      </c>
      <c r="D54" s="21" t="s">
        <v>353</v>
      </c>
      <c r="E54" s="10" t="s">
        <v>36</v>
      </c>
      <c r="F54" s="16" t="s">
        <v>166</v>
      </c>
      <c r="G54" s="16" t="s">
        <v>166</v>
      </c>
      <c r="H54" s="16" t="s">
        <v>166</v>
      </c>
      <c r="I54" s="115"/>
      <c r="J54" s="16" t="s">
        <v>166</v>
      </c>
      <c r="K54" s="112"/>
      <c r="L54" s="16" t="s">
        <v>166</v>
      </c>
      <c r="M54" s="16" t="s">
        <v>166</v>
      </c>
      <c r="N54" s="16" t="s">
        <v>166</v>
      </c>
      <c r="O54" s="112"/>
      <c r="P54" s="115"/>
      <c r="Q54" s="112"/>
      <c r="R54" s="16" t="s">
        <v>165</v>
      </c>
      <c r="S54" s="16" t="s">
        <v>165</v>
      </c>
      <c r="T54" s="16" t="s">
        <v>165</v>
      </c>
      <c r="U54" s="112"/>
      <c r="V54" s="16" t="s">
        <v>165</v>
      </c>
      <c r="W54" s="115"/>
      <c r="X54" s="16" t="s">
        <v>166</v>
      </c>
      <c r="Y54" s="16" t="s">
        <v>166</v>
      </c>
      <c r="Z54" s="16" t="s">
        <v>166</v>
      </c>
      <c r="AA54" s="16" t="s">
        <v>166</v>
      </c>
      <c r="AB54" s="16" t="s">
        <v>166</v>
      </c>
      <c r="AC54" s="16" t="s">
        <v>166</v>
      </c>
      <c r="AD54" s="115"/>
      <c r="AE54" s="16" t="s">
        <v>166</v>
      </c>
      <c r="AF54" s="16" t="s">
        <v>166</v>
      </c>
      <c r="AG54" s="16" t="s">
        <v>166</v>
      </c>
      <c r="AH54" s="16" t="s">
        <v>166</v>
      </c>
      <c r="AI54" s="16" t="s">
        <v>166</v>
      </c>
      <c r="AJ54" s="16" t="s">
        <v>166</v>
      </c>
      <c r="AK54" s="115"/>
      <c r="AL54" s="16" t="s">
        <v>166</v>
      </c>
      <c r="AM54" s="112"/>
      <c r="AN54" s="16" t="s">
        <v>166</v>
      </c>
      <c r="AO54" s="16" t="s">
        <v>166</v>
      </c>
      <c r="AP54" s="16" t="s">
        <v>165</v>
      </c>
      <c r="AQ54" s="16" t="s">
        <v>166</v>
      </c>
      <c r="AR54" s="16"/>
      <c r="AS54" s="16" t="s">
        <v>166</v>
      </c>
      <c r="AT54" s="16" t="s">
        <v>166</v>
      </c>
      <c r="AU54" s="16" t="s">
        <v>166</v>
      </c>
      <c r="AV54" s="16" t="s">
        <v>166</v>
      </c>
      <c r="AW54" s="16" t="s">
        <v>369</v>
      </c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5">
        <f t="shared" si="5"/>
        <v>27</v>
      </c>
      <c r="EP54" s="5">
        <f t="shared" si="6"/>
        <v>5</v>
      </c>
    </row>
    <row r="55" spans="1:146" x14ac:dyDescent="0.25">
      <c r="A55" s="17">
        <v>26</v>
      </c>
      <c r="B55" s="19"/>
      <c r="C55" s="20" t="s">
        <v>352</v>
      </c>
      <c r="D55" s="21" t="s">
        <v>355</v>
      </c>
      <c r="E55" s="10" t="s">
        <v>36</v>
      </c>
      <c r="F55" s="16" t="s">
        <v>165</v>
      </c>
      <c r="G55" s="16" t="s">
        <v>166</v>
      </c>
      <c r="H55" s="16" t="s">
        <v>166</v>
      </c>
      <c r="I55" s="115"/>
      <c r="J55" s="16" t="s">
        <v>166</v>
      </c>
      <c r="K55" s="112"/>
      <c r="L55" s="16" t="s">
        <v>166</v>
      </c>
      <c r="M55" s="16" t="s">
        <v>166</v>
      </c>
      <c r="N55" s="16" t="s">
        <v>165</v>
      </c>
      <c r="O55" s="112"/>
      <c r="P55" s="115"/>
      <c r="Q55" s="112"/>
      <c r="R55" s="16" t="s">
        <v>165</v>
      </c>
      <c r="S55" s="16" t="s">
        <v>165</v>
      </c>
      <c r="T55" s="16" t="s">
        <v>165</v>
      </c>
      <c r="U55" s="112"/>
      <c r="V55" s="16" t="s">
        <v>165</v>
      </c>
      <c r="W55" s="115"/>
      <c r="X55" s="16" t="s">
        <v>165</v>
      </c>
      <c r="Y55" s="16" t="s">
        <v>165</v>
      </c>
      <c r="Z55" s="16" t="s">
        <v>165</v>
      </c>
      <c r="AA55" s="16" t="s">
        <v>166</v>
      </c>
      <c r="AB55" s="16" t="s">
        <v>166</v>
      </c>
      <c r="AC55" s="16" t="s">
        <v>166</v>
      </c>
      <c r="AD55" s="115"/>
      <c r="AE55" s="16" t="s">
        <v>166</v>
      </c>
      <c r="AF55" s="16" t="s">
        <v>166</v>
      </c>
      <c r="AG55" s="16" t="s">
        <v>166</v>
      </c>
      <c r="AH55" s="16" t="s">
        <v>369</v>
      </c>
      <c r="AI55" s="16" t="s">
        <v>166</v>
      </c>
      <c r="AJ55" s="16" t="s">
        <v>166</v>
      </c>
      <c r="AK55" s="115"/>
      <c r="AL55" s="16" t="s">
        <v>166</v>
      </c>
      <c r="AM55" s="112"/>
      <c r="AN55" s="16" t="s">
        <v>166</v>
      </c>
      <c r="AO55" s="16" t="s">
        <v>166</v>
      </c>
      <c r="AP55" s="16" t="s">
        <v>166</v>
      </c>
      <c r="AQ55" s="16" t="s">
        <v>369</v>
      </c>
      <c r="AR55" s="16"/>
      <c r="AS55" s="16" t="s">
        <v>166</v>
      </c>
      <c r="AT55" s="16" t="s">
        <v>165</v>
      </c>
      <c r="AU55" s="16" t="s">
        <v>166</v>
      </c>
      <c r="AV55" s="16" t="s">
        <v>166</v>
      </c>
      <c r="AW55" s="16" t="s">
        <v>166</v>
      </c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5">
        <f t="shared" si="5"/>
        <v>21</v>
      </c>
      <c r="EP55" s="5">
        <f t="shared" si="6"/>
        <v>10</v>
      </c>
    </row>
    <row r="56" spans="1:146" x14ac:dyDescent="0.25">
      <c r="A56" s="6">
        <v>27</v>
      </c>
      <c r="B56" s="19"/>
      <c r="C56" s="20" t="s">
        <v>135</v>
      </c>
      <c r="D56" s="21" t="s">
        <v>356</v>
      </c>
      <c r="E56" s="10" t="s">
        <v>36</v>
      </c>
      <c r="F56" s="16" t="s">
        <v>165</v>
      </c>
      <c r="G56" s="16" t="s">
        <v>166</v>
      </c>
      <c r="H56" s="16" t="s">
        <v>166</v>
      </c>
      <c r="I56" s="115"/>
      <c r="J56" s="16" t="s">
        <v>166</v>
      </c>
      <c r="K56" s="112"/>
      <c r="L56" s="16" t="s">
        <v>166</v>
      </c>
      <c r="M56" s="16" t="s">
        <v>166</v>
      </c>
      <c r="N56" s="16" t="s">
        <v>166</v>
      </c>
      <c r="O56" s="112"/>
      <c r="P56" s="115"/>
      <c r="Q56" s="112"/>
      <c r="R56" s="16" t="s">
        <v>165</v>
      </c>
      <c r="S56" s="16" t="s">
        <v>165</v>
      </c>
      <c r="T56" s="16" t="s">
        <v>166</v>
      </c>
      <c r="U56" s="112"/>
      <c r="V56" s="16" t="s">
        <v>165</v>
      </c>
      <c r="W56" s="115"/>
      <c r="X56" s="16" t="s">
        <v>165</v>
      </c>
      <c r="Y56" s="16" t="s">
        <v>171</v>
      </c>
      <c r="Z56" s="16" t="s">
        <v>166</v>
      </c>
      <c r="AA56" s="16" t="s">
        <v>166</v>
      </c>
      <c r="AB56" s="16" t="s">
        <v>165</v>
      </c>
      <c r="AC56" s="16" t="s">
        <v>165</v>
      </c>
      <c r="AD56" s="115"/>
      <c r="AE56" s="16" t="s">
        <v>166</v>
      </c>
      <c r="AF56" s="16" t="s">
        <v>165</v>
      </c>
      <c r="AG56" s="16" t="s">
        <v>369</v>
      </c>
      <c r="AH56" s="16" t="s">
        <v>369</v>
      </c>
      <c r="AI56" s="16" t="s">
        <v>369</v>
      </c>
      <c r="AJ56" s="16" t="s">
        <v>369</v>
      </c>
      <c r="AK56" s="115"/>
      <c r="AL56" s="16" t="s">
        <v>369</v>
      </c>
      <c r="AM56" s="112"/>
      <c r="AN56" s="16" t="s">
        <v>166</v>
      </c>
      <c r="AO56" s="16" t="s">
        <v>166</v>
      </c>
      <c r="AP56" s="16" t="s">
        <v>166</v>
      </c>
      <c r="AQ56" s="16" t="s">
        <v>166</v>
      </c>
      <c r="AR56" s="16"/>
      <c r="AS56" s="16" t="s">
        <v>166</v>
      </c>
      <c r="AT56" s="16" t="s">
        <v>166</v>
      </c>
      <c r="AU56" s="16" t="s">
        <v>166</v>
      </c>
      <c r="AV56" s="16" t="s">
        <v>166</v>
      </c>
      <c r="AW56" s="16" t="s">
        <v>166</v>
      </c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5">
        <f t="shared" si="5"/>
        <v>19</v>
      </c>
      <c r="EP56" s="5">
        <f t="shared" si="6"/>
        <v>8</v>
      </c>
    </row>
    <row r="57" spans="1:146" x14ac:dyDescent="0.25">
      <c r="A57" s="17">
        <v>28</v>
      </c>
      <c r="B57" s="19"/>
      <c r="C57" s="20" t="s">
        <v>357</v>
      </c>
      <c r="D57" s="21" t="s">
        <v>358</v>
      </c>
      <c r="E57" s="10" t="s">
        <v>36</v>
      </c>
      <c r="F57" s="16"/>
      <c r="G57" s="16"/>
      <c r="H57" s="16"/>
      <c r="I57" s="115"/>
      <c r="J57" s="16"/>
      <c r="K57" s="112"/>
      <c r="L57" s="16"/>
      <c r="M57" s="16" t="s">
        <v>166</v>
      </c>
      <c r="N57" s="16" t="s">
        <v>165</v>
      </c>
      <c r="O57" s="112"/>
      <c r="P57" s="115"/>
      <c r="Q57" s="112"/>
      <c r="R57" s="16" t="s">
        <v>166</v>
      </c>
      <c r="S57" s="16" t="s">
        <v>165</v>
      </c>
      <c r="T57" s="16" t="s">
        <v>165</v>
      </c>
      <c r="U57" s="112"/>
      <c r="V57" s="16" t="s">
        <v>165</v>
      </c>
      <c r="W57" s="115"/>
      <c r="X57" s="16" t="s">
        <v>166</v>
      </c>
      <c r="Y57" s="16" t="s">
        <v>166</v>
      </c>
      <c r="Z57" s="16" t="s">
        <v>166</v>
      </c>
      <c r="AA57" s="16" t="s">
        <v>166</v>
      </c>
      <c r="AB57" s="16" t="s">
        <v>165</v>
      </c>
      <c r="AC57" s="16" t="s">
        <v>165</v>
      </c>
      <c r="AD57" s="115"/>
      <c r="AE57" s="16" t="s">
        <v>166</v>
      </c>
      <c r="AF57" s="16" t="s">
        <v>166</v>
      </c>
      <c r="AG57" s="16" t="s">
        <v>166</v>
      </c>
      <c r="AH57" s="16" t="s">
        <v>166</v>
      </c>
      <c r="AI57" s="16" t="s">
        <v>166</v>
      </c>
      <c r="AJ57" s="16" t="s">
        <v>166</v>
      </c>
      <c r="AK57" s="115"/>
      <c r="AL57" s="16" t="s">
        <v>166</v>
      </c>
      <c r="AM57" s="112"/>
      <c r="AN57" s="16" t="s">
        <v>165</v>
      </c>
      <c r="AO57" s="16" t="s">
        <v>166</v>
      </c>
      <c r="AP57" s="16" t="s">
        <v>166</v>
      </c>
      <c r="AQ57" s="16" t="s">
        <v>369</v>
      </c>
      <c r="AR57" s="16"/>
      <c r="AS57" s="16" t="s">
        <v>166</v>
      </c>
      <c r="AT57" s="16" t="s">
        <v>166</v>
      </c>
      <c r="AU57" s="16" t="s">
        <v>166</v>
      </c>
      <c r="AV57" s="16" t="s">
        <v>166</v>
      </c>
      <c r="AW57" s="16" t="s">
        <v>166</v>
      </c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5">
        <f t="shared" si="5"/>
        <v>20</v>
      </c>
      <c r="EP57" s="5">
        <f t="shared" si="6"/>
        <v>7</v>
      </c>
    </row>
    <row r="58" spans="1:146" x14ac:dyDescent="0.25">
      <c r="A58" s="6">
        <v>29</v>
      </c>
      <c r="B58" s="19"/>
      <c r="C58" s="20" t="s">
        <v>359</v>
      </c>
      <c r="D58" s="21" t="s">
        <v>65</v>
      </c>
      <c r="E58" s="10" t="s">
        <v>36</v>
      </c>
      <c r="F58" s="16" t="s">
        <v>166</v>
      </c>
      <c r="G58" s="16" t="s">
        <v>166</v>
      </c>
      <c r="H58" s="16" t="s">
        <v>166</v>
      </c>
      <c r="I58" s="115"/>
      <c r="J58" s="16" t="s">
        <v>166</v>
      </c>
      <c r="K58" s="112"/>
      <c r="L58" s="16" t="s">
        <v>166</v>
      </c>
      <c r="M58" s="16" t="s">
        <v>166</v>
      </c>
      <c r="N58" s="16" t="s">
        <v>166</v>
      </c>
      <c r="O58" s="112"/>
      <c r="P58" s="115"/>
      <c r="Q58" s="112"/>
      <c r="R58" s="16" t="s">
        <v>165</v>
      </c>
      <c r="S58" s="16" t="s">
        <v>166</v>
      </c>
      <c r="T58" s="16" t="s">
        <v>166</v>
      </c>
      <c r="U58" s="112"/>
      <c r="V58" s="16" t="s">
        <v>165</v>
      </c>
      <c r="W58" s="115"/>
      <c r="X58" s="16" t="s">
        <v>166</v>
      </c>
      <c r="Y58" s="16" t="s">
        <v>166</v>
      </c>
      <c r="Z58" s="16" t="s">
        <v>166</v>
      </c>
      <c r="AA58" s="16" t="s">
        <v>166</v>
      </c>
      <c r="AB58" s="16" t="s">
        <v>166</v>
      </c>
      <c r="AC58" s="16" t="s">
        <v>166</v>
      </c>
      <c r="AD58" s="115"/>
      <c r="AE58" s="16" t="s">
        <v>166</v>
      </c>
      <c r="AF58" s="16" t="s">
        <v>166</v>
      </c>
      <c r="AG58" s="16" t="s">
        <v>166</v>
      </c>
      <c r="AH58" s="16" t="s">
        <v>166</v>
      </c>
      <c r="AI58" s="16" t="s">
        <v>166</v>
      </c>
      <c r="AJ58" s="16" t="s">
        <v>166</v>
      </c>
      <c r="AK58" s="115"/>
      <c r="AL58" s="16" t="s">
        <v>166</v>
      </c>
      <c r="AM58" s="112"/>
      <c r="AN58" s="16" t="s">
        <v>166</v>
      </c>
      <c r="AO58" s="16" t="s">
        <v>166</v>
      </c>
      <c r="AP58" s="16" t="s">
        <v>166</v>
      </c>
      <c r="AQ58" s="16" t="s">
        <v>166</v>
      </c>
      <c r="AR58" s="16"/>
      <c r="AS58" s="16" t="s">
        <v>166</v>
      </c>
      <c r="AT58" s="16" t="s">
        <v>166</v>
      </c>
      <c r="AU58" s="16" t="s">
        <v>166</v>
      </c>
      <c r="AV58" s="16" t="s">
        <v>369</v>
      </c>
      <c r="AW58" s="16" t="s">
        <v>166</v>
      </c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5">
        <f t="shared" si="5"/>
        <v>30</v>
      </c>
      <c r="EP58" s="5">
        <f t="shared" si="6"/>
        <v>2</v>
      </c>
    </row>
    <row r="59" spans="1:146" x14ac:dyDescent="0.25">
      <c r="A59" s="17">
        <v>30</v>
      </c>
      <c r="B59" s="19"/>
      <c r="C59" s="20" t="s">
        <v>360</v>
      </c>
      <c r="D59" s="21" t="s">
        <v>361</v>
      </c>
      <c r="E59" s="10" t="s">
        <v>36</v>
      </c>
      <c r="F59" s="16" t="s">
        <v>166</v>
      </c>
      <c r="G59" s="16" t="s">
        <v>166</v>
      </c>
      <c r="H59" s="16" t="s">
        <v>166</v>
      </c>
      <c r="I59" s="115"/>
      <c r="J59" s="16" t="s">
        <v>166</v>
      </c>
      <c r="K59" s="112"/>
      <c r="L59" s="16" t="s">
        <v>166</v>
      </c>
      <c r="M59" s="16" t="s">
        <v>166</v>
      </c>
      <c r="N59" s="16" t="s">
        <v>166</v>
      </c>
      <c r="O59" s="112"/>
      <c r="P59" s="115"/>
      <c r="Q59" s="112"/>
      <c r="R59" s="16" t="s">
        <v>166</v>
      </c>
      <c r="S59" s="16" t="s">
        <v>166</v>
      </c>
      <c r="T59" s="16" t="s">
        <v>165</v>
      </c>
      <c r="U59" s="112"/>
      <c r="V59" s="16" t="s">
        <v>165</v>
      </c>
      <c r="W59" s="115"/>
      <c r="X59" s="16" t="s">
        <v>166</v>
      </c>
      <c r="Y59" s="16" t="s">
        <v>166</v>
      </c>
      <c r="Z59" s="16" t="s">
        <v>166</v>
      </c>
      <c r="AA59" s="16" t="s">
        <v>166</v>
      </c>
      <c r="AB59" s="16" t="s">
        <v>166</v>
      </c>
      <c r="AC59" s="16" t="s">
        <v>166</v>
      </c>
      <c r="AD59" s="115"/>
      <c r="AE59" s="16" t="s">
        <v>166</v>
      </c>
      <c r="AF59" s="16" t="s">
        <v>166</v>
      </c>
      <c r="AG59" s="16" t="s">
        <v>166</v>
      </c>
      <c r="AH59" s="16" t="s">
        <v>166</v>
      </c>
      <c r="AI59" s="16" t="s">
        <v>166</v>
      </c>
      <c r="AJ59" s="16" t="s">
        <v>166</v>
      </c>
      <c r="AK59" s="115"/>
      <c r="AL59" s="16" t="s">
        <v>166</v>
      </c>
      <c r="AM59" s="112"/>
      <c r="AN59" s="16" t="s">
        <v>166</v>
      </c>
      <c r="AO59" s="16" t="s">
        <v>166</v>
      </c>
      <c r="AP59" s="16" t="s">
        <v>166</v>
      </c>
      <c r="AQ59" s="16" t="s">
        <v>166</v>
      </c>
      <c r="AR59" s="16"/>
      <c r="AS59" s="16" t="s">
        <v>166</v>
      </c>
      <c r="AT59" s="16" t="s">
        <v>166</v>
      </c>
      <c r="AU59" s="16" t="s">
        <v>166</v>
      </c>
      <c r="AV59" s="16" t="s">
        <v>166</v>
      </c>
      <c r="AW59" s="16" t="s">
        <v>166</v>
      </c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5">
        <f t="shared" si="5"/>
        <v>31</v>
      </c>
      <c r="EP59" s="5">
        <f t="shared" si="6"/>
        <v>2</v>
      </c>
    </row>
    <row r="60" spans="1:146" x14ac:dyDescent="0.25">
      <c r="A60" s="6">
        <v>31</v>
      </c>
      <c r="B60" s="19"/>
      <c r="C60" s="20" t="s">
        <v>360</v>
      </c>
      <c r="D60" s="21" t="s">
        <v>362</v>
      </c>
      <c r="E60" s="10" t="s">
        <v>36</v>
      </c>
      <c r="F60" s="16" t="s">
        <v>165</v>
      </c>
      <c r="G60" s="16" t="s">
        <v>166</v>
      </c>
      <c r="H60" s="16" t="s">
        <v>166</v>
      </c>
      <c r="I60" s="115"/>
      <c r="J60" s="16" t="s">
        <v>166</v>
      </c>
      <c r="K60" s="112"/>
      <c r="L60" s="16" t="s">
        <v>166</v>
      </c>
      <c r="M60" s="16" t="s">
        <v>166</v>
      </c>
      <c r="N60" s="16" t="s">
        <v>166</v>
      </c>
      <c r="O60" s="112"/>
      <c r="P60" s="115"/>
      <c r="Q60" s="112"/>
      <c r="R60" s="16" t="s">
        <v>166</v>
      </c>
      <c r="S60" s="16" t="s">
        <v>165</v>
      </c>
      <c r="T60" s="16" t="s">
        <v>166</v>
      </c>
      <c r="U60" s="112"/>
      <c r="V60" s="16" t="s">
        <v>165</v>
      </c>
      <c r="W60" s="115"/>
      <c r="X60" s="16" t="s">
        <v>166</v>
      </c>
      <c r="Y60" s="16" t="s">
        <v>166</v>
      </c>
      <c r="Z60" s="16" t="s">
        <v>166</v>
      </c>
      <c r="AA60" s="16" t="s">
        <v>166</v>
      </c>
      <c r="AB60" s="16" t="s">
        <v>165</v>
      </c>
      <c r="AC60" s="16" t="s">
        <v>166</v>
      </c>
      <c r="AD60" s="115"/>
      <c r="AE60" s="16" t="s">
        <v>166</v>
      </c>
      <c r="AF60" s="16" t="s">
        <v>166</v>
      </c>
      <c r="AG60" s="16" t="s">
        <v>166</v>
      </c>
      <c r="AH60" s="16" t="s">
        <v>166</v>
      </c>
      <c r="AI60" s="16" t="s">
        <v>166</v>
      </c>
      <c r="AJ60" s="16" t="s">
        <v>166</v>
      </c>
      <c r="AK60" s="115"/>
      <c r="AL60" s="16" t="s">
        <v>166</v>
      </c>
      <c r="AM60" s="112"/>
      <c r="AN60" s="16" t="s">
        <v>166</v>
      </c>
      <c r="AO60" s="16" t="s">
        <v>166</v>
      </c>
      <c r="AP60" s="16" t="s">
        <v>166</v>
      </c>
      <c r="AQ60" s="16" t="s">
        <v>166</v>
      </c>
      <c r="AR60" s="16"/>
      <c r="AS60" s="16" t="s">
        <v>166</v>
      </c>
      <c r="AT60" s="16" t="s">
        <v>166</v>
      </c>
      <c r="AU60" s="16" t="s">
        <v>166</v>
      </c>
      <c r="AV60" s="16" t="s">
        <v>166</v>
      </c>
      <c r="AW60" s="16" t="s">
        <v>166</v>
      </c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5">
        <f t="shared" si="5"/>
        <v>29</v>
      </c>
      <c r="EP60" s="5">
        <f t="shared" si="6"/>
        <v>4</v>
      </c>
    </row>
    <row r="61" spans="1:146" x14ac:dyDescent="0.25">
      <c r="A61" s="17">
        <v>32</v>
      </c>
      <c r="B61" s="19"/>
      <c r="C61" s="20" t="s">
        <v>363</v>
      </c>
      <c r="D61" s="21" t="s">
        <v>364</v>
      </c>
      <c r="E61" s="10" t="s">
        <v>36</v>
      </c>
      <c r="F61" s="16" t="s">
        <v>165</v>
      </c>
      <c r="G61" s="16" t="s">
        <v>166</v>
      </c>
      <c r="H61" s="16" t="s">
        <v>165</v>
      </c>
      <c r="I61" s="115"/>
      <c r="J61" s="16" t="s">
        <v>166</v>
      </c>
      <c r="K61" s="113"/>
      <c r="L61" s="16" t="s">
        <v>166</v>
      </c>
      <c r="M61" s="16" t="s">
        <v>166</v>
      </c>
      <c r="N61" s="16" t="s">
        <v>166</v>
      </c>
      <c r="O61" s="113"/>
      <c r="P61" s="115"/>
      <c r="Q61" s="113"/>
      <c r="R61" s="16" t="s">
        <v>166</v>
      </c>
      <c r="S61" s="16" t="s">
        <v>165</v>
      </c>
      <c r="T61" s="16" t="s">
        <v>165</v>
      </c>
      <c r="U61" s="113"/>
      <c r="V61" s="16" t="s">
        <v>165</v>
      </c>
      <c r="W61" s="115"/>
      <c r="X61" s="16" t="s">
        <v>166</v>
      </c>
      <c r="Y61" s="16" t="s">
        <v>166</v>
      </c>
      <c r="Z61" s="16" t="s">
        <v>166</v>
      </c>
      <c r="AA61" s="16" t="s">
        <v>166</v>
      </c>
      <c r="AB61" s="16" t="s">
        <v>165</v>
      </c>
      <c r="AC61" s="16" t="s">
        <v>166</v>
      </c>
      <c r="AD61" s="115"/>
      <c r="AE61" s="16" t="s">
        <v>166</v>
      </c>
      <c r="AF61" s="16" t="s">
        <v>166</v>
      </c>
      <c r="AG61" s="16" t="s">
        <v>166</v>
      </c>
      <c r="AH61" s="16" t="s">
        <v>166</v>
      </c>
      <c r="AI61" s="16" t="s">
        <v>166</v>
      </c>
      <c r="AJ61" s="16" t="s">
        <v>165</v>
      </c>
      <c r="AK61" s="115"/>
      <c r="AL61" s="16" t="s">
        <v>166</v>
      </c>
      <c r="AM61" s="113"/>
      <c r="AN61" s="16" t="s">
        <v>166</v>
      </c>
      <c r="AO61" s="16" t="s">
        <v>165</v>
      </c>
      <c r="AP61" s="16" t="s">
        <v>166</v>
      </c>
      <c r="AQ61" s="16" t="s">
        <v>166</v>
      </c>
      <c r="AR61" s="16"/>
      <c r="AS61" s="16" t="s">
        <v>166</v>
      </c>
      <c r="AT61" s="16" t="s">
        <v>166</v>
      </c>
      <c r="AU61" s="16" t="s">
        <v>166</v>
      </c>
      <c r="AV61" s="16" t="s">
        <v>166</v>
      </c>
      <c r="AW61" s="16" t="s">
        <v>166</v>
      </c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5">
        <f t="shared" si="5"/>
        <v>25</v>
      </c>
      <c r="EP61" s="5">
        <f t="shared" si="6"/>
        <v>8</v>
      </c>
    </row>
  </sheetData>
  <mergeCells count="23">
    <mergeCell ref="AM6:AM61"/>
    <mergeCell ref="I6:I61"/>
    <mergeCell ref="P6:P61"/>
    <mergeCell ref="W6:W61"/>
    <mergeCell ref="AD6:AD61"/>
    <mergeCell ref="AK6:AK61"/>
    <mergeCell ref="K6:K61"/>
    <mergeCell ref="O6:O61"/>
    <mergeCell ref="Q6:Q61"/>
    <mergeCell ref="U6:U61"/>
    <mergeCell ref="EO4:EO5"/>
    <mergeCell ref="EP4:EP5"/>
    <mergeCell ref="EQ4:ER4"/>
    <mergeCell ref="EQ9:ET9"/>
    <mergeCell ref="EQ17:ET17"/>
    <mergeCell ref="A1:E1"/>
    <mergeCell ref="A2:E2"/>
    <mergeCell ref="A3:E3"/>
    <mergeCell ref="A4:A5"/>
    <mergeCell ref="B4:B5"/>
    <mergeCell ref="C4:C5"/>
    <mergeCell ref="D4:D5"/>
    <mergeCell ref="E4:E5"/>
  </mergeCells>
  <conditionalFormatting sqref="F6:Q6 U6 W6 Y6:AD6 AF6:AK6 AM6 R6:T61 V6:V61 X6:AC61 AE6:AJ61 AL6:AL61 AN6:EN61 F7:H61 J7:J61 L7:N61 F5:EN5">
    <cfRule type="expression" dxfId="89" priority="14">
      <formula>IF(F$5=TODAY(),TRUE,FALSE)</formula>
    </cfRule>
  </conditionalFormatting>
  <conditionalFormatting sqref="F6:Q6 U6 W6 Y6:AD6 AF6:AK6 AM6 R6:T61 V6:V61 X6:AC61 AE6:AJ61 AL6:AL61 AN6:EN61 F7:H61 J7:J61 L7:N61">
    <cfRule type="cellIs" dxfId="88" priority="1" operator="equal">
      <formula>"L"</formula>
    </cfRule>
    <cfRule type="cellIs" dxfId="87" priority="2" operator="equal">
      <formula>"A"</formula>
    </cfRule>
    <cfRule type="cellIs" dxfId="86" priority="3" operator="equal">
      <formula>"P"</formula>
    </cfRule>
  </conditionalFormatting>
  <conditionalFormatting sqref="F4:EN5 F6:Q6 U6 W6 Y6:AD6 AF6:AK6 AM6 R6:T61 V6:V61 X6:AC61 AE6:AJ61 AL6:AL61 AN6:EN61 F7:H61 J7:J61 L7:N61 EQ5:ER5">
    <cfRule type="expression" dxfId="85" priority="15">
      <formula>F$4="Sun"</formula>
    </cfRule>
  </conditionalFormatting>
  <conditionalFormatting sqref="EO4:EP4 EO6:EP61">
    <cfRule type="expression" dxfId="84" priority="16">
      <formula>#REF!="Sun"</formula>
    </cfRule>
  </conditionalFormatting>
  <conditionalFormatting sqref="EQ6:EQ7">
    <cfRule type="expression" dxfId="83" priority="12">
      <formula>EQ$4="Sun"</formula>
    </cfRule>
  </conditionalFormatting>
  <conditionalFormatting sqref="EQ10:EQ13">
    <cfRule type="expression" dxfId="82" priority="6">
      <formula>EQ$4="Sun"</formula>
    </cfRule>
  </conditionalFormatting>
  <conditionalFormatting sqref="EQ18:EQ21">
    <cfRule type="expression" dxfId="81" priority="5">
      <formula>EQ$4="Sun"</formula>
    </cfRule>
  </conditionalFormatting>
  <conditionalFormatting sqref="ER10:ET10">
    <cfRule type="expression" dxfId="80" priority="7">
      <formula>ER$4="Sun"</formula>
    </cfRule>
  </conditionalFormatting>
  <conditionalFormatting sqref="ER18:ET18">
    <cfRule type="expression" dxfId="79" priority="4">
      <formula>ER$4="Sun"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E339-974F-4F8E-8CE9-51DD290C99AD}">
  <sheetPr>
    <tabColor rgb="FFC00000"/>
  </sheetPr>
  <dimension ref="A1:ET56"/>
  <sheetViews>
    <sheetView workbookViewId="0">
      <pane xSplit="5" ySplit="5" topLeftCell="W46" activePane="bottomRight" state="frozen"/>
      <selection pane="topRight" activeCell="F1" sqref="F1"/>
      <selection pane="bottomLeft" activeCell="A6" sqref="A6"/>
      <selection pane="bottomRight" activeCell="AS56" sqref="AS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 customWidth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6" width="3.7109375" style="1" bestFit="1" customWidth="1"/>
    <col min="37" max="37" width="3.85546875" style="1" bestFit="1" customWidth="1"/>
    <col min="38" max="38" width="4.5703125" style="1" bestFit="1" customWidth="1"/>
    <col min="39" max="39" width="3.85546875" style="1" bestFit="1" customWidth="1"/>
    <col min="40" max="40" width="4.7109375" style="1" bestFit="1" customWidth="1"/>
    <col min="41" max="41" width="3.85546875" style="1" bestFit="1" customWidth="1"/>
    <col min="42" max="43" width="3.7109375" style="1" bestFit="1" customWidth="1"/>
    <col min="44" max="44" width="3.85546875" style="1" bestFit="1" customWidth="1"/>
    <col min="45" max="45" width="4.5703125" style="1" bestFit="1" customWidth="1"/>
    <col min="46" max="46" width="3.85546875" style="1" bestFit="1" customWidth="1"/>
    <col min="47" max="47" width="4.7109375" style="1" bestFit="1" customWidth="1"/>
    <col min="48" max="48" width="3.85546875" style="1" bestFit="1" customWidth="1"/>
    <col min="49" max="50" width="3.7109375" style="1" bestFit="1" customWidth="1"/>
    <col min="51" max="51" width="3.85546875" style="1" bestFit="1" customWidth="1"/>
    <col min="52" max="52" width="4.5703125" style="1" bestFit="1" customWidth="1"/>
    <col min="53" max="53" width="3.85546875" style="1" bestFit="1" customWidth="1"/>
    <col min="54" max="54" width="4.7109375" style="1" bestFit="1" customWidth="1"/>
    <col min="55" max="55" width="3.85546875" style="1" bestFit="1" customWidth="1"/>
    <col min="56" max="57" width="3.7109375" style="1" bestFit="1" customWidth="1"/>
    <col min="58" max="58" width="3.85546875" style="1" bestFit="1" customWidth="1"/>
    <col min="59" max="59" width="4.5703125" style="1" bestFit="1" customWidth="1"/>
    <col min="60" max="60" width="3.85546875" style="1" bestFit="1" customWidth="1"/>
    <col min="61" max="61" width="4.7109375" style="1" bestFit="1" customWidth="1"/>
    <col min="62" max="62" width="3.85546875" style="1" bestFit="1" customWidth="1"/>
    <col min="63" max="64" width="3.7109375" style="1" bestFit="1" customWidth="1"/>
    <col min="65" max="65" width="3.85546875" style="1" bestFit="1" customWidth="1"/>
    <col min="66" max="66" width="4.5703125" style="1" bestFit="1" customWidth="1"/>
    <col min="67" max="67" width="3.85546875" style="1" bestFit="1" customWidth="1"/>
    <col min="68" max="68" width="4.7109375" style="1" bestFit="1" customWidth="1"/>
    <col min="69" max="69" width="3.85546875" style="1" bestFit="1" customWidth="1"/>
    <col min="70" max="71" width="3.7109375" style="1" bestFit="1" customWidth="1"/>
    <col min="72" max="72" width="3.85546875" style="1" bestFit="1" customWidth="1"/>
    <col min="73" max="73" width="4.5703125" style="1" bestFit="1" customWidth="1"/>
    <col min="74" max="74" width="3.85546875" style="1" bestFit="1" customWidth="1"/>
    <col min="75" max="75" width="4.7109375" style="1" bestFit="1" customWidth="1"/>
    <col min="76" max="76" width="3.85546875" style="1" bestFit="1" customWidth="1"/>
    <col min="77" max="78" width="3.7109375" style="1" bestFit="1" customWidth="1"/>
    <col min="79" max="79" width="3.85546875" style="1" bestFit="1" customWidth="1"/>
    <col min="80" max="80" width="4.5703125" style="1" bestFit="1" customWidth="1"/>
    <col min="81" max="81" width="3.85546875" style="1" bestFit="1" customWidth="1"/>
    <col min="82" max="82" width="4.7109375" style="1" bestFit="1" customWidth="1"/>
    <col min="83" max="83" width="3.85546875" style="1" bestFit="1" customWidth="1"/>
    <col min="84" max="85" width="3.7109375" style="1" bestFit="1" customWidth="1"/>
    <col min="86" max="86" width="3.85546875" style="1" bestFit="1" customWidth="1"/>
    <col min="87" max="87" width="4.5703125" style="1" bestFit="1" customWidth="1"/>
    <col min="88" max="88" width="3.85546875" style="1" bestFit="1" customWidth="1"/>
    <col min="89" max="89" width="4.7109375" style="1" bestFit="1" customWidth="1"/>
    <col min="90" max="90" width="3.85546875" style="1" bestFit="1" customWidth="1"/>
    <col min="91" max="92" width="3.7109375" style="1" bestFit="1" customWidth="1"/>
    <col min="93" max="93" width="3.85546875" style="1" bestFit="1" customWidth="1"/>
    <col min="94" max="94" width="4.5703125" style="1" bestFit="1" customWidth="1"/>
    <col min="95" max="95" width="3.85546875" style="1" bestFit="1" customWidth="1"/>
    <col min="96" max="96" width="4.7109375" style="1" bestFit="1" customWidth="1"/>
    <col min="97" max="97" width="3.85546875" style="1" bestFit="1" customWidth="1"/>
    <col min="98" max="99" width="3.7109375" style="1" bestFit="1" customWidth="1"/>
    <col min="100" max="100" width="3.85546875" style="1" bestFit="1" customWidth="1"/>
    <col min="101" max="101" width="4.5703125" style="1" bestFit="1" customWidth="1"/>
    <col min="102" max="102" width="3.85546875" style="1" bestFit="1" customWidth="1"/>
    <col min="103" max="103" width="4.7109375" style="1" bestFit="1" customWidth="1"/>
    <col min="104" max="104" width="3.85546875" style="1" bestFit="1" customWidth="1"/>
    <col min="105" max="106" width="3.7109375" style="1" bestFit="1" customWidth="1"/>
    <col min="107" max="107" width="3.85546875" style="1" bestFit="1" customWidth="1"/>
    <col min="108" max="108" width="4.5703125" style="1" bestFit="1" customWidth="1"/>
    <col min="109" max="109" width="3.85546875" style="1" bestFit="1" customWidth="1"/>
    <col min="110" max="110" width="4.7109375" style="1" bestFit="1" customWidth="1"/>
    <col min="111" max="111" width="3.85546875" style="1" bestFit="1" customWidth="1"/>
    <col min="112" max="113" width="3.7109375" style="1" bestFit="1" customWidth="1"/>
    <col min="114" max="114" width="3.85546875" style="1" bestFit="1" customWidth="1"/>
    <col min="115" max="115" width="4.5703125" style="1" bestFit="1" customWidth="1"/>
    <col min="116" max="116" width="3.85546875" style="1" bestFit="1" customWidth="1"/>
    <col min="117" max="117" width="4.7109375" style="1" bestFit="1" customWidth="1"/>
    <col min="118" max="118" width="3.85546875" style="1" bestFit="1" customWidth="1"/>
    <col min="119" max="120" width="3.7109375" style="1" bestFit="1" customWidth="1"/>
    <col min="121" max="121" width="3.85546875" style="1" bestFit="1" customWidth="1"/>
    <col min="122" max="122" width="4.5703125" style="1" bestFit="1" customWidth="1"/>
    <col min="123" max="123" width="3.85546875" style="1" bestFit="1" customWidth="1"/>
    <col min="124" max="124" width="4.7109375" style="1" bestFit="1" customWidth="1"/>
    <col min="125" max="125" width="3.85546875" style="1" bestFit="1" customWidth="1"/>
    <col min="126" max="127" width="3.7109375" style="1" bestFit="1" customWidth="1"/>
    <col min="128" max="128" width="3.85546875" style="1" bestFit="1" customWidth="1"/>
    <col min="129" max="129" width="4.5703125" style="1" bestFit="1" customWidth="1"/>
    <col min="130" max="130" width="3.85546875" style="1" bestFit="1" customWidth="1"/>
    <col min="131" max="131" width="4.7109375" style="1" bestFit="1" customWidth="1"/>
    <col min="132" max="132" width="3.85546875" style="1" bestFit="1" customWidth="1"/>
    <col min="133" max="134" width="3.7109375" style="1" bestFit="1" customWidth="1"/>
    <col min="135" max="135" width="3.85546875" style="1" bestFit="1" customWidth="1"/>
    <col min="136" max="136" width="4.5703125" style="1" bestFit="1" customWidth="1"/>
    <col min="137" max="137" width="3.85546875" style="1" bestFit="1" customWidth="1"/>
    <col min="138" max="138" width="4.7109375" style="1" bestFit="1" customWidth="1"/>
    <col min="139" max="139" width="3.85546875" style="1" bestFit="1" customWidth="1"/>
    <col min="140" max="141" width="3.7109375" style="1" bestFit="1" customWidth="1"/>
    <col min="142" max="142" width="3.85546875" style="1" bestFit="1" customWidth="1"/>
    <col min="143" max="143" width="4.5703125" style="1" bestFit="1" customWidth="1"/>
    <col min="144" max="144" width="3.85546875" style="1" bestFit="1" customWidth="1"/>
    <col min="145" max="146" width="6.7109375" style="1" bestFit="1" customWidth="1"/>
    <col min="147" max="147" width="18.5703125" style="1" bestFit="1" customWidth="1"/>
    <col min="148" max="148" width="5.85546875" style="1" bestFit="1" customWidth="1"/>
    <col min="149" max="149" width="14.28515625" style="1" bestFit="1" customWidth="1"/>
    <col min="150" max="150" width="6.7109375" style="1" bestFit="1" customWidth="1"/>
    <col min="151" max="16384" width="3.85546875" style="1"/>
  </cols>
  <sheetData>
    <row r="1" spans="1:150" ht="17.25" x14ac:dyDescent="0.3">
      <c r="A1" s="100"/>
      <c r="B1" s="100"/>
      <c r="C1" s="100"/>
      <c r="D1" s="100"/>
      <c r="E1" s="100"/>
    </row>
    <row r="2" spans="1:150" ht="17.25" x14ac:dyDescent="0.25">
      <c r="A2" s="101" t="s">
        <v>49</v>
      </c>
      <c r="B2" s="101"/>
      <c r="C2" s="101"/>
      <c r="D2" s="101"/>
      <c r="E2" s="101"/>
    </row>
    <row r="3" spans="1:150" ht="17.25" x14ac:dyDescent="0.3">
      <c r="A3" s="100" t="s">
        <v>47</v>
      </c>
      <c r="B3" s="100"/>
      <c r="C3" s="100"/>
      <c r="D3" s="100"/>
      <c r="E3" s="100"/>
    </row>
    <row r="4" spans="1:150" ht="15.75" x14ac:dyDescent="0.25">
      <c r="A4" s="106" t="s">
        <v>0</v>
      </c>
      <c r="B4" s="106" t="s">
        <v>1</v>
      </c>
      <c r="C4" s="106" t="s">
        <v>2</v>
      </c>
      <c r="D4" s="106" t="s">
        <v>3</v>
      </c>
      <c r="E4" s="106" t="s">
        <v>4</v>
      </c>
      <c r="F4" s="2" t="str">
        <f t="shared" ref="F4:AI4" si="0">TEXT(F5,"ddd")</f>
        <v>Thu</v>
      </c>
      <c r="G4" s="2" t="str">
        <f t="shared" si="0"/>
        <v>Fri</v>
      </c>
      <c r="H4" s="2" t="str">
        <f t="shared" si="0"/>
        <v>Sat</v>
      </c>
      <c r="I4" s="2" t="str">
        <f t="shared" si="0"/>
        <v>Sun</v>
      </c>
      <c r="J4" s="2" t="str">
        <f t="shared" si="0"/>
        <v>Mon</v>
      </c>
      <c r="K4" s="2" t="str">
        <f t="shared" si="0"/>
        <v>Tue</v>
      </c>
      <c r="L4" s="2" t="str">
        <f t="shared" si="0"/>
        <v>Wed</v>
      </c>
      <c r="M4" s="2" t="str">
        <f t="shared" si="0"/>
        <v>Thu</v>
      </c>
      <c r="N4" s="2" t="str">
        <f t="shared" si="0"/>
        <v>Fri</v>
      </c>
      <c r="O4" s="2" t="str">
        <f t="shared" si="0"/>
        <v>Sat</v>
      </c>
      <c r="P4" s="2" t="str">
        <f t="shared" si="0"/>
        <v>Sun</v>
      </c>
      <c r="Q4" s="2" t="str">
        <f t="shared" si="0"/>
        <v>Mon</v>
      </c>
      <c r="R4" s="2" t="str">
        <f t="shared" si="0"/>
        <v>Tue</v>
      </c>
      <c r="S4" s="2" t="str">
        <f t="shared" si="0"/>
        <v>Wed</v>
      </c>
      <c r="T4" s="2" t="str">
        <f t="shared" si="0"/>
        <v>Thu</v>
      </c>
      <c r="U4" s="2" t="str">
        <f t="shared" si="0"/>
        <v>Fri</v>
      </c>
      <c r="V4" s="2" t="str">
        <f t="shared" si="0"/>
        <v>Sat</v>
      </c>
      <c r="W4" s="2" t="str">
        <f t="shared" si="0"/>
        <v>Sun</v>
      </c>
      <c r="X4" s="2" t="str">
        <f t="shared" si="0"/>
        <v>Mon</v>
      </c>
      <c r="Y4" s="2" t="str">
        <f t="shared" si="0"/>
        <v>Tue</v>
      </c>
      <c r="Z4" s="2" t="str">
        <f t="shared" si="0"/>
        <v>Wed</v>
      </c>
      <c r="AA4" s="2" t="str">
        <f t="shared" si="0"/>
        <v>Thu</v>
      </c>
      <c r="AB4" s="2" t="str">
        <f t="shared" si="0"/>
        <v>Fri</v>
      </c>
      <c r="AC4" s="2" t="str">
        <f t="shared" si="0"/>
        <v>Sat</v>
      </c>
      <c r="AD4" s="2" t="str">
        <f t="shared" si="0"/>
        <v>Sun</v>
      </c>
      <c r="AE4" s="2" t="str">
        <f t="shared" si="0"/>
        <v>Mon</v>
      </c>
      <c r="AF4" s="2" t="str">
        <f t="shared" si="0"/>
        <v>Tue</v>
      </c>
      <c r="AG4" s="2" t="str">
        <f t="shared" si="0"/>
        <v>Wed</v>
      </c>
      <c r="AH4" s="2" t="str">
        <f t="shared" si="0"/>
        <v>Thu</v>
      </c>
      <c r="AI4" s="2" t="str">
        <f t="shared" si="0"/>
        <v>Fri</v>
      </c>
      <c r="AJ4" s="2" t="str">
        <f t="shared" ref="AJ4:CU4" si="1">TEXT(AJ5,"ddd")</f>
        <v>Sat</v>
      </c>
      <c r="AK4" s="2" t="str">
        <f t="shared" si="1"/>
        <v>Sun</v>
      </c>
      <c r="AL4" s="2" t="str">
        <f t="shared" si="1"/>
        <v>Mon</v>
      </c>
      <c r="AM4" s="2" t="str">
        <f t="shared" si="1"/>
        <v>Tue</v>
      </c>
      <c r="AN4" s="2" t="str">
        <f t="shared" si="1"/>
        <v>Wed</v>
      </c>
      <c r="AO4" s="2" t="str">
        <f t="shared" si="1"/>
        <v>Thu</v>
      </c>
      <c r="AP4" s="2" t="str">
        <f t="shared" si="1"/>
        <v>Fri</v>
      </c>
      <c r="AQ4" s="2" t="str">
        <f t="shared" si="1"/>
        <v>Sat</v>
      </c>
      <c r="AR4" s="2" t="str">
        <f t="shared" si="1"/>
        <v>Sun</v>
      </c>
      <c r="AS4" s="2" t="str">
        <f t="shared" si="1"/>
        <v>Mon</v>
      </c>
      <c r="AT4" s="2" t="str">
        <f t="shared" si="1"/>
        <v>Tue</v>
      </c>
      <c r="AU4" s="2" t="str">
        <f t="shared" si="1"/>
        <v>Wed</v>
      </c>
      <c r="AV4" s="2" t="str">
        <f t="shared" si="1"/>
        <v>Thu</v>
      </c>
      <c r="AW4" s="2" t="str">
        <f t="shared" si="1"/>
        <v>Fri</v>
      </c>
      <c r="AX4" s="2" t="str">
        <f t="shared" si="1"/>
        <v>Sat</v>
      </c>
      <c r="AY4" s="2" t="str">
        <f t="shared" si="1"/>
        <v>Sun</v>
      </c>
      <c r="AZ4" s="2" t="str">
        <f t="shared" si="1"/>
        <v>Mon</v>
      </c>
      <c r="BA4" s="2" t="str">
        <f t="shared" si="1"/>
        <v>Tue</v>
      </c>
      <c r="BB4" s="2" t="str">
        <f t="shared" si="1"/>
        <v>Wed</v>
      </c>
      <c r="BC4" s="2" t="str">
        <f t="shared" si="1"/>
        <v>Thu</v>
      </c>
      <c r="BD4" s="2" t="str">
        <f t="shared" si="1"/>
        <v>Fri</v>
      </c>
      <c r="BE4" s="2" t="str">
        <f t="shared" si="1"/>
        <v>Sat</v>
      </c>
      <c r="BF4" s="2" t="str">
        <f t="shared" si="1"/>
        <v>Sun</v>
      </c>
      <c r="BG4" s="2" t="str">
        <f t="shared" si="1"/>
        <v>Mon</v>
      </c>
      <c r="BH4" s="2" t="str">
        <f t="shared" si="1"/>
        <v>Tue</v>
      </c>
      <c r="BI4" s="2" t="str">
        <f t="shared" si="1"/>
        <v>Wed</v>
      </c>
      <c r="BJ4" s="2" t="str">
        <f t="shared" si="1"/>
        <v>Thu</v>
      </c>
      <c r="BK4" s="2" t="str">
        <f t="shared" si="1"/>
        <v>Fri</v>
      </c>
      <c r="BL4" s="2" t="str">
        <f t="shared" si="1"/>
        <v>Sat</v>
      </c>
      <c r="BM4" s="2" t="str">
        <f t="shared" si="1"/>
        <v>Sun</v>
      </c>
      <c r="BN4" s="2" t="str">
        <f t="shared" si="1"/>
        <v>Mon</v>
      </c>
      <c r="BO4" s="2" t="str">
        <f t="shared" si="1"/>
        <v>Tue</v>
      </c>
      <c r="BP4" s="2" t="str">
        <f t="shared" si="1"/>
        <v>Wed</v>
      </c>
      <c r="BQ4" s="2" t="str">
        <f t="shared" si="1"/>
        <v>Thu</v>
      </c>
      <c r="BR4" s="2" t="str">
        <f t="shared" si="1"/>
        <v>Fri</v>
      </c>
      <c r="BS4" s="2" t="str">
        <f t="shared" si="1"/>
        <v>Sat</v>
      </c>
      <c r="BT4" s="2" t="str">
        <f t="shared" si="1"/>
        <v>Sun</v>
      </c>
      <c r="BU4" s="2" t="str">
        <f t="shared" si="1"/>
        <v>Mon</v>
      </c>
      <c r="BV4" s="2" t="str">
        <f t="shared" si="1"/>
        <v>Tue</v>
      </c>
      <c r="BW4" s="2" t="str">
        <f t="shared" si="1"/>
        <v>Wed</v>
      </c>
      <c r="BX4" s="2" t="str">
        <f t="shared" si="1"/>
        <v>Thu</v>
      </c>
      <c r="BY4" s="2" t="str">
        <f t="shared" si="1"/>
        <v>Fri</v>
      </c>
      <c r="BZ4" s="2" t="str">
        <f t="shared" si="1"/>
        <v>Sat</v>
      </c>
      <c r="CA4" s="2" t="str">
        <f t="shared" si="1"/>
        <v>Sun</v>
      </c>
      <c r="CB4" s="2" t="str">
        <f t="shared" si="1"/>
        <v>Mon</v>
      </c>
      <c r="CC4" s="2" t="str">
        <f t="shared" si="1"/>
        <v>Tue</v>
      </c>
      <c r="CD4" s="2" t="str">
        <f t="shared" si="1"/>
        <v>Wed</v>
      </c>
      <c r="CE4" s="2" t="str">
        <f t="shared" si="1"/>
        <v>Thu</v>
      </c>
      <c r="CF4" s="2" t="str">
        <f t="shared" si="1"/>
        <v>Fri</v>
      </c>
      <c r="CG4" s="2" t="str">
        <f t="shared" si="1"/>
        <v>Sat</v>
      </c>
      <c r="CH4" s="2" t="str">
        <f t="shared" si="1"/>
        <v>Sun</v>
      </c>
      <c r="CI4" s="2" t="str">
        <f t="shared" si="1"/>
        <v>Mon</v>
      </c>
      <c r="CJ4" s="2" t="str">
        <f t="shared" si="1"/>
        <v>Tue</v>
      </c>
      <c r="CK4" s="2" t="str">
        <f t="shared" si="1"/>
        <v>Wed</v>
      </c>
      <c r="CL4" s="2" t="str">
        <f t="shared" si="1"/>
        <v>Thu</v>
      </c>
      <c r="CM4" s="2" t="str">
        <f t="shared" si="1"/>
        <v>Fri</v>
      </c>
      <c r="CN4" s="2" t="str">
        <f t="shared" si="1"/>
        <v>Sat</v>
      </c>
      <c r="CO4" s="2" t="str">
        <f t="shared" si="1"/>
        <v>Sun</v>
      </c>
      <c r="CP4" s="2" t="str">
        <f t="shared" si="1"/>
        <v>Mon</v>
      </c>
      <c r="CQ4" s="2" t="str">
        <f t="shared" si="1"/>
        <v>Tue</v>
      </c>
      <c r="CR4" s="2" t="str">
        <f t="shared" si="1"/>
        <v>Wed</v>
      </c>
      <c r="CS4" s="2" t="str">
        <f t="shared" si="1"/>
        <v>Thu</v>
      </c>
      <c r="CT4" s="2" t="str">
        <f t="shared" si="1"/>
        <v>Fri</v>
      </c>
      <c r="CU4" s="2" t="str">
        <f t="shared" si="1"/>
        <v>Sat</v>
      </c>
      <c r="CV4" s="2" t="str">
        <f t="shared" ref="CV4:EN4" si="2">TEXT(CV5,"ddd")</f>
        <v>Sun</v>
      </c>
      <c r="CW4" s="2" t="str">
        <f t="shared" si="2"/>
        <v>Mon</v>
      </c>
      <c r="CX4" s="2" t="str">
        <f t="shared" si="2"/>
        <v>Tue</v>
      </c>
      <c r="CY4" s="2" t="str">
        <f t="shared" si="2"/>
        <v>Wed</v>
      </c>
      <c r="CZ4" s="2" t="str">
        <f t="shared" si="2"/>
        <v>Thu</v>
      </c>
      <c r="DA4" s="2" t="str">
        <f t="shared" si="2"/>
        <v>Fri</v>
      </c>
      <c r="DB4" s="2" t="str">
        <f t="shared" si="2"/>
        <v>Sat</v>
      </c>
      <c r="DC4" s="2" t="str">
        <f t="shared" si="2"/>
        <v>Sun</v>
      </c>
      <c r="DD4" s="2" t="str">
        <f t="shared" si="2"/>
        <v>Mon</v>
      </c>
      <c r="DE4" s="2" t="str">
        <f t="shared" si="2"/>
        <v>Tue</v>
      </c>
      <c r="DF4" s="2" t="str">
        <f t="shared" si="2"/>
        <v>Wed</v>
      </c>
      <c r="DG4" s="2" t="str">
        <f t="shared" si="2"/>
        <v>Thu</v>
      </c>
      <c r="DH4" s="2" t="str">
        <f t="shared" si="2"/>
        <v>Fri</v>
      </c>
      <c r="DI4" s="2" t="str">
        <f t="shared" si="2"/>
        <v>Sat</v>
      </c>
      <c r="DJ4" s="2" t="str">
        <f t="shared" si="2"/>
        <v>Sun</v>
      </c>
      <c r="DK4" s="2" t="str">
        <f t="shared" si="2"/>
        <v>Mon</v>
      </c>
      <c r="DL4" s="2" t="str">
        <f t="shared" si="2"/>
        <v>Tue</v>
      </c>
      <c r="DM4" s="2" t="str">
        <f t="shared" si="2"/>
        <v>Wed</v>
      </c>
      <c r="DN4" s="2" t="str">
        <f t="shared" si="2"/>
        <v>Thu</v>
      </c>
      <c r="DO4" s="2" t="str">
        <f t="shared" si="2"/>
        <v>Fri</v>
      </c>
      <c r="DP4" s="2" t="str">
        <f t="shared" si="2"/>
        <v>Sat</v>
      </c>
      <c r="DQ4" s="2" t="str">
        <f t="shared" si="2"/>
        <v>Sun</v>
      </c>
      <c r="DR4" s="2" t="str">
        <f t="shared" si="2"/>
        <v>Mon</v>
      </c>
      <c r="DS4" s="2" t="str">
        <f t="shared" si="2"/>
        <v>Tue</v>
      </c>
      <c r="DT4" s="2" t="str">
        <f t="shared" si="2"/>
        <v>Wed</v>
      </c>
      <c r="DU4" s="2" t="str">
        <f t="shared" si="2"/>
        <v>Thu</v>
      </c>
      <c r="DV4" s="2" t="str">
        <f t="shared" si="2"/>
        <v>Fri</v>
      </c>
      <c r="DW4" s="2" t="str">
        <f t="shared" si="2"/>
        <v>Sat</v>
      </c>
      <c r="DX4" s="2" t="str">
        <f t="shared" si="2"/>
        <v>Sun</v>
      </c>
      <c r="DY4" s="2" t="str">
        <f t="shared" si="2"/>
        <v>Mon</v>
      </c>
      <c r="DZ4" s="2" t="str">
        <f t="shared" si="2"/>
        <v>Tue</v>
      </c>
      <c r="EA4" s="2" t="str">
        <f t="shared" si="2"/>
        <v>Wed</v>
      </c>
      <c r="EB4" s="2" t="str">
        <f t="shared" si="2"/>
        <v>Thu</v>
      </c>
      <c r="EC4" s="2" t="str">
        <f t="shared" si="2"/>
        <v>Fri</v>
      </c>
      <c r="ED4" s="2" t="str">
        <f t="shared" si="2"/>
        <v>Sat</v>
      </c>
      <c r="EE4" s="2" t="str">
        <f t="shared" si="2"/>
        <v>Sun</v>
      </c>
      <c r="EF4" s="2" t="str">
        <f t="shared" si="2"/>
        <v>Mon</v>
      </c>
      <c r="EG4" s="2" t="str">
        <f t="shared" si="2"/>
        <v>Tue</v>
      </c>
      <c r="EH4" s="2" t="str">
        <f t="shared" si="2"/>
        <v>Wed</v>
      </c>
      <c r="EI4" s="2" t="str">
        <f t="shared" si="2"/>
        <v>Thu</v>
      </c>
      <c r="EJ4" s="2" t="str">
        <f t="shared" si="2"/>
        <v>Fri</v>
      </c>
      <c r="EK4" s="2" t="str">
        <f t="shared" si="2"/>
        <v>Sat</v>
      </c>
      <c r="EL4" s="2" t="str">
        <f t="shared" si="2"/>
        <v>Sun</v>
      </c>
      <c r="EM4" s="2" t="str">
        <f t="shared" si="2"/>
        <v>Mon</v>
      </c>
      <c r="EN4" s="2" t="str">
        <f t="shared" si="2"/>
        <v>Tue</v>
      </c>
      <c r="EO4" s="114" t="s">
        <v>5</v>
      </c>
      <c r="EP4" s="114" t="s">
        <v>6</v>
      </c>
      <c r="EQ4" s="103" t="s">
        <v>46</v>
      </c>
      <c r="ER4" s="105"/>
      <c r="ES4" s="3"/>
      <c r="ET4" s="3"/>
    </row>
    <row r="5" spans="1:150" ht="37.5" x14ac:dyDescent="0.25">
      <c r="A5" s="107"/>
      <c r="B5" s="107"/>
      <c r="C5" s="107"/>
      <c r="D5" s="107"/>
      <c r="E5" s="107"/>
      <c r="F5" s="77">
        <v>45519</v>
      </c>
      <c r="G5" s="77">
        <v>45520</v>
      </c>
      <c r="H5" s="77">
        <v>45521</v>
      </c>
      <c r="I5" s="77">
        <v>45522</v>
      </c>
      <c r="J5" s="77">
        <v>45523</v>
      </c>
      <c r="K5" s="77">
        <v>45524</v>
      </c>
      <c r="L5" s="77">
        <v>45525</v>
      </c>
      <c r="M5" s="77">
        <v>45526</v>
      </c>
      <c r="N5" s="77">
        <v>45527</v>
      </c>
      <c r="O5" s="77">
        <v>45528</v>
      </c>
      <c r="P5" s="77">
        <v>45529</v>
      </c>
      <c r="Q5" s="77">
        <v>45530</v>
      </c>
      <c r="R5" s="77">
        <v>45531</v>
      </c>
      <c r="S5" s="77">
        <v>45532</v>
      </c>
      <c r="T5" s="77">
        <v>45533</v>
      </c>
      <c r="U5" s="77">
        <v>45534</v>
      </c>
      <c r="V5" s="77">
        <v>45535</v>
      </c>
      <c r="W5" s="77">
        <v>45536</v>
      </c>
      <c r="X5" s="77">
        <v>45537</v>
      </c>
      <c r="Y5" s="77">
        <v>45538</v>
      </c>
      <c r="Z5" s="77">
        <v>45539</v>
      </c>
      <c r="AA5" s="77">
        <v>45540</v>
      </c>
      <c r="AB5" s="77">
        <v>45541</v>
      </c>
      <c r="AC5" s="77">
        <v>45542</v>
      </c>
      <c r="AD5" s="77">
        <v>45543</v>
      </c>
      <c r="AE5" s="77">
        <v>45544</v>
      </c>
      <c r="AF5" s="77">
        <v>45545</v>
      </c>
      <c r="AG5" s="77">
        <v>45546</v>
      </c>
      <c r="AH5" s="77">
        <v>45547</v>
      </c>
      <c r="AI5" s="77">
        <v>45548</v>
      </c>
      <c r="AJ5" s="77">
        <v>45549</v>
      </c>
      <c r="AK5" s="77">
        <v>45550</v>
      </c>
      <c r="AL5" s="77">
        <v>45551</v>
      </c>
      <c r="AM5" s="77">
        <v>45552</v>
      </c>
      <c r="AN5" s="77">
        <v>45553</v>
      </c>
      <c r="AO5" s="77">
        <v>45554</v>
      </c>
      <c r="AP5" s="77">
        <v>45555</v>
      </c>
      <c r="AQ5" s="77">
        <v>45556</v>
      </c>
      <c r="AR5" s="77">
        <v>45557</v>
      </c>
      <c r="AS5" s="77">
        <v>45558</v>
      </c>
      <c r="AT5" s="77">
        <v>45559</v>
      </c>
      <c r="AU5" s="77">
        <v>45560</v>
      </c>
      <c r="AV5" s="77">
        <v>45561</v>
      </c>
      <c r="AW5" s="77">
        <v>45562</v>
      </c>
      <c r="AX5" s="77">
        <v>45563</v>
      </c>
      <c r="AY5" s="77">
        <v>45564</v>
      </c>
      <c r="AZ5" s="77">
        <v>45565</v>
      </c>
      <c r="BA5" s="77">
        <v>45566</v>
      </c>
      <c r="BB5" s="77">
        <v>45567</v>
      </c>
      <c r="BC5" s="77">
        <v>45568</v>
      </c>
      <c r="BD5" s="77">
        <v>45569</v>
      </c>
      <c r="BE5" s="77">
        <v>45570</v>
      </c>
      <c r="BF5" s="77">
        <v>45571</v>
      </c>
      <c r="BG5" s="77">
        <v>45572</v>
      </c>
      <c r="BH5" s="77">
        <v>45573</v>
      </c>
      <c r="BI5" s="77">
        <v>45574</v>
      </c>
      <c r="BJ5" s="77">
        <v>45575</v>
      </c>
      <c r="BK5" s="77">
        <v>45576</v>
      </c>
      <c r="BL5" s="77">
        <v>45577</v>
      </c>
      <c r="BM5" s="77">
        <v>45578</v>
      </c>
      <c r="BN5" s="77">
        <v>45579</v>
      </c>
      <c r="BO5" s="77">
        <v>45580</v>
      </c>
      <c r="BP5" s="77">
        <v>45581</v>
      </c>
      <c r="BQ5" s="77">
        <v>45582</v>
      </c>
      <c r="BR5" s="77">
        <v>45583</v>
      </c>
      <c r="BS5" s="77">
        <v>45584</v>
      </c>
      <c r="BT5" s="77">
        <v>45585</v>
      </c>
      <c r="BU5" s="77">
        <v>45586</v>
      </c>
      <c r="BV5" s="77">
        <v>45587</v>
      </c>
      <c r="BW5" s="77">
        <v>45588</v>
      </c>
      <c r="BX5" s="77">
        <v>45589</v>
      </c>
      <c r="BY5" s="77">
        <v>45590</v>
      </c>
      <c r="BZ5" s="77">
        <v>45591</v>
      </c>
      <c r="CA5" s="77">
        <v>45592</v>
      </c>
      <c r="CB5" s="77">
        <v>45593</v>
      </c>
      <c r="CC5" s="77">
        <v>45594</v>
      </c>
      <c r="CD5" s="77">
        <v>45595</v>
      </c>
      <c r="CE5" s="77">
        <v>45596</v>
      </c>
      <c r="CF5" s="77">
        <v>45597</v>
      </c>
      <c r="CG5" s="77">
        <v>45598</v>
      </c>
      <c r="CH5" s="77">
        <v>45599</v>
      </c>
      <c r="CI5" s="77">
        <v>45600</v>
      </c>
      <c r="CJ5" s="77">
        <v>45601</v>
      </c>
      <c r="CK5" s="77">
        <v>45602</v>
      </c>
      <c r="CL5" s="77">
        <v>45603</v>
      </c>
      <c r="CM5" s="77">
        <v>45604</v>
      </c>
      <c r="CN5" s="77">
        <v>45605</v>
      </c>
      <c r="CO5" s="77">
        <v>45606</v>
      </c>
      <c r="CP5" s="77">
        <v>45607</v>
      </c>
      <c r="CQ5" s="77">
        <v>45608</v>
      </c>
      <c r="CR5" s="77">
        <v>45609</v>
      </c>
      <c r="CS5" s="77">
        <v>45610</v>
      </c>
      <c r="CT5" s="77">
        <v>45611</v>
      </c>
      <c r="CU5" s="77">
        <v>45612</v>
      </c>
      <c r="CV5" s="77">
        <v>45613</v>
      </c>
      <c r="CW5" s="77">
        <v>45614</v>
      </c>
      <c r="CX5" s="77">
        <v>45615</v>
      </c>
      <c r="CY5" s="77">
        <v>45616</v>
      </c>
      <c r="CZ5" s="77">
        <v>45617</v>
      </c>
      <c r="DA5" s="77">
        <v>45618</v>
      </c>
      <c r="DB5" s="77">
        <v>45619</v>
      </c>
      <c r="DC5" s="77">
        <v>45620</v>
      </c>
      <c r="DD5" s="77">
        <v>45621</v>
      </c>
      <c r="DE5" s="77">
        <v>45622</v>
      </c>
      <c r="DF5" s="77">
        <v>45623</v>
      </c>
      <c r="DG5" s="77">
        <v>45624</v>
      </c>
      <c r="DH5" s="77">
        <v>45625</v>
      </c>
      <c r="DI5" s="77">
        <v>45626</v>
      </c>
      <c r="DJ5" s="77">
        <v>45627</v>
      </c>
      <c r="DK5" s="77">
        <v>45628</v>
      </c>
      <c r="DL5" s="77">
        <v>45629</v>
      </c>
      <c r="DM5" s="77">
        <v>45630</v>
      </c>
      <c r="DN5" s="77">
        <v>45631</v>
      </c>
      <c r="DO5" s="77">
        <v>45632</v>
      </c>
      <c r="DP5" s="77">
        <v>45633</v>
      </c>
      <c r="DQ5" s="77">
        <v>45634</v>
      </c>
      <c r="DR5" s="77">
        <v>45635</v>
      </c>
      <c r="DS5" s="77">
        <v>45636</v>
      </c>
      <c r="DT5" s="77">
        <v>45637</v>
      </c>
      <c r="DU5" s="77">
        <v>45638</v>
      </c>
      <c r="DV5" s="77">
        <v>45639</v>
      </c>
      <c r="DW5" s="77">
        <v>45640</v>
      </c>
      <c r="DX5" s="77">
        <v>45641</v>
      </c>
      <c r="DY5" s="77">
        <v>45642</v>
      </c>
      <c r="DZ5" s="77">
        <v>45643</v>
      </c>
      <c r="EA5" s="77">
        <v>45644</v>
      </c>
      <c r="EB5" s="77">
        <v>45645</v>
      </c>
      <c r="EC5" s="77">
        <v>45646</v>
      </c>
      <c r="ED5" s="77">
        <v>45647</v>
      </c>
      <c r="EE5" s="77">
        <v>45648</v>
      </c>
      <c r="EF5" s="77">
        <v>45649</v>
      </c>
      <c r="EG5" s="77">
        <v>45650</v>
      </c>
      <c r="EH5" s="77">
        <v>45651</v>
      </c>
      <c r="EI5" s="77">
        <v>45652</v>
      </c>
      <c r="EJ5" s="77">
        <v>45653</v>
      </c>
      <c r="EK5" s="77">
        <v>45654</v>
      </c>
      <c r="EL5" s="77">
        <v>45655</v>
      </c>
      <c r="EM5" s="77">
        <v>45656</v>
      </c>
      <c r="EN5" s="77">
        <v>45657</v>
      </c>
      <c r="EO5" s="114"/>
      <c r="EP5" s="114"/>
      <c r="EQ5" s="4" t="s">
        <v>7</v>
      </c>
      <c r="ER5" s="5">
        <v>31</v>
      </c>
      <c r="ES5" s="3"/>
      <c r="ET5" s="3"/>
    </row>
    <row r="6" spans="1:150" x14ac:dyDescent="0.25">
      <c r="A6" s="6">
        <v>1</v>
      </c>
      <c r="B6" s="7"/>
      <c r="C6" s="8" t="s">
        <v>370</v>
      </c>
      <c r="D6" s="9" t="s">
        <v>371</v>
      </c>
      <c r="E6" s="10" t="s">
        <v>27</v>
      </c>
      <c r="F6" s="16" t="s">
        <v>165</v>
      </c>
      <c r="G6" s="16" t="s">
        <v>165</v>
      </c>
      <c r="H6" s="16" t="s">
        <v>165</v>
      </c>
      <c r="I6" s="16"/>
      <c r="J6" s="16" t="s">
        <v>165</v>
      </c>
      <c r="K6" s="16"/>
      <c r="L6" s="16" t="s">
        <v>166</v>
      </c>
      <c r="M6" s="16" t="s">
        <v>166</v>
      </c>
      <c r="N6" s="16" t="s">
        <v>166</v>
      </c>
      <c r="O6" s="16" t="s">
        <v>166</v>
      </c>
      <c r="P6" s="16"/>
      <c r="Q6" s="16"/>
      <c r="R6" s="16" t="s">
        <v>165</v>
      </c>
      <c r="S6" s="16" t="s">
        <v>165</v>
      </c>
      <c r="T6" s="16" t="s">
        <v>165</v>
      </c>
      <c r="U6" s="16"/>
      <c r="V6" s="16"/>
      <c r="W6" s="16"/>
      <c r="X6" s="16" t="s">
        <v>166</v>
      </c>
      <c r="Y6" s="16" t="s">
        <v>166</v>
      </c>
      <c r="Z6" s="16" t="s">
        <v>166</v>
      </c>
      <c r="AA6" s="16" t="s">
        <v>166</v>
      </c>
      <c r="AB6" s="16" t="s">
        <v>165</v>
      </c>
      <c r="AC6" s="16" t="s">
        <v>166</v>
      </c>
      <c r="AD6" s="16"/>
      <c r="AE6" s="16" t="s">
        <v>166</v>
      </c>
      <c r="AF6" s="16" t="s">
        <v>166</v>
      </c>
      <c r="AG6" s="16" t="s">
        <v>166</v>
      </c>
      <c r="AH6" s="16" t="s">
        <v>166</v>
      </c>
      <c r="AI6" s="16" t="s">
        <v>166</v>
      </c>
      <c r="AJ6" s="16" t="s">
        <v>166</v>
      </c>
      <c r="AK6" s="16"/>
      <c r="AL6" s="16"/>
      <c r="AM6" s="16"/>
      <c r="AN6" s="16" t="s">
        <v>166</v>
      </c>
      <c r="AO6" s="16" t="s">
        <v>166</v>
      </c>
      <c r="AP6" s="16" t="s">
        <v>165</v>
      </c>
      <c r="AQ6" s="16" t="s">
        <v>165</v>
      </c>
      <c r="AR6" s="16"/>
      <c r="AS6" s="16" t="s">
        <v>166</v>
      </c>
      <c r="AT6" s="16" t="s">
        <v>166</v>
      </c>
      <c r="AU6" s="16" t="s">
        <v>165</v>
      </c>
      <c r="AV6" s="16" t="s">
        <v>166</v>
      </c>
      <c r="AW6" s="16" t="s">
        <v>166</v>
      </c>
      <c r="AX6" s="16" t="s">
        <v>165</v>
      </c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5">
        <f t="shared" ref="EO6:EO37" si="3">COUNTIF(F6:EN6,"P")</f>
        <v>21</v>
      </c>
      <c r="EP6" s="5">
        <f t="shared" ref="EP6:EP37" si="4">COUNTIF(F6:EN6,"A")</f>
        <v>12</v>
      </c>
      <c r="EQ6" s="5" t="s">
        <v>9</v>
      </c>
      <c r="ER6" s="17">
        <v>26</v>
      </c>
      <c r="ES6" s="18" t="s">
        <v>10</v>
      </c>
      <c r="ET6" s="3"/>
    </row>
    <row r="7" spans="1:150" ht="20.25" customHeight="1" x14ac:dyDescent="0.25">
      <c r="A7" s="17">
        <v>2</v>
      </c>
      <c r="B7" s="19"/>
      <c r="C7" s="20" t="s">
        <v>372</v>
      </c>
      <c r="D7" s="21" t="s">
        <v>373</v>
      </c>
      <c r="E7" s="10" t="s">
        <v>27</v>
      </c>
      <c r="F7" s="16" t="s">
        <v>166</v>
      </c>
      <c r="G7" s="16" t="s">
        <v>166</v>
      </c>
      <c r="H7" s="16" t="s">
        <v>166</v>
      </c>
      <c r="I7" s="16"/>
      <c r="J7" s="16" t="s">
        <v>166</v>
      </c>
      <c r="K7" s="16"/>
      <c r="L7" s="16" t="s">
        <v>166</v>
      </c>
      <c r="M7" s="16" t="s">
        <v>166</v>
      </c>
      <c r="N7" s="16" t="s">
        <v>166</v>
      </c>
      <c r="O7" s="16" t="s">
        <v>166</v>
      </c>
      <c r="P7" s="16"/>
      <c r="Q7" s="16"/>
      <c r="R7" s="16" t="s">
        <v>166</v>
      </c>
      <c r="S7" s="16" t="s">
        <v>165</v>
      </c>
      <c r="T7" s="16" t="s">
        <v>166</v>
      </c>
      <c r="U7" s="16"/>
      <c r="V7" s="16"/>
      <c r="W7" s="16"/>
      <c r="X7" s="16" t="s">
        <v>166</v>
      </c>
      <c r="Y7" s="16" t="s">
        <v>166</v>
      </c>
      <c r="Z7" s="16" t="s">
        <v>166</v>
      </c>
      <c r="AA7" s="16" t="s">
        <v>166</v>
      </c>
      <c r="AB7" s="16" t="s">
        <v>165</v>
      </c>
      <c r="AC7" s="16" t="s">
        <v>166</v>
      </c>
      <c r="AD7" s="16"/>
      <c r="AE7" s="16" t="s">
        <v>166</v>
      </c>
      <c r="AF7" s="16"/>
      <c r="AG7" s="16" t="s">
        <v>166</v>
      </c>
      <c r="AH7" s="16" t="s">
        <v>166</v>
      </c>
      <c r="AI7" s="16" t="s">
        <v>166</v>
      </c>
      <c r="AJ7" s="16" t="s">
        <v>166</v>
      </c>
      <c r="AK7" s="16"/>
      <c r="AL7" s="16" t="s">
        <v>166</v>
      </c>
      <c r="AM7" s="16"/>
      <c r="AN7" s="16" t="s">
        <v>166</v>
      </c>
      <c r="AO7" s="16" t="s">
        <v>166</v>
      </c>
      <c r="AP7" s="16" t="s">
        <v>166</v>
      </c>
      <c r="AQ7" s="16" t="s">
        <v>166</v>
      </c>
      <c r="AR7" s="16"/>
      <c r="AS7" s="16" t="s">
        <v>166</v>
      </c>
      <c r="AT7" s="16" t="s">
        <v>166</v>
      </c>
      <c r="AU7" s="16" t="s">
        <v>166</v>
      </c>
      <c r="AV7" s="16" t="s">
        <v>166</v>
      </c>
      <c r="AW7" s="16" t="s">
        <v>165</v>
      </c>
      <c r="AX7" s="16" t="s">
        <v>166</v>
      </c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5">
        <f t="shared" si="3"/>
        <v>30</v>
      </c>
      <c r="EP7" s="5">
        <f t="shared" si="4"/>
        <v>3</v>
      </c>
      <c r="EQ7" s="5" t="s">
        <v>11</v>
      </c>
      <c r="ER7" s="17">
        <v>4</v>
      </c>
      <c r="ES7" s="3"/>
      <c r="ET7" s="3"/>
    </row>
    <row r="8" spans="1:150" x14ac:dyDescent="0.25">
      <c r="A8" s="6">
        <v>3</v>
      </c>
      <c r="B8" s="19"/>
      <c r="C8" s="20" t="s">
        <v>374</v>
      </c>
      <c r="D8" s="21" t="s">
        <v>286</v>
      </c>
      <c r="E8" s="10" t="s">
        <v>27</v>
      </c>
      <c r="F8" s="16" t="s">
        <v>166</v>
      </c>
      <c r="G8" s="16" t="s">
        <v>166</v>
      </c>
      <c r="H8" s="16" t="s">
        <v>166</v>
      </c>
      <c r="I8" s="16"/>
      <c r="J8" s="16" t="s">
        <v>166</v>
      </c>
      <c r="K8" s="16"/>
      <c r="L8" s="16" t="s">
        <v>166</v>
      </c>
      <c r="M8" s="16" t="s">
        <v>166</v>
      </c>
      <c r="N8" s="16" t="s">
        <v>166</v>
      </c>
      <c r="O8" s="16"/>
      <c r="P8" s="16"/>
      <c r="Q8" s="16"/>
      <c r="R8" s="16" t="s">
        <v>165</v>
      </c>
      <c r="S8" s="16" t="s">
        <v>165</v>
      </c>
      <c r="T8" s="16" t="s">
        <v>165</v>
      </c>
      <c r="U8" s="16"/>
      <c r="V8" s="16"/>
      <c r="W8" s="16"/>
      <c r="X8" s="16" t="s">
        <v>166</v>
      </c>
      <c r="Y8" s="16" t="s">
        <v>166</v>
      </c>
      <c r="Z8" s="16" t="s">
        <v>166</v>
      </c>
      <c r="AA8" s="16" t="s">
        <v>166</v>
      </c>
      <c r="AB8" s="16" t="s">
        <v>165</v>
      </c>
      <c r="AC8" s="16" t="s">
        <v>166</v>
      </c>
      <c r="AD8" s="16"/>
      <c r="AE8" s="16" t="s">
        <v>166</v>
      </c>
      <c r="AF8" s="16" t="s">
        <v>166</v>
      </c>
      <c r="AG8" s="16" t="s">
        <v>166</v>
      </c>
      <c r="AH8" s="16" t="s">
        <v>166</v>
      </c>
      <c r="AI8" s="16" t="s">
        <v>166</v>
      </c>
      <c r="AJ8" s="16" t="s">
        <v>166</v>
      </c>
      <c r="AK8" s="16"/>
      <c r="AL8" s="16"/>
      <c r="AM8" s="16"/>
      <c r="AN8" s="16" t="s">
        <v>166</v>
      </c>
      <c r="AO8" s="16" t="s">
        <v>166</v>
      </c>
      <c r="AP8" s="16" t="s">
        <v>166</v>
      </c>
      <c r="AQ8" s="16" t="s">
        <v>166</v>
      </c>
      <c r="AR8" s="16"/>
      <c r="AS8" s="16" t="s">
        <v>166</v>
      </c>
      <c r="AT8" s="16" t="s">
        <v>166</v>
      </c>
      <c r="AU8" s="16" t="s">
        <v>166</v>
      </c>
      <c r="AV8" s="16" t="s">
        <v>166</v>
      </c>
      <c r="AW8" s="16" t="s">
        <v>166</v>
      </c>
      <c r="AX8" s="16" t="s">
        <v>166</v>
      </c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5">
        <f t="shared" si="3"/>
        <v>28</v>
      </c>
      <c r="EP8" s="5">
        <f t="shared" si="4"/>
        <v>4</v>
      </c>
      <c r="EQ8" s="3"/>
      <c r="ER8" s="3"/>
      <c r="ES8" s="3"/>
      <c r="ET8" s="3"/>
    </row>
    <row r="9" spans="1:150" ht="15.75" x14ac:dyDescent="0.25">
      <c r="A9" s="17">
        <v>4</v>
      </c>
      <c r="B9" s="19"/>
      <c r="C9" s="20" t="s">
        <v>375</v>
      </c>
      <c r="D9" s="21" t="s">
        <v>376</v>
      </c>
      <c r="E9" s="10" t="s">
        <v>27</v>
      </c>
      <c r="F9" s="16" t="s">
        <v>166</v>
      </c>
      <c r="G9" s="16" t="s">
        <v>166</v>
      </c>
      <c r="H9" s="16" t="s">
        <v>166</v>
      </c>
      <c r="I9" s="16"/>
      <c r="J9" s="16" t="s">
        <v>166</v>
      </c>
      <c r="K9" s="16"/>
      <c r="L9" s="16" t="s">
        <v>166</v>
      </c>
      <c r="M9" s="16" t="s">
        <v>166</v>
      </c>
      <c r="N9" s="16" t="s">
        <v>166</v>
      </c>
      <c r="O9" s="16"/>
      <c r="P9" s="16"/>
      <c r="Q9" s="16"/>
      <c r="R9" s="16" t="s">
        <v>165</v>
      </c>
      <c r="S9" s="16" t="s">
        <v>165</v>
      </c>
      <c r="T9" s="16" t="s">
        <v>166</v>
      </c>
      <c r="U9" s="16"/>
      <c r="V9" s="16"/>
      <c r="W9" s="16"/>
      <c r="X9" s="16" t="s">
        <v>165</v>
      </c>
      <c r="Y9" s="16" t="s">
        <v>166</v>
      </c>
      <c r="Z9" s="16" t="s">
        <v>166</v>
      </c>
      <c r="AA9" s="16" t="s">
        <v>166</v>
      </c>
      <c r="AB9" s="16" t="s">
        <v>165</v>
      </c>
      <c r="AC9" s="16" t="s">
        <v>166</v>
      </c>
      <c r="AD9" s="16"/>
      <c r="AE9" s="16" t="s">
        <v>165</v>
      </c>
      <c r="AF9" s="16" t="s">
        <v>166</v>
      </c>
      <c r="AG9" s="16" t="s">
        <v>166</v>
      </c>
      <c r="AH9" s="16" t="s">
        <v>166</v>
      </c>
      <c r="AI9" s="16" t="s">
        <v>166</v>
      </c>
      <c r="AJ9" s="16" t="s">
        <v>166</v>
      </c>
      <c r="AK9" s="16"/>
      <c r="AL9" s="16"/>
      <c r="AM9" s="16"/>
      <c r="AN9" s="16" t="s">
        <v>166</v>
      </c>
      <c r="AO9" s="16" t="s">
        <v>166</v>
      </c>
      <c r="AP9" s="16" t="s">
        <v>166</v>
      </c>
      <c r="AQ9" s="16" t="s">
        <v>166</v>
      </c>
      <c r="AR9" s="16"/>
      <c r="AS9" s="16" t="s">
        <v>166</v>
      </c>
      <c r="AT9" s="16" t="s">
        <v>166</v>
      </c>
      <c r="AU9" s="16" t="s">
        <v>166</v>
      </c>
      <c r="AV9" s="16" t="s">
        <v>166</v>
      </c>
      <c r="AW9" s="16" t="s">
        <v>166</v>
      </c>
      <c r="AX9" s="16" t="s">
        <v>166</v>
      </c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5">
        <f t="shared" si="3"/>
        <v>27</v>
      </c>
      <c r="EP9" s="5">
        <f t="shared" si="4"/>
        <v>5</v>
      </c>
      <c r="EQ9" s="103" t="s">
        <v>12</v>
      </c>
      <c r="ER9" s="105"/>
      <c r="ES9" s="105"/>
      <c r="ET9" s="104"/>
    </row>
    <row r="10" spans="1:150" x14ac:dyDescent="0.25">
      <c r="A10" s="6">
        <v>5</v>
      </c>
      <c r="B10" s="19"/>
      <c r="C10" s="20" t="s">
        <v>272</v>
      </c>
      <c r="D10" s="21" t="s">
        <v>57</v>
      </c>
      <c r="E10" s="10" t="s">
        <v>27</v>
      </c>
      <c r="F10" s="16" t="s">
        <v>166</v>
      </c>
      <c r="G10" s="16" t="s">
        <v>166</v>
      </c>
      <c r="H10" s="16" t="s">
        <v>166</v>
      </c>
      <c r="I10" s="16"/>
      <c r="J10" s="16" t="s">
        <v>166</v>
      </c>
      <c r="K10" s="16"/>
      <c r="L10" s="16" t="s">
        <v>166</v>
      </c>
      <c r="M10" s="16" t="s">
        <v>166</v>
      </c>
      <c r="N10" s="16" t="s">
        <v>166</v>
      </c>
      <c r="O10" s="16"/>
      <c r="P10" s="16"/>
      <c r="Q10" s="16"/>
      <c r="R10" s="16" t="s">
        <v>166</v>
      </c>
      <c r="S10" s="16" t="s">
        <v>165</v>
      </c>
      <c r="T10" s="16" t="s">
        <v>166</v>
      </c>
      <c r="U10" s="16"/>
      <c r="V10" s="16"/>
      <c r="W10" s="16"/>
      <c r="X10" s="16" t="s">
        <v>166</v>
      </c>
      <c r="Y10" s="16" t="s">
        <v>166</v>
      </c>
      <c r="Z10" s="16" t="s">
        <v>166</v>
      </c>
      <c r="AA10" s="16" t="s">
        <v>166</v>
      </c>
      <c r="AB10" s="16" t="s">
        <v>165</v>
      </c>
      <c r="AC10" s="16" t="s">
        <v>166</v>
      </c>
      <c r="AD10" s="16"/>
      <c r="AE10" s="16" t="s">
        <v>166</v>
      </c>
      <c r="AF10" s="16" t="s">
        <v>369</v>
      </c>
      <c r="AG10" s="16" t="s">
        <v>166</v>
      </c>
      <c r="AH10" s="16" t="s">
        <v>369</v>
      </c>
      <c r="AI10" s="16" t="s">
        <v>166</v>
      </c>
      <c r="AJ10" s="16" t="s">
        <v>166</v>
      </c>
      <c r="AK10" s="16"/>
      <c r="AL10" s="16" t="s">
        <v>166</v>
      </c>
      <c r="AM10" s="16"/>
      <c r="AN10" s="16" t="s">
        <v>166</v>
      </c>
      <c r="AO10" s="16" t="s">
        <v>166</v>
      </c>
      <c r="AP10" s="16" t="s">
        <v>166</v>
      </c>
      <c r="AQ10" s="16" t="s">
        <v>165</v>
      </c>
      <c r="AR10" s="16"/>
      <c r="AS10" s="16" t="s">
        <v>166</v>
      </c>
      <c r="AT10" s="16" t="s">
        <v>166</v>
      </c>
      <c r="AU10" s="16" t="s">
        <v>166</v>
      </c>
      <c r="AV10" s="16" t="s">
        <v>166</v>
      </c>
      <c r="AW10" s="16" t="s">
        <v>166</v>
      </c>
      <c r="AX10" s="16" t="s">
        <v>165</v>
      </c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5">
        <f t="shared" si="3"/>
        <v>27</v>
      </c>
      <c r="EP10" s="5">
        <f t="shared" si="4"/>
        <v>4</v>
      </c>
      <c r="EQ10" s="5" t="s">
        <v>13</v>
      </c>
      <c r="ER10" s="5" t="s">
        <v>14</v>
      </c>
      <c r="ES10" s="5" t="s">
        <v>15</v>
      </c>
      <c r="ET10" s="5" t="s">
        <v>16</v>
      </c>
    </row>
    <row r="11" spans="1:150" x14ac:dyDescent="0.25">
      <c r="A11" s="17">
        <v>6</v>
      </c>
      <c r="B11" s="19"/>
      <c r="C11" s="20" t="s">
        <v>310</v>
      </c>
      <c r="D11" s="21" t="s">
        <v>377</v>
      </c>
      <c r="E11" s="10" t="s">
        <v>27</v>
      </c>
      <c r="F11" s="16" t="s">
        <v>166</v>
      </c>
      <c r="G11" s="16" t="s">
        <v>166</v>
      </c>
      <c r="H11" s="16" t="s">
        <v>166</v>
      </c>
      <c r="I11" s="16"/>
      <c r="J11" s="16" t="s">
        <v>166</v>
      </c>
      <c r="K11" s="16"/>
      <c r="L11" s="16" t="s">
        <v>166</v>
      </c>
      <c r="M11" s="16" t="s">
        <v>166</v>
      </c>
      <c r="N11" s="16" t="s">
        <v>166</v>
      </c>
      <c r="O11" s="16"/>
      <c r="P11" s="16"/>
      <c r="Q11" s="16"/>
      <c r="R11" s="16" t="s">
        <v>165</v>
      </c>
      <c r="S11" s="16" t="s">
        <v>165</v>
      </c>
      <c r="T11" s="16" t="s">
        <v>165</v>
      </c>
      <c r="U11" s="16"/>
      <c r="V11" s="16"/>
      <c r="W11" s="16"/>
      <c r="X11" s="16" t="s">
        <v>166</v>
      </c>
      <c r="Y11" s="16" t="s">
        <v>166</v>
      </c>
      <c r="Z11" s="16" t="s">
        <v>166</v>
      </c>
      <c r="AA11" s="16" t="s">
        <v>166</v>
      </c>
      <c r="AB11" s="16" t="s">
        <v>166</v>
      </c>
      <c r="AC11" s="16" t="s">
        <v>166</v>
      </c>
      <c r="AD11" s="16"/>
      <c r="AE11" s="16" t="s">
        <v>166</v>
      </c>
      <c r="AF11" s="16" t="s">
        <v>166</v>
      </c>
      <c r="AG11" s="16" t="s">
        <v>166</v>
      </c>
      <c r="AH11" s="16" t="s">
        <v>166</v>
      </c>
      <c r="AI11" s="16" t="s">
        <v>166</v>
      </c>
      <c r="AJ11" s="16" t="s">
        <v>166</v>
      </c>
      <c r="AK11" s="16"/>
      <c r="AL11" s="16" t="s">
        <v>166</v>
      </c>
      <c r="AM11" s="16"/>
      <c r="AN11" s="16" t="s">
        <v>166</v>
      </c>
      <c r="AO11" s="16" t="s">
        <v>166</v>
      </c>
      <c r="AP11" s="16" t="s">
        <v>166</v>
      </c>
      <c r="AQ11" s="16" t="s">
        <v>166</v>
      </c>
      <c r="AR11" s="16"/>
      <c r="AS11" s="16" t="s">
        <v>165</v>
      </c>
      <c r="AT11" s="16" t="s">
        <v>166</v>
      </c>
      <c r="AU11" s="16"/>
      <c r="AV11" s="16" t="s">
        <v>166</v>
      </c>
      <c r="AW11" s="16" t="s">
        <v>166</v>
      </c>
      <c r="AX11" s="16" t="s">
        <v>166</v>
      </c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5">
        <f t="shared" si="3"/>
        <v>28</v>
      </c>
      <c r="EP11" s="5">
        <f t="shared" si="4"/>
        <v>4</v>
      </c>
      <c r="EQ11" s="5" t="s">
        <v>17</v>
      </c>
      <c r="ER11" s="17">
        <f>19*26</f>
        <v>494</v>
      </c>
      <c r="ES11" s="17">
        <f>21*26</f>
        <v>546</v>
      </c>
      <c r="ET11" s="17">
        <f>SUM(ER11:ES11)</f>
        <v>1040</v>
      </c>
    </row>
    <row r="12" spans="1:150" x14ac:dyDescent="0.25">
      <c r="A12" s="6">
        <v>7</v>
      </c>
      <c r="B12" s="19"/>
      <c r="C12" s="20" t="s">
        <v>92</v>
      </c>
      <c r="D12" s="21" t="s">
        <v>326</v>
      </c>
      <c r="E12" s="10" t="s">
        <v>27</v>
      </c>
      <c r="F12" s="16" t="s">
        <v>166</v>
      </c>
      <c r="G12" s="16" t="s">
        <v>166</v>
      </c>
      <c r="H12" s="16" t="s">
        <v>166</v>
      </c>
      <c r="I12" s="16"/>
      <c r="J12" s="16" t="s">
        <v>166</v>
      </c>
      <c r="K12" s="16"/>
      <c r="L12" s="16" t="s">
        <v>166</v>
      </c>
      <c r="M12" s="16" t="s">
        <v>166</v>
      </c>
      <c r="N12" s="16" t="s">
        <v>166</v>
      </c>
      <c r="O12" s="16"/>
      <c r="P12" s="16"/>
      <c r="Q12" s="16"/>
      <c r="R12" s="16" t="s">
        <v>166</v>
      </c>
      <c r="S12" s="16" t="s">
        <v>165</v>
      </c>
      <c r="T12" s="16" t="s">
        <v>166</v>
      </c>
      <c r="U12" s="16"/>
      <c r="V12" s="16"/>
      <c r="W12" s="16"/>
      <c r="X12" s="16" t="s">
        <v>166</v>
      </c>
      <c r="Y12" s="16" t="s">
        <v>166</v>
      </c>
      <c r="Z12" s="16" t="s">
        <v>166</v>
      </c>
      <c r="AA12" s="16" t="s">
        <v>166</v>
      </c>
      <c r="AB12" s="16" t="s">
        <v>166</v>
      </c>
      <c r="AC12" s="16" t="s">
        <v>166</v>
      </c>
      <c r="AD12" s="16"/>
      <c r="AE12" s="16" t="s">
        <v>166</v>
      </c>
      <c r="AF12" s="16" t="s">
        <v>166</v>
      </c>
      <c r="AG12" s="16" t="s">
        <v>166</v>
      </c>
      <c r="AH12" s="16" t="s">
        <v>166</v>
      </c>
      <c r="AI12" s="16" t="s">
        <v>166</v>
      </c>
      <c r="AJ12" s="16"/>
      <c r="AK12" s="16"/>
      <c r="AL12" s="16" t="s">
        <v>166</v>
      </c>
      <c r="AM12" s="16"/>
      <c r="AN12" s="16" t="s">
        <v>166</v>
      </c>
      <c r="AO12" s="16" t="s">
        <v>166</v>
      </c>
      <c r="AP12" s="16" t="s">
        <v>166</v>
      </c>
      <c r="AQ12" s="16" t="s">
        <v>166</v>
      </c>
      <c r="AR12" s="16"/>
      <c r="AS12" s="16" t="s">
        <v>166</v>
      </c>
      <c r="AT12" s="16" t="s">
        <v>166</v>
      </c>
      <c r="AU12" s="16" t="s">
        <v>166</v>
      </c>
      <c r="AV12" s="16" t="s">
        <v>166</v>
      </c>
      <c r="AW12" s="16" t="s">
        <v>166</v>
      </c>
      <c r="AX12" s="16" t="s">
        <v>166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5">
        <f t="shared" si="3"/>
        <v>31</v>
      </c>
      <c r="EP12" s="5">
        <f t="shared" si="4"/>
        <v>1</v>
      </c>
      <c r="EQ12" s="5" t="s">
        <v>18</v>
      </c>
      <c r="ER12" s="17">
        <f>EO7+EO8+EO9+EO12+EO13+EO14+EO16+EO20+EO21+EO22+EO23+EO24+EO25+EO26+EO27+EO29+EO30+EO32+EO43</f>
        <v>508</v>
      </c>
      <c r="ES12" s="17">
        <f>EO6+EO10+EO11+EO15+EO17+EO18+EO19+EO28+EO31+EO33+EO34+EO35+EO36+EO37+EO38+EO39+EO40+EO41+EO42+EO44+EO45</f>
        <v>557</v>
      </c>
      <c r="ET12" s="17">
        <f>ER12+ES12</f>
        <v>1065</v>
      </c>
    </row>
    <row r="13" spans="1:150" x14ac:dyDescent="0.25">
      <c r="A13" s="17">
        <v>8</v>
      </c>
      <c r="B13" s="19"/>
      <c r="C13" s="20" t="s">
        <v>133</v>
      </c>
      <c r="D13" s="21" t="s">
        <v>326</v>
      </c>
      <c r="E13" s="10" t="s">
        <v>27</v>
      </c>
      <c r="F13" s="16" t="s">
        <v>166</v>
      </c>
      <c r="G13" s="16" t="s">
        <v>166</v>
      </c>
      <c r="H13" s="16" t="s">
        <v>166</v>
      </c>
      <c r="I13" s="16"/>
      <c r="J13" s="16" t="s">
        <v>166</v>
      </c>
      <c r="K13" s="16"/>
      <c r="L13" s="16" t="s">
        <v>166</v>
      </c>
      <c r="M13" s="16" t="s">
        <v>166</v>
      </c>
      <c r="N13" s="16" t="s">
        <v>166</v>
      </c>
      <c r="O13" s="16"/>
      <c r="P13" s="16"/>
      <c r="Q13" s="16"/>
      <c r="R13" s="16" t="s">
        <v>166</v>
      </c>
      <c r="S13" s="16" t="s">
        <v>165</v>
      </c>
      <c r="T13" s="16" t="s">
        <v>166</v>
      </c>
      <c r="U13" s="16"/>
      <c r="V13" s="16"/>
      <c r="W13" s="16"/>
      <c r="X13" s="16" t="s">
        <v>166</v>
      </c>
      <c r="Y13" s="16" t="s">
        <v>166</v>
      </c>
      <c r="Z13" s="16" t="s">
        <v>166</v>
      </c>
      <c r="AA13" s="16" t="s">
        <v>166</v>
      </c>
      <c r="AB13" s="16" t="s">
        <v>166</v>
      </c>
      <c r="AC13" s="16" t="s">
        <v>166</v>
      </c>
      <c r="AD13" s="16"/>
      <c r="AE13" s="16" t="s">
        <v>166</v>
      </c>
      <c r="AF13" s="16" t="s">
        <v>166</v>
      </c>
      <c r="AG13" s="16" t="s">
        <v>166</v>
      </c>
      <c r="AH13" s="16" t="s">
        <v>166</v>
      </c>
      <c r="AI13" s="16"/>
      <c r="AJ13" s="16" t="s">
        <v>166</v>
      </c>
      <c r="AK13" s="16"/>
      <c r="AL13" s="16" t="s">
        <v>166</v>
      </c>
      <c r="AM13" s="16"/>
      <c r="AN13" s="16" t="s">
        <v>166</v>
      </c>
      <c r="AO13" s="16" t="s">
        <v>166</v>
      </c>
      <c r="AP13" s="16" t="s">
        <v>166</v>
      </c>
      <c r="AQ13" s="16" t="s">
        <v>166</v>
      </c>
      <c r="AR13" s="16"/>
      <c r="AS13" s="16" t="s">
        <v>166</v>
      </c>
      <c r="AT13" s="16" t="s">
        <v>166</v>
      </c>
      <c r="AU13" s="16" t="s">
        <v>166</v>
      </c>
      <c r="AV13" s="16" t="s">
        <v>166</v>
      </c>
      <c r="AW13" s="16" t="s">
        <v>166</v>
      </c>
      <c r="AX13" s="16" t="s">
        <v>166</v>
      </c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5">
        <f t="shared" si="3"/>
        <v>31</v>
      </c>
      <c r="EP13" s="5">
        <f t="shared" si="4"/>
        <v>1</v>
      </c>
      <c r="EQ13" s="5" t="s">
        <v>19</v>
      </c>
      <c r="ER13" s="17">
        <f>ER12/ER11</f>
        <v>1.0283400809716599</v>
      </c>
      <c r="ES13" s="17">
        <f>ES12/ES11</f>
        <v>1.0201465201465201</v>
      </c>
      <c r="ET13" s="17">
        <f>ET12/ET11</f>
        <v>1.0240384615384615</v>
      </c>
    </row>
    <row r="14" spans="1:150" x14ac:dyDescent="0.25">
      <c r="A14" s="6">
        <v>9</v>
      </c>
      <c r="B14" s="19"/>
      <c r="C14" s="20" t="s">
        <v>378</v>
      </c>
      <c r="D14" s="21" t="s">
        <v>305</v>
      </c>
      <c r="E14" s="10" t="s">
        <v>27</v>
      </c>
      <c r="F14" s="16" t="s">
        <v>166</v>
      </c>
      <c r="G14" s="16" t="s">
        <v>166</v>
      </c>
      <c r="H14" s="16" t="s">
        <v>166</v>
      </c>
      <c r="I14" s="16"/>
      <c r="J14" s="16" t="s">
        <v>166</v>
      </c>
      <c r="K14" s="16"/>
      <c r="L14" s="16" t="s">
        <v>166</v>
      </c>
      <c r="M14" s="16" t="s">
        <v>166</v>
      </c>
      <c r="N14" s="16" t="s">
        <v>166</v>
      </c>
      <c r="O14" s="16"/>
      <c r="P14" s="16"/>
      <c r="Q14" s="16"/>
      <c r="R14" s="16" t="s">
        <v>165</v>
      </c>
      <c r="S14" s="16" t="s">
        <v>165</v>
      </c>
      <c r="T14" s="16" t="s">
        <v>166</v>
      </c>
      <c r="U14" s="16"/>
      <c r="V14" s="16"/>
      <c r="W14" s="16"/>
      <c r="X14" s="16" t="s">
        <v>166</v>
      </c>
      <c r="Y14" s="16" t="s">
        <v>166</v>
      </c>
      <c r="Z14" s="16" t="s">
        <v>166</v>
      </c>
      <c r="AA14" s="16" t="s">
        <v>166</v>
      </c>
      <c r="AB14" s="16" t="s">
        <v>166</v>
      </c>
      <c r="AC14" s="16" t="s">
        <v>166</v>
      </c>
      <c r="AD14" s="16"/>
      <c r="AE14" s="16" t="s">
        <v>166</v>
      </c>
      <c r="AF14" s="16" t="s">
        <v>369</v>
      </c>
      <c r="AG14" s="16" t="s">
        <v>369</v>
      </c>
      <c r="AH14" s="16" t="s">
        <v>166</v>
      </c>
      <c r="AI14" s="16" t="s">
        <v>369</v>
      </c>
      <c r="AJ14" s="16" t="s">
        <v>369</v>
      </c>
      <c r="AK14" s="16"/>
      <c r="AL14" s="16" t="s">
        <v>166</v>
      </c>
      <c r="AM14" s="16"/>
      <c r="AN14" s="16" t="s">
        <v>166</v>
      </c>
      <c r="AO14" s="16" t="s">
        <v>166</v>
      </c>
      <c r="AP14" s="16" t="s">
        <v>166</v>
      </c>
      <c r="AQ14" s="16" t="s">
        <v>166</v>
      </c>
      <c r="AR14" s="16"/>
      <c r="AS14" s="16" t="s">
        <v>166</v>
      </c>
      <c r="AT14" s="16" t="s">
        <v>166</v>
      </c>
      <c r="AU14" s="16" t="s">
        <v>166</v>
      </c>
      <c r="AV14" s="16" t="s">
        <v>165</v>
      </c>
      <c r="AW14" s="16" t="s">
        <v>166</v>
      </c>
      <c r="AX14" s="16" t="s">
        <v>166</v>
      </c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5">
        <f t="shared" si="3"/>
        <v>26</v>
      </c>
      <c r="EP14" s="5">
        <f t="shared" si="4"/>
        <v>3</v>
      </c>
      <c r="EQ14" s="3"/>
      <c r="ER14" s="24"/>
      <c r="ES14" s="24"/>
      <c r="ET14" s="24"/>
    </row>
    <row r="15" spans="1:150" x14ac:dyDescent="0.25">
      <c r="A15" s="17">
        <v>10</v>
      </c>
      <c r="B15" s="25"/>
      <c r="C15" s="20" t="s">
        <v>379</v>
      </c>
      <c r="D15" s="21" t="s">
        <v>53</v>
      </c>
      <c r="E15" s="10" t="s">
        <v>27</v>
      </c>
      <c r="F15" s="16" t="s">
        <v>165</v>
      </c>
      <c r="G15" s="16" t="s">
        <v>165</v>
      </c>
      <c r="H15" s="16" t="s">
        <v>166</v>
      </c>
      <c r="I15" s="16"/>
      <c r="J15" s="16" t="s">
        <v>166</v>
      </c>
      <c r="K15" s="16"/>
      <c r="L15" s="16" t="s">
        <v>165</v>
      </c>
      <c r="M15" s="16" t="s">
        <v>166</v>
      </c>
      <c r="N15" s="16" t="s">
        <v>166</v>
      </c>
      <c r="O15" s="16"/>
      <c r="P15" s="16"/>
      <c r="Q15" s="16"/>
      <c r="R15" s="16" t="s">
        <v>166</v>
      </c>
      <c r="S15" s="16" t="s">
        <v>165</v>
      </c>
      <c r="T15" s="16" t="s">
        <v>165</v>
      </c>
      <c r="U15" s="16"/>
      <c r="V15" s="16"/>
      <c r="W15" s="16"/>
      <c r="X15" s="16" t="s">
        <v>166</v>
      </c>
      <c r="Y15" s="16" t="s">
        <v>166</v>
      </c>
      <c r="Z15" s="16" t="s">
        <v>166</v>
      </c>
      <c r="AA15" s="16" t="s">
        <v>166</v>
      </c>
      <c r="AB15" s="16" t="s">
        <v>165</v>
      </c>
      <c r="AC15" s="16" t="s">
        <v>166</v>
      </c>
      <c r="AD15" s="16"/>
      <c r="AE15" s="16" t="s">
        <v>166</v>
      </c>
      <c r="AF15" s="16" t="s">
        <v>166</v>
      </c>
      <c r="AG15" s="16" t="s">
        <v>166</v>
      </c>
      <c r="AH15" s="16" t="s">
        <v>166</v>
      </c>
      <c r="AI15" s="16" t="s">
        <v>166</v>
      </c>
      <c r="AJ15" s="16" t="s">
        <v>166</v>
      </c>
      <c r="AK15" s="16"/>
      <c r="AL15" s="16"/>
      <c r="AM15" s="16"/>
      <c r="AN15" s="16" t="s">
        <v>166</v>
      </c>
      <c r="AO15" s="16" t="s">
        <v>166</v>
      </c>
      <c r="AP15" s="16" t="s">
        <v>166</v>
      </c>
      <c r="AQ15" s="16" t="s">
        <v>166</v>
      </c>
      <c r="AR15" s="16"/>
      <c r="AS15" s="16" t="s">
        <v>166</v>
      </c>
      <c r="AT15" s="16" t="s">
        <v>166</v>
      </c>
      <c r="AU15" s="16" t="s">
        <v>166</v>
      </c>
      <c r="AV15" s="16" t="s">
        <v>166</v>
      </c>
      <c r="AW15" s="16" t="s">
        <v>165</v>
      </c>
      <c r="AX15" s="16" t="s">
        <v>166</v>
      </c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5">
        <f t="shared" si="3"/>
        <v>25</v>
      </c>
      <c r="EP15" s="5">
        <f t="shared" si="4"/>
        <v>7</v>
      </c>
      <c r="EQ15" s="26"/>
      <c r="ER15" s="26"/>
      <c r="ES15" s="26"/>
      <c r="ET15" s="26"/>
    </row>
    <row r="16" spans="1:150" x14ac:dyDescent="0.25">
      <c r="A16" s="6">
        <v>11</v>
      </c>
      <c r="B16" s="19"/>
      <c r="C16" s="20" t="s">
        <v>56</v>
      </c>
      <c r="D16" s="21" t="s">
        <v>337</v>
      </c>
      <c r="E16" s="10" t="s">
        <v>27</v>
      </c>
      <c r="F16" s="16"/>
      <c r="G16" s="16"/>
      <c r="H16" s="16"/>
      <c r="I16" s="16"/>
      <c r="J16" s="16" t="s">
        <v>166</v>
      </c>
      <c r="K16" s="16"/>
      <c r="L16" s="16" t="s">
        <v>166</v>
      </c>
      <c r="M16" s="16" t="s">
        <v>166</v>
      </c>
      <c r="N16" s="16" t="s">
        <v>165</v>
      </c>
      <c r="O16" s="16"/>
      <c r="P16" s="16"/>
      <c r="Q16" s="16"/>
      <c r="R16" s="16" t="s">
        <v>166</v>
      </c>
      <c r="S16" s="16" t="s">
        <v>165</v>
      </c>
      <c r="T16" s="16" t="s">
        <v>165</v>
      </c>
      <c r="U16" s="16"/>
      <c r="V16" s="16"/>
      <c r="W16" s="16"/>
      <c r="X16" s="16" t="s">
        <v>165</v>
      </c>
      <c r="Y16" s="16" t="s">
        <v>166</v>
      </c>
      <c r="Z16" s="16" t="s">
        <v>166</v>
      </c>
      <c r="AA16" s="16" t="s">
        <v>165</v>
      </c>
      <c r="AB16" s="16" t="s">
        <v>166</v>
      </c>
      <c r="AC16" s="16" t="s">
        <v>166</v>
      </c>
      <c r="AD16" s="16"/>
      <c r="AE16" s="16" t="s">
        <v>166</v>
      </c>
      <c r="AF16" s="16" t="s">
        <v>166</v>
      </c>
      <c r="AG16" s="16" t="s">
        <v>166</v>
      </c>
      <c r="AH16" s="16" t="s">
        <v>166</v>
      </c>
      <c r="AI16" s="16" t="s">
        <v>166</v>
      </c>
      <c r="AJ16" s="16" t="s">
        <v>166</v>
      </c>
      <c r="AK16" s="16"/>
      <c r="AL16" s="16" t="s">
        <v>166</v>
      </c>
      <c r="AM16" s="16"/>
      <c r="AN16" s="16" t="s">
        <v>166</v>
      </c>
      <c r="AO16" s="16" t="s">
        <v>166</v>
      </c>
      <c r="AP16" s="16" t="s">
        <v>166</v>
      </c>
      <c r="AQ16" s="16" t="s">
        <v>166</v>
      </c>
      <c r="AR16" s="16"/>
      <c r="AS16" s="16" t="s">
        <v>166</v>
      </c>
      <c r="AT16" s="16" t="s">
        <v>166</v>
      </c>
      <c r="AU16" s="16" t="s">
        <v>166</v>
      </c>
      <c r="AV16" s="16" t="s">
        <v>166</v>
      </c>
      <c r="AW16" s="16" t="s">
        <v>165</v>
      </c>
      <c r="AX16" s="16" t="s">
        <v>166</v>
      </c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5">
        <f t="shared" si="3"/>
        <v>24</v>
      </c>
      <c r="EP16" s="5">
        <f t="shared" si="4"/>
        <v>6</v>
      </c>
      <c r="EQ16" s="3"/>
      <c r="ER16" s="3"/>
      <c r="ES16" s="3"/>
      <c r="ET16" s="3"/>
    </row>
    <row r="17" spans="1:150" ht="15.75" x14ac:dyDescent="0.25">
      <c r="A17" s="17">
        <v>12</v>
      </c>
      <c r="B17" s="19"/>
      <c r="C17" s="20" t="s">
        <v>380</v>
      </c>
      <c r="D17" s="21" t="s">
        <v>381</v>
      </c>
      <c r="E17" s="10" t="s">
        <v>27</v>
      </c>
      <c r="F17" s="16" t="s">
        <v>166</v>
      </c>
      <c r="G17" s="16" t="s">
        <v>166</v>
      </c>
      <c r="H17" s="16" t="s">
        <v>166</v>
      </c>
      <c r="I17" s="16"/>
      <c r="J17" s="16" t="s">
        <v>166</v>
      </c>
      <c r="K17" s="16"/>
      <c r="L17" s="16" t="s">
        <v>165</v>
      </c>
      <c r="M17" s="16" t="s">
        <v>166</v>
      </c>
      <c r="N17" s="16" t="s">
        <v>166</v>
      </c>
      <c r="O17" s="16"/>
      <c r="P17" s="16"/>
      <c r="Q17" s="16"/>
      <c r="R17" s="16" t="s">
        <v>165</v>
      </c>
      <c r="S17" s="16" t="s">
        <v>166</v>
      </c>
      <c r="T17" s="16" t="s">
        <v>166</v>
      </c>
      <c r="U17" s="16"/>
      <c r="V17" s="16"/>
      <c r="W17" s="16"/>
      <c r="X17" s="16" t="s">
        <v>166</v>
      </c>
      <c r="Y17" s="16" t="s">
        <v>166</v>
      </c>
      <c r="Z17" s="16" t="s">
        <v>166</v>
      </c>
      <c r="AA17" s="16" t="s">
        <v>166</v>
      </c>
      <c r="AB17" s="16" t="s">
        <v>166</v>
      </c>
      <c r="AC17" s="16" t="s">
        <v>166</v>
      </c>
      <c r="AD17" s="16"/>
      <c r="AE17" s="16" t="s">
        <v>166</v>
      </c>
      <c r="AF17" s="16" t="s">
        <v>166</v>
      </c>
      <c r="AG17" s="16" t="s">
        <v>166</v>
      </c>
      <c r="AH17" s="16" t="s">
        <v>166</v>
      </c>
      <c r="AI17" s="16" t="s">
        <v>166</v>
      </c>
      <c r="AJ17" s="16" t="s">
        <v>166</v>
      </c>
      <c r="AK17" s="16"/>
      <c r="AL17" s="16" t="s">
        <v>166</v>
      </c>
      <c r="AM17" s="16"/>
      <c r="AN17" s="16" t="s">
        <v>166</v>
      </c>
      <c r="AO17" s="16" t="s">
        <v>166</v>
      </c>
      <c r="AP17" s="16" t="s">
        <v>166</v>
      </c>
      <c r="AQ17" s="16" t="s">
        <v>166</v>
      </c>
      <c r="AR17" s="16"/>
      <c r="AS17" s="16" t="s">
        <v>166</v>
      </c>
      <c r="AT17" s="16" t="s">
        <v>166</v>
      </c>
      <c r="AU17" s="16" t="s">
        <v>166</v>
      </c>
      <c r="AV17" s="16" t="s">
        <v>166</v>
      </c>
      <c r="AW17" s="16" t="s">
        <v>166</v>
      </c>
      <c r="AX17" s="16" t="s">
        <v>165</v>
      </c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5">
        <f t="shared" si="3"/>
        <v>30</v>
      </c>
      <c r="EP17" s="5">
        <f t="shared" si="4"/>
        <v>3</v>
      </c>
      <c r="EQ17" s="103" t="s">
        <v>6</v>
      </c>
      <c r="ER17" s="105"/>
      <c r="ES17" s="105"/>
      <c r="ET17" s="104"/>
    </row>
    <row r="18" spans="1:150" x14ac:dyDescent="0.25">
      <c r="A18" s="6">
        <v>13</v>
      </c>
      <c r="B18" s="19"/>
      <c r="C18" s="20" t="s">
        <v>382</v>
      </c>
      <c r="D18" s="21" t="s">
        <v>182</v>
      </c>
      <c r="E18" s="10" t="s">
        <v>27</v>
      </c>
      <c r="F18" s="16" t="s">
        <v>165</v>
      </c>
      <c r="G18" s="16"/>
      <c r="H18" s="16" t="s">
        <v>166</v>
      </c>
      <c r="I18" s="16"/>
      <c r="J18" s="16" t="s">
        <v>166</v>
      </c>
      <c r="K18" s="16"/>
      <c r="L18" s="16" t="s">
        <v>166</v>
      </c>
      <c r="M18" s="16" t="s">
        <v>166</v>
      </c>
      <c r="N18" s="16" t="s">
        <v>166</v>
      </c>
      <c r="O18" s="16"/>
      <c r="P18" s="16"/>
      <c r="Q18" s="16"/>
      <c r="R18" s="16" t="s">
        <v>165</v>
      </c>
      <c r="S18" s="16" t="s">
        <v>165</v>
      </c>
      <c r="T18" s="16" t="s">
        <v>165</v>
      </c>
      <c r="U18" s="16"/>
      <c r="V18" s="16"/>
      <c r="W18" s="16"/>
      <c r="X18" s="16" t="s">
        <v>166</v>
      </c>
      <c r="Y18" s="16" t="s">
        <v>166</v>
      </c>
      <c r="Z18" s="16" t="s">
        <v>166</v>
      </c>
      <c r="AA18" s="16" t="s">
        <v>166</v>
      </c>
      <c r="AB18" s="16" t="s">
        <v>165</v>
      </c>
      <c r="AC18" s="16" t="s">
        <v>166</v>
      </c>
      <c r="AD18" s="16"/>
      <c r="AE18" s="16" t="s">
        <v>165</v>
      </c>
      <c r="AF18" s="16" t="s">
        <v>166</v>
      </c>
      <c r="AG18" s="16" t="s">
        <v>166</v>
      </c>
      <c r="AH18" s="16" t="s">
        <v>166</v>
      </c>
      <c r="AI18" s="16" t="s">
        <v>166</v>
      </c>
      <c r="AJ18" s="16" t="s">
        <v>166</v>
      </c>
      <c r="AK18" s="16"/>
      <c r="AL18" s="16" t="s">
        <v>166</v>
      </c>
      <c r="AM18" s="16"/>
      <c r="AN18" s="16" t="s">
        <v>166</v>
      </c>
      <c r="AO18" s="16" t="s">
        <v>166</v>
      </c>
      <c r="AP18" s="16" t="s">
        <v>166</v>
      </c>
      <c r="AQ18" s="16" t="s">
        <v>166</v>
      </c>
      <c r="AR18" s="16"/>
      <c r="AS18" s="16" t="s">
        <v>166</v>
      </c>
      <c r="AT18" s="16" t="s">
        <v>166</v>
      </c>
      <c r="AU18" s="16" t="s">
        <v>166</v>
      </c>
      <c r="AV18" s="16" t="s">
        <v>165</v>
      </c>
      <c r="AW18" s="16" t="s">
        <v>166</v>
      </c>
      <c r="AX18" s="16" t="s">
        <v>166</v>
      </c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5">
        <f t="shared" si="3"/>
        <v>25</v>
      </c>
      <c r="EP18" s="5">
        <f t="shared" si="4"/>
        <v>7</v>
      </c>
      <c r="EQ18" s="5" t="s">
        <v>13</v>
      </c>
      <c r="ER18" s="5" t="s">
        <v>14</v>
      </c>
      <c r="ES18" s="5" t="s">
        <v>15</v>
      </c>
      <c r="ET18" s="5" t="s">
        <v>16</v>
      </c>
    </row>
    <row r="19" spans="1:150" x14ac:dyDescent="0.25">
      <c r="A19" s="17">
        <v>14</v>
      </c>
      <c r="B19" s="19"/>
      <c r="C19" s="20" t="s">
        <v>383</v>
      </c>
      <c r="D19" s="21" t="s">
        <v>384</v>
      </c>
      <c r="E19" s="10" t="s">
        <v>27</v>
      </c>
      <c r="F19" s="16" t="s">
        <v>165</v>
      </c>
      <c r="G19" s="16"/>
      <c r="H19" s="16"/>
      <c r="I19" s="16"/>
      <c r="J19" s="16" t="s">
        <v>166</v>
      </c>
      <c r="K19" s="16"/>
      <c r="L19" s="16" t="s">
        <v>166</v>
      </c>
      <c r="M19" s="16" t="s">
        <v>166</v>
      </c>
      <c r="N19" s="16" t="s">
        <v>166</v>
      </c>
      <c r="O19" s="16"/>
      <c r="P19" s="16"/>
      <c r="Q19" s="16"/>
      <c r="R19" s="16" t="s">
        <v>165</v>
      </c>
      <c r="S19" s="16" t="s">
        <v>165</v>
      </c>
      <c r="T19" s="16" t="s">
        <v>165</v>
      </c>
      <c r="U19" s="16"/>
      <c r="V19" s="16"/>
      <c r="W19" s="16"/>
      <c r="X19" s="16" t="s">
        <v>166</v>
      </c>
      <c r="Y19" s="16" t="s">
        <v>166</v>
      </c>
      <c r="Z19" s="16" t="s">
        <v>166</v>
      </c>
      <c r="AA19" s="16" t="s">
        <v>166</v>
      </c>
      <c r="AB19" s="16" t="s">
        <v>166</v>
      </c>
      <c r="AC19" s="16" t="s">
        <v>166</v>
      </c>
      <c r="AD19" s="16"/>
      <c r="AE19" s="16" t="s">
        <v>166</v>
      </c>
      <c r="AF19" s="16" t="s">
        <v>166</v>
      </c>
      <c r="AG19" s="16" t="s">
        <v>166</v>
      </c>
      <c r="AH19" s="16" t="s">
        <v>166</v>
      </c>
      <c r="AI19" s="16" t="s">
        <v>166</v>
      </c>
      <c r="AJ19" s="16" t="s">
        <v>166</v>
      </c>
      <c r="AK19" s="16"/>
      <c r="AL19" s="16" t="s">
        <v>166</v>
      </c>
      <c r="AM19" s="16"/>
      <c r="AN19" s="16" t="s">
        <v>166</v>
      </c>
      <c r="AO19" s="16" t="s">
        <v>166</v>
      </c>
      <c r="AP19" s="16" t="s">
        <v>166</v>
      </c>
      <c r="AQ19" s="16" t="s">
        <v>166</v>
      </c>
      <c r="AR19" s="16"/>
      <c r="AS19" s="16" t="s">
        <v>166</v>
      </c>
      <c r="AT19" s="16" t="s">
        <v>166</v>
      </c>
      <c r="AU19" s="16" t="s">
        <v>166</v>
      </c>
      <c r="AV19" s="16" t="s">
        <v>166</v>
      </c>
      <c r="AW19" s="16" t="s">
        <v>166</v>
      </c>
      <c r="AX19" s="16" t="s">
        <v>166</v>
      </c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5">
        <f t="shared" si="3"/>
        <v>27</v>
      </c>
      <c r="EP19" s="5">
        <f t="shared" si="4"/>
        <v>4</v>
      </c>
      <c r="EQ19" s="5" t="s">
        <v>17</v>
      </c>
      <c r="ER19" s="17">
        <f>19*26</f>
        <v>494</v>
      </c>
      <c r="ES19" s="17">
        <f>21*26</f>
        <v>546</v>
      </c>
      <c r="ET19" s="17">
        <f>ER19+ES19</f>
        <v>1040</v>
      </c>
    </row>
    <row r="20" spans="1:150" x14ac:dyDescent="0.25">
      <c r="A20" s="6">
        <v>15</v>
      </c>
      <c r="B20" s="19"/>
      <c r="C20" s="20" t="s">
        <v>385</v>
      </c>
      <c r="D20" s="21" t="s">
        <v>386</v>
      </c>
      <c r="E20" s="10" t="s">
        <v>27</v>
      </c>
      <c r="F20" s="16" t="s">
        <v>165</v>
      </c>
      <c r="G20" s="16"/>
      <c r="H20" s="16" t="s">
        <v>166</v>
      </c>
      <c r="I20" s="16"/>
      <c r="J20" s="16" t="s">
        <v>166</v>
      </c>
      <c r="K20" s="16"/>
      <c r="L20" s="16" t="s">
        <v>166</v>
      </c>
      <c r="M20" s="16" t="s">
        <v>166</v>
      </c>
      <c r="N20" s="16" t="s">
        <v>166</v>
      </c>
      <c r="O20" s="16" t="s">
        <v>166</v>
      </c>
      <c r="P20" s="16"/>
      <c r="Q20" s="16"/>
      <c r="R20" s="16" t="s">
        <v>166</v>
      </c>
      <c r="S20" s="16" t="s">
        <v>165</v>
      </c>
      <c r="T20" s="16" t="s">
        <v>166</v>
      </c>
      <c r="U20" s="16"/>
      <c r="V20" s="16"/>
      <c r="W20" s="16"/>
      <c r="X20" s="16" t="s">
        <v>166</v>
      </c>
      <c r="Y20" s="16" t="s">
        <v>166</v>
      </c>
      <c r="Z20" s="16" t="s">
        <v>166</v>
      </c>
      <c r="AA20" s="16" t="s">
        <v>166</v>
      </c>
      <c r="AB20" s="16" t="s">
        <v>166</v>
      </c>
      <c r="AC20" s="16" t="s">
        <v>166</v>
      </c>
      <c r="AD20" s="16"/>
      <c r="AE20" s="16" t="s">
        <v>166</v>
      </c>
      <c r="AF20" s="16" t="s">
        <v>166</v>
      </c>
      <c r="AG20" s="16" t="s">
        <v>166</v>
      </c>
      <c r="AH20" s="16" t="s">
        <v>166</v>
      </c>
      <c r="AI20" s="16" t="s">
        <v>166</v>
      </c>
      <c r="AJ20" s="16" t="s">
        <v>166</v>
      </c>
      <c r="AK20" s="16"/>
      <c r="AL20" s="16"/>
      <c r="AM20" s="16"/>
      <c r="AN20" s="16" t="s">
        <v>166</v>
      </c>
      <c r="AO20" s="16" t="s">
        <v>166</v>
      </c>
      <c r="AP20" s="16" t="s">
        <v>166</v>
      </c>
      <c r="AQ20" s="16" t="s">
        <v>166</v>
      </c>
      <c r="AR20" s="16"/>
      <c r="AS20" s="16" t="s">
        <v>166</v>
      </c>
      <c r="AT20" s="16" t="s">
        <v>166</v>
      </c>
      <c r="AU20" s="16" t="s">
        <v>166</v>
      </c>
      <c r="AV20" s="16" t="s">
        <v>166</v>
      </c>
      <c r="AW20" s="16" t="s">
        <v>166</v>
      </c>
      <c r="AX20" s="16" t="s">
        <v>166</v>
      </c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5">
        <f t="shared" si="3"/>
        <v>30</v>
      </c>
      <c r="EP20" s="5">
        <f t="shared" si="4"/>
        <v>2</v>
      </c>
      <c r="EQ20" s="5" t="s">
        <v>20</v>
      </c>
      <c r="ER20" s="17">
        <f>ER19-ER12</f>
        <v>-14</v>
      </c>
      <c r="ES20" s="17">
        <f>ES19-ES12</f>
        <v>-11</v>
      </c>
      <c r="ET20" s="17">
        <f>ER20+ES20</f>
        <v>-25</v>
      </c>
    </row>
    <row r="21" spans="1:150" x14ac:dyDescent="0.25">
      <c r="A21" s="17">
        <v>16</v>
      </c>
      <c r="B21" s="19"/>
      <c r="C21" s="20" t="s">
        <v>387</v>
      </c>
      <c r="D21" s="21" t="s">
        <v>107</v>
      </c>
      <c r="E21" s="10" t="s">
        <v>27</v>
      </c>
      <c r="F21" s="16" t="s">
        <v>165</v>
      </c>
      <c r="G21" s="16"/>
      <c r="H21" s="16" t="s">
        <v>166</v>
      </c>
      <c r="I21" s="16"/>
      <c r="J21" s="16" t="s">
        <v>166</v>
      </c>
      <c r="K21" s="16"/>
      <c r="L21" s="16" t="s">
        <v>166</v>
      </c>
      <c r="M21" s="16" t="s">
        <v>166</v>
      </c>
      <c r="N21" s="16" t="s">
        <v>166</v>
      </c>
      <c r="O21" s="16" t="s">
        <v>165</v>
      </c>
      <c r="P21" s="16"/>
      <c r="Q21" s="16"/>
      <c r="R21" s="16" t="s">
        <v>165</v>
      </c>
      <c r="S21" s="16" t="s">
        <v>165</v>
      </c>
      <c r="T21" s="16" t="s">
        <v>166</v>
      </c>
      <c r="U21" s="16"/>
      <c r="V21" s="16"/>
      <c r="W21" s="16"/>
      <c r="X21" s="16" t="s">
        <v>166</v>
      </c>
      <c r="Y21" s="16" t="s">
        <v>166</v>
      </c>
      <c r="Z21" s="16" t="s">
        <v>166</v>
      </c>
      <c r="AA21" s="16" t="s">
        <v>166</v>
      </c>
      <c r="AB21" s="16" t="s">
        <v>166</v>
      </c>
      <c r="AC21" s="16" t="s">
        <v>166</v>
      </c>
      <c r="AD21" s="16"/>
      <c r="AE21" s="16" t="s">
        <v>166</v>
      </c>
      <c r="AF21" s="16" t="s">
        <v>166</v>
      </c>
      <c r="AG21" s="16" t="s">
        <v>166</v>
      </c>
      <c r="AH21" s="16" t="s">
        <v>166</v>
      </c>
      <c r="AI21" s="16" t="s">
        <v>166</v>
      </c>
      <c r="AJ21" s="16" t="s">
        <v>166</v>
      </c>
      <c r="AK21" s="16"/>
      <c r="AL21" s="16" t="s">
        <v>166</v>
      </c>
      <c r="AM21" s="16"/>
      <c r="AN21" s="16" t="s">
        <v>166</v>
      </c>
      <c r="AO21" s="16" t="s">
        <v>166</v>
      </c>
      <c r="AP21" s="16" t="s">
        <v>166</v>
      </c>
      <c r="AQ21" s="16" t="s">
        <v>166</v>
      </c>
      <c r="AR21" s="16"/>
      <c r="AS21" s="16" t="s">
        <v>166</v>
      </c>
      <c r="AT21" s="16" t="s">
        <v>166</v>
      </c>
      <c r="AU21" s="16" t="s">
        <v>166</v>
      </c>
      <c r="AV21" s="16" t="s">
        <v>166</v>
      </c>
      <c r="AW21" s="16" t="s">
        <v>166</v>
      </c>
      <c r="AX21" s="16" t="s">
        <v>166</v>
      </c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5">
        <f t="shared" si="3"/>
        <v>29</v>
      </c>
      <c r="EP21" s="5">
        <f t="shared" si="4"/>
        <v>4</v>
      </c>
      <c r="EQ21" s="5" t="s">
        <v>16</v>
      </c>
      <c r="ER21" s="27">
        <f>ER20/ER19</f>
        <v>-2.8340080971659919E-2</v>
      </c>
      <c r="ES21" s="27">
        <f>ES20/ES19</f>
        <v>-2.0146520146520148E-2</v>
      </c>
      <c r="ET21" s="27">
        <f>ET20/ET19</f>
        <v>-2.403846153846154E-2</v>
      </c>
    </row>
    <row r="22" spans="1:150" x14ac:dyDescent="0.25">
      <c r="A22" s="6">
        <v>17</v>
      </c>
      <c r="B22" s="19"/>
      <c r="C22" s="20" t="s">
        <v>388</v>
      </c>
      <c r="D22" s="21" t="s">
        <v>182</v>
      </c>
      <c r="E22" s="10" t="s">
        <v>27</v>
      </c>
      <c r="F22" s="16" t="s">
        <v>165</v>
      </c>
      <c r="G22" s="16"/>
      <c r="H22" s="16" t="s">
        <v>166</v>
      </c>
      <c r="I22" s="16"/>
      <c r="J22" s="16" t="s">
        <v>166</v>
      </c>
      <c r="K22" s="16"/>
      <c r="L22" s="16" t="s">
        <v>166</v>
      </c>
      <c r="M22" s="16" t="s">
        <v>166</v>
      </c>
      <c r="N22" s="16" t="s">
        <v>166</v>
      </c>
      <c r="O22" s="16" t="s">
        <v>166</v>
      </c>
      <c r="P22" s="16"/>
      <c r="Q22" s="16"/>
      <c r="R22" s="16" t="s">
        <v>166</v>
      </c>
      <c r="S22" s="16" t="s">
        <v>165</v>
      </c>
      <c r="T22" s="16" t="s">
        <v>166</v>
      </c>
      <c r="U22" s="16"/>
      <c r="V22" s="16"/>
      <c r="W22" s="16"/>
      <c r="X22" s="16" t="s">
        <v>166</v>
      </c>
      <c r="Y22" s="16" t="s">
        <v>166</v>
      </c>
      <c r="Z22" s="16" t="s">
        <v>166</v>
      </c>
      <c r="AA22" s="16" t="s">
        <v>166</v>
      </c>
      <c r="AB22" s="16" t="s">
        <v>166</v>
      </c>
      <c r="AC22" s="16" t="s">
        <v>166</v>
      </c>
      <c r="AD22" s="16"/>
      <c r="AE22" s="16" t="s">
        <v>166</v>
      </c>
      <c r="AF22" s="16" t="s">
        <v>166</v>
      </c>
      <c r="AG22" s="16" t="s">
        <v>166</v>
      </c>
      <c r="AH22" s="16" t="s">
        <v>166</v>
      </c>
      <c r="AI22" s="16" t="s">
        <v>166</v>
      </c>
      <c r="AJ22" s="16" t="s">
        <v>166</v>
      </c>
      <c r="AK22" s="16"/>
      <c r="AL22" s="16" t="s">
        <v>166</v>
      </c>
      <c r="AM22" s="16"/>
      <c r="AN22" s="16" t="s">
        <v>166</v>
      </c>
      <c r="AO22" s="16" t="s">
        <v>166</v>
      </c>
      <c r="AP22" s="16" t="s">
        <v>166</v>
      </c>
      <c r="AQ22" s="16" t="s">
        <v>166</v>
      </c>
      <c r="AR22" s="16"/>
      <c r="AS22" s="16" t="s">
        <v>166</v>
      </c>
      <c r="AT22" s="16" t="s">
        <v>166</v>
      </c>
      <c r="AU22" s="16" t="s">
        <v>166</v>
      </c>
      <c r="AV22" s="16" t="s">
        <v>166</v>
      </c>
      <c r="AW22" s="16" t="s">
        <v>166</v>
      </c>
      <c r="AX22" s="16" t="s">
        <v>166</v>
      </c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5">
        <f t="shared" si="3"/>
        <v>31</v>
      </c>
      <c r="EP22" s="5">
        <f t="shared" si="4"/>
        <v>2</v>
      </c>
    </row>
    <row r="23" spans="1:150" x14ac:dyDescent="0.25">
      <c r="A23" s="17">
        <v>18</v>
      </c>
      <c r="B23" s="19"/>
      <c r="C23" s="20" t="s">
        <v>389</v>
      </c>
      <c r="D23" s="21" t="s">
        <v>179</v>
      </c>
      <c r="E23" s="10" t="s">
        <v>27</v>
      </c>
      <c r="F23" s="16"/>
      <c r="G23" s="16"/>
      <c r="H23" s="16" t="s">
        <v>166</v>
      </c>
      <c r="I23" s="16"/>
      <c r="J23" s="16" t="s">
        <v>166</v>
      </c>
      <c r="K23" s="16"/>
      <c r="L23" s="16" t="s">
        <v>166</v>
      </c>
      <c r="M23" s="16" t="s">
        <v>166</v>
      </c>
      <c r="N23" s="16" t="s">
        <v>166</v>
      </c>
      <c r="O23" s="16" t="s">
        <v>165</v>
      </c>
      <c r="P23" s="16"/>
      <c r="Q23" s="16"/>
      <c r="R23" s="16" t="s">
        <v>166</v>
      </c>
      <c r="S23" s="16" t="s">
        <v>165</v>
      </c>
      <c r="T23" s="16" t="s">
        <v>166</v>
      </c>
      <c r="U23" s="16"/>
      <c r="V23" s="16"/>
      <c r="W23" s="16"/>
      <c r="X23" s="16" t="s">
        <v>166</v>
      </c>
      <c r="Y23" s="16" t="s">
        <v>166</v>
      </c>
      <c r="Z23" s="16" t="s">
        <v>166</v>
      </c>
      <c r="AA23" s="16" t="s">
        <v>166</v>
      </c>
      <c r="AB23" s="16" t="s">
        <v>166</v>
      </c>
      <c r="AC23" s="16" t="s">
        <v>166</v>
      </c>
      <c r="AD23" s="16"/>
      <c r="AE23" s="16" t="s">
        <v>166</v>
      </c>
      <c r="AF23" s="16" t="s">
        <v>166</v>
      </c>
      <c r="AG23" s="16" t="s">
        <v>166</v>
      </c>
      <c r="AH23" s="16" t="s">
        <v>166</v>
      </c>
      <c r="AI23" s="16" t="s">
        <v>166</v>
      </c>
      <c r="AJ23" s="16" t="s">
        <v>166</v>
      </c>
      <c r="AK23" s="16"/>
      <c r="AL23" s="16" t="s">
        <v>166</v>
      </c>
      <c r="AM23" s="16"/>
      <c r="AN23" s="16" t="s">
        <v>166</v>
      </c>
      <c r="AO23" s="16" t="s">
        <v>166</v>
      </c>
      <c r="AP23" s="16" t="s">
        <v>166</v>
      </c>
      <c r="AQ23" s="16" t="s">
        <v>166</v>
      </c>
      <c r="AR23" s="16"/>
      <c r="AS23" s="16" t="s">
        <v>166</v>
      </c>
      <c r="AT23" s="16" t="s">
        <v>166</v>
      </c>
      <c r="AU23" s="16" t="s">
        <v>166</v>
      </c>
      <c r="AV23" s="16" t="s">
        <v>166</v>
      </c>
      <c r="AW23" s="16" t="s">
        <v>166</v>
      </c>
      <c r="AX23" s="16" t="s">
        <v>166</v>
      </c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5">
        <f t="shared" si="3"/>
        <v>30</v>
      </c>
      <c r="EP23" s="5">
        <f t="shared" si="4"/>
        <v>2</v>
      </c>
    </row>
    <row r="24" spans="1:150" x14ac:dyDescent="0.25">
      <c r="A24" s="6">
        <v>19</v>
      </c>
      <c r="B24" s="19"/>
      <c r="C24" s="20" t="s">
        <v>390</v>
      </c>
      <c r="D24" s="21" t="s">
        <v>181</v>
      </c>
      <c r="E24" s="10" t="s">
        <v>27</v>
      </c>
      <c r="F24" s="16" t="s">
        <v>165</v>
      </c>
      <c r="G24" s="16" t="s">
        <v>166</v>
      </c>
      <c r="H24" s="16" t="s">
        <v>166</v>
      </c>
      <c r="I24" s="16"/>
      <c r="J24" s="16" t="s">
        <v>166</v>
      </c>
      <c r="K24" s="16"/>
      <c r="L24" s="16" t="s">
        <v>166</v>
      </c>
      <c r="M24" s="16" t="s">
        <v>165</v>
      </c>
      <c r="N24" s="16" t="s">
        <v>166</v>
      </c>
      <c r="O24" s="16" t="s">
        <v>165</v>
      </c>
      <c r="P24" s="16"/>
      <c r="Q24" s="16"/>
      <c r="R24" s="16" t="s">
        <v>166</v>
      </c>
      <c r="S24" s="16" t="s">
        <v>165</v>
      </c>
      <c r="T24" s="16" t="s">
        <v>166</v>
      </c>
      <c r="U24" s="16"/>
      <c r="V24" s="16"/>
      <c r="W24" s="16"/>
      <c r="X24" s="16" t="s">
        <v>166</v>
      </c>
      <c r="Y24" s="16" t="s">
        <v>166</v>
      </c>
      <c r="Z24" s="16" t="s">
        <v>166</v>
      </c>
      <c r="AA24" s="16" t="s">
        <v>166</v>
      </c>
      <c r="AB24" s="16" t="s">
        <v>165</v>
      </c>
      <c r="AC24" s="16" t="s">
        <v>166</v>
      </c>
      <c r="AD24" s="16"/>
      <c r="AE24" s="16" t="s">
        <v>166</v>
      </c>
      <c r="AF24" s="16" t="s">
        <v>166</v>
      </c>
      <c r="AG24" s="16" t="s">
        <v>166</v>
      </c>
      <c r="AH24" s="16" t="s">
        <v>166</v>
      </c>
      <c r="AI24" s="16" t="s">
        <v>166</v>
      </c>
      <c r="AJ24" s="16" t="s">
        <v>166</v>
      </c>
      <c r="AK24" s="16"/>
      <c r="AL24" s="16" t="s">
        <v>166</v>
      </c>
      <c r="AM24" s="16"/>
      <c r="AN24" s="16" t="s">
        <v>166</v>
      </c>
      <c r="AO24" s="16" t="s">
        <v>166</v>
      </c>
      <c r="AP24" s="16" t="s">
        <v>166</v>
      </c>
      <c r="AQ24" s="16" t="s">
        <v>165</v>
      </c>
      <c r="AR24" s="16"/>
      <c r="AS24" s="16" t="s">
        <v>166</v>
      </c>
      <c r="AT24" s="16" t="s">
        <v>165</v>
      </c>
      <c r="AU24" s="16"/>
      <c r="AV24" s="16" t="s">
        <v>166</v>
      </c>
      <c r="AW24" s="16" t="s">
        <v>166</v>
      </c>
      <c r="AX24" s="16" t="s">
        <v>166</v>
      </c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5">
        <f t="shared" si="3"/>
        <v>26</v>
      </c>
      <c r="EP24" s="5">
        <f t="shared" si="4"/>
        <v>7</v>
      </c>
    </row>
    <row r="25" spans="1:150" x14ac:dyDescent="0.25">
      <c r="A25" s="17">
        <v>20</v>
      </c>
      <c r="B25" s="19"/>
      <c r="C25" s="20" t="s">
        <v>303</v>
      </c>
      <c r="D25" s="21" t="s">
        <v>224</v>
      </c>
      <c r="E25" s="10" t="s">
        <v>27</v>
      </c>
      <c r="F25" s="16" t="s">
        <v>165</v>
      </c>
      <c r="G25" s="16" t="s">
        <v>166</v>
      </c>
      <c r="H25" s="16" t="s">
        <v>166</v>
      </c>
      <c r="I25" s="16"/>
      <c r="J25" s="16" t="s">
        <v>166</v>
      </c>
      <c r="K25" s="16"/>
      <c r="L25" s="16" t="s">
        <v>166</v>
      </c>
      <c r="M25" s="16" t="s">
        <v>166</v>
      </c>
      <c r="N25" s="16" t="s">
        <v>166</v>
      </c>
      <c r="O25" s="16" t="s">
        <v>166</v>
      </c>
      <c r="P25" s="16"/>
      <c r="Q25" s="16"/>
      <c r="R25" s="16" t="s">
        <v>166</v>
      </c>
      <c r="S25" s="16" t="s">
        <v>166</v>
      </c>
      <c r="T25" s="16" t="s">
        <v>166</v>
      </c>
      <c r="U25" s="16"/>
      <c r="V25" s="16"/>
      <c r="W25" s="16"/>
      <c r="X25" s="16" t="s">
        <v>166</v>
      </c>
      <c r="Y25" s="16" t="s">
        <v>166</v>
      </c>
      <c r="Z25" s="16" t="s">
        <v>166</v>
      </c>
      <c r="AA25" s="16" t="s">
        <v>166</v>
      </c>
      <c r="AB25" s="16" t="s">
        <v>165</v>
      </c>
      <c r="AC25" s="16" t="s">
        <v>166</v>
      </c>
      <c r="AD25" s="16"/>
      <c r="AE25" s="16" t="s">
        <v>166</v>
      </c>
      <c r="AF25" s="16" t="s">
        <v>166</v>
      </c>
      <c r="AG25" s="16" t="s">
        <v>166</v>
      </c>
      <c r="AH25" s="16" t="s">
        <v>166</v>
      </c>
      <c r="AI25" s="16" t="s">
        <v>166</v>
      </c>
      <c r="AJ25" s="16" t="s">
        <v>166</v>
      </c>
      <c r="AK25" s="16"/>
      <c r="AL25" s="16" t="s">
        <v>166</v>
      </c>
      <c r="AM25" s="16"/>
      <c r="AN25" s="16" t="s">
        <v>166</v>
      </c>
      <c r="AO25" s="16" t="s">
        <v>166</v>
      </c>
      <c r="AP25" s="16" t="s">
        <v>166</v>
      </c>
      <c r="AQ25" s="16" t="s">
        <v>166</v>
      </c>
      <c r="AR25" s="16"/>
      <c r="AS25" s="16" t="s">
        <v>166</v>
      </c>
      <c r="AT25" s="16" t="s">
        <v>166</v>
      </c>
      <c r="AU25" s="16" t="s">
        <v>166</v>
      </c>
      <c r="AV25" s="16" t="s">
        <v>166</v>
      </c>
      <c r="AW25" s="16" t="s">
        <v>166</v>
      </c>
      <c r="AX25" s="16" t="s">
        <v>166</v>
      </c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5">
        <f t="shared" si="3"/>
        <v>32</v>
      </c>
      <c r="EP25" s="5">
        <f t="shared" si="4"/>
        <v>2</v>
      </c>
    </row>
    <row r="26" spans="1:150" x14ac:dyDescent="0.25">
      <c r="A26" s="6">
        <v>21</v>
      </c>
      <c r="B26" s="19"/>
      <c r="C26" s="20" t="s">
        <v>391</v>
      </c>
      <c r="D26" s="21" t="s">
        <v>392</v>
      </c>
      <c r="E26" s="10" t="s">
        <v>27</v>
      </c>
      <c r="F26" s="16" t="s">
        <v>166</v>
      </c>
      <c r="G26" s="16" t="s">
        <v>166</v>
      </c>
      <c r="H26" s="16" t="s">
        <v>166</v>
      </c>
      <c r="I26" s="16"/>
      <c r="J26" s="16" t="s">
        <v>166</v>
      </c>
      <c r="K26" s="16"/>
      <c r="L26" s="16" t="s">
        <v>166</v>
      </c>
      <c r="M26" s="16" t="s">
        <v>166</v>
      </c>
      <c r="N26" s="16" t="s">
        <v>166</v>
      </c>
      <c r="O26" s="16"/>
      <c r="P26" s="16"/>
      <c r="Q26" s="16"/>
      <c r="R26" s="16" t="s">
        <v>165</v>
      </c>
      <c r="S26" s="16" t="s">
        <v>166</v>
      </c>
      <c r="T26" s="16" t="s">
        <v>165</v>
      </c>
      <c r="U26" s="16"/>
      <c r="V26" s="16"/>
      <c r="W26" s="16"/>
      <c r="X26" s="16" t="s">
        <v>166</v>
      </c>
      <c r="Y26" s="16" t="s">
        <v>166</v>
      </c>
      <c r="Z26" s="16" t="s">
        <v>166</v>
      </c>
      <c r="AA26" s="16" t="s">
        <v>166</v>
      </c>
      <c r="AB26" s="16" t="s">
        <v>166</v>
      </c>
      <c r="AC26" s="16" t="s">
        <v>166</v>
      </c>
      <c r="AD26" s="16"/>
      <c r="AE26" s="16" t="s">
        <v>166</v>
      </c>
      <c r="AF26" s="16" t="s">
        <v>166</v>
      </c>
      <c r="AG26" s="16" t="s">
        <v>166</v>
      </c>
      <c r="AH26" s="16" t="s">
        <v>166</v>
      </c>
      <c r="AI26" s="16" t="s">
        <v>166</v>
      </c>
      <c r="AJ26" s="16" t="s">
        <v>166</v>
      </c>
      <c r="AK26" s="16"/>
      <c r="AL26" s="16" t="s">
        <v>166</v>
      </c>
      <c r="AM26" s="16"/>
      <c r="AN26" s="16" t="s">
        <v>166</v>
      </c>
      <c r="AO26" s="16" t="s">
        <v>166</v>
      </c>
      <c r="AP26" s="16" t="s">
        <v>166</v>
      </c>
      <c r="AQ26" s="16" t="s">
        <v>165</v>
      </c>
      <c r="AR26" s="16"/>
      <c r="AS26" s="16" t="s">
        <v>166</v>
      </c>
      <c r="AT26" s="16" t="s">
        <v>166</v>
      </c>
      <c r="AU26" s="16" t="s">
        <v>166</v>
      </c>
      <c r="AV26" s="16" t="s">
        <v>166</v>
      </c>
      <c r="AW26" s="16" t="s">
        <v>166</v>
      </c>
      <c r="AX26" s="16" t="s">
        <v>166</v>
      </c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5">
        <f t="shared" si="3"/>
        <v>30</v>
      </c>
      <c r="EP26" s="5">
        <f t="shared" si="4"/>
        <v>3</v>
      </c>
    </row>
    <row r="27" spans="1:150" x14ac:dyDescent="0.25">
      <c r="A27" s="17">
        <v>22</v>
      </c>
      <c r="B27" s="19"/>
      <c r="C27" s="20" t="s">
        <v>393</v>
      </c>
      <c r="D27" s="21" t="s">
        <v>394</v>
      </c>
      <c r="E27" s="10" t="s">
        <v>27</v>
      </c>
      <c r="F27" s="16" t="s">
        <v>165</v>
      </c>
      <c r="G27" s="16"/>
      <c r="H27" s="16" t="s">
        <v>166</v>
      </c>
      <c r="I27" s="16"/>
      <c r="J27" s="16" t="s">
        <v>166</v>
      </c>
      <c r="K27" s="16"/>
      <c r="L27" s="16" t="s">
        <v>166</v>
      </c>
      <c r="M27" s="16" t="s">
        <v>166</v>
      </c>
      <c r="N27" s="16" t="s">
        <v>166</v>
      </c>
      <c r="O27" s="16" t="s">
        <v>166</v>
      </c>
      <c r="P27" s="16"/>
      <c r="Q27" s="16"/>
      <c r="R27" s="16" t="s">
        <v>166</v>
      </c>
      <c r="S27" s="16" t="s">
        <v>165</v>
      </c>
      <c r="T27" s="16" t="s">
        <v>166</v>
      </c>
      <c r="U27" s="16"/>
      <c r="V27" s="16"/>
      <c r="W27" s="16"/>
      <c r="X27" s="16" t="s">
        <v>166</v>
      </c>
      <c r="Y27" s="16" t="s">
        <v>166</v>
      </c>
      <c r="Z27" s="16" t="s">
        <v>369</v>
      </c>
      <c r="AA27" s="16" t="s">
        <v>166</v>
      </c>
      <c r="AB27" s="16" t="s">
        <v>166</v>
      </c>
      <c r="AC27" s="16" t="s">
        <v>369</v>
      </c>
      <c r="AD27" s="16"/>
      <c r="AE27" s="16" t="s">
        <v>166</v>
      </c>
      <c r="AF27" s="16" t="s">
        <v>166</v>
      </c>
      <c r="AG27" s="16" t="s">
        <v>166</v>
      </c>
      <c r="AH27" s="16" t="s">
        <v>166</v>
      </c>
      <c r="AI27" s="16" t="s">
        <v>166</v>
      </c>
      <c r="AJ27" s="16" t="s">
        <v>166</v>
      </c>
      <c r="AK27" s="16"/>
      <c r="AL27" s="16" t="s">
        <v>166</v>
      </c>
      <c r="AM27" s="16"/>
      <c r="AN27" s="16" t="s">
        <v>166</v>
      </c>
      <c r="AO27" s="16" t="s">
        <v>166</v>
      </c>
      <c r="AP27" s="16" t="s">
        <v>166</v>
      </c>
      <c r="AQ27" s="16" t="s">
        <v>166</v>
      </c>
      <c r="AR27" s="16"/>
      <c r="AS27" s="16" t="s">
        <v>166</v>
      </c>
      <c r="AT27" s="16" t="s">
        <v>166</v>
      </c>
      <c r="AU27" s="16" t="s">
        <v>166</v>
      </c>
      <c r="AV27" s="16" t="s">
        <v>166</v>
      </c>
      <c r="AW27" s="16" t="s">
        <v>166</v>
      </c>
      <c r="AX27" s="16" t="s">
        <v>166</v>
      </c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5">
        <f t="shared" si="3"/>
        <v>29</v>
      </c>
      <c r="EP27" s="5">
        <f t="shared" si="4"/>
        <v>2</v>
      </c>
    </row>
    <row r="28" spans="1:150" x14ac:dyDescent="0.25">
      <c r="A28" s="6">
        <v>23</v>
      </c>
      <c r="B28" s="19"/>
      <c r="C28" s="20" t="s">
        <v>395</v>
      </c>
      <c r="D28" s="21" t="s">
        <v>248</v>
      </c>
      <c r="E28" s="10" t="s">
        <v>27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 t="s">
        <v>166</v>
      </c>
      <c r="AK28" s="16"/>
      <c r="AL28" s="16" t="s">
        <v>166</v>
      </c>
      <c r="AM28" s="16"/>
      <c r="AN28" s="16" t="s">
        <v>166</v>
      </c>
      <c r="AO28" s="16"/>
      <c r="AP28" s="16"/>
      <c r="AQ28" s="16" t="s">
        <v>166</v>
      </c>
      <c r="AR28" s="16"/>
      <c r="AS28" s="16" t="s">
        <v>166</v>
      </c>
      <c r="AT28" s="16" t="s">
        <v>166</v>
      </c>
      <c r="AU28" s="16" t="s">
        <v>166</v>
      </c>
      <c r="AV28" s="16" t="s">
        <v>166</v>
      </c>
      <c r="AW28" s="16" t="s">
        <v>166</v>
      </c>
      <c r="AX28" s="16" t="s">
        <v>166</v>
      </c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5">
        <f t="shared" si="3"/>
        <v>10</v>
      </c>
      <c r="EP28" s="5">
        <f t="shared" si="4"/>
        <v>0</v>
      </c>
    </row>
    <row r="29" spans="1:150" x14ac:dyDescent="0.25">
      <c r="A29" s="17">
        <v>24</v>
      </c>
      <c r="B29" s="19"/>
      <c r="C29" s="20" t="s">
        <v>310</v>
      </c>
      <c r="D29" s="21" t="s">
        <v>248</v>
      </c>
      <c r="E29" s="10" t="s">
        <v>27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 t="s">
        <v>166</v>
      </c>
      <c r="AK29" s="16"/>
      <c r="AL29" s="16" t="s">
        <v>166</v>
      </c>
      <c r="AM29" s="16"/>
      <c r="AN29" s="16" t="s">
        <v>166</v>
      </c>
      <c r="AO29" s="16"/>
      <c r="AP29" s="16"/>
      <c r="AQ29" s="16" t="s">
        <v>166</v>
      </c>
      <c r="AR29" s="16"/>
      <c r="AS29" s="16" t="s">
        <v>166</v>
      </c>
      <c r="AT29" s="16" t="s">
        <v>166</v>
      </c>
      <c r="AU29" s="16" t="s">
        <v>166</v>
      </c>
      <c r="AV29" s="16" t="s">
        <v>166</v>
      </c>
      <c r="AW29" s="16" t="s">
        <v>166</v>
      </c>
      <c r="AX29" s="16" t="s">
        <v>166</v>
      </c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5">
        <f t="shared" si="3"/>
        <v>10</v>
      </c>
      <c r="EP29" s="5">
        <f t="shared" si="4"/>
        <v>0</v>
      </c>
    </row>
    <row r="30" spans="1:150" x14ac:dyDescent="0.25">
      <c r="A30" s="6">
        <v>25</v>
      </c>
      <c r="B30" s="19"/>
      <c r="C30" s="20" t="s">
        <v>396</v>
      </c>
      <c r="D30" s="21"/>
      <c r="E30" s="10" t="s">
        <v>27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 t="s">
        <v>166</v>
      </c>
      <c r="AR30" s="16"/>
      <c r="AS30" s="16" t="s">
        <v>166</v>
      </c>
      <c r="AT30" s="16" t="s">
        <v>166</v>
      </c>
      <c r="AU30" s="16" t="s">
        <v>166</v>
      </c>
      <c r="AV30" s="16" t="s">
        <v>166</v>
      </c>
      <c r="AW30" s="16" t="s">
        <v>166</v>
      </c>
      <c r="AX30" s="16" t="s">
        <v>166</v>
      </c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5">
        <f t="shared" si="3"/>
        <v>7</v>
      </c>
      <c r="EP30" s="5">
        <f t="shared" si="4"/>
        <v>0</v>
      </c>
    </row>
    <row r="31" spans="1:150" x14ac:dyDescent="0.25">
      <c r="A31" s="17">
        <v>1</v>
      </c>
      <c r="B31" s="19"/>
      <c r="C31" s="20" t="s">
        <v>397</v>
      </c>
      <c r="D31" s="21" t="s">
        <v>398</v>
      </c>
      <c r="E31" s="10" t="s">
        <v>27</v>
      </c>
      <c r="F31" s="16" t="s">
        <v>166</v>
      </c>
      <c r="G31" s="16" t="s">
        <v>166</v>
      </c>
      <c r="H31" s="16" t="s">
        <v>166</v>
      </c>
      <c r="I31" s="16"/>
      <c r="J31" s="16" t="s">
        <v>166</v>
      </c>
      <c r="K31" s="16"/>
      <c r="L31" s="16" t="s">
        <v>166</v>
      </c>
      <c r="M31" s="16" t="s">
        <v>166</v>
      </c>
      <c r="N31" s="16" t="s">
        <v>166</v>
      </c>
      <c r="O31" s="16" t="s">
        <v>166</v>
      </c>
      <c r="P31" s="16"/>
      <c r="Q31" s="16"/>
      <c r="R31" s="16" t="s">
        <v>166</v>
      </c>
      <c r="S31" s="16" t="s">
        <v>166</v>
      </c>
      <c r="T31" s="16" t="s">
        <v>166</v>
      </c>
      <c r="U31" s="16"/>
      <c r="V31" s="16"/>
      <c r="W31" s="16"/>
      <c r="X31" s="16" t="s">
        <v>166</v>
      </c>
      <c r="Y31" s="16" t="s">
        <v>166</v>
      </c>
      <c r="Z31" s="16" t="s">
        <v>166</v>
      </c>
      <c r="AA31" s="16" t="s">
        <v>166</v>
      </c>
      <c r="AB31" s="16" t="s">
        <v>166</v>
      </c>
      <c r="AC31" s="16" t="s">
        <v>166</v>
      </c>
      <c r="AD31" s="16"/>
      <c r="AE31" s="16" t="s">
        <v>166</v>
      </c>
      <c r="AF31" s="16" t="s">
        <v>166</v>
      </c>
      <c r="AG31" s="16" t="s">
        <v>166</v>
      </c>
      <c r="AH31" s="16" t="s">
        <v>166</v>
      </c>
      <c r="AI31" s="16" t="s">
        <v>166</v>
      </c>
      <c r="AJ31" s="16" t="s">
        <v>166</v>
      </c>
      <c r="AK31" s="16"/>
      <c r="AL31" s="16" t="s">
        <v>166</v>
      </c>
      <c r="AM31" s="16"/>
      <c r="AN31" s="16" t="s">
        <v>166</v>
      </c>
      <c r="AO31" s="16" t="s">
        <v>166</v>
      </c>
      <c r="AP31" s="16" t="s">
        <v>166</v>
      </c>
      <c r="AQ31" s="16" t="s">
        <v>166</v>
      </c>
      <c r="AR31" s="16"/>
      <c r="AS31" s="16" t="s">
        <v>166</v>
      </c>
      <c r="AT31" s="16" t="s">
        <v>166</v>
      </c>
      <c r="AU31" s="16" t="s">
        <v>166</v>
      </c>
      <c r="AV31" s="16" t="s">
        <v>166</v>
      </c>
      <c r="AW31" s="16" t="s">
        <v>166</v>
      </c>
      <c r="AX31" s="16" t="s">
        <v>166</v>
      </c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5">
        <f t="shared" si="3"/>
        <v>34</v>
      </c>
      <c r="EP31" s="5">
        <f t="shared" si="4"/>
        <v>0</v>
      </c>
    </row>
    <row r="32" spans="1:150" x14ac:dyDescent="0.25">
      <c r="A32" s="6">
        <v>2</v>
      </c>
      <c r="B32" s="19"/>
      <c r="C32" s="20" t="s">
        <v>53</v>
      </c>
      <c r="D32" s="21" t="s">
        <v>107</v>
      </c>
      <c r="E32" s="10" t="s">
        <v>27</v>
      </c>
      <c r="F32" s="16" t="s">
        <v>166</v>
      </c>
      <c r="G32" s="16" t="s">
        <v>166</v>
      </c>
      <c r="H32" s="16" t="s">
        <v>166</v>
      </c>
      <c r="I32" s="16"/>
      <c r="J32" s="16" t="s">
        <v>166</v>
      </c>
      <c r="K32" s="16"/>
      <c r="L32" s="16" t="s">
        <v>166</v>
      </c>
      <c r="M32" s="16" t="s">
        <v>166</v>
      </c>
      <c r="N32" s="16" t="s">
        <v>166</v>
      </c>
      <c r="O32" s="16" t="s">
        <v>166</v>
      </c>
      <c r="P32" s="16"/>
      <c r="Q32" s="16"/>
      <c r="R32" s="16" t="s">
        <v>166</v>
      </c>
      <c r="S32" s="16" t="s">
        <v>165</v>
      </c>
      <c r="T32" s="16" t="s">
        <v>165</v>
      </c>
      <c r="U32" s="16"/>
      <c r="V32" s="16"/>
      <c r="W32" s="16"/>
      <c r="X32" s="16" t="s">
        <v>166</v>
      </c>
      <c r="Y32" s="16" t="s">
        <v>166</v>
      </c>
      <c r="Z32" s="16" t="s">
        <v>166</v>
      </c>
      <c r="AA32" s="16" t="s">
        <v>166</v>
      </c>
      <c r="AB32" s="16" t="s">
        <v>165</v>
      </c>
      <c r="AC32" s="16" t="s">
        <v>166</v>
      </c>
      <c r="AD32" s="16"/>
      <c r="AE32" s="16" t="s">
        <v>166</v>
      </c>
      <c r="AF32" s="16" t="s">
        <v>166</v>
      </c>
      <c r="AG32" s="16" t="s">
        <v>166</v>
      </c>
      <c r="AH32" s="16" t="s">
        <v>166</v>
      </c>
      <c r="AI32" s="16" t="s">
        <v>166</v>
      </c>
      <c r="AJ32" s="16" t="s">
        <v>166</v>
      </c>
      <c r="AK32" s="16"/>
      <c r="AL32" s="16" t="s">
        <v>166</v>
      </c>
      <c r="AM32" s="16"/>
      <c r="AN32" s="16" t="s">
        <v>166</v>
      </c>
      <c r="AO32" s="16" t="s">
        <v>166</v>
      </c>
      <c r="AP32" s="16" t="s">
        <v>166</v>
      </c>
      <c r="AQ32" s="16" t="s">
        <v>166</v>
      </c>
      <c r="AR32" s="16"/>
      <c r="AS32" s="16" t="s">
        <v>166</v>
      </c>
      <c r="AT32" s="16" t="s">
        <v>166</v>
      </c>
      <c r="AU32" s="16" t="s">
        <v>166</v>
      </c>
      <c r="AV32" s="16" t="s">
        <v>166</v>
      </c>
      <c r="AW32" s="16" t="s">
        <v>166</v>
      </c>
      <c r="AX32" s="16" t="s">
        <v>166</v>
      </c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5">
        <f t="shared" si="3"/>
        <v>31</v>
      </c>
      <c r="EP32" s="5">
        <f t="shared" si="4"/>
        <v>3</v>
      </c>
    </row>
    <row r="33" spans="1:146" x14ac:dyDescent="0.25">
      <c r="A33" s="17">
        <v>3</v>
      </c>
      <c r="B33" s="19"/>
      <c r="C33" s="20" t="s">
        <v>399</v>
      </c>
      <c r="D33" s="21" t="s">
        <v>400</v>
      </c>
      <c r="E33" s="10" t="s">
        <v>27</v>
      </c>
      <c r="F33" s="16" t="s">
        <v>166</v>
      </c>
      <c r="G33" s="16" t="s">
        <v>166</v>
      </c>
      <c r="H33" s="16" t="s">
        <v>166</v>
      </c>
      <c r="I33" s="16"/>
      <c r="J33" s="16" t="s">
        <v>166</v>
      </c>
      <c r="K33" s="16"/>
      <c r="L33" s="16" t="s">
        <v>166</v>
      </c>
      <c r="M33" s="16" t="s">
        <v>165</v>
      </c>
      <c r="N33" s="16" t="s">
        <v>166</v>
      </c>
      <c r="O33" s="16" t="s">
        <v>166</v>
      </c>
      <c r="P33" s="16"/>
      <c r="Q33" s="16"/>
      <c r="R33" s="16" t="s">
        <v>166</v>
      </c>
      <c r="S33" s="16" t="s">
        <v>165</v>
      </c>
      <c r="T33" s="16" t="s">
        <v>165</v>
      </c>
      <c r="U33" s="16"/>
      <c r="V33" s="16"/>
      <c r="W33" s="16"/>
      <c r="X33" s="16" t="s">
        <v>166</v>
      </c>
      <c r="Y33" s="16" t="s">
        <v>166</v>
      </c>
      <c r="Z33" s="16" t="s">
        <v>166</v>
      </c>
      <c r="AA33" s="16" t="s">
        <v>166</v>
      </c>
      <c r="AB33" s="16" t="s">
        <v>165</v>
      </c>
      <c r="AC33" s="16" t="s">
        <v>165</v>
      </c>
      <c r="AD33" s="16"/>
      <c r="AE33" s="16" t="s">
        <v>165</v>
      </c>
      <c r="AF33" s="16" t="s">
        <v>166</v>
      </c>
      <c r="AG33" s="16" t="s">
        <v>166</v>
      </c>
      <c r="AH33" s="16" t="s">
        <v>166</v>
      </c>
      <c r="AI33" s="16" t="s">
        <v>166</v>
      </c>
      <c r="AJ33" s="16"/>
      <c r="AK33" s="16"/>
      <c r="AL33" s="16" t="s">
        <v>369</v>
      </c>
      <c r="AM33" s="16"/>
      <c r="AN33" s="16" t="s">
        <v>166</v>
      </c>
      <c r="AO33" s="16" t="s">
        <v>166</v>
      </c>
      <c r="AP33" s="16" t="s">
        <v>166</v>
      </c>
      <c r="AQ33" s="16" t="s">
        <v>165</v>
      </c>
      <c r="AR33" s="16"/>
      <c r="AS33" s="16" t="s">
        <v>166</v>
      </c>
      <c r="AT33" s="16" t="s">
        <v>166</v>
      </c>
      <c r="AU33" s="16" t="s">
        <v>165</v>
      </c>
      <c r="AV33" s="16" t="s">
        <v>166</v>
      </c>
      <c r="AW33" s="16" t="s">
        <v>166</v>
      </c>
      <c r="AX33" s="16" t="s">
        <v>166</v>
      </c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5">
        <f t="shared" si="3"/>
        <v>24</v>
      </c>
      <c r="EP33" s="5">
        <f t="shared" si="4"/>
        <v>8</v>
      </c>
    </row>
    <row r="34" spans="1:146" x14ac:dyDescent="0.25">
      <c r="A34" s="6">
        <v>4</v>
      </c>
      <c r="B34" s="19"/>
      <c r="C34" s="20" t="s">
        <v>318</v>
      </c>
      <c r="D34" s="21" t="s">
        <v>401</v>
      </c>
      <c r="E34" s="10" t="s">
        <v>27</v>
      </c>
      <c r="F34" s="16" t="s">
        <v>166</v>
      </c>
      <c r="G34" s="16" t="s">
        <v>166</v>
      </c>
      <c r="H34" s="16" t="s">
        <v>166</v>
      </c>
      <c r="I34" s="16"/>
      <c r="J34" s="16" t="s">
        <v>166</v>
      </c>
      <c r="K34" s="16"/>
      <c r="L34" s="16" t="s">
        <v>166</v>
      </c>
      <c r="M34" s="16" t="s">
        <v>166</v>
      </c>
      <c r="N34" s="16" t="s">
        <v>165</v>
      </c>
      <c r="O34" s="16" t="s">
        <v>166</v>
      </c>
      <c r="P34" s="16"/>
      <c r="Q34" s="16"/>
      <c r="R34" s="16" t="s">
        <v>166</v>
      </c>
      <c r="S34" s="16" t="s">
        <v>166</v>
      </c>
      <c r="T34" s="16" t="s">
        <v>166</v>
      </c>
      <c r="U34" s="16"/>
      <c r="V34" s="16"/>
      <c r="W34" s="16"/>
      <c r="X34" s="16" t="s">
        <v>166</v>
      </c>
      <c r="Y34" s="16" t="s">
        <v>166</v>
      </c>
      <c r="Z34" s="16" t="s">
        <v>166</v>
      </c>
      <c r="AA34" s="16" t="s">
        <v>166</v>
      </c>
      <c r="AB34" s="16" t="s">
        <v>166</v>
      </c>
      <c r="AC34" s="16" t="s">
        <v>166</v>
      </c>
      <c r="AD34" s="16"/>
      <c r="AE34" s="16" t="s">
        <v>166</v>
      </c>
      <c r="AF34" s="16" t="s">
        <v>166</v>
      </c>
      <c r="AG34" s="16" t="s">
        <v>166</v>
      </c>
      <c r="AH34" s="16" t="s">
        <v>166</v>
      </c>
      <c r="AI34" s="16" t="s">
        <v>166</v>
      </c>
      <c r="AJ34" s="16" t="s">
        <v>166</v>
      </c>
      <c r="AK34" s="16"/>
      <c r="AL34" s="16" t="s">
        <v>166</v>
      </c>
      <c r="AM34" s="16"/>
      <c r="AN34" s="16" t="s">
        <v>166</v>
      </c>
      <c r="AO34" s="16" t="s">
        <v>166</v>
      </c>
      <c r="AP34" s="16" t="s">
        <v>166</v>
      </c>
      <c r="AQ34" s="16" t="s">
        <v>166</v>
      </c>
      <c r="AR34" s="16"/>
      <c r="AS34" s="16" t="s">
        <v>166</v>
      </c>
      <c r="AT34" s="16" t="s">
        <v>166</v>
      </c>
      <c r="AU34" s="16" t="s">
        <v>171</v>
      </c>
      <c r="AV34" s="16" t="s">
        <v>171</v>
      </c>
      <c r="AW34" s="16" t="s">
        <v>171</v>
      </c>
      <c r="AX34" s="16" t="s">
        <v>171</v>
      </c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5">
        <f t="shared" si="3"/>
        <v>29</v>
      </c>
      <c r="EP34" s="5">
        <f t="shared" si="4"/>
        <v>1</v>
      </c>
    </row>
    <row r="35" spans="1:146" x14ac:dyDescent="0.25">
      <c r="A35" s="17">
        <v>5</v>
      </c>
      <c r="B35" s="19"/>
      <c r="C35" s="20" t="s">
        <v>402</v>
      </c>
      <c r="D35" s="21" t="s">
        <v>403</v>
      </c>
      <c r="E35" s="10" t="s">
        <v>27</v>
      </c>
      <c r="F35" s="16" t="s">
        <v>166</v>
      </c>
      <c r="G35" s="16" t="s">
        <v>166</v>
      </c>
      <c r="H35" s="16" t="s">
        <v>166</v>
      </c>
      <c r="I35" s="16"/>
      <c r="J35" s="16" t="s">
        <v>166</v>
      </c>
      <c r="K35" s="16"/>
      <c r="L35" s="16" t="s">
        <v>166</v>
      </c>
      <c r="M35" s="16" t="s">
        <v>166</v>
      </c>
      <c r="N35" s="16" t="s">
        <v>166</v>
      </c>
      <c r="O35" s="16" t="s">
        <v>165</v>
      </c>
      <c r="P35" s="16"/>
      <c r="Q35" s="16"/>
      <c r="R35" s="16" t="s">
        <v>165</v>
      </c>
      <c r="S35" s="16" t="s">
        <v>165</v>
      </c>
      <c r="T35" s="16" t="s">
        <v>165</v>
      </c>
      <c r="U35" s="16"/>
      <c r="V35" s="16"/>
      <c r="W35" s="16"/>
      <c r="X35" s="16" t="s">
        <v>165</v>
      </c>
      <c r="Y35" s="16" t="s">
        <v>166</v>
      </c>
      <c r="Z35" s="16" t="s">
        <v>166</v>
      </c>
      <c r="AA35" s="16" t="s">
        <v>166</v>
      </c>
      <c r="AB35" s="16" t="s">
        <v>165</v>
      </c>
      <c r="AC35" s="16" t="s">
        <v>166</v>
      </c>
      <c r="AD35" s="16"/>
      <c r="AE35" s="16" t="s">
        <v>165</v>
      </c>
      <c r="AF35" s="16" t="s">
        <v>369</v>
      </c>
      <c r="AG35" s="16" t="s">
        <v>166</v>
      </c>
      <c r="AH35" s="16" t="s">
        <v>166</v>
      </c>
      <c r="AI35" s="16" t="s">
        <v>166</v>
      </c>
      <c r="AJ35" s="16" t="s">
        <v>166</v>
      </c>
      <c r="AK35" s="16"/>
      <c r="AL35" s="16"/>
      <c r="AM35" s="16"/>
      <c r="AN35" s="16" t="s">
        <v>166</v>
      </c>
      <c r="AO35" s="16" t="s">
        <v>166</v>
      </c>
      <c r="AP35" s="16" t="s">
        <v>166</v>
      </c>
      <c r="AQ35" s="16" t="s">
        <v>166</v>
      </c>
      <c r="AR35" s="16"/>
      <c r="AS35" s="16" t="s">
        <v>166</v>
      </c>
      <c r="AT35" s="16" t="s">
        <v>166</v>
      </c>
      <c r="AU35" s="16" t="s">
        <v>166</v>
      </c>
      <c r="AV35" s="16" t="s">
        <v>166</v>
      </c>
      <c r="AW35" s="16" t="s">
        <v>166</v>
      </c>
      <c r="AX35" s="16" t="s">
        <v>166</v>
      </c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5">
        <f t="shared" si="3"/>
        <v>25</v>
      </c>
      <c r="EP35" s="5">
        <f t="shared" si="4"/>
        <v>7</v>
      </c>
    </row>
    <row r="36" spans="1:146" x14ac:dyDescent="0.25">
      <c r="A36" s="6">
        <v>6</v>
      </c>
      <c r="B36" s="19"/>
      <c r="C36" s="20" t="s">
        <v>404</v>
      </c>
      <c r="D36" s="21" t="s">
        <v>405</v>
      </c>
      <c r="E36" s="10" t="s">
        <v>27</v>
      </c>
      <c r="F36" s="16" t="s">
        <v>166</v>
      </c>
      <c r="G36" s="16" t="s">
        <v>166</v>
      </c>
      <c r="H36" s="16" t="s">
        <v>166</v>
      </c>
      <c r="I36" s="16"/>
      <c r="J36" s="16" t="s">
        <v>166</v>
      </c>
      <c r="K36" s="16"/>
      <c r="L36" s="16" t="s">
        <v>166</v>
      </c>
      <c r="M36" s="16" t="s">
        <v>166</v>
      </c>
      <c r="N36" s="16" t="s">
        <v>166</v>
      </c>
      <c r="O36" s="16" t="s">
        <v>166</v>
      </c>
      <c r="P36" s="16"/>
      <c r="Q36" s="16"/>
      <c r="R36" s="16" t="s">
        <v>166</v>
      </c>
      <c r="S36" s="16" t="s">
        <v>165</v>
      </c>
      <c r="T36" s="16" t="s">
        <v>166</v>
      </c>
      <c r="U36" s="16"/>
      <c r="V36" s="16"/>
      <c r="W36" s="16"/>
      <c r="X36" s="16" t="s">
        <v>166</v>
      </c>
      <c r="Y36" s="16" t="s">
        <v>166</v>
      </c>
      <c r="Z36" s="16" t="s">
        <v>166</v>
      </c>
      <c r="AA36" s="16" t="s">
        <v>166</v>
      </c>
      <c r="AB36" s="16" t="s">
        <v>165</v>
      </c>
      <c r="AC36" s="16" t="s">
        <v>166</v>
      </c>
      <c r="AD36" s="16"/>
      <c r="AE36" s="16" t="s">
        <v>166</v>
      </c>
      <c r="AF36" s="16" t="s">
        <v>166</v>
      </c>
      <c r="AG36" s="16" t="s">
        <v>166</v>
      </c>
      <c r="AH36" s="16" t="s">
        <v>166</v>
      </c>
      <c r="AI36" s="16" t="s">
        <v>166</v>
      </c>
      <c r="AJ36" s="16" t="s">
        <v>166</v>
      </c>
      <c r="AK36" s="16"/>
      <c r="AL36" s="16" t="s">
        <v>166</v>
      </c>
      <c r="AM36" s="16"/>
      <c r="AN36" s="16" t="s">
        <v>166</v>
      </c>
      <c r="AO36" s="16" t="s">
        <v>166</v>
      </c>
      <c r="AP36" s="16" t="s">
        <v>166</v>
      </c>
      <c r="AQ36" s="16" t="s">
        <v>166</v>
      </c>
      <c r="AR36" s="16"/>
      <c r="AS36" s="16" t="s">
        <v>166</v>
      </c>
      <c r="AT36" s="16" t="s">
        <v>166</v>
      </c>
      <c r="AU36" s="16" t="s">
        <v>166</v>
      </c>
      <c r="AV36" s="16" t="s">
        <v>165</v>
      </c>
      <c r="AW36" s="16" t="s">
        <v>171</v>
      </c>
      <c r="AX36" s="16" t="s">
        <v>171</v>
      </c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5">
        <f t="shared" si="3"/>
        <v>29</v>
      </c>
      <c r="EP36" s="5">
        <f t="shared" si="4"/>
        <v>3</v>
      </c>
    </row>
    <row r="37" spans="1:146" x14ac:dyDescent="0.25">
      <c r="A37" s="17">
        <v>7</v>
      </c>
      <c r="B37" s="19"/>
      <c r="C37" s="20" t="s">
        <v>406</v>
      </c>
      <c r="D37" s="21" t="s">
        <v>407</v>
      </c>
      <c r="E37" s="10" t="s">
        <v>27</v>
      </c>
      <c r="F37" s="16" t="s">
        <v>165</v>
      </c>
      <c r="G37" s="16" t="s">
        <v>165</v>
      </c>
      <c r="H37" s="16" t="s">
        <v>165</v>
      </c>
      <c r="I37" s="16"/>
      <c r="J37" s="16" t="s">
        <v>165</v>
      </c>
      <c r="K37" s="16"/>
      <c r="L37" s="16" t="s">
        <v>166</v>
      </c>
      <c r="M37" s="16" t="s">
        <v>166</v>
      </c>
      <c r="N37" s="16" t="s">
        <v>166</v>
      </c>
      <c r="O37" s="16" t="s">
        <v>165</v>
      </c>
      <c r="P37" s="16"/>
      <c r="Q37" s="16"/>
      <c r="R37" s="16" t="s">
        <v>165</v>
      </c>
      <c r="S37" s="16" t="s">
        <v>166</v>
      </c>
      <c r="T37" s="16" t="s">
        <v>166</v>
      </c>
      <c r="U37" s="16"/>
      <c r="V37" s="16"/>
      <c r="W37" s="16"/>
      <c r="X37" s="16" t="s">
        <v>166</v>
      </c>
      <c r="Y37" s="16" t="s">
        <v>166</v>
      </c>
      <c r="Z37" s="16" t="s">
        <v>166</v>
      </c>
      <c r="AA37" s="16" t="s">
        <v>166</v>
      </c>
      <c r="AB37" s="16" t="s">
        <v>165</v>
      </c>
      <c r="AC37" s="16" t="s">
        <v>166</v>
      </c>
      <c r="AD37" s="16"/>
      <c r="AE37" s="16" t="s">
        <v>165</v>
      </c>
      <c r="AF37" s="16" t="s">
        <v>369</v>
      </c>
      <c r="AG37" s="16" t="s">
        <v>369</v>
      </c>
      <c r="AH37" s="16" t="s">
        <v>369</v>
      </c>
      <c r="AI37" s="16" t="s">
        <v>369</v>
      </c>
      <c r="AJ37" s="16" t="s">
        <v>369</v>
      </c>
      <c r="AK37" s="16"/>
      <c r="AL37" s="16" t="s">
        <v>166</v>
      </c>
      <c r="AM37" s="16"/>
      <c r="AN37" s="16" t="s">
        <v>166</v>
      </c>
      <c r="AO37" s="16" t="s">
        <v>166</v>
      </c>
      <c r="AP37" s="16" t="s">
        <v>166</v>
      </c>
      <c r="AQ37" s="16" t="s">
        <v>166</v>
      </c>
      <c r="AR37" s="16"/>
      <c r="AS37" s="16" t="s">
        <v>166</v>
      </c>
      <c r="AT37" s="16" t="s">
        <v>166</v>
      </c>
      <c r="AU37" s="16" t="s">
        <v>166</v>
      </c>
      <c r="AV37" s="16" t="s">
        <v>165</v>
      </c>
      <c r="AW37" s="16" t="s">
        <v>166</v>
      </c>
      <c r="AX37" s="16" t="s">
        <v>166</v>
      </c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5">
        <f t="shared" si="3"/>
        <v>20</v>
      </c>
      <c r="EP37" s="5">
        <f t="shared" si="4"/>
        <v>9</v>
      </c>
    </row>
    <row r="38" spans="1:146" x14ac:dyDescent="0.25">
      <c r="A38" s="6">
        <v>8</v>
      </c>
      <c r="B38" s="19"/>
      <c r="C38" s="20" t="s">
        <v>408</v>
      </c>
      <c r="D38" s="21" t="s">
        <v>95</v>
      </c>
      <c r="E38" s="10" t="s">
        <v>27</v>
      </c>
      <c r="F38" s="16" t="s">
        <v>166</v>
      </c>
      <c r="G38" s="16" t="s">
        <v>166</v>
      </c>
      <c r="H38" s="16" t="s">
        <v>166</v>
      </c>
      <c r="I38" s="16"/>
      <c r="J38" s="16" t="s">
        <v>166</v>
      </c>
      <c r="K38" s="16"/>
      <c r="L38" s="16" t="s">
        <v>166</v>
      </c>
      <c r="M38" s="16" t="s">
        <v>166</v>
      </c>
      <c r="N38" s="16" t="s">
        <v>166</v>
      </c>
      <c r="O38" s="16" t="s">
        <v>166</v>
      </c>
      <c r="P38" s="16"/>
      <c r="Q38" s="16"/>
      <c r="R38" s="16" t="s">
        <v>166</v>
      </c>
      <c r="S38" s="16" t="s">
        <v>166</v>
      </c>
      <c r="T38" s="16" t="s">
        <v>166</v>
      </c>
      <c r="U38" s="16"/>
      <c r="V38" s="16"/>
      <c r="W38" s="16"/>
      <c r="X38" s="16" t="s">
        <v>166</v>
      </c>
      <c r="Y38" s="16" t="s">
        <v>165</v>
      </c>
      <c r="Z38" s="16" t="s">
        <v>166</v>
      </c>
      <c r="AA38" s="16" t="s">
        <v>166</v>
      </c>
      <c r="AB38" s="16" t="s">
        <v>165</v>
      </c>
      <c r="AC38" s="16" t="s">
        <v>166</v>
      </c>
      <c r="AD38" s="16"/>
      <c r="AE38" s="16" t="s">
        <v>166</v>
      </c>
      <c r="AF38" s="16" t="s">
        <v>166</v>
      </c>
      <c r="AG38" s="16" t="s">
        <v>166</v>
      </c>
      <c r="AH38" s="16" t="s">
        <v>166</v>
      </c>
      <c r="AI38" s="16" t="s">
        <v>369</v>
      </c>
      <c r="AJ38" s="16" t="s">
        <v>166</v>
      </c>
      <c r="AK38" s="16"/>
      <c r="AL38" s="16"/>
      <c r="AM38" s="16"/>
      <c r="AN38" s="16" t="s">
        <v>166</v>
      </c>
      <c r="AO38" s="16" t="s">
        <v>166</v>
      </c>
      <c r="AP38" s="16" t="s">
        <v>166</v>
      </c>
      <c r="AQ38" s="16" t="s">
        <v>166</v>
      </c>
      <c r="AR38" s="16"/>
      <c r="AS38" s="16" t="s">
        <v>166</v>
      </c>
      <c r="AT38" s="16" t="s">
        <v>165</v>
      </c>
      <c r="AU38" s="16" t="s">
        <v>166</v>
      </c>
      <c r="AV38" s="16" t="s">
        <v>166</v>
      </c>
      <c r="AW38" s="16" t="s">
        <v>166</v>
      </c>
      <c r="AX38" s="16" t="s">
        <v>166</v>
      </c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5">
        <f t="shared" ref="EO38:EO69" si="5">COUNTIF(F38:EN38,"P")</f>
        <v>29</v>
      </c>
      <c r="EP38" s="5">
        <f t="shared" ref="EP38:EP56" si="6">COUNTIF(F38:EN38,"A")</f>
        <v>3</v>
      </c>
    </row>
    <row r="39" spans="1:146" x14ac:dyDescent="0.25">
      <c r="A39" s="17">
        <v>9</v>
      </c>
      <c r="B39" s="19"/>
      <c r="C39" s="20" t="s">
        <v>160</v>
      </c>
      <c r="D39" s="21" t="s">
        <v>409</v>
      </c>
      <c r="E39" s="10" t="s">
        <v>27</v>
      </c>
      <c r="F39" s="16" t="s">
        <v>166</v>
      </c>
      <c r="G39" s="16" t="s">
        <v>166</v>
      </c>
      <c r="H39" s="16" t="s">
        <v>166</v>
      </c>
      <c r="I39" s="16"/>
      <c r="J39" s="16" t="s">
        <v>166</v>
      </c>
      <c r="K39" s="16"/>
      <c r="L39" s="16" t="s">
        <v>166</v>
      </c>
      <c r="M39" s="16" t="s">
        <v>166</v>
      </c>
      <c r="N39" s="16" t="s">
        <v>166</v>
      </c>
      <c r="O39" s="16" t="s">
        <v>165</v>
      </c>
      <c r="P39" s="16"/>
      <c r="Q39" s="16"/>
      <c r="R39" s="16" t="s">
        <v>165</v>
      </c>
      <c r="S39" s="16" t="s">
        <v>165</v>
      </c>
      <c r="T39" s="16" t="s">
        <v>166</v>
      </c>
      <c r="U39" s="16"/>
      <c r="V39" s="16"/>
      <c r="W39" s="16"/>
      <c r="X39" s="16" t="s">
        <v>166</v>
      </c>
      <c r="Y39" s="16" t="s">
        <v>166</v>
      </c>
      <c r="Z39" s="16" t="s">
        <v>166</v>
      </c>
      <c r="AA39" s="16" t="s">
        <v>166</v>
      </c>
      <c r="AB39" s="16" t="s">
        <v>166</v>
      </c>
      <c r="AC39" s="16" t="s">
        <v>166</v>
      </c>
      <c r="AD39" s="16"/>
      <c r="AE39" s="16" t="s">
        <v>166</v>
      </c>
      <c r="AF39" s="16" t="s">
        <v>166</v>
      </c>
      <c r="AG39" s="16" t="s">
        <v>166</v>
      </c>
      <c r="AH39" s="16" t="s">
        <v>166</v>
      </c>
      <c r="AI39" s="16" t="s">
        <v>166</v>
      </c>
      <c r="AJ39" s="16" t="s">
        <v>166</v>
      </c>
      <c r="AK39" s="16"/>
      <c r="AL39" s="16" t="s">
        <v>166</v>
      </c>
      <c r="AM39" s="16"/>
      <c r="AN39" s="16" t="s">
        <v>166</v>
      </c>
      <c r="AO39" s="16" t="s">
        <v>166</v>
      </c>
      <c r="AP39" s="16" t="s">
        <v>166</v>
      </c>
      <c r="AQ39" s="16" t="s">
        <v>165</v>
      </c>
      <c r="AR39" s="16"/>
      <c r="AS39" s="16" t="s">
        <v>166</v>
      </c>
      <c r="AT39" s="16" t="s">
        <v>166</v>
      </c>
      <c r="AU39" s="16" t="s">
        <v>166</v>
      </c>
      <c r="AV39" s="16" t="s">
        <v>166</v>
      </c>
      <c r="AW39" s="16" t="s">
        <v>166</v>
      </c>
      <c r="AX39" s="16" t="s">
        <v>166</v>
      </c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5">
        <f t="shared" si="5"/>
        <v>30</v>
      </c>
      <c r="EP39" s="5">
        <f t="shared" si="6"/>
        <v>4</v>
      </c>
    </row>
    <row r="40" spans="1:146" x14ac:dyDescent="0.25">
      <c r="A40" s="6">
        <v>10</v>
      </c>
      <c r="B40" s="19"/>
      <c r="C40" s="20" t="s">
        <v>410</v>
      </c>
      <c r="D40" s="21" t="s">
        <v>91</v>
      </c>
      <c r="E40" s="10" t="s">
        <v>27</v>
      </c>
      <c r="F40" s="16" t="s">
        <v>165</v>
      </c>
      <c r="G40" s="16" t="s">
        <v>166</v>
      </c>
      <c r="H40" s="16" t="s">
        <v>165</v>
      </c>
      <c r="I40" s="16"/>
      <c r="J40" s="16" t="s">
        <v>166</v>
      </c>
      <c r="K40" s="16"/>
      <c r="L40" s="16" t="s">
        <v>166</v>
      </c>
      <c r="M40" s="16" t="s">
        <v>166</v>
      </c>
      <c r="N40" s="16" t="s">
        <v>166</v>
      </c>
      <c r="O40" s="16" t="s">
        <v>165</v>
      </c>
      <c r="P40" s="16"/>
      <c r="Q40" s="16"/>
      <c r="R40" s="16" t="s">
        <v>166</v>
      </c>
      <c r="S40" s="16"/>
      <c r="T40" s="16" t="s">
        <v>166</v>
      </c>
      <c r="U40" s="16"/>
      <c r="V40" s="16"/>
      <c r="W40" s="16"/>
      <c r="X40" s="16" t="s">
        <v>166</v>
      </c>
      <c r="Y40" s="16" t="s">
        <v>166</v>
      </c>
      <c r="Z40" s="16" t="s">
        <v>166</v>
      </c>
      <c r="AA40" s="16" t="s">
        <v>166</v>
      </c>
      <c r="AB40" s="16" t="s">
        <v>166</v>
      </c>
      <c r="AC40" s="16" t="s">
        <v>166</v>
      </c>
      <c r="AD40" s="16"/>
      <c r="AE40" s="16" t="s">
        <v>166</v>
      </c>
      <c r="AF40" s="16" t="s">
        <v>166</v>
      </c>
      <c r="AG40" s="16" t="s">
        <v>166</v>
      </c>
      <c r="AH40" s="16" t="s">
        <v>166</v>
      </c>
      <c r="AI40" s="16" t="s">
        <v>166</v>
      </c>
      <c r="AJ40" s="16" t="s">
        <v>166</v>
      </c>
      <c r="AK40" s="16"/>
      <c r="AL40" s="16" t="s">
        <v>166</v>
      </c>
      <c r="AM40" s="16"/>
      <c r="AN40" s="16" t="s">
        <v>166</v>
      </c>
      <c r="AO40" s="16" t="s">
        <v>166</v>
      </c>
      <c r="AP40" s="16" t="s">
        <v>166</v>
      </c>
      <c r="AQ40" s="16" t="s">
        <v>166</v>
      </c>
      <c r="AR40" s="16"/>
      <c r="AS40" s="16" t="s">
        <v>166</v>
      </c>
      <c r="AT40" s="16" t="s">
        <v>166</v>
      </c>
      <c r="AU40" s="16" t="s">
        <v>165</v>
      </c>
      <c r="AV40" s="16" t="s">
        <v>166</v>
      </c>
      <c r="AW40" s="16" t="s">
        <v>165</v>
      </c>
      <c r="AX40" s="16" t="s">
        <v>171</v>
      </c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5">
        <f t="shared" si="5"/>
        <v>27</v>
      </c>
      <c r="EP40" s="5">
        <f t="shared" si="6"/>
        <v>5</v>
      </c>
    </row>
    <row r="41" spans="1:146" x14ac:dyDescent="0.25">
      <c r="A41" s="17">
        <v>11</v>
      </c>
      <c r="B41" s="19"/>
      <c r="C41" s="20" t="s">
        <v>411</v>
      </c>
      <c r="D41" s="21" t="s">
        <v>326</v>
      </c>
      <c r="E41" s="10" t="s">
        <v>27</v>
      </c>
      <c r="F41" s="16" t="s">
        <v>166</v>
      </c>
      <c r="G41" s="16" t="s">
        <v>166</v>
      </c>
      <c r="H41" s="16" t="s">
        <v>166</v>
      </c>
      <c r="I41" s="16"/>
      <c r="J41" s="16" t="s">
        <v>166</v>
      </c>
      <c r="K41" s="16"/>
      <c r="L41" s="16" t="s">
        <v>166</v>
      </c>
      <c r="M41" s="16" t="s">
        <v>166</v>
      </c>
      <c r="N41" s="16" t="s">
        <v>165</v>
      </c>
      <c r="O41" s="16" t="s">
        <v>166</v>
      </c>
      <c r="P41" s="16"/>
      <c r="Q41" s="16"/>
      <c r="R41" s="16" t="s">
        <v>166</v>
      </c>
      <c r="S41" s="16" t="s">
        <v>165</v>
      </c>
      <c r="T41" s="16" t="s">
        <v>166</v>
      </c>
      <c r="U41" s="16"/>
      <c r="V41" s="16"/>
      <c r="W41" s="16"/>
      <c r="X41" s="16" t="s">
        <v>166</v>
      </c>
      <c r="Y41" s="16" t="s">
        <v>166</v>
      </c>
      <c r="Z41" s="16" t="s">
        <v>166</v>
      </c>
      <c r="AA41" s="16" t="s">
        <v>166</v>
      </c>
      <c r="AB41" s="16" t="s">
        <v>165</v>
      </c>
      <c r="AC41" s="16" t="s">
        <v>166</v>
      </c>
      <c r="AD41" s="16"/>
      <c r="AE41" s="16" t="s">
        <v>166</v>
      </c>
      <c r="AF41" s="16" t="s">
        <v>166</v>
      </c>
      <c r="AG41" s="16" t="s">
        <v>166</v>
      </c>
      <c r="AH41" s="16" t="s">
        <v>166</v>
      </c>
      <c r="AI41" s="16" t="s">
        <v>166</v>
      </c>
      <c r="AJ41" s="16" t="s">
        <v>166</v>
      </c>
      <c r="AK41" s="16"/>
      <c r="AL41" s="16" t="s">
        <v>166</v>
      </c>
      <c r="AM41" s="16"/>
      <c r="AN41" s="16" t="s">
        <v>166</v>
      </c>
      <c r="AO41" s="16" t="s">
        <v>166</v>
      </c>
      <c r="AP41" s="16" t="s">
        <v>166</v>
      </c>
      <c r="AQ41" s="16" t="s">
        <v>166</v>
      </c>
      <c r="AR41" s="16"/>
      <c r="AS41" s="16" t="s">
        <v>166</v>
      </c>
      <c r="AT41" s="16" t="s">
        <v>166</v>
      </c>
      <c r="AU41" s="16" t="s">
        <v>166</v>
      </c>
      <c r="AV41" s="16" t="s">
        <v>166</v>
      </c>
      <c r="AW41" s="16" t="s">
        <v>166</v>
      </c>
      <c r="AX41" s="16" t="s">
        <v>166</v>
      </c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5">
        <f t="shared" si="5"/>
        <v>31</v>
      </c>
      <c r="EP41" s="5">
        <f t="shared" si="6"/>
        <v>3</v>
      </c>
    </row>
    <row r="42" spans="1:146" x14ac:dyDescent="0.25">
      <c r="A42" s="6">
        <v>12</v>
      </c>
      <c r="B42" s="19"/>
      <c r="C42" s="20" t="s">
        <v>238</v>
      </c>
      <c r="D42" s="21" t="s">
        <v>286</v>
      </c>
      <c r="E42" s="10" t="s">
        <v>27</v>
      </c>
      <c r="F42" s="16" t="s">
        <v>166</v>
      </c>
      <c r="G42" s="16" t="s">
        <v>166</v>
      </c>
      <c r="H42" s="16" t="s">
        <v>166</v>
      </c>
      <c r="I42" s="16"/>
      <c r="J42" s="16" t="s">
        <v>166</v>
      </c>
      <c r="K42" s="16"/>
      <c r="L42" s="16" t="s">
        <v>166</v>
      </c>
      <c r="M42" s="16" t="s">
        <v>166</v>
      </c>
      <c r="N42" s="16" t="s">
        <v>166</v>
      </c>
      <c r="O42" s="16" t="s">
        <v>166</v>
      </c>
      <c r="P42" s="16"/>
      <c r="Q42" s="16"/>
      <c r="R42" s="16" t="s">
        <v>165</v>
      </c>
      <c r="S42" s="16" t="s">
        <v>165</v>
      </c>
      <c r="T42" s="16" t="s">
        <v>166</v>
      </c>
      <c r="U42" s="16"/>
      <c r="V42" s="16"/>
      <c r="W42" s="16"/>
      <c r="X42" s="16" t="s">
        <v>166</v>
      </c>
      <c r="Y42" s="16" t="s">
        <v>166</v>
      </c>
      <c r="Z42" s="16" t="s">
        <v>166</v>
      </c>
      <c r="AA42" s="16" t="s">
        <v>166</v>
      </c>
      <c r="AB42" s="16" t="s">
        <v>165</v>
      </c>
      <c r="AC42" s="16" t="s">
        <v>166</v>
      </c>
      <c r="AD42" s="16"/>
      <c r="AE42" s="16" t="s">
        <v>166</v>
      </c>
      <c r="AF42" s="16" t="s">
        <v>166</v>
      </c>
      <c r="AG42" s="16" t="s">
        <v>166</v>
      </c>
      <c r="AH42" s="16" t="s">
        <v>166</v>
      </c>
      <c r="AI42" s="16" t="s">
        <v>166</v>
      </c>
      <c r="AJ42" s="16" t="s">
        <v>166</v>
      </c>
      <c r="AK42" s="16"/>
      <c r="AL42" s="16" t="s">
        <v>166</v>
      </c>
      <c r="AM42" s="16"/>
      <c r="AN42" s="16" t="s">
        <v>166</v>
      </c>
      <c r="AO42" s="16" t="s">
        <v>166</v>
      </c>
      <c r="AP42" s="16" t="s">
        <v>166</v>
      </c>
      <c r="AQ42" s="16" t="s">
        <v>166</v>
      </c>
      <c r="AR42" s="16"/>
      <c r="AS42" s="16" t="s">
        <v>166</v>
      </c>
      <c r="AT42" s="16" t="s">
        <v>166</v>
      </c>
      <c r="AU42" s="16" t="s">
        <v>166</v>
      </c>
      <c r="AV42" s="16" t="s">
        <v>166</v>
      </c>
      <c r="AW42" s="16" t="s">
        <v>166</v>
      </c>
      <c r="AX42" s="16" t="s">
        <v>166</v>
      </c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5">
        <f t="shared" si="5"/>
        <v>31</v>
      </c>
      <c r="EP42" s="5">
        <f t="shared" si="6"/>
        <v>3</v>
      </c>
    </row>
    <row r="43" spans="1:146" x14ac:dyDescent="0.25">
      <c r="A43" s="17">
        <v>13</v>
      </c>
      <c r="B43" s="19"/>
      <c r="C43" s="20" t="s">
        <v>412</v>
      </c>
      <c r="D43" s="21" t="s">
        <v>413</v>
      </c>
      <c r="E43" s="10" t="s">
        <v>27</v>
      </c>
      <c r="F43" s="16" t="s">
        <v>166</v>
      </c>
      <c r="G43" s="16" t="s">
        <v>166</v>
      </c>
      <c r="H43" s="16" t="s">
        <v>166</v>
      </c>
      <c r="I43" s="16"/>
      <c r="J43" s="16" t="s">
        <v>166</v>
      </c>
      <c r="K43" s="16"/>
      <c r="L43" s="16" t="s">
        <v>166</v>
      </c>
      <c r="M43" s="16" t="s">
        <v>166</v>
      </c>
      <c r="N43" s="16" t="s">
        <v>166</v>
      </c>
      <c r="O43" s="16" t="s">
        <v>166</v>
      </c>
      <c r="P43" s="16"/>
      <c r="Q43" s="16"/>
      <c r="R43" s="16" t="s">
        <v>165</v>
      </c>
      <c r="S43" s="16" t="s">
        <v>165</v>
      </c>
      <c r="T43" s="16" t="s">
        <v>166</v>
      </c>
      <c r="U43" s="16"/>
      <c r="V43" s="16"/>
      <c r="W43" s="16"/>
      <c r="X43" s="16" t="s">
        <v>166</v>
      </c>
      <c r="Y43" s="16" t="s">
        <v>171</v>
      </c>
      <c r="Z43" s="16" t="s">
        <v>165</v>
      </c>
      <c r="AA43" s="16" t="s">
        <v>166</v>
      </c>
      <c r="AB43" s="16" t="s">
        <v>166</v>
      </c>
      <c r="AC43" s="16" t="s">
        <v>166</v>
      </c>
      <c r="AD43" s="16"/>
      <c r="AE43" s="16" t="s">
        <v>166</v>
      </c>
      <c r="AF43" s="16" t="s">
        <v>166</v>
      </c>
      <c r="AG43" s="16" t="s">
        <v>166</v>
      </c>
      <c r="AH43" s="16" t="s">
        <v>369</v>
      </c>
      <c r="AI43" s="16" t="s">
        <v>166</v>
      </c>
      <c r="AJ43" s="16" t="s">
        <v>166</v>
      </c>
      <c r="AK43" s="16"/>
      <c r="AL43" s="16" t="s">
        <v>166</v>
      </c>
      <c r="AM43" s="16"/>
      <c r="AN43" s="16" t="s">
        <v>166</v>
      </c>
      <c r="AO43" s="16" t="s">
        <v>369</v>
      </c>
      <c r="AP43" s="16" t="s">
        <v>369</v>
      </c>
      <c r="AQ43" s="16" t="s">
        <v>166</v>
      </c>
      <c r="AR43" s="16"/>
      <c r="AS43" s="16" t="s">
        <v>166</v>
      </c>
      <c r="AT43" s="16" t="s">
        <v>166</v>
      </c>
      <c r="AU43" s="16" t="s">
        <v>165</v>
      </c>
      <c r="AV43" s="16" t="s">
        <v>166</v>
      </c>
      <c r="AW43" s="16" t="s">
        <v>166</v>
      </c>
      <c r="AX43" s="16" t="s">
        <v>166</v>
      </c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5">
        <f t="shared" si="5"/>
        <v>26</v>
      </c>
      <c r="EP43" s="5">
        <f t="shared" si="6"/>
        <v>4</v>
      </c>
    </row>
    <row r="44" spans="1:146" x14ac:dyDescent="0.25">
      <c r="A44" s="6">
        <v>14</v>
      </c>
      <c r="B44" s="19"/>
      <c r="C44" s="20" t="s">
        <v>414</v>
      </c>
      <c r="D44" s="21" t="s">
        <v>145</v>
      </c>
      <c r="E44" s="10" t="s">
        <v>27</v>
      </c>
      <c r="F44" s="16" t="s">
        <v>166</v>
      </c>
      <c r="G44" s="16" t="s">
        <v>166</v>
      </c>
      <c r="H44" s="16" t="s">
        <v>166</v>
      </c>
      <c r="I44" s="16"/>
      <c r="J44" s="16" t="s">
        <v>166</v>
      </c>
      <c r="K44" s="16"/>
      <c r="L44" s="16" t="s">
        <v>166</v>
      </c>
      <c r="M44" s="16" t="s">
        <v>166</v>
      </c>
      <c r="N44" s="16" t="s">
        <v>166</v>
      </c>
      <c r="O44" s="16" t="s">
        <v>165</v>
      </c>
      <c r="P44" s="16"/>
      <c r="Q44" s="16"/>
      <c r="R44" s="16" t="s">
        <v>166</v>
      </c>
      <c r="S44" s="16" t="s">
        <v>165</v>
      </c>
      <c r="T44" s="16" t="s">
        <v>166</v>
      </c>
      <c r="U44" s="16"/>
      <c r="V44" s="16"/>
      <c r="W44" s="16"/>
      <c r="X44" s="16" t="s">
        <v>166</v>
      </c>
      <c r="Y44" s="16" t="s">
        <v>166</v>
      </c>
      <c r="Z44" s="16" t="s">
        <v>166</v>
      </c>
      <c r="AA44" s="16" t="s">
        <v>166</v>
      </c>
      <c r="AB44" s="16" t="s">
        <v>166</v>
      </c>
      <c r="AC44" s="16" t="s">
        <v>166</v>
      </c>
      <c r="AD44" s="16"/>
      <c r="AE44" s="16" t="s">
        <v>166</v>
      </c>
      <c r="AF44" s="16" t="s">
        <v>166</v>
      </c>
      <c r="AG44" s="16" t="s">
        <v>166</v>
      </c>
      <c r="AH44" s="16" t="s">
        <v>166</v>
      </c>
      <c r="AI44" s="16" t="s">
        <v>166</v>
      </c>
      <c r="AJ44" s="16" t="s">
        <v>166</v>
      </c>
      <c r="AK44" s="16"/>
      <c r="AL44" s="16" t="s">
        <v>166</v>
      </c>
      <c r="AM44" s="16"/>
      <c r="AN44" s="16" t="s">
        <v>166</v>
      </c>
      <c r="AO44" s="16" t="s">
        <v>166</v>
      </c>
      <c r="AP44" s="16" t="s">
        <v>166</v>
      </c>
      <c r="AQ44" s="16" t="s">
        <v>166</v>
      </c>
      <c r="AR44" s="16"/>
      <c r="AS44" s="16" t="s">
        <v>166</v>
      </c>
      <c r="AT44" s="16" t="s">
        <v>166</v>
      </c>
      <c r="AU44" s="16" t="s">
        <v>166</v>
      </c>
      <c r="AV44" s="16" t="s">
        <v>166</v>
      </c>
      <c r="AW44" s="16" t="s">
        <v>166</v>
      </c>
      <c r="AX44" s="16" t="s">
        <v>166</v>
      </c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5">
        <f t="shared" si="5"/>
        <v>32</v>
      </c>
      <c r="EP44" s="5">
        <f t="shared" si="6"/>
        <v>2</v>
      </c>
    </row>
    <row r="45" spans="1:146" x14ac:dyDescent="0.25">
      <c r="A45" s="17">
        <v>15</v>
      </c>
      <c r="B45" s="19"/>
      <c r="C45" s="20" t="s">
        <v>415</v>
      </c>
      <c r="D45" s="21" t="s">
        <v>416</v>
      </c>
      <c r="E45" s="10" t="s">
        <v>27</v>
      </c>
      <c r="F45" s="16" t="s">
        <v>166</v>
      </c>
      <c r="G45" s="16" t="s">
        <v>166</v>
      </c>
      <c r="H45" s="16" t="s">
        <v>166</v>
      </c>
      <c r="I45" s="16"/>
      <c r="J45" s="16" t="s">
        <v>166</v>
      </c>
      <c r="K45" s="16"/>
      <c r="L45" s="16" t="s">
        <v>166</v>
      </c>
      <c r="M45" s="16" t="s">
        <v>166</v>
      </c>
      <c r="N45" s="16" t="s">
        <v>166</v>
      </c>
      <c r="O45" s="16" t="s">
        <v>166</v>
      </c>
      <c r="P45" s="16"/>
      <c r="Q45" s="16"/>
      <c r="R45" s="16" t="s">
        <v>166</v>
      </c>
      <c r="S45" s="16" t="s">
        <v>165</v>
      </c>
      <c r="T45" s="16" t="s">
        <v>165</v>
      </c>
      <c r="U45" s="16"/>
      <c r="V45" s="16"/>
      <c r="W45" s="16"/>
      <c r="X45" s="16" t="s">
        <v>166</v>
      </c>
      <c r="Y45" s="16" t="s">
        <v>166</v>
      </c>
      <c r="Z45" s="16" t="s">
        <v>165</v>
      </c>
      <c r="AA45" s="16" t="s">
        <v>165</v>
      </c>
      <c r="AB45" s="16" t="s">
        <v>166</v>
      </c>
      <c r="AC45" s="16" t="s">
        <v>165</v>
      </c>
      <c r="AD45" s="16"/>
      <c r="AE45" s="16" t="s">
        <v>166</v>
      </c>
      <c r="AF45" s="16" t="s">
        <v>166</v>
      </c>
      <c r="AG45" s="16" t="s">
        <v>166</v>
      </c>
      <c r="AH45" s="16" t="s">
        <v>166</v>
      </c>
      <c r="AI45" s="16" t="s">
        <v>369</v>
      </c>
      <c r="AJ45" s="16" t="s">
        <v>166</v>
      </c>
      <c r="AK45" s="16"/>
      <c r="AL45" s="16"/>
      <c r="AM45" s="16"/>
      <c r="AN45" s="16" t="s">
        <v>166</v>
      </c>
      <c r="AO45" s="16" t="s">
        <v>369</v>
      </c>
      <c r="AP45" s="16" t="s">
        <v>166</v>
      </c>
      <c r="AQ45" s="16" t="s">
        <v>165</v>
      </c>
      <c r="AR45" s="16"/>
      <c r="AS45" s="16" t="s">
        <v>166</v>
      </c>
      <c r="AT45" s="16" t="s">
        <v>166</v>
      </c>
      <c r="AU45" s="16" t="s">
        <v>165</v>
      </c>
      <c r="AV45" s="16" t="s">
        <v>166</v>
      </c>
      <c r="AW45" s="16" t="s">
        <v>165</v>
      </c>
      <c r="AX45" s="16" t="s">
        <v>166</v>
      </c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5">
        <f t="shared" si="5"/>
        <v>23</v>
      </c>
      <c r="EP45" s="5">
        <f t="shared" si="6"/>
        <v>8</v>
      </c>
    </row>
    <row r="46" spans="1:146" x14ac:dyDescent="0.25">
      <c r="A46" s="6">
        <v>16</v>
      </c>
      <c r="B46" s="19"/>
      <c r="C46" s="20" t="s">
        <v>417</v>
      </c>
      <c r="D46" s="21" t="s">
        <v>220</v>
      </c>
      <c r="E46" s="10" t="s">
        <v>27</v>
      </c>
      <c r="F46" s="16" t="s">
        <v>166</v>
      </c>
      <c r="G46" s="16" t="s">
        <v>166</v>
      </c>
      <c r="H46" s="16" t="s">
        <v>166</v>
      </c>
      <c r="I46" s="16"/>
      <c r="J46" s="16" t="s">
        <v>166</v>
      </c>
      <c r="K46" s="16"/>
      <c r="L46" s="16" t="s">
        <v>166</v>
      </c>
      <c r="M46" s="16" t="s">
        <v>166</v>
      </c>
      <c r="N46" s="16" t="s">
        <v>166</v>
      </c>
      <c r="O46" s="16" t="s">
        <v>165</v>
      </c>
      <c r="P46" s="16"/>
      <c r="Q46" s="16"/>
      <c r="R46" s="16" t="s">
        <v>166</v>
      </c>
      <c r="S46" s="16" t="s">
        <v>165</v>
      </c>
      <c r="T46" s="16" t="s">
        <v>165</v>
      </c>
      <c r="U46" s="16"/>
      <c r="V46" s="16"/>
      <c r="W46" s="16"/>
      <c r="X46" s="16" t="s">
        <v>166</v>
      </c>
      <c r="Y46" s="16" t="s">
        <v>166</v>
      </c>
      <c r="Z46" s="16" t="s">
        <v>166</v>
      </c>
      <c r="AA46" s="16" t="s">
        <v>166</v>
      </c>
      <c r="AB46" s="16" t="s">
        <v>166</v>
      </c>
      <c r="AC46" s="16" t="s">
        <v>166</v>
      </c>
      <c r="AD46" s="16"/>
      <c r="AE46" s="16" t="s">
        <v>166</v>
      </c>
      <c r="AF46" s="16" t="s">
        <v>166</v>
      </c>
      <c r="AG46" s="16" t="s">
        <v>166</v>
      </c>
      <c r="AH46" s="16" t="s">
        <v>166</v>
      </c>
      <c r="AI46" s="16" t="s">
        <v>166</v>
      </c>
      <c r="AJ46" s="16" t="s">
        <v>166</v>
      </c>
      <c r="AK46" s="16"/>
      <c r="AL46" s="16" t="s">
        <v>166</v>
      </c>
      <c r="AM46" s="16"/>
      <c r="AN46" s="16" t="s">
        <v>166</v>
      </c>
      <c r="AO46" s="16" t="s">
        <v>166</v>
      </c>
      <c r="AP46" s="16" t="s">
        <v>166</v>
      </c>
      <c r="AQ46" s="16" t="s">
        <v>166</v>
      </c>
      <c r="AR46" s="16"/>
      <c r="AS46" s="16" t="s">
        <v>166</v>
      </c>
      <c r="AT46" s="16" t="s">
        <v>166</v>
      </c>
      <c r="AU46" s="16" t="s">
        <v>166</v>
      </c>
      <c r="AV46" s="16" t="s">
        <v>166</v>
      </c>
      <c r="AW46" s="16" t="s">
        <v>166</v>
      </c>
      <c r="AX46" s="16" t="s">
        <v>166</v>
      </c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5">
        <f t="shared" si="5"/>
        <v>31</v>
      </c>
      <c r="EP46" s="5">
        <f t="shared" si="6"/>
        <v>3</v>
      </c>
    </row>
    <row r="47" spans="1:146" x14ac:dyDescent="0.25">
      <c r="A47" s="17">
        <v>17</v>
      </c>
      <c r="B47" s="19"/>
      <c r="C47" s="20" t="s">
        <v>418</v>
      </c>
      <c r="D47" s="21" t="s">
        <v>130</v>
      </c>
      <c r="E47" s="10" t="s">
        <v>27</v>
      </c>
      <c r="F47" s="16" t="s">
        <v>166</v>
      </c>
      <c r="G47" s="16" t="s">
        <v>166</v>
      </c>
      <c r="H47" s="16" t="s">
        <v>166</v>
      </c>
      <c r="I47" s="16"/>
      <c r="J47" s="16" t="s">
        <v>166</v>
      </c>
      <c r="K47" s="16"/>
      <c r="L47" s="16" t="s">
        <v>166</v>
      </c>
      <c r="M47" s="16" t="s">
        <v>166</v>
      </c>
      <c r="N47" s="16" t="s">
        <v>166</v>
      </c>
      <c r="O47" s="16" t="s">
        <v>166</v>
      </c>
      <c r="P47" s="16"/>
      <c r="Q47" s="16"/>
      <c r="R47" s="16" t="s">
        <v>166</v>
      </c>
      <c r="S47" s="16" t="s">
        <v>165</v>
      </c>
      <c r="T47" s="16" t="s">
        <v>166</v>
      </c>
      <c r="U47" s="16"/>
      <c r="V47" s="16"/>
      <c r="W47" s="16"/>
      <c r="X47" s="16" t="s">
        <v>166</v>
      </c>
      <c r="Y47" s="16" t="s">
        <v>166</v>
      </c>
      <c r="Z47" s="16" t="s">
        <v>166</v>
      </c>
      <c r="AA47" s="16" t="s">
        <v>166</v>
      </c>
      <c r="AB47" s="16" t="s">
        <v>166</v>
      </c>
      <c r="AC47" s="16" t="s">
        <v>166</v>
      </c>
      <c r="AD47" s="16"/>
      <c r="AE47" s="16" t="s">
        <v>166</v>
      </c>
      <c r="AF47" s="16" t="s">
        <v>166</v>
      </c>
      <c r="AG47" s="16" t="s">
        <v>166</v>
      </c>
      <c r="AH47" s="16" t="s">
        <v>166</v>
      </c>
      <c r="AI47" s="16" t="s">
        <v>166</v>
      </c>
      <c r="AJ47" s="16" t="s">
        <v>166</v>
      </c>
      <c r="AK47" s="16"/>
      <c r="AL47" s="16"/>
      <c r="AM47" s="16"/>
      <c r="AN47" s="16" t="s">
        <v>166</v>
      </c>
      <c r="AO47" s="16" t="s">
        <v>166</v>
      </c>
      <c r="AP47" s="16" t="s">
        <v>166</v>
      </c>
      <c r="AQ47" s="16" t="s">
        <v>166</v>
      </c>
      <c r="AR47" s="16"/>
      <c r="AS47" s="16" t="s">
        <v>166</v>
      </c>
      <c r="AT47" s="16" t="s">
        <v>166</v>
      </c>
      <c r="AU47" s="16" t="s">
        <v>166</v>
      </c>
      <c r="AV47" s="16" t="s">
        <v>166</v>
      </c>
      <c r="AW47" s="16" t="s">
        <v>166</v>
      </c>
      <c r="AX47" s="16" t="s">
        <v>165</v>
      </c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5">
        <f t="shared" si="5"/>
        <v>31</v>
      </c>
      <c r="EP47" s="5">
        <f t="shared" si="6"/>
        <v>2</v>
      </c>
    </row>
    <row r="48" spans="1:146" x14ac:dyDescent="0.25">
      <c r="A48" s="6">
        <v>18</v>
      </c>
      <c r="B48" s="19"/>
      <c r="C48" s="20" t="s">
        <v>419</v>
      </c>
      <c r="D48" s="21" t="s">
        <v>89</v>
      </c>
      <c r="E48" s="10" t="s">
        <v>27</v>
      </c>
      <c r="F48" s="16" t="s">
        <v>166</v>
      </c>
      <c r="G48" s="16" t="s">
        <v>166</v>
      </c>
      <c r="H48" s="16" t="s">
        <v>166</v>
      </c>
      <c r="I48" s="16"/>
      <c r="J48" s="16" t="s">
        <v>166</v>
      </c>
      <c r="K48" s="16"/>
      <c r="L48" s="16" t="s">
        <v>166</v>
      </c>
      <c r="M48" s="16" t="s">
        <v>165</v>
      </c>
      <c r="N48" s="16" t="s">
        <v>166</v>
      </c>
      <c r="O48" s="16" t="s">
        <v>166</v>
      </c>
      <c r="P48" s="16"/>
      <c r="Q48" s="16"/>
      <c r="R48" s="16" t="s">
        <v>165</v>
      </c>
      <c r="S48" s="16" t="s">
        <v>165</v>
      </c>
      <c r="T48" s="16" t="s">
        <v>166</v>
      </c>
      <c r="U48" s="16"/>
      <c r="V48" s="16"/>
      <c r="W48" s="16"/>
      <c r="X48" s="16" t="s">
        <v>166</v>
      </c>
      <c r="Y48" s="16" t="s">
        <v>165</v>
      </c>
      <c r="Z48" s="16" t="s">
        <v>166</v>
      </c>
      <c r="AA48" s="16" t="s">
        <v>166</v>
      </c>
      <c r="AB48" s="16" t="s">
        <v>166</v>
      </c>
      <c r="AC48" s="16" t="s">
        <v>166</v>
      </c>
      <c r="AD48" s="16"/>
      <c r="AE48" s="16" t="s">
        <v>166</v>
      </c>
      <c r="AF48" s="16" t="s">
        <v>166</v>
      </c>
      <c r="AG48" s="16" t="s">
        <v>166</v>
      </c>
      <c r="AH48" s="16" t="s">
        <v>166</v>
      </c>
      <c r="AI48" s="16" t="s">
        <v>166</v>
      </c>
      <c r="AJ48" s="16" t="s">
        <v>166</v>
      </c>
      <c r="AK48" s="16"/>
      <c r="AL48" s="16"/>
      <c r="AM48" s="16"/>
      <c r="AN48" s="16" t="s">
        <v>166</v>
      </c>
      <c r="AO48" s="16" t="s">
        <v>166</v>
      </c>
      <c r="AP48" s="16" t="s">
        <v>166</v>
      </c>
      <c r="AQ48" s="16" t="s">
        <v>165</v>
      </c>
      <c r="AR48" s="16"/>
      <c r="AS48" s="16" t="s">
        <v>166</v>
      </c>
      <c r="AT48" s="16" t="s">
        <v>166</v>
      </c>
      <c r="AU48" s="16" t="s">
        <v>166</v>
      </c>
      <c r="AV48" s="16" t="s">
        <v>166</v>
      </c>
      <c r="AW48" s="16" t="s">
        <v>165</v>
      </c>
      <c r="AX48" s="16" t="s">
        <v>166</v>
      </c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5">
        <f t="shared" si="5"/>
        <v>27</v>
      </c>
      <c r="EP48" s="5">
        <f t="shared" si="6"/>
        <v>6</v>
      </c>
    </row>
    <row r="49" spans="1:146" x14ac:dyDescent="0.25">
      <c r="A49" s="17">
        <v>19</v>
      </c>
      <c r="B49" s="19"/>
      <c r="C49" s="20" t="s">
        <v>420</v>
      </c>
      <c r="D49" s="21" t="s">
        <v>421</v>
      </c>
      <c r="E49" s="10" t="s">
        <v>27</v>
      </c>
      <c r="F49" s="16" t="s">
        <v>166</v>
      </c>
      <c r="G49" s="16" t="s">
        <v>166</v>
      </c>
      <c r="H49" s="16" t="s">
        <v>166</v>
      </c>
      <c r="I49" s="16"/>
      <c r="J49" s="16" t="s">
        <v>166</v>
      </c>
      <c r="K49" s="16"/>
      <c r="L49" s="16" t="s">
        <v>166</v>
      </c>
      <c r="M49" s="16" t="s">
        <v>166</v>
      </c>
      <c r="N49" s="16" t="s">
        <v>166</v>
      </c>
      <c r="O49" s="16" t="s">
        <v>369</v>
      </c>
      <c r="P49" s="16"/>
      <c r="Q49" s="16"/>
      <c r="R49" s="16" t="s">
        <v>165</v>
      </c>
      <c r="S49" s="16" t="s">
        <v>166</v>
      </c>
      <c r="T49" s="16" t="s">
        <v>166</v>
      </c>
      <c r="U49" s="16"/>
      <c r="V49" s="16"/>
      <c r="W49" s="16"/>
      <c r="X49" s="16" t="s">
        <v>166</v>
      </c>
      <c r="Y49" s="16" t="s">
        <v>166</v>
      </c>
      <c r="Z49" s="16" t="s">
        <v>166</v>
      </c>
      <c r="AA49" s="16" t="s">
        <v>166</v>
      </c>
      <c r="AB49" s="16" t="s">
        <v>166</v>
      </c>
      <c r="AC49" s="16" t="s">
        <v>166</v>
      </c>
      <c r="AD49" s="16"/>
      <c r="AE49" s="16" t="s">
        <v>166</v>
      </c>
      <c r="AF49" s="16" t="s">
        <v>166</v>
      </c>
      <c r="AG49" s="16" t="s">
        <v>166</v>
      </c>
      <c r="AH49" s="16" t="s">
        <v>166</v>
      </c>
      <c r="AI49" s="16" t="s">
        <v>369</v>
      </c>
      <c r="AJ49" s="16" t="s">
        <v>166</v>
      </c>
      <c r="AK49" s="16"/>
      <c r="AL49" s="16"/>
      <c r="AM49" s="16"/>
      <c r="AN49" s="16" t="s">
        <v>166</v>
      </c>
      <c r="AO49" s="16" t="s">
        <v>166</v>
      </c>
      <c r="AP49" s="16" t="s">
        <v>166</v>
      </c>
      <c r="AQ49" s="16" t="s">
        <v>165</v>
      </c>
      <c r="AR49" s="16"/>
      <c r="AS49" s="16" t="s">
        <v>166</v>
      </c>
      <c r="AT49" s="16" t="s">
        <v>166</v>
      </c>
      <c r="AU49" s="16" t="s">
        <v>166</v>
      </c>
      <c r="AV49" s="16" t="s">
        <v>166</v>
      </c>
      <c r="AW49" s="16" t="s">
        <v>166</v>
      </c>
      <c r="AX49" s="16" t="s">
        <v>165</v>
      </c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5">
        <f t="shared" si="5"/>
        <v>28</v>
      </c>
      <c r="EP49" s="5">
        <f t="shared" si="6"/>
        <v>3</v>
      </c>
    </row>
    <row r="50" spans="1:146" x14ac:dyDescent="0.25">
      <c r="A50" s="6">
        <v>20</v>
      </c>
      <c r="B50" s="19"/>
      <c r="C50" s="20" t="s">
        <v>422</v>
      </c>
      <c r="D50" s="21" t="s">
        <v>423</v>
      </c>
      <c r="E50" s="10" t="s">
        <v>27</v>
      </c>
      <c r="F50" s="16" t="s">
        <v>166</v>
      </c>
      <c r="G50" s="16" t="s">
        <v>166</v>
      </c>
      <c r="H50" s="16" t="s">
        <v>166</v>
      </c>
      <c r="I50" s="16"/>
      <c r="J50" s="16" t="s">
        <v>166</v>
      </c>
      <c r="K50" s="16"/>
      <c r="L50" s="16" t="s">
        <v>165</v>
      </c>
      <c r="M50" s="16" t="s">
        <v>166</v>
      </c>
      <c r="N50" s="16" t="s">
        <v>166</v>
      </c>
      <c r="O50" s="16" t="s">
        <v>166</v>
      </c>
      <c r="P50" s="16"/>
      <c r="Q50" s="16"/>
      <c r="R50" s="16" t="s">
        <v>166</v>
      </c>
      <c r="S50" s="16" t="s">
        <v>165</v>
      </c>
      <c r="T50" s="16" t="s">
        <v>165</v>
      </c>
      <c r="U50" s="16"/>
      <c r="V50" s="16"/>
      <c r="W50" s="16"/>
      <c r="X50" s="16" t="s">
        <v>166</v>
      </c>
      <c r="Y50" s="16" t="s">
        <v>166</v>
      </c>
      <c r="Z50" s="16" t="s">
        <v>166</v>
      </c>
      <c r="AA50" s="16" t="s">
        <v>166</v>
      </c>
      <c r="AB50" s="16" t="s">
        <v>166</v>
      </c>
      <c r="AC50" s="16" t="s">
        <v>166</v>
      </c>
      <c r="AD50" s="16"/>
      <c r="AE50" s="16" t="s">
        <v>166</v>
      </c>
      <c r="AF50" s="16" t="s">
        <v>166</v>
      </c>
      <c r="AG50" s="16" t="s">
        <v>166</v>
      </c>
      <c r="AH50" s="16" t="s">
        <v>166</v>
      </c>
      <c r="AI50" s="16" t="s">
        <v>166</v>
      </c>
      <c r="AJ50" s="16" t="s">
        <v>166</v>
      </c>
      <c r="AK50" s="16"/>
      <c r="AL50" s="16" t="s">
        <v>166</v>
      </c>
      <c r="AM50" s="16"/>
      <c r="AN50" s="16" t="s">
        <v>166</v>
      </c>
      <c r="AO50" s="16" t="s">
        <v>166</v>
      </c>
      <c r="AP50" s="16" t="s">
        <v>166</v>
      </c>
      <c r="AQ50" s="16" t="s">
        <v>166</v>
      </c>
      <c r="AR50" s="16"/>
      <c r="AS50" s="16" t="s">
        <v>166</v>
      </c>
      <c r="AT50" s="16" t="s">
        <v>166</v>
      </c>
      <c r="AU50" s="16" t="s">
        <v>166</v>
      </c>
      <c r="AV50" s="16" t="s">
        <v>166</v>
      </c>
      <c r="AW50" s="16" t="s">
        <v>166</v>
      </c>
      <c r="AX50" s="16" t="s">
        <v>166</v>
      </c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5">
        <f t="shared" si="5"/>
        <v>31</v>
      </c>
      <c r="EP50" s="5">
        <f t="shared" si="6"/>
        <v>3</v>
      </c>
    </row>
    <row r="51" spans="1:146" x14ac:dyDescent="0.25">
      <c r="A51" s="17">
        <v>21</v>
      </c>
      <c r="B51" s="19"/>
      <c r="C51" s="20" t="s">
        <v>424</v>
      </c>
      <c r="D51" s="21" t="s">
        <v>425</v>
      </c>
      <c r="E51" s="10" t="s">
        <v>27</v>
      </c>
      <c r="F51" s="16" t="s">
        <v>166</v>
      </c>
      <c r="G51" s="16" t="s">
        <v>166</v>
      </c>
      <c r="H51" s="16" t="s">
        <v>166</v>
      </c>
      <c r="I51" s="16"/>
      <c r="J51" s="16" t="s">
        <v>165</v>
      </c>
      <c r="K51" s="16"/>
      <c r="L51" s="16" t="s">
        <v>166</v>
      </c>
      <c r="M51" s="16" t="s">
        <v>166</v>
      </c>
      <c r="N51" s="16" t="s">
        <v>166</v>
      </c>
      <c r="O51" s="16" t="s">
        <v>166</v>
      </c>
      <c r="P51" s="16"/>
      <c r="Q51" s="16"/>
      <c r="R51" s="16" t="s">
        <v>165</v>
      </c>
      <c r="S51" s="16" t="s">
        <v>165</v>
      </c>
      <c r="T51" s="16" t="s">
        <v>165</v>
      </c>
      <c r="U51" s="16"/>
      <c r="V51" s="16"/>
      <c r="W51" s="16"/>
      <c r="X51" s="16" t="s">
        <v>166</v>
      </c>
      <c r="Y51" s="16" t="s">
        <v>166</v>
      </c>
      <c r="Z51" s="16" t="s">
        <v>166</v>
      </c>
      <c r="AA51" s="16" t="s">
        <v>165</v>
      </c>
      <c r="AB51" s="16" t="s">
        <v>165</v>
      </c>
      <c r="AC51" s="16" t="s">
        <v>166</v>
      </c>
      <c r="AD51" s="16"/>
      <c r="AE51" s="16" t="s">
        <v>166</v>
      </c>
      <c r="AF51" s="16" t="s">
        <v>369</v>
      </c>
      <c r="AG51" s="16" t="s">
        <v>369</v>
      </c>
      <c r="AH51" s="16" t="s">
        <v>369</v>
      </c>
      <c r="AI51" s="16" t="s">
        <v>369</v>
      </c>
      <c r="AJ51" s="16" t="s">
        <v>369</v>
      </c>
      <c r="AK51" s="16"/>
      <c r="AL51" s="16"/>
      <c r="AM51" s="16"/>
      <c r="AN51" s="16" t="s">
        <v>166</v>
      </c>
      <c r="AO51" s="16" t="s">
        <v>166</v>
      </c>
      <c r="AP51" s="16" t="s">
        <v>166</v>
      </c>
      <c r="AQ51" s="16" t="s">
        <v>166</v>
      </c>
      <c r="AR51" s="16"/>
      <c r="AS51" s="16" t="s">
        <v>166</v>
      </c>
      <c r="AT51" s="16" t="s">
        <v>166</v>
      </c>
      <c r="AU51" s="16" t="s">
        <v>166</v>
      </c>
      <c r="AV51" s="16" t="s">
        <v>171</v>
      </c>
      <c r="AW51" s="16" t="s">
        <v>171</v>
      </c>
      <c r="AX51" s="16" t="s">
        <v>171</v>
      </c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5">
        <f t="shared" si="5"/>
        <v>19</v>
      </c>
      <c r="EP51" s="5">
        <f t="shared" si="6"/>
        <v>6</v>
      </c>
    </row>
    <row r="52" spans="1:146" x14ac:dyDescent="0.25">
      <c r="A52" s="6">
        <v>22</v>
      </c>
      <c r="B52" s="19"/>
      <c r="C52" s="20" t="s">
        <v>352</v>
      </c>
      <c r="D52" s="21" t="s">
        <v>426</v>
      </c>
      <c r="E52" s="10" t="s">
        <v>27</v>
      </c>
      <c r="F52" s="16" t="s">
        <v>166</v>
      </c>
      <c r="G52" s="16" t="s">
        <v>166</v>
      </c>
      <c r="H52" s="16" t="s">
        <v>166</v>
      </c>
      <c r="I52" s="16"/>
      <c r="J52" s="16" t="s">
        <v>166</v>
      </c>
      <c r="K52" s="16"/>
      <c r="L52" s="16" t="s">
        <v>166</v>
      </c>
      <c r="M52" s="16" t="s">
        <v>166</v>
      </c>
      <c r="N52" s="16" t="s">
        <v>166</v>
      </c>
      <c r="O52" s="16" t="s">
        <v>369</v>
      </c>
      <c r="P52" s="16"/>
      <c r="Q52" s="16"/>
      <c r="R52" s="16" t="s">
        <v>166</v>
      </c>
      <c r="S52" s="16" t="s">
        <v>165</v>
      </c>
      <c r="T52" s="16" t="s">
        <v>166</v>
      </c>
      <c r="U52" s="16"/>
      <c r="V52" s="16"/>
      <c r="W52" s="16"/>
      <c r="X52" s="16" t="s">
        <v>166</v>
      </c>
      <c r="Y52" s="16" t="s">
        <v>165</v>
      </c>
      <c r="Z52" s="16" t="s">
        <v>165</v>
      </c>
      <c r="AA52" s="16" t="s">
        <v>166</v>
      </c>
      <c r="AB52" s="16" t="s">
        <v>165</v>
      </c>
      <c r="AC52" s="16" t="s">
        <v>166</v>
      </c>
      <c r="AD52" s="16"/>
      <c r="AE52" s="16" t="s">
        <v>166</v>
      </c>
      <c r="AF52" s="16"/>
      <c r="AG52" s="16" t="s">
        <v>166</v>
      </c>
      <c r="AH52" s="16" t="s">
        <v>166</v>
      </c>
      <c r="AI52" s="16" t="s">
        <v>369</v>
      </c>
      <c r="AJ52" s="16" t="s">
        <v>369</v>
      </c>
      <c r="AK52" s="16"/>
      <c r="AL52" s="16" t="s">
        <v>166</v>
      </c>
      <c r="AM52" s="16"/>
      <c r="AN52" s="16" t="s">
        <v>166</v>
      </c>
      <c r="AO52" s="16" t="s">
        <v>166</v>
      </c>
      <c r="AP52" s="16" t="s">
        <v>166</v>
      </c>
      <c r="AQ52" s="16" t="s">
        <v>165</v>
      </c>
      <c r="AR52" s="16"/>
      <c r="AS52" s="16" t="s">
        <v>166</v>
      </c>
      <c r="AT52" s="16" t="s">
        <v>166</v>
      </c>
      <c r="AU52" s="16" t="s">
        <v>166</v>
      </c>
      <c r="AV52" s="16" t="s">
        <v>166</v>
      </c>
      <c r="AW52" s="16" t="s">
        <v>165</v>
      </c>
      <c r="AX52" s="16" t="s">
        <v>166</v>
      </c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5">
        <f t="shared" si="5"/>
        <v>24</v>
      </c>
      <c r="EP52" s="5">
        <f t="shared" si="6"/>
        <v>6</v>
      </c>
    </row>
    <row r="53" spans="1:146" x14ac:dyDescent="0.25">
      <c r="A53" s="17">
        <v>23</v>
      </c>
      <c r="B53" s="19"/>
      <c r="C53" s="20" t="s">
        <v>427</v>
      </c>
      <c r="D53" s="21" t="s">
        <v>428</v>
      </c>
      <c r="E53" s="10" t="s">
        <v>27</v>
      </c>
      <c r="F53" s="16" t="s">
        <v>166</v>
      </c>
      <c r="G53" s="16" t="s">
        <v>166</v>
      </c>
      <c r="H53" s="16" t="s">
        <v>166</v>
      </c>
      <c r="I53" s="16"/>
      <c r="J53" s="16" t="s">
        <v>166</v>
      </c>
      <c r="K53" s="16"/>
      <c r="L53" s="16" t="s">
        <v>165</v>
      </c>
      <c r="M53" s="16" t="s">
        <v>166</v>
      </c>
      <c r="N53" s="16" t="s">
        <v>165</v>
      </c>
      <c r="O53" s="16" t="s">
        <v>166</v>
      </c>
      <c r="P53" s="16"/>
      <c r="Q53" s="16"/>
      <c r="R53" s="16" t="s">
        <v>166</v>
      </c>
      <c r="S53" s="16" t="s">
        <v>165</v>
      </c>
      <c r="T53" s="16" t="s">
        <v>166</v>
      </c>
      <c r="U53" s="16"/>
      <c r="V53" s="16"/>
      <c r="W53" s="16"/>
      <c r="X53" s="16" t="s">
        <v>166</v>
      </c>
      <c r="Y53" s="16" t="s">
        <v>166</v>
      </c>
      <c r="Z53" s="16" t="s">
        <v>166</v>
      </c>
      <c r="AA53" s="16" t="s">
        <v>166</v>
      </c>
      <c r="AB53" s="16" t="s">
        <v>166</v>
      </c>
      <c r="AC53" s="16" t="s">
        <v>165</v>
      </c>
      <c r="AD53" s="16"/>
      <c r="AE53" s="16" t="s">
        <v>165</v>
      </c>
      <c r="AF53" s="16" t="s">
        <v>166</v>
      </c>
      <c r="AG53" s="16" t="s">
        <v>369</v>
      </c>
      <c r="AH53" s="16" t="s">
        <v>166</v>
      </c>
      <c r="AI53" s="16" t="s">
        <v>166</v>
      </c>
      <c r="AJ53" s="16" t="s">
        <v>369</v>
      </c>
      <c r="AK53" s="16"/>
      <c r="AL53" s="16" t="s">
        <v>369</v>
      </c>
      <c r="AM53" s="16"/>
      <c r="AN53" s="16" t="s">
        <v>166</v>
      </c>
      <c r="AO53" s="16" t="s">
        <v>369</v>
      </c>
      <c r="AP53" s="16" t="s">
        <v>166</v>
      </c>
      <c r="AQ53" s="16" t="s">
        <v>165</v>
      </c>
      <c r="AR53" s="16"/>
      <c r="AS53" s="16" t="s">
        <v>166</v>
      </c>
      <c r="AT53" s="16" t="s">
        <v>165</v>
      </c>
      <c r="AU53" s="16" t="s">
        <v>166</v>
      </c>
      <c r="AV53" s="16" t="s">
        <v>166</v>
      </c>
      <c r="AW53" s="16" t="s">
        <v>165</v>
      </c>
      <c r="AX53" s="16" t="s">
        <v>166</v>
      </c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5">
        <f t="shared" si="5"/>
        <v>22</v>
      </c>
      <c r="EP53" s="5">
        <f t="shared" si="6"/>
        <v>8</v>
      </c>
    </row>
    <row r="54" spans="1:146" x14ac:dyDescent="0.25">
      <c r="A54" s="6">
        <v>24</v>
      </c>
      <c r="B54" s="19"/>
      <c r="C54" s="20" t="s">
        <v>429</v>
      </c>
      <c r="D54" s="21" t="s">
        <v>423</v>
      </c>
      <c r="E54" s="10" t="s">
        <v>27</v>
      </c>
      <c r="F54" s="16" t="s">
        <v>166</v>
      </c>
      <c r="G54" s="16" t="s">
        <v>166</v>
      </c>
      <c r="H54" s="16" t="s">
        <v>166</v>
      </c>
      <c r="I54" s="16"/>
      <c r="J54" s="16" t="s">
        <v>166</v>
      </c>
      <c r="K54" s="16"/>
      <c r="L54" s="16" t="s">
        <v>166</v>
      </c>
      <c r="M54" s="16" t="s">
        <v>166</v>
      </c>
      <c r="N54" s="16" t="s">
        <v>166</v>
      </c>
      <c r="O54" s="16" t="s">
        <v>166</v>
      </c>
      <c r="P54" s="16"/>
      <c r="Q54" s="16"/>
      <c r="R54" s="16" t="s">
        <v>166</v>
      </c>
      <c r="S54" s="16" t="s">
        <v>165</v>
      </c>
      <c r="T54" s="16" t="s">
        <v>165</v>
      </c>
      <c r="U54" s="16"/>
      <c r="V54" s="16"/>
      <c r="W54" s="16"/>
      <c r="X54" s="16" t="s">
        <v>166</v>
      </c>
      <c r="Y54" s="16" t="s">
        <v>166</v>
      </c>
      <c r="Z54" s="16" t="s">
        <v>166</v>
      </c>
      <c r="AA54" s="16" t="s">
        <v>166</v>
      </c>
      <c r="AB54" s="16" t="s">
        <v>166</v>
      </c>
      <c r="AC54" s="16" t="s">
        <v>166</v>
      </c>
      <c r="AD54" s="16"/>
      <c r="AE54" s="16" t="s">
        <v>166</v>
      </c>
      <c r="AF54" s="16" t="s">
        <v>166</v>
      </c>
      <c r="AG54" s="16" t="s">
        <v>166</v>
      </c>
      <c r="AH54" s="16" t="s">
        <v>166</v>
      </c>
      <c r="AI54" s="16" t="s">
        <v>166</v>
      </c>
      <c r="AJ54" s="16" t="s">
        <v>166</v>
      </c>
      <c r="AK54" s="16"/>
      <c r="AL54" s="16" t="s">
        <v>166</v>
      </c>
      <c r="AM54" s="16"/>
      <c r="AN54" s="16" t="s">
        <v>166</v>
      </c>
      <c r="AO54" s="16" t="s">
        <v>166</v>
      </c>
      <c r="AP54" s="16" t="s">
        <v>166</v>
      </c>
      <c r="AQ54" s="16" t="s">
        <v>166</v>
      </c>
      <c r="AR54" s="16"/>
      <c r="AS54" s="16" t="s">
        <v>166</v>
      </c>
      <c r="AT54" s="16" t="s">
        <v>166</v>
      </c>
      <c r="AU54" s="16" t="s">
        <v>166</v>
      </c>
      <c r="AV54" s="16" t="s">
        <v>166</v>
      </c>
      <c r="AW54" s="16" t="s">
        <v>166</v>
      </c>
      <c r="AX54" s="16" t="s">
        <v>166</v>
      </c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5">
        <f t="shared" si="5"/>
        <v>32</v>
      </c>
      <c r="EP54" s="5">
        <f t="shared" si="6"/>
        <v>2</v>
      </c>
    </row>
    <row r="55" spans="1:146" x14ac:dyDescent="0.25">
      <c r="A55" s="6">
        <v>26</v>
      </c>
      <c r="B55" s="19"/>
      <c r="C55" s="20" t="s">
        <v>430</v>
      </c>
      <c r="D55" s="21" t="s">
        <v>431</v>
      </c>
      <c r="E55" s="10" t="s">
        <v>27</v>
      </c>
      <c r="F55" s="16" t="s">
        <v>166</v>
      </c>
      <c r="G55" s="16" t="s">
        <v>166</v>
      </c>
      <c r="H55" s="16" t="s">
        <v>166</v>
      </c>
      <c r="I55" s="16"/>
      <c r="J55" s="16" t="s">
        <v>166</v>
      </c>
      <c r="K55" s="16"/>
      <c r="L55" s="16" t="s">
        <v>166</v>
      </c>
      <c r="M55" s="16" t="s">
        <v>166</v>
      </c>
      <c r="N55" s="16" t="s">
        <v>166</v>
      </c>
      <c r="O55" s="16" t="s">
        <v>166</v>
      </c>
      <c r="P55" s="16"/>
      <c r="Q55" s="16"/>
      <c r="R55" s="16" t="s">
        <v>166</v>
      </c>
      <c r="S55" s="16" t="s">
        <v>166</v>
      </c>
      <c r="T55" s="16" t="s">
        <v>165</v>
      </c>
      <c r="U55" s="16"/>
      <c r="V55" s="16"/>
      <c r="W55" s="16"/>
      <c r="X55" s="16" t="s">
        <v>166</v>
      </c>
      <c r="Y55" s="16" t="s">
        <v>166</v>
      </c>
      <c r="Z55" s="16" t="s">
        <v>166</v>
      </c>
      <c r="AA55" s="16" t="s">
        <v>166</v>
      </c>
      <c r="AB55" s="16" t="s">
        <v>165</v>
      </c>
      <c r="AC55" s="16" t="s">
        <v>166</v>
      </c>
      <c r="AD55" s="16"/>
      <c r="AE55" s="16" t="s">
        <v>166</v>
      </c>
      <c r="AF55" s="16" t="s">
        <v>166</v>
      </c>
      <c r="AG55" s="16" t="s">
        <v>166</v>
      </c>
      <c r="AH55" s="16" t="s">
        <v>166</v>
      </c>
      <c r="AI55" s="16" t="s">
        <v>166</v>
      </c>
      <c r="AJ55" s="16" t="s">
        <v>369</v>
      </c>
      <c r="AK55" s="16"/>
      <c r="AL55" s="16"/>
      <c r="AM55" s="16"/>
      <c r="AN55" s="16" t="s">
        <v>369</v>
      </c>
      <c r="AO55" s="16" t="s">
        <v>369</v>
      </c>
      <c r="AP55" s="16" t="s">
        <v>369</v>
      </c>
      <c r="AQ55" s="16"/>
      <c r="AR55" s="16"/>
      <c r="AS55" s="16" t="s">
        <v>166</v>
      </c>
      <c r="AT55" s="16" t="s">
        <v>166</v>
      </c>
      <c r="AU55" s="16" t="s">
        <v>166</v>
      </c>
      <c r="AV55" s="16" t="s">
        <v>165</v>
      </c>
      <c r="AW55" s="16" t="s">
        <v>165</v>
      </c>
      <c r="AX55" s="16" t="s">
        <v>165</v>
      </c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5">
        <f t="shared" si="5"/>
        <v>23</v>
      </c>
      <c r="EP55" s="5">
        <f t="shared" si="6"/>
        <v>5</v>
      </c>
    </row>
    <row r="56" spans="1:146" x14ac:dyDescent="0.25">
      <c r="A56" s="6">
        <v>27</v>
      </c>
      <c r="B56" s="19"/>
      <c r="C56" s="20" t="s">
        <v>432</v>
      </c>
      <c r="D56" s="21" t="s">
        <v>433</v>
      </c>
      <c r="E56" s="10" t="s">
        <v>27</v>
      </c>
      <c r="F56" s="16"/>
      <c r="G56" s="16"/>
      <c r="H56" s="16"/>
      <c r="I56" s="16"/>
      <c r="J56" s="16"/>
      <c r="K56" s="16"/>
      <c r="L56" s="16"/>
      <c r="M56" s="16"/>
      <c r="N56" s="16" t="s">
        <v>166</v>
      </c>
      <c r="O56" s="16" t="s">
        <v>166</v>
      </c>
      <c r="P56" s="16"/>
      <c r="Q56" s="16"/>
      <c r="R56" s="16" t="s">
        <v>166</v>
      </c>
      <c r="S56" s="16" t="s">
        <v>165</v>
      </c>
      <c r="T56" s="16" t="s">
        <v>165</v>
      </c>
      <c r="U56" s="16"/>
      <c r="V56" s="16"/>
      <c r="W56" s="16"/>
      <c r="X56" s="16" t="s">
        <v>166</v>
      </c>
      <c r="Y56" s="16" t="s">
        <v>166</v>
      </c>
      <c r="Z56" s="16" t="s">
        <v>166</v>
      </c>
      <c r="AA56" s="16" t="s">
        <v>166</v>
      </c>
      <c r="AB56" s="16" t="s">
        <v>165</v>
      </c>
      <c r="AC56" s="16" t="s">
        <v>166</v>
      </c>
      <c r="AD56" s="16"/>
      <c r="AE56" s="16" t="s">
        <v>166</v>
      </c>
      <c r="AF56" s="16" t="s">
        <v>166</v>
      </c>
      <c r="AG56" s="16" t="s">
        <v>166</v>
      </c>
      <c r="AH56" s="16" t="s">
        <v>166</v>
      </c>
      <c r="AI56" s="16" t="s">
        <v>166</v>
      </c>
      <c r="AJ56" s="16" t="s">
        <v>166</v>
      </c>
      <c r="AK56" s="16"/>
      <c r="AL56" s="16" t="s">
        <v>166</v>
      </c>
      <c r="AM56" s="16"/>
      <c r="AN56" s="16" t="s">
        <v>166</v>
      </c>
      <c r="AO56" s="16" t="s">
        <v>166</v>
      </c>
      <c r="AP56" s="16" t="s">
        <v>166</v>
      </c>
      <c r="AQ56" s="16" t="s">
        <v>166</v>
      </c>
      <c r="AR56" s="16"/>
      <c r="AS56" s="16" t="s">
        <v>165</v>
      </c>
      <c r="AT56" s="16" t="s">
        <v>166</v>
      </c>
      <c r="AU56" s="16" t="s">
        <v>166</v>
      </c>
      <c r="AV56" s="16" t="s">
        <v>166</v>
      </c>
      <c r="AW56" s="16" t="s">
        <v>166</v>
      </c>
      <c r="AX56" s="16" t="s">
        <v>166</v>
      </c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5">
        <f t="shared" si="5"/>
        <v>24</v>
      </c>
      <c r="EP56" s="5">
        <f t="shared" si="6"/>
        <v>4</v>
      </c>
    </row>
  </sheetData>
  <mergeCells count="13">
    <mergeCell ref="EO4:EO5"/>
    <mergeCell ref="EP4:EP5"/>
    <mergeCell ref="EQ4:ER4"/>
    <mergeCell ref="EQ9:ET9"/>
    <mergeCell ref="EQ17:ET17"/>
    <mergeCell ref="A1:E1"/>
    <mergeCell ref="A2:E2"/>
    <mergeCell ref="A3:E3"/>
    <mergeCell ref="A4:A5"/>
    <mergeCell ref="B4:B5"/>
    <mergeCell ref="C4:C5"/>
    <mergeCell ref="D4:D5"/>
    <mergeCell ref="E4:E5"/>
  </mergeCells>
  <conditionalFormatting sqref="F4:EN56 EQ5:ER5">
    <cfRule type="expression" dxfId="78" priority="15">
      <formula>F$4="Sun"</formula>
    </cfRule>
  </conditionalFormatting>
  <conditionalFormatting sqref="F5:EN56">
    <cfRule type="expression" dxfId="77" priority="14">
      <formula>IF(F$5=TODAY(),TRUE,FALSE)</formula>
    </cfRule>
  </conditionalFormatting>
  <conditionalFormatting sqref="F6:EN56">
    <cfRule type="cellIs" dxfId="76" priority="1" operator="equal">
      <formula>"L"</formula>
    </cfRule>
    <cfRule type="cellIs" dxfId="75" priority="2" operator="equal">
      <formula>"A"</formula>
    </cfRule>
    <cfRule type="cellIs" dxfId="74" priority="3" operator="equal">
      <formula>"P"</formula>
    </cfRule>
  </conditionalFormatting>
  <conditionalFormatting sqref="EO4:EP4 EO6:EP56">
    <cfRule type="expression" dxfId="73" priority="16">
      <formula>#REF!="Sun"</formula>
    </cfRule>
  </conditionalFormatting>
  <conditionalFormatting sqref="EQ6:EQ7">
    <cfRule type="expression" dxfId="72" priority="12">
      <formula>EQ$4="Sun"</formula>
    </cfRule>
  </conditionalFormatting>
  <conditionalFormatting sqref="EQ10:EQ13">
    <cfRule type="expression" dxfId="71" priority="6">
      <formula>EQ$4="Sun"</formula>
    </cfRule>
  </conditionalFormatting>
  <conditionalFormatting sqref="EQ18:EQ21">
    <cfRule type="expression" dxfId="70" priority="5">
      <formula>EQ$4="Sun"</formula>
    </cfRule>
  </conditionalFormatting>
  <conditionalFormatting sqref="ER10:ET10">
    <cfRule type="expression" dxfId="69" priority="7">
      <formula>ER$4="Sun"</formula>
    </cfRule>
  </conditionalFormatting>
  <conditionalFormatting sqref="ER18:ET18">
    <cfRule type="expression" dxfId="68" priority="4">
      <formula>ER$4="Sun"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C60-7EB8-45C3-AF72-C11F7CE845DC}">
  <dimension ref="A1:ET60"/>
  <sheetViews>
    <sheetView tabSelected="1" workbookViewId="0">
      <pane xSplit="5" ySplit="5" topLeftCell="DL47" activePane="bottomRight" state="frozen"/>
      <selection pane="topRight" activeCell="F1" sqref="F1"/>
      <selection pane="bottomLeft" activeCell="A6" sqref="A6"/>
      <selection pane="bottomRight" activeCell="B57" sqref="B57:D6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 customWidth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6" width="3.7109375" style="1" bestFit="1" customWidth="1"/>
    <col min="37" max="37" width="3.85546875" style="1" bestFit="1" customWidth="1"/>
    <col min="38" max="38" width="4.5703125" style="1" bestFit="1" customWidth="1"/>
    <col min="39" max="39" width="3.85546875" style="1" bestFit="1" customWidth="1"/>
    <col min="40" max="40" width="4.7109375" style="1" bestFit="1" customWidth="1"/>
    <col min="41" max="41" width="3.85546875" style="1" bestFit="1" customWidth="1"/>
    <col min="42" max="43" width="3.7109375" style="1" bestFit="1" customWidth="1"/>
    <col min="44" max="44" width="3.85546875" style="1" bestFit="1" customWidth="1"/>
    <col min="45" max="45" width="4.5703125" style="1" bestFit="1" customWidth="1"/>
    <col min="46" max="46" width="3.85546875" style="1" bestFit="1" customWidth="1"/>
    <col min="47" max="47" width="4.7109375" style="1" bestFit="1" customWidth="1"/>
    <col min="48" max="48" width="3.85546875" style="1" bestFit="1" customWidth="1"/>
    <col min="49" max="50" width="3.7109375" style="1" bestFit="1" customWidth="1"/>
    <col min="51" max="51" width="3.85546875" style="1" bestFit="1" customWidth="1"/>
    <col min="52" max="52" width="4.5703125" style="1" bestFit="1" customWidth="1"/>
    <col min="53" max="53" width="3.85546875" style="1" bestFit="1" customWidth="1"/>
    <col min="54" max="54" width="4.7109375" style="1" bestFit="1" customWidth="1"/>
    <col min="55" max="55" width="3.85546875" style="1" bestFit="1" customWidth="1"/>
    <col min="56" max="57" width="3.7109375" style="1" bestFit="1" customWidth="1"/>
    <col min="58" max="58" width="3.85546875" style="1" bestFit="1" customWidth="1"/>
    <col min="59" max="59" width="4.5703125" style="1" bestFit="1" customWidth="1"/>
    <col min="60" max="60" width="3.85546875" style="1" bestFit="1" customWidth="1"/>
    <col min="61" max="61" width="4.7109375" style="1" bestFit="1" customWidth="1"/>
    <col min="62" max="62" width="3.85546875" style="1" bestFit="1" customWidth="1"/>
    <col min="63" max="64" width="3.7109375" style="1" bestFit="1" customWidth="1"/>
    <col min="65" max="65" width="3.85546875" style="1" bestFit="1" customWidth="1"/>
    <col min="66" max="66" width="4.5703125" style="1" bestFit="1" customWidth="1"/>
    <col min="67" max="67" width="3.85546875" style="1" bestFit="1" customWidth="1"/>
    <col min="68" max="68" width="4.7109375" style="1" bestFit="1" customWidth="1"/>
    <col min="69" max="69" width="3.85546875" style="1" bestFit="1" customWidth="1"/>
    <col min="70" max="71" width="3.7109375" style="1" bestFit="1" customWidth="1"/>
    <col min="72" max="72" width="3.85546875" style="1" bestFit="1" customWidth="1"/>
    <col min="73" max="73" width="4.5703125" style="1" bestFit="1" customWidth="1"/>
    <col min="74" max="74" width="3.85546875" style="1" bestFit="1" customWidth="1"/>
    <col min="75" max="75" width="4.7109375" style="1" bestFit="1" customWidth="1"/>
    <col min="76" max="76" width="3.85546875" style="1" bestFit="1" customWidth="1"/>
    <col min="77" max="78" width="3.7109375" style="1" bestFit="1" customWidth="1"/>
    <col min="79" max="79" width="3.85546875" style="1" bestFit="1" customWidth="1"/>
    <col min="80" max="80" width="4.5703125" style="1" bestFit="1" customWidth="1"/>
    <col min="81" max="81" width="3.85546875" style="1" bestFit="1" customWidth="1"/>
    <col min="82" max="82" width="4.7109375" style="1" bestFit="1" customWidth="1"/>
    <col min="83" max="83" width="3.85546875" style="1" bestFit="1" customWidth="1"/>
    <col min="84" max="85" width="3.7109375" style="1" bestFit="1" customWidth="1"/>
    <col min="86" max="86" width="3.85546875" style="1" bestFit="1" customWidth="1"/>
    <col min="87" max="87" width="4.5703125" style="1" bestFit="1" customWidth="1"/>
    <col min="88" max="88" width="3.85546875" style="1" bestFit="1" customWidth="1"/>
    <col min="89" max="89" width="4.7109375" style="1" bestFit="1" customWidth="1"/>
    <col min="90" max="90" width="3.85546875" style="1" bestFit="1" customWidth="1"/>
    <col min="91" max="92" width="3.7109375" style="1" bestFit="1" customWidth="1"/>
    <col min="93" max="93" width="3.85546875" style="1" bestFit="1" customWidth="1"/>
    <col min="94" max="94" width="4.5703125" style="1" bestFit="1" customWidth="1"/>
    <col min="95" max="95" width="3.85546875" style="1" bestFit="1" customWidth="1"/>
    <col min="96" max="96" width="4.7109375" style="1" bestFit="1" customWidth="1"/>
    <col min="97" max="97" width="3.85546875" style="1" bestFit="1" customWidth="1"/>
    <col min="98" max="99" width="3.7109375" style="1" bestFit="1" customWidth="1"/>
    <col min="100" max="100" width="3.85546875" style="1" bestFit="1" customWidth="1"/>
    <col min="101" max="101" width="4.5703125" style="1" bestFit="1" customWidth="1"/>
    <col min="102" max="102" width="3.85546875" style="1" bestFit="1" customWidth="1"/>
    <col min="103" max="103" width="4.7109375" style="1" bestFit="1" customWidth="1"/>
    <col min="104" max="104" width="3.85546875" style="1" bestFit="1" customWidth="1"/>
    <col min="105" max="106" width="3.7109375" style="1" bestFit="1" customWidth="1"/>
    <col min="107" max="107" width="3.85546875" style="1" bestFit="1" customWidth="1"/>
    <col min="108" max="108" width="4.5703125" style="1" bestFit="1" customWidth="1"/>
    <col min="109" max="109" width="3.85546875" style="1" bestFit="1" customWidth="1"/>
    <col min="110" max="110" width="4.7109375" style="1" bestFit="1" customWidth="1"/>
    <col min="111" max="111" width="3.85546875" style="1" bestFit="1" customWidth="1"/>
    <col min="112" max="113" width="3.7109375" style="1" bestFit="1" customWidth="1"/>
    <col min="114" max="114" width="3.85546875" style="1" bestFit="1" customWidth="1"/>
    <col min="115" max="115" width="4.5703125" style="1" bestFit="1" customWidth="1"/>
    <col min="116" max="116" width="3.85546875" style="1" bestFit="1" customWidth="1"/>
    <col min="117" max="117" width="4.7109375" style="1" bestFit="1" customWidth="1"/>
    <col min="118" max="118" width="3.85546875" style="1" bestFit="1" customWidth="1"/>
    <col min="119" max="120" width="3.7109375" style="1" bestFit="1" customWidth="1"/>
    <col min="121" max="121" width="3.85546875" style="1" bestFit="1" customWidth="1"/>
    <col min="122" max="122" width="4.5703125" style="1" bestFit="1" customWidth="1"/>
    <col min="123" max="123" width="3.85546875" style="1" bestFit="1" customWidth="1"/>
    <col min="124" max="124" width="4.7109375" style="1" bestFit="1" customWidth="1"/>
    <col min="125" max="125" width="3.85546875" style="1" bestFit="1" customWidth="1"/>
    <col min="126" max="127" width="3.7109375" style="1" bestFit="1" customWidth="1"/>
    <col min="128" max="128" width="3.85546875" style="1" bestFit="1" customWidth="1"/>
    <col min="129" max="129" width="4.5703125" style="1" bestFit="1" customWidth="1"/>
    <col min="130" max="130" width="3.85546875" style="1" bestFit="1" customWidth="1"/>
    <col min="131" max="131" width="4.7109375" style="1" bestFit="1" customWidth="1"/>
    <col min="132" max="132" width="3.85546875" style="1" bestFit="1" customWidth="1"/>
    <col min="133" max="134" width="3.7109375" style="1" bestFit="1" customWidth="1"/>
    <col min="135" max="135" width="3.85546875" style="1" bestFit="1" customWidth="1"/>
    <col min="136" max="136" width="4.5703125" style="1" bestFit="1" customWidth="1"/>
    <col min="137" max="137" width="3.85546875" style="1" bestFit="1" customWidth="1"/>
    <col min="138" max="138" width="4.7109375" style="1" bestFit="1" customWidth="1"/>
    <col min="139" max="139" width="3.85546875" style="1" bestFit="1" customWidth="1"/>
    <col min="140" max="141" width="3.7109375" style="1" bestFit="1" customWidth="1"/>
    <col min="142" max="142" width="3.85546875" style="1" bestFit="1" customWidth="1"/>
    <col min="143" max="143" width="4.5703125" style="1" bestFit="1" customWidth="1"/>
    <col min="144" max="144" width="3.85546875" style="1" bestFit="1" customWidth="1"/>
    <col min="145" max="146" width="6.7109375" style="1" bestFit="1" customWidth="1"/>
    <col min="147" max="147" width="18.5703125" style="1" bestFit="1" customWidth="1"/>
    <col min="148" max="148" width="5.85546875" style="1" bestFit="1" customWidth="1"/>
    <col min="149" max="149" width="14.28515625" style="1" bestFit="1" customWidth="1"/>
    <col min="150" max="150" width="6.7109375" style="1" bestFit="1" customWidth="1"/>
    <col min="151" max="16384" width="3.85546875" style="1"/>
  </cols>
  <sheetData>
    <row r="1" spans="1:150" ht="17.25" x14ac:dyDescent="0.3">
      <c r="A1" s="100"/>
      <c r="B1" s="100"/>
      <c r="C1" s="100"/>
      <c r="D1" s="100"/>
      <c r="E1" s="100"/>
    </row>
    <row r="2" spans="1:150" ht="17.25" x14ac:dyDescent="0.25">
      <c r="A2" s="101" t="s">
        <v>48</v>
      </c>
      <c r="B2" s="101"/>
      <c r="C2" s="101"/>
      <c r="D2" s="101"/>
      <c r="E2" s="101"/>
    </row>
    <row r="3" spans="1:150" ht="17.25" x14ac:dyDescent="0.3">
      <c r="A3" s="100" t="s">
        <v>47</v>
      </c>
      <c r="B3" s="100"/>
      <c r="C3" s="100"/>
      <c r="D3" s="100"/>
      <c r="E3" s="100"/>
    </row>
    <row r="4" spans="1:150" ht="15.75" x14ac:dyDescent="0.25">
      <c r="A4" s="106" t="s">
        <v>0</v>
      </c>
      <c r="B4" s="106" t="s">
        <v>1</v>
      </c>
      <c r="C4" s="106" t="s">
        <v>2</v>
      </c>
      <c r="D4" s="106" t="s">
        <v>3</v>
      </c>
      <c r="E4" s="106" t="s">
        <v>4</v>
      </c>
      <c r="F4" s="2" t="str">
        <f t="shared" ref="F4:AI4" si="0">TEXT(F5,"ddd")</f>
        <v>Thu</v>
      </c>
      <c r="G4" s="2" t="str">
        <f t="shared" si="0"/>
        <v>Fri</v>
      </c>
      <c r="H4" s="2" t="str">
        <f t="shared" si="0"/>
        <v>Sat</v>
      </c>
      <c r="I4" s="2" t="str">
        <f t="shared" si="0"/>
        <v>Sun</v>
      </c>
      <c r="J4" s="2" t="str">
        <f t="shared" si="0"/>
        <v>Mon</v>
      </c>
      <c r="K4" s="2" t="str">
        <f t="shared" si="0"/>
        <v>Tue</v>
      </c>
      <c r="L4" s="2" t="str">
        <f t="shared" si="0"/>
        <v>Wed</v>
      </c>
      <c r="M4" s="2" t="str">
        <f t="shared" si="0"/>
        <v>Thu</v>
      </c>
      <c r="N4" s="2" t="str">
        <f t="shared" si="0"/>
        <v>Fri</v>
      </c>
      <c r="O4" s="2" t="str">
        <f t="shared" si="0"/>
        <v>Sat</v>
      </c>
      <c r="P4" s="2" t="str">
        <f t="shared" si="0"/>
        <v>Sun</v>
      </c>
      <c r="Q4" s="2" t="str">
        <f t="shared" si="0"/>
        <v>Mon</v>
      </c>
      <c r="R4" s="2" t="str">
        <f t="shared" si="0"/>
        <v>Tue</v>
      </c>
      <c r="S4" s="2" t="str">
        <f t="shared" si="0"/>
        <v>Wed</v>
      </c>
      <c r="T4" s="2" t="str">
        <f t="shared" si="0"/>
        <v>Thu</v>
      </c>
      <c r="U4" s="2" t="str">
        <f t="shared" si="0"/>
        <v>Fri</v>
      </c>
      <c r="V4" s="2" t="str">
        <f t="shared" si="0"/>
        <v>Sat</v>
      </c>
      <c r="W4" s="2" t="str">
        <f t="shared" si="0"/>
        <v>Sun</v>
      </c>
      <c r="X4" s="2" t="str">
        <f t="shared" si="0"/>
        <v>Mon</v>
      </c>
      <c r="Y4" s="2" t="str">
        <f t="shared" si="0"/>
        <v>Tue</v>
      </c>
      <c r="Z4" s="2" t="str">
        <f t="shared" si="0"/>
        <v>Wed</v>
      </c>
      <c r="AA4" s="2" t="str">
        <f t="shared" si="0"/>
        <v>Thu</v>
      </c>
      <c r="AB4" s="2" t="str">
        <f t="shared" si="0"/>
        <v>Fri</v>
      </c>
      <c r="AC4" s="2" t="str">
        <f t="shared" si="0"/>
        <v>Sat</v>
      </c>
      <c r="AD4" s="2" t="str">
        <f t="shared" si="0"/>
        <v>Sun</v>
      </c>
      <c r="AE4" s="2" t="str">
        <f t="shared" si="0"/>
        <v>Mon</v>
      </c>
      <c r="AF4" s="2" t="str">
        <f t="shared" si="0"/>
        <v>Tue</v>
      </c>
      <c r="AG4" s="2" t="str">
        <f t="shared" si="0"/>
        <v>Wed</v>
      </c>
      <c r="AH4" s="2" t="str">
        <f t="shared" si="0"/>
        <v>Thu</v>
      </c>
      <c r="AI4" s="2" t="str">
        <f t="shared" si="0"/>
        <v>Fri</v>
      </c>
      <c r="AJ4" s="2" t="str">
        <f t="shared" ref="AJ4:CU4" si="1">TEXT(AJ5,"ddd")</f>
        <v>Sat</v>
      </c>
      <c r="AK4" s="2" t="str">
        <f t="shared" si="1"/>
        <v>Sun</v>
      </c>
      <c r="AL4" s="2" t="str">
        <f t="shared" si="1"/>
        <v>Mon</v>
      </c>
      <c r="AM4" s="2" t="str">
        <f t="shared" si="1"/>
        <v>Tue</v>
      </c>
      <c r="AN4" s="2" t="str">
        <f t="shared" si="1"/>
        <v>Wed</v>
      </c>
      <c r="AO4" s="2" t="str">
        <f t="shared" si="1"/>
        <v>Thu</v>
      </c>
      <c r="AP4" s="2" t="str">
        <f t="shared" si="1"/>
        <v>Fri</v>
      </c>
      <c r="AQ4" s="2" t="str">
        <f t="shared" si="1"/>
        <v>Sat</v>
      </c>
      <c r="AR4" s="2" t="str">
        <f t="shared" si="1"/>
        <v>Sun</v>
      </c>
      <c r="AS4" s="2" t="str">
        <f t="shared" si="1"/>
        <v>Mon</v>
      </c>
      <c r="AT4" s="2" t="str">
        <f t="shared" si="1"/>
        <v>Tue</v>
      </c>
      <c r="AU4" s="2" t="str">
        <f t="shared" si="1"/>
        <v>Wed</v>
      </c>
      <c r="AV4" s="2" t="str">
        <f t="shared" si="1"/>
        <v>Thu</v>
      </c>
      <c r="AW4" s="2" t="str">
        <f t="shared" si="1"/>
        <v>Fri</v>
      </c>
      <c r="AX4" s="2" t="str">
        <f t="shared" si="1"/>
        <v>Sat</v>
      </c>
      <c r="AY4" s="2" t="str">
        <f t="shared" si="1"/>
        <v>Sun</v>
      </c>
      <c r="AZ4" s="2" t="str">
        <f t="shared" si="1"/>
        <v>Mon</v>
      </c>
      <c r="BA4" s="2" t="str">
        <f t="shared" si="1"/>
        <v>Tue</v>
      </c>
      <c r="BB4" s="2" t="str">
        <f t="shared" si="1"/>
        <v>Wed</v>
      </c>
      <c r="BC4" s="2" t="str">
        <f t="shared" si="1"/>
        <v>Thu</v>
      </c>
      <c r="BD4" s="2" t="str">
        <f t="shared" si="1"/>
        <v>Fri</v>
      </c>
      <c r="BE4" s="2" t="str">
        <f t="shared" si="1"/>
        <v>Sat</v>
      </c>
      <c r="BF4" s="2" t="str">
        <f t="shared" si="1"/>
        <v>Sun</v>
      </c>
      <c r="BG4" s="2" t="str">
        <f t="shared" si="1"/>
        <v>Mon</v>
      </c>
      <c r="BH4" s="2" t="str">
        <f t="shared" si="1"/>
        <v>Tue</v>
      </c>
      <c r="BI4" s="2" t="str">
        <f t="shared" si="1"/>
        <v>Wed</v>
      </c>
      <c r="BJ4" s="2" t="str">
        <f t="shared" si="1"/>
        <v>Thu</v>
      </c>
      <c r="BK4" s="2" t="str">
        <f t="shared" si="1"/>
        <v>Fri</v>
      </c>
      <c r="BL4" s="2" t="str">
        <f t="shared" si="1"/>
        <v>Sat</v>
      </c>
      <c r="BM4" s="2" t="str">
        <f t="shared" si="1"/>
        <v>Sun</v>
      </c>
      <c r="BN4" s="2" t="str">
        <f t="shared" si="1"/>
        <v>Mon</v>
      </c>
      <c r="BO4" s="2" t="str">
        <f t="shared" si="1"/>
        <v>Tue</v>
      </c>
      <c r="BP4" s="2" t="str">
        <f t="shared" si="1"/>
        <v>Wed</v>
      </c>
      <c r="BQ4" s="2" t="str">
        <f t="shared" si="1"/>
        <v>Thu</v>
      </c>
      <c r="BR4" s="2" t="str">
        <f t="shared" si="1"/>
        <v>Fri</v>
      </c>
      <c r="BS4" s="2" t="str">
        <f t="shared" si="1"/>
        <v>Sat</v>
      </c>
      <c r="BT4" s="2" t="str">
        <f t="shared" si="1"/>
        <v>Sun</v>
      </c>
      <c r="BU4" s="2" t="str">
        <f t="shared" si="1"/>
        <v>Mon</v>
      </c>
      <c r="BV4" s="2" t="str">
        <f t="shared" si="1"/>
        <v>Tue</v>
      </c>
      <c r="BW4" s="2" t="str">
        <f t="shared" si="1"/>
        <v>Wed</v>
      </c>
      <c r="BX4" s="2" t="str">
        <f t="shared" si="1"/>
        <v>Thu</v>
      </c>
      <c r="BY4" s="2" t="str">
        <f t="shared" si="1"/>
        <v>Fri</v>
      </c>
      <c r="BZ4" s="2" t="str">
        <f t="shared" si="1"/>
        <v>Sat</v>
      </c>
      <c r="CA4" s="2" t="str">
        <f t="shared" si="1"/>
        <v>Sun</v>
      </c>
      <c r="CB4" s="2" t="str">
        <f t="shared" si="1"/>
        <v>Mon</v>
      </c>
      <c r="CC4" s="2" t="str">
        <f t="shared" si="1"/>
        <v>Tue</v>
      </c>
      <c r="CD4" s="2" t="str">
        <f t="shared" si="1"/>
        <v>Wed</v>
      </c>
      <c r="CE4" s="2" t="str">
        <f t="shared" si="1"/>
        <v>Thu</v>
      </c>
      <c r="CF4" s="2" t="str">
        <f t="shared" si="1"/>
        <v>Fri</v>
      </c>
      <c r="CG4" s="2" t="str">
        <f t="shared" si="1"/>
        <v>Sat</v>
      </c>
      <c r="CH4" s="2" t="str">
        <f t="shared" si="1"/>
        <v>Sun</v>
      </c>
      <c r="CI4" s="2" t="str">
        <f t="shared" si="1"/>
        <v>Mon</v>
      </c>
      <c r="CJ4" s="2" t="str">
        <f t="shared" si="1"/>
        <v>Tue</v>
      </c>
      <c r="CK4" s="2" t="str">
        <f t="shared" si="1"/>
        <v>Wed</v>
      </c>
      <c r="CL4" s="2" t="str">
        <f t="shared" si="1"/>
        <v>Thu</v>
      </c>
      <c r="CM4" s="2" t="str">
        <f t="shared" si="1"/>
        <v>Fri</v>
      </c>
      <c r="CN4" s="2" t="str">
        <f t="shared" si="1"/>
        <v>Sat</v>
      </c>
      <c r="CO4" s="2" t="str">
        <f t="shared" si="1"/>
        <v>Sun</v>
      </c>
      <c r="CP4" s="2" t="str">
        <f t="shared" si="1"/>
        <v>Mon</v>
      </c>
      <c r="CQ4" s="2" t="str">
        <f t="shared" si="1"/>
        <v>Tue</v>
      </c>
      <c r="CR4" s="2" t="str">
        <f t="shared" si="1"/>
        <v>Wed</v>
      </c>
      <c r="CS4" s="2" t="str">
        <f t="shared" si="1"/>
        <v>Thu</v>
      </c>
      <c r="CT4" s="2" t="str">
        <f t="shared" si="1"/>
        <v>Fri</v>
      </c>
      <c r="CU4" s="2" t="str">
        <f t="shared" si="1"/>
        <v>Sat</v>
      </c>
      <c r="CV4" s="2" t="str">
        <f t="shared" ref="CV4:EN4" si="2">TEXT(CV5,"ddd")</f>
        <v>Sun</v>
      </c>
      <c r="CW4" s="2" t="str">
        <f t="shared" si="2"/>
        <v>Mon</v>
      </c>
      <c r="CX4" s="2" t="str">
        <f t="shared" si="2"/>
        <v>Tue</v>
      </c>
      <c r="CY4" s="2" t="str">
        <f t="shared" si="2"/>
        <v>Wed</v>
      </c>
      <c r="CZ4" s="2" t="str">
        <f t="shared" si="2"/>
        <v>Thu</v>
      </c>
      <c r="DA4" s="2" t="str">
        <f t="shared" si="2"/>
        <v>Fri</v>
      </c>
      <c r="DB4" s="2" t="str">
        <f t="shared" si="2"/>
        <v>Sat</v>
      </c>
      <c r="DC4" s="2" t="str">
        <f t="shared" si="2"/>
        <v>Sun</v>
      </c>
      <c r="DD4" s="2" t="str">
        <f t="shared" si="2"/>
        <v>Mon</v>
      </c>
      <c r="DE4" s="2" t="str">
        <f t="shared" si="2"/>
        <v>Tue</v>
      </c>
      <c r="DF4" s="2" t="str">
        <f t="shared" si="2"/>
        <v>Wed</v>
      </c>
      <c r="DG4" s="2" t="str">
        <f t="shared" si="2"/>
        <v>Thu</v>
      </c>
      <c r="DH4" s="2" t="str">
        <f t="shared" si="2"/>
        <v>Fri</v>
      </c>
      <c r="DI4" s="2" t="str">
        <f t="shared" si="2"/>
        <v>Sat</v>
      </c>
      <c r="DJ4" s="2" t="str">
        <f t="shared" si="2"/>
        <v>Sun</v>
      </c>
      <c r="DK4" s="2" t="str">
        <f t="shared" si="2"/>
        <v>Mon</v>
      </c>
      <c r="DL4" s="2" t="str">
        <f t="shared" si="2"/>
        <v>Tue</v>
      </c>
      <c r="DM4" s="2" t="str">
        <f t="shared" si="2"/>
        <v>Wed</v>
      </c>
      <c r="DN4" s="2" t="str">
        <f t="shared" si="2"/>
        <v>Thu</v>
      </c>
      <c r="DO4" s="2" t="str">
        <f t="shared" si="2"/>
        <v>Fri</v>
      </c>
      <c r="DP4" s="2" t="str">
        <f t="shared" si="2"/>
        <v>Sat</v>
      </c>
      <c r="DQ4" s="2" t="str">
        <f t="shared" si="2"/>
        <v>Sun</v>
      </c>
      <c r="DR4" s="2" t="str">
        <f t="shared" si="2"/>
        <v>Mon</v>
      </c>
      <c r="DS4" s="2" t="str">
        <f t="shared" si="2"/>
        <v>Tue</v>
      </c>
      <c r="DT4" s="2" t="str">
        <f t="shared" si="2"/>
        <v>Wed</v>
      </c>
      <c r="DU4" s="2" t="str">
        <f t="shared" si="2"/>
        <v>Thu</v>
      </c>
      <c r="DV4" s="2" t="str">
        <f t="shared" si="2"/>
        <v>Fri</v>
      </c>
      <c r="DW4" s="2" t="str">
        <f t="shared" si="2"/>
        <v>Sat</v>
      </c>
      <c r="DX4" s="2" t="str">
        <f t="shared" si="2"/>
        <v>Sun</v>
      </c>
      <c r="DY4" s="2" t="str">
        <f t="shared" si="2"/>
        <v>Mon</v>
      </c>
      <c r="DZ4" s="2" t="str">
        <f t="shared" si="2"/>
        <v>Tue</v>
      </c>
      <c r="EA4" s="2" t="str">
        <f t="shared" si="2"/>
        <v>Wed</v>
      </c>
      <c r="EB4" s="2" t="str">
        <f t="shared" si="2"/>
        <v>Thu</v>
      </c>
      <c r="EC4" s="2" t="str">
        <f t="shared" si="2"/>
        <v>Fri</v>
      </c>
      <c r="ED4" s="2" t="str">
        <f t="shared" si="2"/>
        <v>Sat</v>
      </c>
      <c r="EE4" s="2" t="str">
        <f t="shared" si="2"/>
        <v>Sun</v>
      </c>
      <c r="EF4" s="2" t="str">
        <f t="shared" si="2"/>
        <v>Mon</v>
      </c>
      <c r="EG4" s="2" t="str">
        <f t="shared" si="2"/>
        <v>Tue</v>
      </c>
      <c r="EH4" s="2" t="str">
        <f t="shared" si="2"/>
        <v>Wed</v>
      </c>
      <c r="EI4" s="2" t="str">
        <f t="shared" si="2"/>
        <v>Thu</v>
      </c>
      <c r="EJ4" s="2" t="str">
        <f t="shared" si="2"/>
        <v>Fri</v>
      </c>
      <c r="EK4" s="2" t="str">
        <f t="shared" si="2"/>
        <v>Sat</v>
      </c>
      <c r="EL4" s="2" t="str">
        <f t="shared" si="2"/>
        <v>Sun</v>
      </c>
      <c r="EM4" s="2" t="str">
        <f t="shared" si="2"/>
        <v>Mon</v>
      </c>
      <c r="EN4" s="2" t="str">
        <f t="shared" si="2"/>
        <v>Tue</v>
      </c>
      <c r="EO4" s="114" t="s">
        <v>5</v>
      </c>
      <c r="EP4" s="114" t="s">
        <v>6</v>
      </c>
      <c r="EQ4" s="103" t="s">
        <v>46</v>
      </c>
      <c r="ER4" s="105"/>
      <c r="ES4" s="3"/>
      <c r="ET4" s="3"/>
    </row>
    <row r="5" spans="1:150" ht="37.5" x14ac:dyDescent="0.25">
      <c r="A5" s="107"/>
      <c r="B5" s="107"/>
      <c r="C5" s="107"/>
      <c r="D5" s="107"/>
      <c r="E5" s="107"/>
      <c r="F5" s="77">
        <v>45519</v>
      </c>
      <c r="G5" s="77">
        <v>45520</v>
      </c>
      <c r="H5" s="77">
        <v>45521</v>
      </c>
      <c r="I5" s="77">
        <v>45522</v>
      </c>
      <c r="J5" s="77">
        <v>45523</v>
      </c>
      <c r="K5" s="77">
        <v>45524</v>
      </c>
      <c r="L5" s="77">
        <v>45525</v>
      </c>
      <c r="M5" s="77">
        <v>45526</v>
      </c>
      <c r="N5" s="77">
        <v>45527</v>
      </c>
      <c r="O5" s="77">
        <v>45528</v>
      </c>
      <c r="P5" s="77">
        <v>45529</v>
      </c>
      <c r="Q5" s="77">
        <v>45530</v>
      </c>
      <c r="R5" s="77">
        <v>45531</v>
      </c>
      <c r="S5" s="77">
        <v>45532</v>
      </c>
      <c r="T5" s="77">
        <v>45533</v>
      </c>
      <c r="U5" s="77">
        <v>45534</v>
      </c>
      <c r="V5" s="77">
        <v>45535</v>
      </c>
      <c r="W5" s="77">
        <v>45536</v>
      </c>
      <c r="X5" s="77">
        <v>45537</v>
      </c>
      <c r="Y5" s="77">
        <v>45538</v>
      </c>
      <c r="Z5" s="77">
        <v>45539</v>
      </c>
      <c r="AA5" s="77">
        <v>45540</v>
      </c>
      <c r="AB5" s="77">
        <v>45541</v>
      </c>
      <c r="AC5" s="77">
        <v>45542</v>
      </c>
      <c r="AD5" s="77">
        <v>45543</v>
      </c>
      <c r="AE5" s="77">
        <v>45544</v>
      </c>
      <c r="AF5" s="77">
        <v>45545</v>
      </c>
      <c r="AG5" s="77">
        <v>45546</v>
      </c>
      <c r="AH5" s="77">
        <v>45547</v>
      </c>
      <c r="AI5" s="77">
        <v>45548</v>
      </c>
      <c r="AJ5" s="77">
        <v>45549</v>
      </c>
      <c r="AK5" s="77">
        <v>45550</v>
      </c>
      <c r="AL5" s="77">
        <v>45551</v>
      </c>
      <c r="AM5" s="77">
        <v>45552</v>
      </c>
      <c r="AN5" s="77">
        <v>45553</v>
      </c>
      <c r="AO5" s="77">
        <v>45554</v>
      </c>
      <c r="AP5" s="77">
        <v>45555</v>
      </c>
      <c r="AQ5" s="77">
        <v>45556</v>
      </c>
      <c r="AR5" s="77">
        <v>45557</v>
      </c>
      <c r="AS5" s="77">
        <v>45558</v>
      </c>
      <c r="AT5" s="77">
        <v>45559</v>
      </c>
      <c r="AU5" s="77">
        <v>45560</v>
      </c>
      <c r="AV5" s="77">
        <v>45561</v>
      </c>
      <c r="AW5" s="77">
        <v>45562</v>
      </c>
      <c r="AX5" s="77">
        <v>45563</v>
      </c>
      <c r="AY5" s="77">
        <v>45564</v>
      </c>
      <c r="AZ5" s="77">
        <v>45565</v>
      </c>
      <c r="BA5" s="77">
        <v>45566</v>
      </c>
      <c r="BB5" s="77">
        <v>45567</v>
      </c>
      <c r="BC5" s="77">
        <v>45568</v>
      </c>
      <c r="BD5" s="77">
        <v>45569</v>
      </c>
      <c r="BE5" s="77">
        <v>45570</v>
      </c>
      <c r="BF5" s="77">
        <v>45571</v>
      </c>
      <c r="BG5" s="77">
        <v>45572</v>
      </c>
      <c r="BH5" s="77">
        <v>45573</v>
      </c>
      <c r="BI5" s="77">
        <v>45574</v>
      </c>
      <c r="BJ5" s="77">
        <v>45575</v>
      </c>
      <c r="BK5" s="77">
        <v>45576</v>
      </c>
      <c r="BL5" s="77">
        <v>45577</v>
      </c>
      <c r="BM5" s="77">
        <v>45578</v>
      </c>
      <c r="BN5" s="77">
        <v>45579</v>
      </c>
      <c r="BO5" s="77">
        <v>45580</v>
      </c>
      <c r="BP5" s="77">
        <v>45581</v>
      </c>
      <c r="BQ5" s="77">
        <v>45582</v>
      </c>
      <c r="BR5" s="77">
        <v>45583</v>
      </c>
      <c r="BS5" s="77">
        <v>45584</v>
      </c>
      <c r="BT5" s="77">
        <v>45585</v>
      </c>
      <c r="BU5" s="77">
        <v>45586</v>
      </c>
      <c r="BV5" s="77">
        <v>45587</v>
      </c>
      <c r="BW5" s="77">
        <v>45588</v>
      </c>
      <c r="BX5" s="77">
        <v>45589</v>
      </c>
      <c r="BY5" s="77">
        <v>45590</v>
      </c>
      <c r="BZ5" s="77">
        <v>45591</v>
      </c>
      <c r="CA5" s="77">
        <v>45592</v>
      </c>
      <c r="CB5" s="77">
        <v>45593</v>
      </c>
      <c r="CC5" s="77">
        <v>45594</v>
      </c>
      <c r="CD5" s="77">
        <v>45595</v>
      </c>
      <c r="CE5" s="77">
        <v>45596</v>
      </c>
      <c r="CF5" s="77">
        <v>45597</v>
      </c>
      <c r="CG5" s="77">
        <v>45598</v>
      </c>
      <c r="CH5" s="77">
        <v>45599</v>
      </c>
      <c r="CI5" s="77">
        <v>45600</v>
      </c>
      <c r="CJ5" s="77">
        <v>45601</v>
      </c>
      <c r="CK5" s="77">
        <v>45602</v>
      </c>
      <c r="CL5" s="77">
        <v>45603</v>
      </c>
      <c r="CM5" s="77">
        <v>45604</v>
      </c>
      <c r="CN5" s="77">
        <v>45605</v>
      </c>
      <c r="CO5" s="77">
        <v>45606</v>
      </c>
      <c r="CP5" s="77">
        <v>45607</v>
      </c>
      <c r="CQ5" s="77">
        <v>45608</v>
      </c>
      <c r="CR5" s="77">
        <v>45609</v>
      </c>
      <c r="CS5" s="77">
        <v>45610</v>
      </c>
      <c r="CT5" s="77">
        <v>45611</v>
      </c>
      <c r="CU5" s="77">
        <v>45612</v>
      </c>
      <c r="CV5" s="77">
        <v>45613</v>
      </c>
      <c r="CW5" s="77">
        <v>45614</v>
      </c>
      <c r="CX5" s="77">
        <v>45615</v>
      </c>
      <c r="CY5" s="77">
        <v>45616</v>
      </c>
      <c r="CZ5" s="77">
        <v>45617</v>
      </c>
      <c r="DA5" s="77">
        <v>45618</v>
      </c>
      <c r="DB5" s="77">
        <v>45619</v>
      </c>
      <c r="DC5" s="77">
        <v>45620</v>
      </c>
      <c r="DD5" s="77">
        <v>45621</v>
      </c>
      <c r="DE5" s="77">
        <v>45622</v>
      </c>
      <c r="DF5" s="77">
        <v>45623</v>
      </c>
      <c r="DG5" s="77">
        <v>45624</v>
      </c>
      <c r="DH5" s="77">
        <v>45625</v>
      </c>
      <c r="DI5" s="77">
        <v>45626</v>
      </c>
      <c r="DJ5" s="77">
        <v>45627</v>
      </c>
      <c r="DK5" s="77">
        <v>45628</v>
      </c>
      <c r="DL5" s="77">
        <v>45629</v>
      </c>
      <c r="DM5" s="77">
        <v>45630</v>
      </c>
      <c r="DN5" s="77">
        <v>45631</v>
      </c>
      <c r="DO5" s="77">
        <v>45632</v>
      </c>
      <c r="DP5" s="77">
        <v>45633</v>
      </c>
      <c r="DQ5" s="77">
        <v>45634</v>
      </c>
      <c r="DR5" s="77">
        <v>45635</v>
      </c>
      <c r="DS5" s="77">
        <v>45636</v>
      </c>
      <c r="DT5" s="77">
        <v>45637</v>
      </c>
      <c r="DU5" s="77">
        <v>45638</v>
      </c>
      <c r="DV5" s="77">
        <v>45639</v>
      </c>
      <c r="DW5" s="77">
        <v>45640</v>
      </c>
      <c r="DX5" s="77">
        <v>45641</v>
      </c>
      <c r="DY5" s="77">
        <v>45642</v>
      </c>
      <c r="DZ5" s="77">
        <v>45643</v>
      </c>
      <c r="EA5" s="77">
        <v>45644</v>
      </c>
      <c r="EB5" s="77">
        <v>45645</v>
      </c>
      <c r="EC5" s="77">
        <v>45646</v>
      </c>
      <c r="ED5" s="77">
        <v>45647</v>
      </c>
      <c r="EE5" s="77">
        <v>45648</v>
      </c>
      <c r="EF5" s="77">
        <v>45649</v>
      </c>
      <c r="EG5" s="77">
        <v>45650</v>
      </c>
      <c r="EH5" s="77">
        <v>45651</v>
      </c>
      <c r="EI5" s="77">
        <v>45652</v>
      </c>
      <c r="EJ5" s="77">
        <v>45653</v>
      </c>
      <c r="EK5" s="77">
        <v>45654</v>
      </c>
      <c r="EL5" s="77">
        <v>45655</v>
      </c>
      <c r="EM5" s="77">
        <v>45656</v>
      </c>
      <c r="EN5" s="77">
        <v>45657</v>
      </c>
      <c r="EO5" s="114"/>
      <c r="EP5" s="114"/>
      <c r="EQ5" s="4" t="s">
        <v>7</v>
      </c>
      <c r="ER5" s="5">
        <v>31</v>
      </c>
      <c r="ES5" s="3"/>
      <c r="ET5" s="3"/>
    </row>
    <row r="6" spans="1:150" x14ac:dyDescent="0.25">
      <c r="A6" s="6">
        <v>1</v>
      </c>
      <c r="B6" s="7">
        <v>490</v>
      </c>
      <c r="C6" s="8" t="s">
        <v>434</v>
      </c>
      <c r="D6" s="9" t="s">
        <v>435</v>
      </c>
      <c r="E6" s="10" t="s">
        <v>28</v>
      </c>
      <c r="F6" s="16" t="s">
        <v>166</v>
      </c>
      <c r="G6" s="16" t="s">
        <v>166</v>
      </c>
      <c r="H6" s="16" t="s">
        <v>166</v>
      </c>
      <c r="I6" s="16"/>
      <c r="J6" s="16" t="s">
        <v>166</v>
      </c>
      <c r="K6" s="16"/>
      <c r="L6" s="16" t="s">
        <v>166</v>
      </c>
      <c r="M6" s="16" t="s">
        <v>166</v>
      </c>
      <c r="N6" s="16" t="s">
        <v>166</v>
      </c>
      <c r="O6" s="16" t="s">
        <v>166</v>
      </c>
      <c r="P6" s="16"/>
      <c r="Q6" s="16"/>
      <c r="R6" s="16" t="s">
        <v>166</v>
      </c>
      <c r="S6" s="16" t="s">
        <v>165</v>
      </c>
      <c r="T6" s="16" t="s">
        <v>165</v>
      </c>
      <c r="U6" s="16"/>
      <c r="V6" s="16"/>
      <c r="W6" s="16"/>
      <c r="X6" s="16" t="s">
        <v>166</v>
      </c>
      <c r="Y6" s="16" t="s">
        <v>166</v>
      </c>
      <c r="Z6" s="16" t="s">
        <v>166</v>
      </c>
      <c r="AA6" s="16" t="s">
        <v>166</v>
      </c>
      <c r="AB6" s="16" t="s">
        <v>166</v>
      </c>
      <c r="AC6" s="16" t="s">
        <v>166</v>
      </c>
      <c r="AD6" s="16"/>
      <c r="AE6" s="16" t="s">
        <v>166</v>
      </c>
      <c r="AF6" s="16" t="s">
        <v>166</v>
      </c>
      <c r="AG6" s="16" t="s">
        <v>166</v>
      </c>
      <c r="AH6" s="16" t="s">
        <v>165</v>
      </c>
      <c r="AI6" s="16" t="s">
        <v>166</v>
      </c>
      <c r="AJ6" s="16" t="s">
        <v>166</v>
      </c>
      <c r="AK6" s="16"/>
      <c r="AL6" s="16" t="s">
        <v>166</v>
      </c>
      <c r="AM6" s="16"/>
      <c r="AN6" s="16" t="s">
        <v>166</v>
      </c>
      <c r="AO6" s="16" t="s">
        <v>166</v>
      </c>
      <c r="AP6" s="16" t="s">
        <v>166</v>
      </c>
      <c r="AQ6" s="16" t="s">
        <v>166</v>
      </c>
      <c r="AR6" s="16"/>
      <c r="AS6" s="16" t="s">
        <v>166</v>
      </c>
      <c r="AT6" s="16" t="s">
        <v>166</v>
      </c>
      <c r="AU6" s="16" t="s">
        <v>166</v>
      </c>
      <c r="AV6" s="16" t="s">
        <v>166</v>
      </c>
      <c r="AW6" s="16" t="s">
        <v>166</v>
      </c>
      <c r="AX6" s="16" t="s">
        <v>166</v>
      </c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5">
        <f>COUNTIF(F6:EN6,"P")</f>
        <v>31</v>
      </c>
      <c r="EP6" s="5">
        <f>COUNTIF(F6:EN6,"A")</f>
        <v>3</v>
      </c>
      <c r="EQ6" s="5" t="s">
        <v>9</v>
      </c>
      <c r="ER6" s="17">
        <v>26</v>
      </c>
      <c r="ES6" s="18" t="s">
        <v>10</v>
      </c>
      <c r="ET6" s="3"/>
    </row>
    <row r="7" spans="1:150" x14ac:dyDescent="0.25">
      <c r="A7" s="17">
        <v>2</v>
      </c>
      <c r="B7" s="19">
        <v>646</v>
      </c>
      <c r="C7" s="20" t="s">
        <v>436</v>
      </c>
      <c r="D7" s="21" t="s">
        <v>287</v>
      </c>
      <c r="E7" s="10" t="s">
        <v>28</v>
      </c>
      <c r="F7" s="16" t="s">
        <v>166</v>
      </c>
      <c r="G7" s="16" t="s">
        <v>166</v>
      </c>
      <c r="H7" s="16" t="s">
        <v>166</v>
      </c>
      <c r="I7" s="16"/>
      <c r="J7" s="16" t="s">
        <v>166</v>
      </c>
      <c r="K7" s="16"/>
      <c r="L7" s="16" t="s">
        <v>166</v>
      </c>
      <c r="M7" s="16" t="s">
        <v>166</v>
      </c>
      <c r="N7" s="16" t="s">
        <v>166</v>
      </c>
      <c r="O7" s="16" t="s">
        <v>166</v>
      </c>
      <c r="P7" s="16"/>
      <c r="Q7" s="16"/>
      <c r="R7" s="16" t="s">
        <v>166</v>
      </c>
      <c r="S7" s="16" t="s">
        <v>165</v>
      </c>
      <c r="T7" s="16" t="s">
        <v>166</v>
      </c>
      <c r="U7" s="16"/>
      <c r="V7" s="16"/>
      <c r="W7" s="16"/>
      <c r="X7" s="16" t="s">
        <v>166</v>
      </c>
      <c r="Y7" s="16" t="s">
        <v>166</v>
      </c>
      <c r="Z7" s="16" t="s">
        <v>166</v>
      </c>
      <c r="AA7" s="16" t="s">
        <v>166</v>
      </c>
      <c r="AB7" s="16" t="s">
        <v>166</v>
      </c>
      <c r="AC7" s="16" t="s">
        <v>166</v>
      </c>
      <c r="AD7" s="16"/>
      <c r="AE7" s="16" t="s">
        <v>166</v>
      </c>
      <c r="AF7" s="16" t="s">
        <v>166</v>
      </c>
      <c r="AG7" s="16" t="s">
        <v>166</v>
      </c>
      <c r="AH7" s="16" t="s">
        <v>166</v>
      </c>
      <c r="AI7" s="16" t="s">
        <v>166</v>
      </c>
      <c r="AJ7" s="16" t="s">
        <v>166</v>
      </c>
      <c r="AK7" s="16"/>
      <c r="AL7" s="16" t="s">
        <v>165</v>
      </c>
      <c r="AM7" s="16"/>
      <c r="AN7" s="16" t="s">
        <v>166</v>
      </c>
      <c r="AO7" s="16" t="s">
        <v>166</v>
      </c>
      <c r="AP7" s="16" t="s">
        <v>166</v>
      </c>
      <c r="AQ7" s="16" t="s">
        <v>166</v>
      </c>
      <c r="AR7" s="16"/>
      <c r="AS7" s="16" t="s">
        <v>166</v>
      </c>
      <c r="AT7" s="16" t="s">
        <v>166</v>
      </c>
      <c r="AU7" s="16" t="s">
        <v>166</v>
      </c>
      <c r="AV7" s="16" t="s">
        <v>166</v>
      </c>
      <c r="AW7" s="16" t="s">
        <v>166</v>
      </c>
      <c r="AX7" s="16" t="s">
        <v>166</v>
      </c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5">
        <f>COUNTIF(F7:EN7,"P")</f>
        <v>32</v>
      </c>
      <c r="EP7" s="5">
        <f>COUNTIF(F7:EN7,"A")</f>
        <v>2</v>
      </c>
      <c r="EQ7" s="5" t="s">
        <v>11</v>
      </c>
      <c r="ER7" s="17">
        <v>4</v>
      </c>
      <c r="ES7" s="3"/>
      <c r="ET7" s="3"/>
    </row>
    <row r="8" spans="1:150" x14ac:dyDescent="0.25">
      <c r="A8" s="6">
        <v>3</v>
      </c>
      <c r="B8" s="19">
        <v>690</v>
      </c>
      <c r="C8" s="20" t="s">
        <v>437</v>
      </c>
      <c r="D8" s="21" t="s">
        <v>438</v>
      </c>
      <c r="E8" s="10" t="s">
        <v>28</v>
      </c>
      <c r="F8" s="16" t="s">
        <v>166</v>
      </c>
      <c r="G8" s="16" t="s">
        <v>166</v>
      </c>
      <c r="H8" s="16" t="s">
        <v>166</v>
      </c>
      <c r="I8" s="16"/>
      <c r="J8" s="16" t="s">
        <v>166</v>
      </c>
      <c r="K8" s="16"/>
      <c r="L8" s="16" t="s">
        <v>166</v>
      </c>
      <c r="M8" s="16" t="s">
        <v>166</v>
      </c>
      <c r="N8" s="16" t="s">
        <v>166</v>
      </c>
      <c r="O8" s="16" t="s">
        <v>166</v>
      </c>
      <c r="P8" s="16"/>
      <c r="Q8" s="16"/>
      <c r="R8" s="16" t="s">
        <v>166</v>
      </c>
      <c r="S8" s="16" t="s">
        <v>166</v>
      </c>
      <c r="T8" s="16" t="s">
        <v>166</v>
      </c>
      <c r="U8" s="16"/>
      <c r="V8" s="16"/>
      <c r="W8" s="16"/>
      <c r="X8" s="16" t="s">
        <v>166</v>
      </c>
      <c r="Y8" s="16" t="s">
        <v>166</v>
      </c>
      <c r="Z8" s="16" t="s">
        <v>166</v>
      </c>
      <c r="AA8" s="16" t="s">
        <v>166</v>
      </c>
      <c r="AB8" s="16" t="s">
        <v>166</v>
      </c>
      <c r="AC8" s="16" t="s">
        <v>166</v>
      </c>
      <c r="AD8" s="16"/>
      <c r="AE8" s="16" t="s">
        <v>166</v>
      </c>
      <c r="AF8" s="16" t="s">
        <v>166</v>
      </c>
      <c r="AG8" s="16" t="s">
        <v>166</v>
      </c>
      <c r="AH8" s="16" t="s">
        <v>166</v>
      </c>
      <c r="AI8" s="16" t="s">
        <v>166</v>
      </c>
      <c r="AJ8" s="16" t="s">
        <v>166</v>
      </c>
      <c r="AK8" s="16"/>
      <c r="AL8" s="16" t="s">
        <v>166</v>
      </c>
      <c r="AM8" s="16"/>
      <c r="AN8" s="16" t="s">
        <v>166</v>
      </c>
      <c r="AO8" s="16" t="s">
        <v>166</v>
      </c>
      <c r="AP8" s="16" t="s">
        <v>166</v>
      </c>
      <c r="AQ8" s="16" t="s">
        <v>166</v>
      </c>
      <c r="AR8" s="16"/>
      <c r="AS8" s="16" t="s">
        <v>166</v>
      </c>
      <c r="AT8" s="16" t="s">
        <v>166</v>
      </c>
      <c r="AU8" s="16" t="s">
        <v>166</v>
      </c>
      <c r="AV8" s="16" t="s">
        <v>166</v>
      </c>
      <c r="AW8" s="16" t="s">
        <v>166</v>
      </c>
      <c r="AX8" s="16" t="s">
        <v>166</v>
      </c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5">
        <f>COUNTIF(F8:EN8,"P")</f>
        <v>34</v>
      </c>
      <c r="EP8" s="5">
        <f>COUNTIF(F8:EN8,"A")</f>
        <v>0</v>
      </c>
      <c r="EQ8" s="3"/>
      <c r="ER8" s="3"/>
      <c r="ES8" s="3"/>
      <c r="ET8" s="3"/>
    </row>
    <row r="9" spans="1:150" ht="15.75" x14ac:dyDescent="0.25">
      <c r="A9" s="17">
        <v>4</v>
      </c>
      <c r="B9" s="19">
        <v>684</v>
      </c>
      <c r="C9" s="20" t="s">
        <v>439</v>
      </c>
      <c r="D9" s="21" t="s">
        <v>400</v>
      </c>
      <c r="E9" s="10" t="s">
        <v>28</v>
      </c>
      <c r="F9" s="16" t="s">
        <v>165</v>
      </c>
      <c r="G9" s="16" t="s">
        <v>166</v>
      </c>
      <c r="H9" s="16" t="s">
        <v>166</v>
      </c>
      <c r="I9" s="16"/>
      <c r="J9" s="16" t="s">
        <v>166</v>
      </c>
      <c r="K9" s="16"/>
      <c r="L9" s="16" t="s">
        <v>166</v>
      </c>
      <c r="M9" s="16" t="s">
        <v>166</v>
      </c>
      <c r="N9" s="16" t="s">
        <v>166</v>
      </c>
      <c r="O9" s="16" t="s">
        <v>165</v>
      </c>
      <c r="P9" s="16"/>
      <c r="Q9" s="16"/>
      <c r="R9" s="16" t="s">
        <v>166</v>
      </c>
      <c r="S9" s="16" t="s">
        <v>165</v>
      </c>
      <c r="T9" s="16" t="s">
        <v>165</v>
      </c>
      <c r="U9" s="16"/>
      <c r="V9" s="16"/>
      <c r="W9" s="16"/>
      <c r="X9" s="16" t="s">
        <v>166</v>
      </c>
      <c r="Y9" s="16" t="s">
        <v>166</v>
      </c>
      <c r="Z9" s="16" t="s">
        <v>166</v>
      </c>
      <c r="AA9" s="16" t="s">
        <v>166</v>
      </c>
      <c r="AB9" s="16" t="s">
        <v>166</v>
      </c>
      <c r="AC9" s="16" t="s">
        <v>165</v>
      </c>
      <c r="AD9" s="16"/>
      <c r="AE9" s="16" t="s">
        <v>165</v>
      </c>
      <c r="AF9" s="16" t="s">
        <v>166</v>
      </c>
      <c r="AG9" s="16" t="s">
        <v>166</v>
      </c>
      <c r="AH9" s="16" t="s">
        <v>166</v>
      </c>
      <c r="AI9" s="16" t="s">
        <v>166</v>
      </c>
      <c r="AJ9" s="16" t="s">
        <v>166</v>
      </c>
      <c r="AK9" s="16"/>
      <c r="AL9" s="16" t="s">
        <v>165</v>
      </c>
      <c r="AM9" s="16"/>
      <c r="AN9" s="16" t="s">
        <v>166</v>
      </c>
      <c r="AO9" s="16" t="s">
        <v>166</v>
      </c>
      <c r="AP9" s="16" t="s">
        <v>166</v>
      </c>
      <c r="AQ9" s="16" t="s">
        <v>165</v>
      </c>
      <c r="AR9" s="16"/>
      <c r="AS9" s="16" t="s">
        <v>166</v>
      </c>
      <c r="AT9" s="16" t="s">
        <v>166</v>
      </c>
      <c r="AU9" s="16" t="s">
        <v>166</v>
      </c>
      <c r="AV9" s="16" t="s">
        <v>166</v>
      </c>
      <c r="AW9" s="16" t="s">
        <v>166</v>
      </c>
      <c r="AX9" s="16" t="s">
        <v>166</v>
      </c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5">
        <f>COUNTIF(F9:EN9,"P")</f>
        <v>26</v>
      </c>
      <c r="EP9" s="5">
        <f>COUNTIF(F9:EN9,"A")</f>
        <v>8</v>
      </c>
      <c r="EQ9" s="103" t="s">
        <v>12</v>
      </c>
      <c r="ER9" s="105"/>
      <c r="ES9" s="105"/>
      <c r="ET9" s="104"/>
    </row>
    <row r="10" spans="1:150" x14ac:dyDescent="0.25">
      <c r="A10" s="6">
        <v>5</v>
      </c>
      <c r="B10" s="19">
        <v>551</v>
      </c>
      <c r="C10" s="20" t="s">
        <v>318</v>
      </c>
      <c r="D10" s="21" t="s">
        <v>440</v>
      </c>
      <c r="E10" s="10" t="s">
        <v>28</v>
      </c>
      <c r="F10" s="16" t="s">
        <v>165</v>
      </c>
      <c r="G10" s="16" t="s">
        <v>165</v>
      </c>
      <c r="H10" s="16" t="s">
        <v>166</v>
      </c>
      <c r="I10" s="16"/>
      <c r="J10" s="16" t="s">
        <v>166</v>
      </c>
      <c r="K10" s="16"/>
      <c r="L10" s="16" t="s">
        <v>166</v>
      </c>
      <c r="M10" s="16" t="s">
        <v>166</v>
      </c>
      <c r="N10" s="16" t="s">
        <v>166</v>
      </c>
      <c r="O10" s="16" t="s">
        <v>165</v>
      </c>
      <c r="P10" s="16"/>
      <c r="Q10" s="16"/>
      <c r="R10" s="16" t="s">
        <v>166</v>
      </c>
      <c r="S10" s="16" t="s">
        <v>165</v>
      </c>
      <c r="T10" s="16" t="s">
        <v>166</v>
      </c>
      <c r="U10" s="16"/>
      <c r="V10" s="16"/>
      <c r="W10" s="16"/>
      <c r="X10" s="16" t="s">
        <v>166</v>
      </c>
      <c r="Y10" s="16" t="s">
        <v>166</v>
      </c>
      <c r="Z10" s="16" t="s">
        <v>166</v>
      </c>
      <c r="AA10" s="16" t="s">
        <v>166</v>
      </c>
      <c r="AB10" s="16" t="s">
        <v>166</v>
      </c>
      <c r="AC10" s="16" t="s">
        <v>166</v>
      </c>
      <c r="AD10" s="16"/>
      <c r="AE10" s="16" t="s">
        <v>166</v>
      </c>
      <c r="AF10" s="16" t="s">
        <v>166</v>
      </c>
      <c r="AG10" s="16" t="s">
        <v>166</v>
      </c>
      <c r="AH10" s="16" t="s">
        <v>166</v>
      </c>
      <c r="AI10" s="16" t="s">
        <v>166</v>
      </c>
      <c r="AJ10" s="16" t="s">
        <v>166</v>
      </c>
      <c r="AK10" s="16"/>
      <c r="AL10" s="16" t="s">
        <v>166</v>
      </c>
      <c r="AM10" s="16"/>
      <c r="AN10" s="16" t="s">
        <v>166</v>
      </c>
      <c r="AO10" s="16" t="s">
        <v>166</v>
      </c>
      <c r="AP10" s="16" t="s">
        <v>166</v>
      </c>
      <c r="AQ10" s="16" t="s">
        <v>166</v>
      </c>
      <c r="AR10" s="16"/>
      <c r="AS10" s="16" t="s">
        <v>166</v>
      </c>
      <c r="AT10" s="16" t="s">
        <v>166</v>
      </c>
      <c r="AU10" s="16" t="s">
        <v>166</v>
      </c>
      <c r="AV10" s="16" t="s">
        <v>166</v>
      </c>
      <c r="AW10" s="16" t="s">
        <v>166</v>
      </c>
      <c r="AX10" s="16" t="s">
        <v>166</v>
      </c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5">
        <f>COUNTIF(F10:EN10,"P")</f>
        <v>30</v>
      </c>
      <c r="EP10" s="5">
        <f>COUNTIF(F10:EN10,"A")</f>
        <v>4</v>
      </c>
      <c r="EQ10" s="5" t="s">
        <v>13</v>
      </c>
      <c r="ER10" s="5" t="s">
        <v>14</v>
      </c>
      <c r="ES10" s="5" t="s">
        <v>15</v>
      </c>
      <c r="ET10" s="5" t="s">
        <v>16</v>
      </c>
    </row>
    <row r="11" spans="1:150" x14ac:dyDescent="0.25">
      <c r="A11" s="17">
        <v>6</v>
      </c>
      <c r="B11" s="19">
        <v>647</v>
      </c>
      <c r="C11" s="20" t="s">
        <v>441</v>
      </c>
      <c r="D11" s="21" t="s">
        <v>442</v>
      </c>
      <c r="E11" s="10" t="s">
        <v>28</v>
      </c>
      <c r="F11" s="16" t="s">
        <v>166</v>
      </c>
      <c r="G11" s="16" t="s">
        <v>166</v>
      </c>
      <c r="H11" s="16" t="s">
        <v>166</v>
      </c>
      <c r="I11" s="16"/>
      <c r="J11" s="16" t="s">
        <v>166</v>
      </c>
      <c r="K11" s="16"/>
      <c r="L11" s="16" t="s">
        <v>166</v>
      </c>
      <c r="M11" s="16" t="s">
        <v>166</v>
      </c>
      <c r="N11" s="16" t="s">
        <v>166</v>
      </c>
      <c r="O11" s="16" t="s">
        <v>166</v>
      </c>
      <c r="P11" s="16"/>
      <c r="Q11" s="16"/>
      <c r="R11" s="16" t="s">
        <v>166</v>
      </c>
      <c r="S11" s="16" t="s">
        <v>165</v>
      </c>
      <c r="T11" s="16" t="s">
        <v>166</v>
      </c>
      <c r="U11" s="16"/>
      <c r="V11" s="16"/>
      <c r="W11" s="16"/>
      <c r="X11" s="16" t="s">
        <v>166</v>
      </c>
      <c r="Y11" s="16" t="s">
        <v>166</v>
      </c>
      <c r="Z11" s="16" t="s">
        <v>166</v>
      </c>
      <c r="AA11" s="16" t="s">
        <v>166</v>
      </c>
      <c r="AB11" s="16" t="s">
        <v>166</v>
      </c>
      <c r="AC11" s="16" t="s">
        <v>166</v>
      </c>
      <c r="AD11" s="16"/>
      <c r="AE11" s="16" t="s">
        <v>166</v>
      </c>
      <c r="AF11" s="16" t="s">
        <v>166</v>
      </c>
      <c r="AG11" s="16" t="s">
        <v>166</v>
      </c>
      <c r="AH11" s="16" t="s">
        <v>166</v>
      </c>
      <c r="AI11" s="16" t="s">
        <v>166</v>
      </c>
      <c r="AJ11" s="16" t="s">
        <v>166</v>
      </c>
      <c r="AK11" s="16"/>
      <c r="AL11" s="16" t="s">
        <v>166</v>
      </c>
      <c r="AM11" s="16"/>
      <c r="AN11" s="16" t="s">
        <v>166</v>
      </c>
      <c r="AO11" s="16" t="s">
        <v>166</v>
      </c>
      <c r="AP11" s="16" t="s">
        <v>166</v>
      </c>
      <c r="AQ11" s="16" t="s">
        <v>166</v>
      </c>
      <c r="AR11" s="16"/>
      <c r="AS11" s="16" t="s">
        <v>166</v>
      </c>
      <c r="AT11" s="16" t="s">
        <v>166</v>
      </c>
      <c r="AU11" s="16" t="s">
        <v>166</v>
      </c>
      <c r="AV11" s="16" t="s">
        <v>166</v>
      </c>
      <c r="AW11" s="16" t="s">
        <v>166</v>
      </c>
      <c r="AX11" s="16" t="s">
        <v>166</v>
      </c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5">
        <f>COUNTIF(F11:EN11,"P")</f>
        <v>33</v>
      </c>
      <c r="EP11" s="5">
        <f>COUNTIF(F11:EN11,"A")</f>
        <v>1</v>
      </c>
      <c r="EQ11" s="5" t="s">
        <v>17</v>
      </c>
      <c r="ER11" s="17">
        <f>19*26</f>
        <v>494</v>
      </c>
      <c r="ES11" s="17">
        <f>21*26</f>
        <v>546</v>
      </c>
      <c r="ET11" s="17">
        <f>SUM(ER11:ES11)</f>
        <v>1040</v>
      </c>
    </row>
    <row r="12" spans="1:150" x14ac:dyDescent="0.25">
      <c r="A12" s="6">
        <v>7</v>
      </c>
      <c r="B12" s="19">
        <v>585</v>
      </c>
      <c r="C12" s="20" t="s">
        <v>443</v>
      </c>
      <c r="D12" s="21" t="s">
        <v>87</v>
      </c>
      <c r="E12" s="10" t="s">
        <v>28</v>
      </c>
      <c r="F12" s="16" t="s">
        <v>166</v>
      </c>
      <c r="G12" s="16" t="s">
        <v>166</v>
      </c>
      <c r="H12" s="16" t="s">
        <v>166</v>
      </c>
      <c r="I12" s="16"/>
      <c r="J12" s="16" t="s">
        <v>166</v>
      </c>
      <c r="K12" s="16"/>
      <c r="L12" s="16" t="s">
        <v>166</v>
      </c>
      <c r="M12" s="16" t="s">
        <v>166</v>
      </c>
      <c r="N12" s="16" t="s">
        <v>166</v>
      </c>
      <c r="O12" s="16" t="s">
        <v>165</v>
      </c>
      <c r="P12" s="16"/>
      <c r="Q12" s="16"/>
      <c r="R12" s="16" t="s">
        <v>166</v>
      </c>
      <c r="S12" s="16" t="s">
        <v>165</v>
      </c>
      <c r="T12" s="16" t="s">
        <v>165</v>
      </c>
      <c r="U12" s="16"/>
      <c r="V12" s="16"/>
      <c r="W12" s="16"/>
      <c r="X12" s="16" t="s">
        <v>166</v>
      </c>
      <c r="Y12" s="16" t="s">
        <v>166</v>
      </c>
      <c r="Z12" s="16" t="s">
        <v>165</v>
      </c>
      <c r="AA12" s="16" t="s">
        <v>166</v>
      </c>
      <c r="AB12" s="16" t="s">
        <v>166</v>
      </c>
      <c r="AC12" s="16" t="s">
        <v>166</v>
      </c>
      <c r="AD12" s="16"/>
      <c r="AE12" s="16" t="s">
        <v>166</v>
      </c>
      <c r="AF12" s="16" t="s">
        <v>166</v>
      </c>
      <c r="AG12" s="16" t="s">
        <v>166</v>
      </c>
      <c r="AH12" s="16" t="s">
        <v>166</v>
      </c>
      <c r="AI12" s="16" t="s">
        <v>166</v>
      </c>
      <c r="AJ12" s="16" t="s">
        <v>166</v>
      </c>
      <c r="AK12" s="16"/>
      <c r="AL12" s="16" t="s">
        <v>166</v>
      </c>
      <c r="AM12" s="16"/>
      <c r="AN12" s="16" t="s">
        <v>165</v>
      </c>
      <c r="AO12" s="16" t="s">
        <v>166</v>
      </c>
      <c r="AP12" s="16" t="s">
        <v>166</v>
      </c>
      <c r="AQ12" s="16" t="s">
        <v>166</v>
      </c>
      <c r="AR12" s="16"/>
      <c r="AS12" s="16" t="s">
        <v>166</v>
      </c>
      <c r="AT12" s="16" t="s">
        <v>166</v>
      </c>
      <c r="AU12" s="16" t="s">
        <v>166</v>
      </c>
      <c r="AV12" s="16" t="s">
        <v>166</v>
      </c>
      <c r="AW12" s="16" t="s">
        <v>166</v>
      </c>
      <c r="AX12" s="16" t="s">
        <v>166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5">
        <f>COUNTIF(F12:EN12,"P")</f>
        <v>29</v>
      </c>
      <c r="EP12" s="5">
        <f>COUNTIF(F12:EN12,"A")</f>
        <v>5</v>
      </c>
      <c r="EQ12" s="5" t="s">
        <v>18</v>
      </c>
      <c r="ER12" s="17">
        <f>EO7+EO8+EO9+EO12+EO13+EO14+EO16+EO20+EO21+EO22+EO23+EO24+EO25+EO26+EO27+EO29+EO30+EO32+EO43</f>
        <v>470</v>
      </c>
      <c r="ES12" s="17">
        <f>EO6+EO10+EO11+EO15+EO17+EO18+EO19+EO28+EO31+EO33+EO34+EO35+EO36+EO37+EO38+EO39+EO40+EO41+EO42+EO44+EO45</f>
        <v>577</v>
      </c>
      <c r="ET12" s="17">
        <f>ER12+ES12</f>
        <v>1047</v>
      </c>
    </row>
    <row r="13" spans="1:150" x14ac:dyDescent="0.25">
      <c r="A13" s="17">
        <v>8</v>
      </c>
      <c r="B13" s="19">
        <v>579</v>
      </c>
      <c r="C13" s="20" t="s">
        <v>307</v>
      </c>
      <c r="D13" s="21" t="s">
        <v>444</v>
      </c>
      <c r="E13" s="10" t="s">
        <v>28</v>
      </c>
      <c r="F13" s="16" t="s">
        <v>165</v>
      </c>
      <c r="G13" s="16" t="s">
        <v>165</v>
      </c>
      <c r="H13" s="16" t="s">
        <v>165</v>
      </c>
      <c r="I13" s="16"/>
      <c r="J13" s="16" t="s">
        <v>166</v>
      </c>
      <c r="K13" s="16"/>
      <c r="L13" s="16" t="s">
        <v>166</v>
      </c>
      <c r="M13" s="16" t="s">
        <v>166</v>
      </c>
      <c r="N13" s="16" t="s">
        <v>166</v>
      </c>
      <c r="O13" s="16" t="s">
        <v>165</v>
      </c>
      <c r="P13" s="16"/>
      <c r="Q13" s="16"/>
      <c r="R13" s="16" t="s">
        <v>165</v>
      </c>
      <c r="S13" s="16" t="s">
        <v>165</v>
      </c>
      <c r="T13" s="16" t="s">
        <v>166</v>
      </c>
      <c r="U13" s="16"/>
      <c r="V13" s="16"/>
      <c r="W13" s="16"/>
      <c r="X13" s="16" t="s">
        <v>165</v>
      </c>
      <c r="Y13" s="16" t="s">
        <v>165</v>
      </c>
      <c r="Z13" s="16" t="s">
        <v>165</v>
      </c>
      <c r="AA13" s="16" t="s">
        <v>165</v>
      </c>
      <c r="AB13" s="16"/>
      <c r="AC13" s="16" t="s">
        <v>165</v>
      </c>
      <c r="AD13" s="16"/>
      <c r="AE13" s="16" t="s">
        <v>165</v>
      </c>
      <c r="AF13" s="16" t="s">
        <v>165</v>
      </c>
      <c r="AG13" s="16" t="s">
        <v>165</v>
      </c>
      <c r="AH13" s="16" t="s">
        <v>165</v>
      </c>
      <c r="AI13" s="16" t="s">
        <v>165</v>
      </c>
      <c r="AJ13" s="16" t="s">
        <v>165</v>
      </c>
      <c r="AK13" s="16"/>
      <c r="AL13" s="16" t="s">
        <v>165</v>
      </c>
      <c r="AM13" s="16"/>
      <c r="AN13" s="16" t="s">
        <v>165</v>
      </c>
      <c r="AO13" s="16" t="s">
        <v>165</v>
      </c>
      <c r="AP13" s="16" t="s">
        <v>165</v>
      </c>
      <c r="AQ13" s="16" t="s">
        <v>165</v>
      </c>
      <c r="AR13" s="16"/>
      <c r="AS13" s="16" t="s">
        <v>165</v>
      </c>
      <c r="AT13" s="16" t="s">
        <v>165</v>
      </c>
      <c r="AU13" s="16" t="s">
        <v>165</v>
      </c>
      <c r="AV13" s="16" t="s">
        <v>165</v>
      </c>
      <c r="AW13" s="16" t="s">
        <v>165</v>
      </c>
      <c r="AX13" s="16" t="s">
        <v>165</v>
      </c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5">
        <f>COUNTIF(F13:EN13,"P")</f>
        <v>5</v>
      </c>
      <c r="EP13" s="5">
        <f>COUNTIF(F13:EN13,"A")</f>
        <v>28</v>
      </c>
      <c r="EQ13" s="5" t="s">
        <v>19</v>
      </c>
      <c r="ER13" s="17">
        <f>ER12/ER11</f>
        <v>0.95141700404858298</v>
      </c>
      <c r="ES13" s="17">
        <f>ES12/ES11</f>
        <v>1.0567765567765568</v>
      </c>
      <c r="ET13" s="17">
        <f>ET12/ET11</f>
        <v>1.0067307692307692</v>
      </c>
    </row>
    <row r="14" spans="1:150" x14ac:dyDescent="0.25">
      <c r="A14" s="6">
        <v>9</v>
      </c>
      <c r="B14" s="19">
        <v>555</v>
      </c>
      <c r="C14" s="20" t="s">
        <v>89</v>
      </c>
      <c r="D14" s="21" t="s">
        <v>291</v>
      </c>
      <c r="E14" s="10" t="s">
        <v>28</v>
      </c>
      <c r="F14" s="16" t="s">
        <v>165</v>
      </c>
      <c r="G14" s="16" t="s">
        <v>165</v>
      </c>
      <c r="H14" s="16" t="s">
        <v>166</v>
      </c>
      <c r="I14" s="16"/>
      <c r="J14" s="16" t="s">
        <v>166</v>
      </c>
      <c r="K14" s="16"/>
      <c r="L14" s="16" t="s">
        <v>166</v>
      </c>
      <c r="M14" s="16" t="s">
        <v>166</v>
      </c>
      <c r="N14" s="16" t="s">
        <v>166</v>
      </c>
      <c r="O14" s="16" t="s">
        <v>165</v>
      </c>
      <c r="P14" s="16"/>
      <c r="Q14" s="16"/>
      <c r="R14" s="16" t="s">
        <v>165</v>
      </c>
      <c r="S14" s="16" t="s">
        <v>165</v>
      </c>
      <c r="T14" s="16" t="s">
        <v>166</v>
      </c>
      <c r="U14" s="16"/>
      <c r="V14" s="16"/>
      <c r="W14" s="16"/>
      <c r="X14" s="16" t="s">
        <v>166</v>
      </c>
      <c r="Y14" s="16" t="s">
        <v>166</v>
      </c>
      <c r="Z14" s="16" t="s">
        <v>165</v>
      </c>
      <c r="AA14" s="16" t="s">
        <v>166</v>
      </c>
      <c r="AB14" s="16" t="s">
        <v>166</v>
      </c>
      <c r="AC14" s="16" t="s">
        <v>165</v>
      </c>
      <c r="AD14" s="16"/>
      <c r="AE14" s="16" t="s">
        <v>166</v>
      </c>
      <c r="AF14" s="16" t="s">
        <v>166</v>
      </c>
      <c r="AG14" s="16" t="s">
        <v>166</v>
      </c>
      <c r="AH14" s="16" t="s">
        <v>166</v>
      </c>
      <c r="AI14" s="16" t="s">
        <v>166</v>
      </c>
      <c r="AJ14" s="16" t="s">
        <v>166</v>
      </c>
      <c r="AK14" s="16"/>
      <c r="AL14" s="16" t="s">
        <v>166</v>
      </c>
      <c r="AM14" s="16"/>
      <c r="AN14" s="16" t="s">
        <v>166</v>
      </c>
      <c r="AO14" s="16" t="s">
        <v>166</v>
      </c>
      <c r="AP14" s="16" t="s">
        <v>165</v>
      </c>
      <c r="AQ14" s="16" t="s">
        <v>165</v>
      </c>
      <c r="AR14" s="16"/>
      <c r="AS14" s="16" t="s">
        <v>166</v>
      </c>
      <c r="AT14" s="16" t="s">
        <v>166</v>
      </c>
      <c r="AU14" s="16" t="s">
        <v>165</v>
      </c>
      <c r="AV14" s="16" t="s">
        <v>165</v>
      </c>
      <c r="AW14" s="16" t="s">
        <v>166</v>
      </c>
      <c r="AX14" s="16" t="s">
        <v>165</v>
      </c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5">
        <f>COUNTIF(F14:EN14,"P")</f>
        <v>22</v>
      </c>
      <c r="EP14" s="5">
        <f>COUNTIF(F14:EN14,"A")</f>
        <v>12</v>
      </c>
      <c r="EQ14" s="3"/>
      <c r="ER14" s="24"/>
      <c r="ES14" s="24"/>
      <c r="ET14" s="24"/>
    </row>
    <row r="15" spans="1:150" x14ac:dyDescent="0.25">
      <c r="A15" s="17">
        <v>10</v>
      </c>
      <c r="B15" s="25">
        <v>691</v>
      </c>
      <c r="C15" s="20" t="s">
        <v>445</v>
      </c>
      <c r="D15" s="21" t="s">
        <v>446</v>
      </c>
      <c r="E15" s="10" t="s">
        <v>28</v>
      </c>
      <c r="F15" s="16" t="s">
        <v>165</v>
      </c>
      <c r="G15" s="16" t="s">
        <v>165</v>
      </c>
      <c r="H15" s="16" t="s">
        <v>166</v>
      </c>
      <c r="I15" s="16"/>
      <c r="J15" s="16" t="s">
        <v>166</v>
      </c>
      <c r="K15" s="16"/>
      <c r="L15" s="16" t="s">
        <v>166</v>
      </c>
      <c r="M15" s="16" t="s">
        <v>166</v>
      </c>
      <c r="N15" s="16" t="s">
        <v>166</v>
      </c>
      <c r="O15" s="16" t="s">
        <v>166</v>
      </c>
      <c r="P15" s="16"/>
      <c r="Q15" s="16"/>
      <c r="R15" s="16" t="s">
        <v>165</v>
      </c>
      <c r="S15" s="16" t="s">
        <v>165</v>
      </c>
      <c r="T15" s="16" t="s">
        <v>166</v>
      </c>
      <c r="U15" s="16"/>
      <c r="V15" s="16"/>
      <c r="W15" s="16"/>
      <c r="X15" s="16" t="s">
        <v>166</v>
      </c>
      <c r="Y15" s="16" t="s">
        <v>166</v>
      </c>
      <c r="Z15" s="16" t="s">
        <v>166</v>
      </c>
      <c r="AA15" s="16" t="s">
        <v>166</v>
      </c>
      <c r="AB15" s="16" t="s">
        <v>166</v>
      </c>
      <c r="AC15" s="16" t="s">
        <v>166</v>
      </c>
      <c r="AD15" s="16"/>
      <c r="AE15" s="16" t="s">
        <v>166</v>
      </c>
      <c r="AF15" s="16" t="s">
        <v>166</v>
      </c>
      <c r="AG15" s="16" t="s">
        <v>165</v>
      </c>
      <c r="AH15" s="16" t="s">
        <v>166</v>
      </c>
      <c r="AI15" s="16" t="s">
        <v>166</v>
      </c>
      <c r="AJ15" s="16" t="s">
        <v>166</v>
      </c>
      <c r="AK15" s="16"/>
      <c r="AL15" s="16" t="s">
        <v>165</v>
      </c>
      <c r="AM15" s="16"/>
      <c r="AN15" s="16" t="s">
        <v>166</v>
      </c>
      <c r="AO15" s="16" t="s">
        <v>166</v>
      </c>
      <c r="AP15" s="16" t="s">
        <v>166</v>
      </c>
      <c r="AQ15" s="16" t="s">
        <v>165</v>
      </c>
      <c r="AR15" s="16"/>
      <c r="AS15" s="16" t="s">
        <v>166</v>
      </c>
      <c r="AT15" s="16" t="s">
        <v>166</v>
      </c>
      <c r="AU15" s="16" t="s">
        <v>166</v>
      </c>
      <c r="AV15" s="16" t="s">
        <v>166</v>
      </c>
      <c r="AW15" s="16" t="s">
        <v>165</v>
      </c>
      <c r="AX15" s="16" t="s">
        <v>165</v>
      </c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5">
        <f>COUNTIF(F15:EN15,"P")</f>
        <v>25</v>
      </c>
      <c r="EP15" s="5">
        <f>COUNTIF(F15:EN15,"A")</f>
        <v>9</v>
      </c>
      <c r="EQ15" s="26"/>
      <c r="ER15" s="26"/>
      <c r="ES15" s="26"/>
      <c r="ET15" s="26"/>
    </row>
    <row r="16" spans="1:150" x14ac:dyDescent="0.25">
      <c r="A16" s="6">
        <v>11</v>
      </c>
      <c r="B16" s="19">
        <v>528</v>
      </c>
      <c r="C16" s="20" t="s">
        <v>447</v>
      </c>
      <c r="D16" s="21" t="s">
        <v>448</v>
      </c>
      <c r="E16" s="10" t="s">
        <v>28</v>
      </c>
      <c r="F16" s="16" t="s">
        <v>165</v>
      </c>
      <c r="G16" s="16" t="s">
        <v>165</v>
      </c>
      <c r="H16" s="16" t="s">
        <v>166</v>
      </c>
      <c r="I16" s="16"/>
      <c r="J16" s="16" t="s">
        <v>166</v>
      </c>
      <c r="K16" s="16"/>
      <c r="L16" s="16" t="s">
        <v>166</v>
      </c>
      <c r="M16" s="16" t="s">
        <v>166</v>
      </c>
      <c r="N16" s="16" t="s">
        <v>166</v>
      </c>
      <c r="O16" s="16" t="s">
        <v>165</v>
      </c>
      <c r="P16" s="16"/>
      <c r="Q16" s="16"/>
      <c r="R16" s="16" t="s">
        <v>165</v>
      </c>
      <c r="S16" s="16" t="s">
        <v>165</v>
      </c>
      <c r="T16" s="16" t="s">
        <v>166</v>
      </c>
      <c r="U16" s="16"/>
      <c r="V16" s="16"/>
      <c r="W16" s="16"/>
      <c r="X16" s="16" t="s">
        <v>166</v>
      </c>
      <c r="Y16" s="16" t="s">
        <v>166</v>
      </c>
      <c r="Z16" s="16" t="s">
        <v>166</v>
      </c>
      <c r="AA16" s="16" t="s">
        <v>165</v>
      </c>
      <c r="AB16" s="16" t="s">
        <v>166</v>
      </c>
      <c r="AC16" s="16" t="s">
        <v>165</v>
      </c>
      <c r="AD16" s="16"/>
      <c r="AE16" s="16" t="s">
        <v>166</v>
      </c>
      <c r="AF16" s="16" t="s">
        <v>165</v>
      </c>
      <c r="AG16" s="16" t="s">
        <v>165</v>
      </c>
      <c r="AH16" s="16" t="s">
        <v>165</v>
      </c>
      <c r="AI16" s="16" t="s">
        <v>165</v>
      </c>
      <c r="AJ16" s="16" t="s">
        <v>165</v>
      </c>
      <c r="AK16" s="16"/>
      <c r="AL16" s="16" t="s">
        <v>165</v>
      </c>
      <c r="AM16" s="16"/>
      <c r="AN16" s="16" t="s">
        <v>166</v>
      </c>
      <c r="AO16" s="16" t="s">
        <v>165</v>
      </c>
      <c r="AP16" s="16" t="s">
        <v>166</v>
      </c>
      <c r="AQ16" s="16" t="s">
        <v>165</v>
      </c>
      <c r="AR16" s="16"/>
      <c r="AS16" s="16" t="s">
        <v>166</v>
      </c>
      <c r="AT16" s="16" t="s">
        <v>166</v>
      </c>
      <c r="AU16" s="16" t="s">
        <v>166</v>
      </c>
      <c r="AV16" s="16" t="s">
        <v>166</v>
      </c>
      <c r="AW16" s="16" t="s">
        <v>165</v>
      </c>
      <c r="AX16" s="16" t="s">
        <v>165</v>
      </c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5">
        <f>COUNTIF(F16:EN16,"P")</f>
        <v>17</v>
      </c>
      <c r="EP16" s="5">
        <f>COUNTIF(F16:EN16,"A")</f>
        <v>17</v>
      </c>
      <c r="EQ16" s="3"/>
      <c r="ER16" s="3"/>
      <c r="ES16" s="3"/>
      <c r="ET16" s="3"/>
    </row>
    <row r="17" spans="1:150" ht="15.75" x14ac:dyDescent="0.25">
      <c r="A17" s="17">
        <v>12</v>
      </c>
      <c r="B17" s="19">
        <v>689</v>
      </c>
      <c r="C17" s="20" t="s">
        <v>449</v>
      </c>
      <c r="D17" s="21" t="s">
        <v>127</v>
      </c>
      <c r="E17" s="10" t="s">
        <v>28</v>
      </c>
      <c r="F17" s="16" t="s">
        <v>165</v>
      </c>
      <c r="G17" s="16" t="s">
        <v>165</v>
      </c>
      <c r="H17" s="16" t="s">
        <v>165</v>
      </c>
      <c r="I17" s="16"/>
      <c r="J17" s="16" t="s">
        <v>166</v>
      </c>
      <c r="K17" s="16"/>
      <c r="L17" s="16" t="s">
        <v>166</v>
      </c>
      <c r="M17" s="16" t="s">
        <v>166</v>
      </c>
      <c r="N17" s="16" t="s">
        <v>165</v>
      </c>
      <c r="O17" s="16" t="s">
        <v>166</v>
      </c>
      <c r="P17" s="16"/>
      <c r="Q17" s="16"/>
      <c r="R17" s="16" t="s">
        <v>165</v>
      </c>
      <c r="S17" s="16" t="s">
        <v>165</v>
      </c>
      <c r="T17" s="16" t="s">
        <v>165</v>
      </c>
      <c r="U17" s="16"/>
      <c r="V17" s="16"/>
      <c r="W17" s="16"/>
      <c r="X17" s="16" t="s">
        <v>166</v>
      </c>
      <c r="Y17" s="16" t="s">
        <v>166</v>
      </c>
      <c r="Z17" s="16" t="s">
        <v>166</v>
      </c>
      <c r="AA17" s="16" t="s">
        <v>166</v>
      </c>
      <c r="AB17" s="16" t="s">
        <v>166</v>
      </c>
      <c r="AC17" s="16" t="s">
        <v>166</v>
      </c>
      <c r="AD17" s="16"/>
      <c r="AE17" s="16" t="s">
        <v>166</v>
      </c>
      <c r="AF17" s="16" t="s">
        <v>166</v>
      </c>
      <c r="AG17" s="16" t="s">
        <v>166</v>
      </c>
      <c r="AH17" s="16" t="s">
        <v>166</v>
      </c>
      <c r="AI17" s="16" t="s">
        <v>165</v>
      </c>
      <c r="AJ17" s="16" t="s">
        <v>165</v>
      </c>
      <c r="AK17" s="16"/>
      <c r="AL17" s="16" t="s">
        <v>165</v>
      </c>
      <c r="AM17" s="16"/>
      <c r="AN17" s="16" t="s">
        <v>166</v>
      </c>
      <c r="AO17" s="16" t="s">
        <v>166</v>
      </c>
      <c r="AP17" s="16" t="s">
        <v>166</v>
      </c>
      <c r="AQ17" s="16" t="s">
        <v>165</v>
      </c>
      <c r="AR17" s="16"/>
      <c r="AS17" s="16" t="s">
        <v>166</v>
      </c>
      <c r="AT17" s="16" t="s">
        <v>166</v>
      </c>
      <c r="AU17" s="16" t="s">
        <v>166</v>
      </c>
      <c r="AV17" s="16" t="s">
        <v>166</v>
      </c>
      <c r="AW17" s="16" t="s">
        <v>166</v>
      </c>
      <c r="AX17" s="16" t="s">
        <v>166</v>
      </c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5">
        <f>COUNTIF(F17:EN17,"P")</f>
        <v>23</v>
      </c>
      <c r="EP17" s="5">
        <f>COUNTIF(F17:EN17,"A")</f>
        <v>11</v>
      </c>
      <c r="EQ17" s="103" t="s">
        <v>6</v>
      </c>
      <c r="ER17" s="105"/>
      <c r="ES17" s="105"/>
      <c r="ET17" s="104"/>
    </row>
    <row r="18" spans="1:150" x14ac:dyDescent="0.25">
      <c r="A18" s="6">
        <v>13</v>
      </c>
      <c r="B18" s="19">
        <v>479</v>
      </c>
      <c r="C18" s="20" t="s">
        <v>450</v>
      </c>
      <c r="D18" s="21" t="s">
        <v>451</v>
      </c>
      <c r="E18" s="10" t="s">
        <v>28</v>
      </c>
      <c r="F18" s="16" t="s">
        <v>165</v>
      </c>
      <c r="G18" s="16" t="s">
        <v>165</v>
      </c>
      <c r="H18" s="16" t="s">
        <v>166</v>
      </c>
      <c r="I18" s="16"/>
      <c r="J18" s="16" t="s">
        <v>166</v>
      </c>
      <c r="K18" s="16"/>
      <c r="L18" s="16" t="s">
        <v>166</v>
      </c>
      <c r="M18" s="16" t="s">
        <v>166</v>
      </c>
      <c r="N18" s="16" t="s">
        <v>166</v>
      </c>
      <c r="O18" s="16" t="s">
        <v>166</v>
      </c>
      <c r="P18" s="16"/>
      <c r="Q18" s="16"/>
      <c r="R18" s="16" t="s">
        <v>166</v>
      </c>
      <c r="S18" s="16" t="s">
        <v>165</v>
      </c>
      <c r="T18" s="16" t="s">
        <v>166</v>
      </c>
      <c r="U18" s="16"/>
      <c r="V18" s="16"/>
      <c r="W18" s="16"/>
      <c r="X18" s="16" t="s">
        <v>166</v>
      </c>
      <c r="Y18" s="16" t="s">
        <v>166</v>
      </c>
      <c r="Z18" s="16" t="s">
        <v>166</v>
      </c>
      <c r="AA18" s="16" t="s">
        <v>165</v>
      </c>
      <c r="AB18" s="16" t="s">
        <v>166</v>
      </c>
      <c r="AC18" s="16" t="s">
        <v>166</v>
      </c>
      <c r="AD18" s="16"/>
      <c r="AE18" s="16" t="s">
        <v>166</v>
      </c>
      <c r="AF18" s="16" t="s">
        <v>165</v>
      </c>
      <c r="AG18" s="16" t="s">
        <v>166</v>
      </c>
      <c r="AH18" s="16" t="s">
        <v>166</v>
      </c>
      <c r="AI18" s="16" t="s">
        <v>166</v>
      </c>
      <c r="AJ18" s="16" t="s">
        <v>166</v>
      </c>
      <c r="AK18" s="16"/>
      <c r="AL18" s="16" t="s">
        <v>166</v>
      </c>
      <c r="AM18" s="16"/>
      <c r="AN18" s="16" t="s">
        <v>166</v>
      </c>
      <c r="AO18" s="16" t="s">
        <v>166</v>
      </c>
      <c r="AP18" s="16" t="s">
        <v>166</v>
      </c>
      <c r="AQ18" s="16" t="s">
        <v>165</v>
      </c>
      <c r="AR18" s="16"/>
      <c r="AS18" s="16" t="s">
        <v>166</v>
      </c>
      <c r="AT18" s="16" t="s">
        <v>166</v>
      </c>
      <c r="AU18" s="16" t="s">
        <v>166</v>
      </c>
      <c r="AV18" s="16" t="s">
        <v>166</v>
      </c>
      <c r="AW18" s="16" t="s">
        <v>166</v>
      </c>
      <c r="AX18" s="16" t="s">
        <v>165</v>
      </c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5">
        <f>COUNTIF(F18:EN18,"P")</f>
        <v>27</v>
      </c>
      <c r="EP18" s="5">
        <f>COUNTIF(F18:EN18,"A")</f>
        <v>7</v>
      </c>
      <c r="EQ18" s="5" t="s">
        <v>13</v>
      </c>
      <c r="ER18" s="5" t="s">
        <v>14</v>
      </c>
      <c r="ES18" s="5" t="s">
        <v>15</v>
      </c>
      <c r="ET18" s="5" t="s">
        <v>16</v>
      </c>
    </row>
    <row r="19" spans="1:150" x14ac:dyDescent="0.25">
      <c r="A19" s="17">
        <v>14</v>
      </c>
      <c r="B19" s="19">
        <v>648</v>
      </c>
      <c r="C19" s="20" t="s">
        <v>452</v>
      </c>
      <c r="D19" s="21" t="s">
        <v>99</v>
      </c>
      <c r="E19" s="10" t="s">
        <v>28</v>
      </c>
      <c r="F19" s="16" t="s">
        <v>166</v>
      </c>
      <c r="G19" s="16" t="s">
        <v>166</v>
      </c>
      <c r="H19" s="16" t="s">
        <v>166</v>
      </c>
      <c r="I19" s="16"/>
      <c r="J19" s="16" t="s">
        <v>166</v>
      </c>
      <c r="K19" s="16"/>
      <c r="L19" s="16" t="s">
        <v>166</v>
      </c>
      <c r="M19" s="16" t="s">
        <v>166</v>
      </c>
      <c r="N19" s="16" t="s">
        <v>166</v>
      </c>
      <c r="O19" s="16" t="s">
        <v>166</v>
      </c>
      <c r="P19" s="16"/>
      <c r="Q19" s="16"/>
      <c r="R19" s="16" t="s">
        <v>166</v>
      </c>
      <c r="S19" s="16" t="s">
        <v>165</v>
      </c>
      <c r="T19" s="16" t="s">
        <v>166</v>
      </c>
      <c r="U19" s="16"/>
      <c r="V19" s="16"/>
      <c r="W19" s="16"/>
      <c r="X19" s="16" t="s">
        <v>166</v>
      </c>
      <c r="Y19" s="16" t="s">
        <v>166</v>
      </c>
      <c r="Z19" s="16" t="s">
        <v>166</v>
      </c>
      <c r="AA19" s="16" t="s">
        <v>166</v>
      </c>
      <c r="AB19" s="16" t="s">
        <v>166</v>
      </c>
      <c r="AC19" s="16" t="s">
        <v>165</v>
      </c>
      <c r="AD19" s="16"/>
      <c r="AE19" s="16" t="s">
        <v>166</v>
      </c>
      <c r="AF19" s="16" t="s">
        <v>166</v>
      </c>
      <c r="AG19" s="16" t="s">
        <v>166</v>
      </c>
      <c r="AH19" s="16" t="s">
        <v>166</v>
      </c>
      <c r="AI19" s="16" t="s">
        <v>166</v>
      </c>
      <c r="AJ19" s="16" t="s">
        <v>166</v>
      </c>
      <c r="AK19" s="16"/>
      <c r="AL19" s="16" t="s">
        <v>166</v>
      </c>
      <c r="AM19" s="16"/>
      <c r="AN19" s="16" t="s">
        <v>166</v>
      </c>
      <c r="AO19" s="16" t="s">
        <v>166</v>
      </c>
      <c r="AP19" s="16" t="s">
        <v>166</v>
      </c>
      <c r="AQ19" s="16" t="s">
        <v>166</v>
      </c>
      <c r="AR19" s="16"/>
      <c r="AS19" s="16" t="s">
        <v>166</v>
      </c>
      <c r="AT19" s="16" t="s">
        <v>166</v>
      </c>
      <c r="AU19" s="16" t="s">
        <v>166</v>
      </c>
      <c r="AV19" s="16" t="s">
        <v>166</v>
      </c>
      <c r="AW19" s="16" t="s">
        <v>166</v>
      </c>
      <c r="AX19" s="16" t="s">
        <v>166</v>
      </c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5">
        <f>COUNTIF(F19:EN19,"P")</f>
        <v>32</v>
      </c>
      <c r="EP19" s="5">
        <f>COUNTIF(F19:EN19,"A")</f>
        <v>2</v>
      </c>
      <c r="EQ19" s="5" t="s">
        <v>17</v>
      </c>
      <c r="ER19" s="17">
        <f>19*26</f>
        <v>494</v>
      </c>
      <c r="ES19" s="17">
        <f>21*26</f>
        <v>546</v>
      </c>
      <c r="ET19" s="17">
        <f>ER19+ES19</f>
        <v>1040</v>
      </c>
    </row>
    <row r="20" spans="1:150" x14ac:dyDescent="0.25">
      <c r="A20" s="6">
        <v>15</v>
      </c>
      <c r="B20" s="19">
        <v>578</v>
      </c>
      <c r="C20" s="20" t="s">
        <v>453</v>
      </c>
      <c r="D20" s="21" t="s">
        <v>271</v>
      </c>
      <c r="E20" s="10" t="s">
        <v>28</v>
      </c>
      <c r="F20" s="16" t="s">
        <v>166</v>
      </c>
      <c r="G20" s="16" t="s">
        <v>166</v>
      </c>
      <c r="H20" s="16" t="s">
        <v>166</v>
      </c>
      <c r="I20" s="16"/>
      <c r="J20" s="16" t="s">
        <v>166</v>
      </c>
      <c r="K20" s="16"/>
      <c r="L20" s="16" t="s">
        <v>166</v>
      </c>
      <c r="M20" s="16" t="s">
        <v>166</v>
      </c>
      <c r="N20" s="16" t="s">
        <v>165</v>
      </c>
      <c r="O20" s="16" t="s">
        <v>165</v>
      </c>
      <c r="P20" s="16"/>
      <c r="Q20" s="16"/>
      <c r="R20" s="16" t="s">
        <v>166</v>
      </c>
      <c r="S20" s="16" t="s">
        <v>165</v>
      </c>
      <c r="T20" s="16" t="s">
        <v>166</v>
      </c>
      <c r="U20" s="16"/>
      <c r="V20" s="16"/>
      <c r="W20" s="16"/>
      <c r="X20" s="16" t="s">
        <v>166</v>
      </c>
      <c r="Y20" s="16" t="s">
        <v>166</v>
      </c>
      <c r="Z20" s="16" t="s">
        <v>166</v>
      </c>
      <c r="AA20" s="16" t="s">
        <v>166</v>
      </c>
      <c r="AB20" s="16" t="s">
        <v>166</v>
      </c>
      <c r="AC20" s="16" t="s">
        <v>166</v>
      </c>
      <c r="AD20" s="16"/>
      <c r="AE20" s="16" t="s">
        <v>166</v>
      </c>
      <c r="AF20" s="16" t="s">
        <v>166</v>
      </c>
      <c r="AG20" s="16" t="s">
        <v>166</v>
      </c>
      <c r="AH20" s="16" t="s">
        <v>166</v>
      </c>
      <c r="AI20" s="16" t="s">
        <v>166</v>
      </c>
      <c r="AJ20" s="16" t="s">
        <v>166</v>
      </c>
      <c r="AK20" s="16"/>
      <c r="AL20" s="16" t="s">
        <v>166</v>
      </c>
      <c r="AM20" s="16"/>
      <c r="AN20" s="16" t="s">
        <v>166</v>
      </c>
      <c r="AO20" s="16" t="s">
        <v>166</v>
      </c>
      <c r="AP20" s="16" t="s">
        <v>166</v>
      </c>
      <c r="AQ20" s="16" t="s">
        <v>165</v>
      </c>
      <c r="AR20" s="16"/>
      <c r="AS20" s="16" t="s">
        <v>166</v>
      </c>
      <c r="AT20" s="16" t="s">
        <v>166</v>
      </c>
      <c r="AU20" s="16" t="s">
        <v>166</v>
      </c>
      <c r="AV20" s="16" t="s">
        <v>166</v>
      </c>
      <c r="AW20" s="16" t="s">
        <v>166</v>
      </c>
      <c r="AX20" s="16" t="s">
        <v>166</v>
      </c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5">
        <f>COUNTIF(F20:EN20,"P")</f>
        <v>30</v>
      </c>
      <c r="EP20" s="5">
        <f>COUNTIF(F20:EN20,"A")</f>
        <v>4</v>
      </c>
      <c r="EQ20" s="5" t="s">
        <v>20</v>
      </c>
      <c r="ER20" s="17">
        <f>ER19-ER12</f>
        <v>24</v>
      </c>
      <c r="ES20" s="17">
        <f>ES19-ES12</f>
        <v>-31</v>
      </c>
      <c r="ET20" s="17">
        <f>ER20+ES20</f>
        <v>-7</v>
      </c>
    </row>
    <row r="21" spans="1:150" x14ac:dyDescent="0.25">
      <c r="A21" s="17">
        <v>16</v>
      </c>
      <c r="B21" s="19">
        <v>573</v>
      </c>
      <c r="C21" s="20" t="s">
        <v>146</v>
      </c>
      <c r="D21" s="21" t="s">
        <v>119</v>
      </c>
      <c r="E21" s="10" t="s">
        <v>28</v>
      </c>
      <c r="F21" s="16" t="s">
        <v>171</v>
      </c>
      <c r="G21" s="16" t="s">
        <v>171</v>
      </c>
      <c r="H21" s="16" t="s">
        <v>171</v>
      </c>
      <c r="I21" s="16"/>
      <c r="J21" s="16" t="s">
        <v>171</v>
      </c>
      <c r="K21" s="16"/>
      <c r="L21" s="16" t="s">
        <v>165</v>
      </c>
      <c r="M21" s="16" t="s">
        <v>165</v>
      </c>
      <c r="N21" s="16" t="s">
        <v>165</v>
      </c>
      <c r="O21" s="16"/>
      <c r="P21" s="16"/>
      <c r="Q21" s="16"/>
      <c r="R21" s="16" t="s">
        <v>165</v>
      </c>
      <c r="S21" s="16" t="s">
        <v>166</v>
      </c>
      <c r="T21" s="16" t="s">
        <v>165</v>
      </c>
      <c r="U21" s="16"/>
      <c r="V21" s="16"/>
      <c r="W21" s="16"/>
      <c r="X21" s="16" t="s">
        <v>166</v>
      </c>
      <c r="Y21" s="16" t="s">
        <v>166</v>
      </c>
      <c r="Z21" s="16" t="s">
        <v>166</v>
      </c>
      <c r="AA21" s="16" t="s">
        <v>166</v>
      </c>
      <c r="AB21" s="16" t="s">
        <v>166</v>
      </c>
      <c r="AC21" s="16" t="s">
        <v>166</v>
      </c>
      <c r="AD21" s="16"/>
      <c r="AE21" s="16" t="s">
        <v>166</v>
      </c>
      <c r="AF21" s="16" t="s">
        <v>166</v>
      </c>
      <c r="AG21" s="16" t="s">
        <v>166</v>
      </c>
      <c r="AH21" s="16" t="s">
        <v>166</v>
      </c>
      <c r="AI21" s="16" t="s">
        <v>166</v>
      </c>
      <c r="AJ21" s="16" t="s">
        <v>166</v>
      </c>
      <c r="AK21" s="16"/>
      <c r="AL21" s="16" t="s">
        <v>165</v>
      </c>
      <c r="AM21" s="16"/>
      <c r="AN21" s="16" t="s">
        <v>166</v>
      </c>
      <c r="AO21" s="16" t="s">
        <v>166</v>
      </c>
      <c r="AP21" s="16" t="s">
        <v>166</v>
      </c>
      <c r="AQ21" s="16" t="s">
        <v>166</v>
      </c>
      <c r="AR21" s="16"/>
      <c r="AS21" s="16" t="s">
        <v>166</v>
      </c>
      <c r="AT21" s="16" t="s">
        <v>166</v>
      </c>
      <c r="AU21" s="16" t="s">
        <v>166</v>
      </c>
      <c r="AV21" s="16" t="s">
        <v>165</v>
      </c>
      <c r="AW21" s="16" t="s">
        <v>165</v>
      </c>
      <c r="AX21" s="16" t="s">
        <v>166</v>
      </c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5">
        <f>COUNTIF(F21:EN21,"P")</f>
        <v>21</v>
      </c>
      <c r="EP21" s="5">
        <f>COUNTIF(F21:EN21,"A")</f>
        <v>8</v>
      </c>
      <c r="EQ21" s="5" t="s">
        <v>16</v>
      </c>
      <c r="ER21" s="27">
        <f>ER20/ER19</f>
        <v>4.8582995951417005E-2</v>
      </c>
      <c r="ES21" s="27">
        <f>ES20/ES19</f>
        <v>-5.6776556776556776E-2</v>
      </c>
      <c r="ET21" s="27">
        <f>ET20/ET19</f>
        <v>-6.7307692307692311E-3</v>
      </c>
    </row>
    <row r="22" spans="1:150" x14ac:dyDescent="0.25">
      <c r="A22" s="6">
        <v>17</v>
      </c>
      <c r="B22" s="19">
        <v>587</v>
      </c>
      <c r="C22" s="20" t="s">
        <v>454</v>
      </c>
      <c r="D22" s="21" t="s">
        <v>455</v>
      </c>
      <c r="E22" s="10" t="s">
        <v>28</v>
      </c>
      <c r="F22" s="16" t="s">
        <v>165</v>
      </c>
      <c r="G22" s="16" t="s">
        <v>165</v>
      </c>
      <c r="H22" s="16" t="s">
        <v>165</v>
      </c>
      <c r="I22" s="16"/>
      <c r="J22" s="16" t="s">
        <v>165</v>
      </c>
      <c r="K22" s="16"/>
      <c r="L22" s="16" t="s">
        <v>165</v>
      </c>
      <c r="M22" s="16" t="s">
        <v>165</v>
      </c>
      <c r="N22" s="16" t="s">
        <v>165</v>
      </c>
      <c r="O22" s="16"/>
      <c r="P22" s="16"/>
      <c r="Q22" s="16"/>
      <c r="R22" s="16" t="s">
        <v>165</v>
      </c>
      <c r="S22" s="16" t="s">
        <v>166</v>
      </c>
      <c r="T22" s="16" t="s">
        <v>165</v>
      </c>
      <c r="U22" s="16"/>
      <c r="V22" s="16"/>
      <c r="W22" s="16"/>
      <c r="X22" s="16" t="s">
        <v>165</v>
      </c>
      <c r="Y22" s="16" t="s">
        <v>165</v>
      </c>
      <c r="Z22" s="16" t="s">
        <v>165</v>
      </c>
      <c r="AA22" s="16" t="s">
        <v>165</v>
      </c>
      <c r="AB22" s="16" t="s">
        <v>166</v>
      </c>
      <c r="AC22" s="16" t="s">
        <v>165</v>
      </c>
      <c r="AD22" s="16"/>
      <c r="AE22" s="16" t="s">
        <v>165</v>
      </c>
      <c r="AF22" s="16" t="s">
        <v>165</v>
      </c>
      <c r="AG22" s="16" t="s">
        <v>165</v>
      </c>
      <c r="AH22" s="16" t="s">
        <v>165</v>
      </c>
      <c r="AI22" s="16" t="s">
        <v>165</v>
      </c>
      <c r="AJ22" s="16" t="s">
        <v>165</v>
      </c>
      <c r="AK22" s="16"/>
      <c r="AL22" s="16" t="s">
        <v>165</v>
      </c>
      <c r="AM22" s="16"/>
      <c r="AN22" s="16" t="s">
        <v>165</v>
      </c>
      <c r="AO22" s="16" t="s">
        <v>165</v>
      </c>
      <c r="AP22" s="16" t="s">
        <v>165</v>
      </c>
      <c r="AQ22" s="16" t="s">
        <v>165</v>
      </c>
      <c r="AR22" s="16"/>
      <c r="AS22" s="16" t="s">
        <v>165</v>
      </c>
      <c r="AT22" s="16" t="s">
        <v>165</v>
      </c>
      <c r="AU22" s="16" t="s">
        <v>165</v>
      </c>
      <c r="AV22" s="16" t="s">
        <v>165</v>
      </c>
      <c r="AW22" s="16" t="s">
        <v>165</v>
      </c>
      <c r="AX22" s="16" t="s">
        <v>165</v>
      </c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5">
        <f>COUNTIF(F22:EN22,"P")</f>
        <v>2</v>
      </c>
      <c r="EP22" s="5">
        <f>COUNTIF(F22:EN22,"A")</f>
        <v>31</v>
      </c>
    </row>
    <row r="23" spans="1:150" x14ac:dyDescent="0.25">
      <c r="A23" s="17">
        <v>18</v>
      </c>
      <c r="B23" s="19">
        <v>575</v>
      </c>
      <c r="C23" s="20" t="s">
        <v>456</v>
      </c>
      <c r="D23" s="21" t="s">
        <v>457</v>
      </c>
      <c r="E23" s="10" t="s">
        <v>28</v>
      </c>
      <c r="F23" s="16" t="s">
        <v>166</v>
      </c>
      <c r="G23" s="16" t="s">
        <v>166</v>
      </c>
      <c r="H23" s="16" t="s">
        <v>166</v>
      </c>
      <c r="I23" s="16"/>
      <c r="J23" s="16" t="s">
        <v>166</v>
      </c>
      <c r="K23" s="16"/>
      <c r="L23" s="16" t="s">
        <v>166</v>
      </c>
      <c r="M23" s="16" t="s">
        <v>166</v>
      </c>
      <c r="N23" s="16" t="s">
        <v>166</v>
      </c>
      <c r="O23" s="16" t="s">
        <v>166</v>
      </c>
      <c r="P23" s="16"/>
      <c r="Q23" s="16"/>
      <c r="R23" s="16" t="s">
        <v>165</v>
      </c>
      <c r="S23" s="16" t="s">
        <v>165</v>
      </c>
      <c r="T23" s="16" t="s">
        <v>166</v>
      </c>
      <c r="U23" s="16"/>
      <c r="V23" s="16"/>
      <c r="W23" s="16"/>
      <c r="X23" s="16" t="s">
        <v>166</v>
      </c>
      <c r="Y23" s="16" t="s">
        <v>166</v>
      </c>
      <c r="Z23" s="16" t="s">
        <v>166</v>
      </c>
      <c r="AA23" s="16" t="s">
        <v>166</v>
      </c>
      <c r="AB23" s="16" t="s">
        <v>166</v>
      </c>
      <c r="AC23" s="16" t="s">
        <v>166</v>
      </c>
      <c r="AD23" s="16"/>
      <c r="AE23" s="16" t="s">
        <v>166</v>
      </c>
      <c r="AF23" s="16" t="s">
        <v>166</v>
      </c>
      <c r="AG23" s="16" t="s">
        <v>165</v>
      </c>
      <c r="AH23" s="16" t="s">
        <v>166</v>
      </c>
      <c r="AI23" s="16" t="s">
        <v>166</v>
      </c>
      <c r="AJ23" s="16" t="s">
        <v>166</v>
      </c>
      <c r="AK23" s="16"/>
      <c r="AL23" s="16" t="s">
        <v>166</v>
      </c>
      <c r="AM23" s="16"/>
      <c r="AN23" s="16" t="s">
        <v>166</v>
      </c>
      <c r="AO23" s="16" t="s">
        <v>166</v>
      </c>
      <c r="AP23" s="16" t="s">
        <v>166</v>
      </c>
      <c r="AQ23" s="16" t="s">
        <v>166</v>
      </c>
      <c r="AR23" s="16"/>
      <c r="AS23" s="16" t="s">
        <v>166</v>
      </c>
      <c r="AT23" s="16" t="s">
        <v>166</v>
      </c>
      <c r="AU23" s="16" t="s">
        <v>166</v>
      </c>
      <c r="AV23" s="16" t="s">
        <v>165</v>
      </c>
      <c r="AW23" s="16" t="s">
        <v>166</v>
      </c>
      <c r="AX23" s="16" t="s">
        <v>166</v>
      </c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5">
        <f>COUNTIF(F23:EN23,"P")</f>
        <v>30</v>
      </c>
      <c r="EP23" s="5">
        <f>COUNTIF(F23:EN23,"A")</f>
        <v>4</v>
      </c>
    </row>
    <row r="24" spans="1:150" x14ac:dyDescent="0.25">
      <c r="A24" s="6">
        <v>19</v>
      </c>
      <c r="B24" s="19">
        <v>586</v>
      </c>
      <c r="C24" s="20" t="s">
        <v>93</v>
      </c>
      <c r="D24" s="21" t="s">
        <v>458</v>
      </c>
      <c r="E24" s="10" t="s">
        <v>28</v>
      </c>
      <c r="F24" s="16" t="s">
        <v>166</v>
      </c>
      <c r="G24" s="16" t="s">
        <v>166</v>
      </c>
      <c r="H24" s="16" t="s">
        <v>166</v>
      </c>
      <c r="I24" s="16"/>
      <c r="J24" s="16" t="s">
        <v>166</v>
      </c>
      <c r="K24" s="16"/>
      <c r="L24" s="16" t="s">
        <v>166</v>
      </c>
      <c r="M24" s="16" t="s">
        <v>166</v>
      </c>
      <c r="N24" s="16" t="s">
        <v>166</v>
      </c>
      <c r="O24" s="16" t="s">
        <v>166</v>
      </c>
      <c r="P24" s="16"/>
      <c r="Q24" s="16"/>
      <c r="R24" s="16" t="s">
        <v>166</v>
      </c>
      <c r="S24" s="16" t="s">
        <v>165</v>
      </c>
      <c r="T24" s="16" t="s">
        <v>165</v>
      </c>
      <c r="U24" s="16"/>
      <c r="V24" s="16"/>
      <c r="W24" s="16"/>
      <c r="X24" s="16" t="s">
        <v>166</v>
      </c>
      <c r="Y24" s="16" t="s">
        <v>166</v>
      </c>
      <c r="Z24" s="16" t="s">
        <v>166</v>
      </c>
      <c r="AA24" s="16" t="s">
        <v>166</v>
      </c>
      <c r="AB24" s="16" t="s">
        <v>166</v>
      </c>
      <c r="AC24" s="16" t="s">
        <v>165</v>
      </c>
      <c r="AD24" s="16"/>
      <c r="AE24" s="16" t="s">
        <v>166</v>
      </c>
      <c r="AF24" s="16" t="s">
        <v>166</v>
      </c>
      <c r="AG24" s="16" t="s">
        <v>166</v>
      </c>
      <c r="AH24" s="16" t="s">
        <v>166</v>
      </c>
      <c r="AI24" s="16" t="s">
        <v>166</v>
      </c>
      <c r="AJ24" s="16" t="s">
        <v>166</v>
      </c>
      <c r="AK24" s="16"/>
      <c r="AL24" s="16" t="s">
        <v>166</v>
      </c>
      <c r="AM24" s="16"/>
      <c r="AN24" s="16" t="s">
        <v>166</v>
      </c>
      <c r="AO24" s="16" t="s">
        <v>166</v>
      </c>
      <c r="AP24" s="16" t="s">
        <v>166</v>
      </c>
      <c r="AQ24" s="16" t="s">
        <v>166</v>
      </c>
      <c r="AR24" s="16"/>
      <c r="AS24" s="16" t="s">
        <v>166</v>
      </c>
      <c r="AT24" s="16" t="s">
        <v>166</v>
      </c>
      <c r="AU24" s="16" t="s">
        <v>166</v>
      </c>
      <c r="AV24" s="16" t="s">
        <v>166</v>
      </c>
      <c r="AW24" s="16" t="s">
        <v>166</v>
      </c>
      <c r="AX24" s="16" t="s">
        <v>166</v>
      </c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5">
        <f>COUNTIF(F24:EN24,"P")</f>
        <v>31</v>
      </c>
      <c r="EP24" s="5">
        <f>COUNTIF(F24:EN24,"A")</f>
        <v>3</v>
      </c>
    </row>
    <row r="25" spans="1:150" x14ac:dyDescent="0.25">
      <c r="A25" s="17">
        <v>20</v>
      </c>
      <c r="B25" s="19">
        <v>583</v>
      </c>
      <c r="C25" s="20" t="s">
        <v>459</v>
      </c>
      <c r="D25" s="21" t="s">
        <v>72</v>
      </c>
      <c r="E25" s="10" t="s">
        <v>28</v>
      </c>
      <c r="F25" s="16" t="s">
        <v>166</v>
      </c>
      <c r="G25" s="16" t="s">
        <v>166</v>
      </c>
      <c r="H25" s="16" t="s">
        <v>166</v>
      </c>
      <c r="I25" s="16"/>
      <c r="J25" s="16" t="s">
        <v>166</v>
      </c>
      <c r="K25" s="16"/>
      <c r="L25" s="16" t="s">
        <v>166</v>
      </c>
      <c r="M25" s="16" t="s">
        <v>166</v>
      </c>
      <c r="N25" s="16" t="s">
        <v>166</v>
      </c>
      <c r="O25" s="16" t="s">
        <v>166</v>
      </c>
      <c r="P25" s="16"/>
      <c r="Q25" s="16"/>
      <c r="R25" s="16" t="s">
        <v>166</v>
      </c>
      <c r="S25" s="16" t="s">
        <v>165</v>
      </c>
      <c r="T25" s="16" t="s">
        <v>166</v>
      </c>
      <c r="U25" s="16"/>
      <c r="V25" s="16"/>
      <c r="W25" s="16"/>
      <c r="X25" s="16" t="s">
        <v>166</v>
      </c>
      <c r="Y25" s="16" t="s">
        <v>166</v>
      </c>
      <c r="Z25" s="16" t="s">
        <v>166</v>
      </c>
      <c r="AA25" s="16" t="s">
        <v>166</v>
      </c>
      <c r="AB25" s="16" t="s">
        <v>166</v>
      </c>
      <c r="AC25" s="16" t="s">
        <v>165</v>
      </c>
      <c r="AD25" s="16"/>
      <c r="AE25" s="16" t="s">
        <v>166</v>
      </c>
      <c r="AF25" s="16" t="s">
        <v>166</v>
      </c>
      <c r="AG25" s="16" t="s">
        <v>166</v>
      </c>
      <c r="AH25" s="16" t="s">
        <v>166</v>
      </c>
      <c r="AI25" s="16" t="s">
        <v>166</v>
      </c>
      <c r="AJ25" s="16" t="s">
        <v>165</v>
      </c>
      <c r="AK25" s="16"/>
      <c r="AL25" s="16" t="s">
        <v>166</v>
      </c>
      <c r="AM25" s="16"/>
      <c r="AN25" s="16" t="s">
        <v>166</v>
      </c>
      <c r="AO25" s="16" t="s">
        <v>166</v>
      </c>
      <c r="AP25" s="16" t="s">
        <v>166</v>
      </c>
      <c r="AQ25" s="16" t="s">
        <v>166</v>
      </c>
      <c r="AR25" s="16"/>
      <c r="AS25" s="16" t="s">
        <v>166</v>
      </c>
      <c r="AT25" s="16" t="s">
        <v>166</v>
      </c>
      <c r="AU25" s="16" t="s">
        <v>166</v>
      </c>
      <c r="AV25" s="16" t="s">
        <v>166</v>
      </c>
      <c r="AW25" s="16" t="s">
        <v>166</v>
      </c>
      <c r="AX25" s="16" t="s">
        <v>166</v>
      </c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5">
        <f>COUNTIF(F25:EN25,"P")</f>
        <v>31</v>
      </c>
      <c r="EP25" s="5">
        <f>COUNTIF(F25:EN25,"A")</f>
        <v>3</v>
      </c>
    </row>
    <row r="26" spans="1:150" x14ac:dyDescent="0.25">
      <c r="A26" s="6">
        <v>21</v>
      </c>
      <c r="B26" s="19">
        <v>580</v>
      </c>
      <c r="C26" s="20" t="s">
        <v>460</v>
      </c>
      <c r="D26" s="21" t="s">
        <v>461</v>
      </c>
      <c r="E26" s="10" t="s">
        <v>28</v>
      </c>
      <c r="F26" s="16" t="s">
        <v>166</v>
      </c>
      <c r="G26" s="16" t="s">
        <v>166</v>
      </c>
      <c r="H26" s="16" t="s">
        <v>166</v>
      </c>
      <c r="I26" s="16"/>
      <c r="J26" s="16" t="s">
        <v>166</v>
      </c>
      <c r="K26" s="16"/>
      <c r="L26" s="16" t="s">
        <v>166</v>
      </c>
      <c r="M26" s="16" t="s">
        <v>166</v>
      </c>
      <c r="N26" s="16" t="s">
        <v>166</v>
      </c>
      <c r="O26" s="16" t="s">
        <v>166</v>
      </c>
      <c r="P26" s="16"/>
      <c r="Q26" s="16"/>
      <c r="R26" s="16" t="s">
        <v>166</v>
      </c>
      <c r="S26" s="16" t="s">
        <v>166</v>
      </c>
      <c r="T26" s="16" t="s">
        <v>166</v>
      </c>
      <c r="U26" s="16"/>
      <c r="V26" s="16"/>
      <c r="W26" s="16"/>
      <c r="X26" s="16" t="s">
        <v>166</v>
      </c>
      <c r="Y26" s="16" t="s">
        <v>166</v>
      </c>
      <c r="Z26" s="16" t="s">
        <v>166</v>
      </c>
      <c r="AA26" s="16" t="s">
        <v>166</v>
      </c>
      <c r="AB26" s="16" t="s">
        <v>166</v>
      </c>
      <c r="AC26" s="16" t="s">
        <v>166</v>
      </c>
      <c r="AD26" s="16"/>
      <c r="AE26" s="16" t="s">
        <v>166</v>
      </c>
      <c r="AF26" s="16" t="s">
        <v>166</v>
      </c>
      <c r="AG26" s="16" t="s">
        <v>166</v>
      </c>
      <c r="AH26" s="16" t="s">
        <v>166</v>
      </c>
      <c r="AI26" s="16" t="s">
        <v>166</v>
      </c>
      <c r="AJ26" s="16" t="s">
        <v>166</v>
      </c>
      <c r="AK26" s="16"/>
      <c r="AL26" s="16" t="s">
        <v>166</v>
      </c>
      <c r="AM26" s="16"/>
      <c r="AN26" s="16" t="s">
        <v>166</v>
      </c>
      <c r="AO26" s="16" t="s">
        <v>166</v>
      </c>
      <c r="AP26" s="16" t="s">
        <v>166</v>
      </c>
      <c r="AQ26" s="16" t="s">
        <v>166</v>
      </c>
      <c r="AR26" s="16"/>
      <c r="AS26" s="16" t="s">
        <v>166</v>
      </c>
      <c r="AT26" s="16" t="s">
        <v>166</v>
      </c>
      <c r="AU26" s="16" t="s">
        <v>166</v>
      </c>
      <c r="AV26" s="16" t="s">
        <v>166</v>
      </c>
      <c r="AW26" s="16" t="s">
        <v>166</v>
      </c>
      <c r="AX26" s="16" t="s">
        <v>171</v>
      </c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5">
        <f>COUNTIF(F26:EN26,"P")</f>
        <v>33</v>
      </c>
      <c r="EP26" s="5">
        <f>COUNTIF(F26:EN26,"A")</f>
        <v>0</v>
      </c>
    </row>
    <row r="27" spans="1:150" x14ac:dyDescent="0.25">
      <c r="A27" s="17">
        <v>22</v>
      </c>
      <c r="B27" s="19">
        <v>480</v>
      </c>
      <c r="C27" s="20" t="s">
        <v>462</v>
      </c>
      <c r="D27" s="21" t="s">
        <v>286</v>
      </c>
      <c r="E27" s="10" t="s">
        <v>28</v>
      </c>
      <c r="F27" s="16" t="s">
        <v>166</v>
      </c>
      <c r="G27" s="16" t="s">
        <v>166</v>
      </c>
      <c r="H27" s="16" t="s">
        <v>166</v>
      </c>
      <c r="I27" s="16"/>
      <c r="J27" s="16" t="s">
        <v>166</v>
      </c>
      <c r="K27" s="16"/>
      <c r="L27" s="16" t="s">
        <v>166</v>
      </c>
      <c r="M27" s="16" t="s">
        <v>166</v>
      </c>
      <c r="N27" s="16" t="s">
        <v>166</v>
      </c>
      <c r="O27" s="16" t="s">
        <v>165</v>
      </c>
      <c r="P27" s="16"/>
      <c r="Q27" s="16"/>
      <c r="R27" s="16" t="s">
        <v>166</v>
      </c>
      <c r="S27" s="16" t="s">
        <v>166</v>
      </c>
      <c r="T27" s="16" t="s">
        <v>166</v>
      </c>
      <c r="U27" s="16"/>
      <c r="V27" s="16"/>
      <c r="W27" s="16"/>
      <c r="X27" s="16" t="s">
        <v>166</v>
      </c>
      <c r="Y27" s="16" t="s">
        <v>166</v>
      </c>
      <c r="Z27" s="16" t="s">
        <v>166</v>
      </c>
      <c r="AA27" s="16" t="s">
        <v>166</v>
      </c>
      <c r="AB27" s="16" t="s">
        <v>166</v>
      </c>
      <c r="AC27" s="16" t="s">
        <v>165</v>
      </c>
      <c r="AD27" s="16"/>
      <c r="AE27" s="16" t="s">
        <v>165</v>
      </c>
      <c r="AF27" s="16" t="s">
        <v>165</v>
      </c>
      <c r="AG27" s="16" t="s">
        <v>165</v>
      </c>
      <c r="AH27" s="16" t="s">
        <v>165</v>
      </c>
      <c r="AI27" s="16" t="s">
        <v>166</v>
      </c>
      <c r="AJ27" s="16" t="s">
        <v>166</v>
      </c>
      <c r="AK27" s="16"/>
      <c r="AL27" s="16" t="s">
        <v>166</v>
      </c>
      <c r="AM27" s="16"/>
      <c r="AN27" s="16" t="s">
        <v>166</v>
      </c>
      <c r="AO27" s="16" t="s">
        <v>166</v>
      </c>
      <c r="AP27" s="16" t="s">
        <v>166</v>
      </c>
      <c r="AQ27" s="16" t="s">
        <v>166</v>
      </c>
      <c r="AR27" s="16"/>
      <c r="AS27" s="16" t="s">
        <v>166</v>
      </c>
      <c r="AT27" s="16" t="s">
        <v>166</v>
      </c>
      <c r="AU27" s="16" t="s">
        <v>166</v>
      </c>
      <c r="AV27" s="16" t="s">
        <v>166</v>
      </c>
      <c r="AW27" s="16" t="s">
        <v>166</v>
      </c>
      <c r="AX27" s="16" t="s">
        <v>166</v>
      </c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5">
        <f>COUNTIF(F27:EN27,"P")</f>
        <v>28</v>
      </c>
      <c r="EP27" s="5">
        <f>COUNTIF(F27:EN27,"A")</f>
        <v>6</v>
      </c>
    </row>
    <row r="28" spans="1:150" x14ac:dyDescent="0.25">
      <c r="A28" s="6">
        <v>23</v>
      </c>
      <c r="B28" s="19">
        <v>576</v>
      </c>
      <c r="C28" s="20" t="s">
        <v>363</v>
      </c>
      <c r="D28" s="21" t="s">
        <v>286</v>
      </c>
      <c r="E28" s="10" t="s">
        <v>28</v>
      </c>
      <c r="F28" s="16" t="s">
        <v>166</v>
      </c>
      <c r="G28" s="16" t="s">
        <v>166</v>
      </c>
      <c r="H28" s="16" t="s">
        <v>166</v>
      </c>
      <c r="I28" s="16"/>
      <c r="J28" s="16" t="s">
        <v>166</v>
      </c>
      <c r="K28" s="16"/>
      <c r="L28" s="16" t="s">
        <v>166</v>
      </c>
      <c r="M28" s="16" t="s">
        <v>166</v>
      </c>
      <c r="N28" s="16" t="s">
        <v>166</v>
      </c>
      <c r="O28" s="16" t="s">
        <v>166</v>
      </c>
      <c r="P28" s="16"/>
      <c r="Q28" s="16"/>
      <c r="R28" s="16" t="s">
        <v>166</v>
      </c>
      <c r="S28" s="16" t="s">
        <v>166</v>
      </c>
      <c r="T28" s="16" t="s">
        <v>166</v>
      </c>
      <c r="U28" s="16"/>
      <c r="V28" s="16"/>
      <c r="W28" s="16"/>
      <c r="X28" s="16" t="s">
        <v>166</v>
      </c>
      <c r="Y28" s="16" t="s">
        <v>166</v>
      </c>
      <c r="Z28" s="16" t="s">
        <v>166</v>
      </c>
      <c r="AA28" s="16" t="s">
        <v>166</v>
      </c>
      <c r="AB28" s="16" t="s">
        <v>166</v>
      </c>
      <c r="AC28" s="16" t="s">
        <v>166</v>
      </c>
      <c r="AD28" s="16"/>
      <c r="AE28" s="16" t="s">
        <v>166</v>
      </c>
      <c r="AF28" s="16" t="s">
        <v>166</v>
      </c>
      <c r="AG28" s="16" t="s">
        <v>166</v>
      </c>
      <c r="AH28" s="16" t="s">
        <v>166</v>
      </c>
      <c r="AI28" s="16" t="s">
        <v>166</v>
      </c>
      <c r="AJ28" s="16" t="s">
        <v>166</v>
      </c>
      <c r="AK28" s="16"/>
      <c r="AL28" s="16" t="s">
        <v>166</v>
      </c>
      <c r="AM28" s="16"/>
      <c r="AN28" s="16" t="s">
        <v>166</v>
      </c>
      <c r="AO28" s="16" t="s">
        <v>166</v>
      </c>
      <c r="AP28" s="16" t="s">
        <v>166</v>
      </c>
      <c r="AQ28" s="16" t="s">
        <v>166</v>
      </c>
      <c r="AR28" s="16"/>
      <c r="AS28" s="16" t="s">
        <v>166</v>
      </c>
      <c r="AT28" s="16" t="s">
        <v>166</v>
      </c>
      <c r="AU28" s="16" t="s">
        <v>166</v>
      </c>
      <c r="AV28" s="16" t="s">
        <v>166</v>
      </c>
      <c r="AW28" s="16" t="s">
        <v>166</v>
      </c>
      <c r="AX28" s="16" t="s">
        <v>166</v>
      </c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5">
        <f>COUNTIF(F28:EN28,"P")</f>
        <v>34</v>
      </c>
      <c r="EP28" s="5">
        <f>COUNTIF(F28:EN28,"A")</f>
        <v>0</v>
      </c>
    </row>
    <row r="29" spans="1:150" x14ac:dyDescent="0.25">
      <c r="A29" s="17">
        <v>24</v>
      </c>
      <c r="B29" s="19">
        <v>685</v>
      </c>
      <c r="C29" s="20" t="s">
        <v>463</v>
      </c>
      <c r="D29" s="21" t="s">
        <v>464</v>
      </c>
      <c r="E29" s="10" t="s">
        <v>28</v>
      </c>
      <c r="F29" s="16" t="s">
        <v>166</v>
      </c>
      <c r="G29" s="16" t="s">
        <v>166</v>
      </c>
      <c r="H29" s="16" t="s">
        <v>166</v>
      </c>
      <c r="I29" s="16"/>
      <c r="J29" s="16" t="s">
        <v>166</v>
      </c>
      <c r="K29" s="16"/>
      <c r="L29" s="16" t="s">
        <v>166</v>
      </c>
      <c r="M29" s="16" t="s">
        <v>166</v>
      </c>
      <c r="N29" s="16" t="s">
        <v>166</v>
      </c>
      <c r="O29" s="16" t="s">
        <v>166</v>
      </c>
      <c r="P29" s="16"/>
      <c r="Q29" s="16"/>
      <c r="R29" s="16" t="s">
        <v>166</v>
      </c>
      <c r="S29" s="16" t="s">
        <v>165</v>
      </c>
      <c r="T29" s="16" t="s">
        <v>165</v>
      </c>
      <c r="U29" s="16"/>
      <c r="V29" s="16"/>
      <c r="W29" s="16"/>
      <c r="X29" s="16" t="s">
        <v>166</v>
      </c>
      <c r="Y29" s="16" t="s">
        <v>166</v>
      </c>
      <c r="Z29" s="16" t="s">
        <v>166</v>
      </c>
      <c r="AA29" s="16" t="s">
        <v>166</v>
      </c>
      <c r="AB29" s="16" t="s">
        <v>166</v>
      </c>
      <c r="AC29" s="16" t="s">
        <v>165</v>
      </c>
      <c r="AD29" s="16"/>
      <c r="AE29" s="16" t="s">
        <v>166</v>
      </c>
      <c r="AF29" s="16" t="s">
        <v>166</v>
      </c>
      <c r="AG29" s="16" t="s">
        <v>165</v>
      </c>
      <c r="AH29" s="16" t="s">
        <v>166</v>
      </c>
      <c r="AI29" s="16" t="s">
        <v>165</v>
      </c>
      <c r="AJ29" s="16" t="s">
        <v>165</v>
      </c>
      <c r="AK29" s="16"/>
      <c r="AL29" s="16" t="s">
        <v>166</v>
      </c>
      <c r="AM29" s="16"/>
      <c r="AN29" s="16" t="s">
        <v>165</v>
      </c>
      <c r="AO29" s="16" t="s">
        <v>166</v>
      </c>
      <c r="AP29" s="16" t="s">
        <v>166</v>
      </c>
      <c r="AQ29" s="16" t="s">
        <v>165</v>
      </c>
      <c r="AR29" s="16"/>
      <c r="AS29" s="16" t="s">
        <v>165</v>
      </c>
      <c r="AT29" s="16" t="s">
        <v>165</v>
      </c>
      <c r="AU29" s="16" t="s">
        <v>166</v>
      </c>
      <c r="AV29" s="16" t="s">
        <v>166</v>
      </c>
      <c r="AW29" s="16" t="s">
        <v>166</v>
      </c>
      <c r="AX29" s="16" t="s">
        <v>166</v>
      </c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5">
        <f>COUNTIF(F29:EN29,"P")</f>
        <v>24</v>
      </c>
      <c r="EP29" s="5">
        <f>COUNTIF(F29:EN29,"A")</f>
        <v>10</v>
      </c>
    </row>
    <row r="30" spans="1:150" x14ac:dyDescent="0.25">
      <c r="A30" s="6">
        <v>25</v>
      </c>
      <c r="B30" s="19">
        <v>688</v>
      </c>
      <c r="C30" s="20" t="s">
        <v>465</v>
      </c>
      <c r="D30" s="21" t="s">
        <v>93</v>
      </c>
      <c r="E30" s="10" t="s">
        <v>28</v>
      </c>
      <c r="F30" s="16" t="s">
        <v>165</v>
      </c>
      <c r="G30" s="16" t="s">
        <v>166</v>
      </c>
      <c r="H30" s="16" t="s">
        <v>166</v>
      </c>
      <c r="I30" s="16"/>
      <c r="J30" s="16" t="s">
        <v>166</v>
      </c>
      <c r="K30" s="16"/>
      <c r="L30" s="16" t="s">
        <v>166</v>
      </c>
      <c r="M30" s="16" t="s">
        <v>166</v>
      </c>
      <c r="N30" s="16" t="s">
        <v>166</v>
      </c>
      <c r="O30" s="16" t="s">
        <v>165</v>
      </c>
      <c r="P30" s="16"/>
      <c r="Q30" s="16"/>
      <c r="R30" s="16" t="s">
        <v>166</v>
      </c>
      <c r="S30" s="16" t="s">
        <v>165</v>
      </c>
      <c r="T30" s="16" t="s">
        <v>166</v>
      </c>
      <c r="U30" s="16"/>
      <c r="V30" s="16"/>
      <c r="W30" s="16"/>
      <c r="X30" s="16" t="s">
        <v>166</v>
      </c>
      <c r="Y30" s="16" t="s">
        <v>166</v>
      </c>
      <c r="Z30" s="16" t="s">
        <v>165</v>
      </c>
      <c r="AA30" s="16" t="s">
        <v>166</v>
      </c>
      <c r="AB30" s="16" t="s">
        <v>166</v>
      </c>
      <c r="AC30" s="16" t="s">
        <v>166</v>
      </c>
      <c r="AD30" s="16"/>
      <c r="AE30" s="16" t="s">
        <v>166</v>
      </c>
      <c r="AF30" s="16" t="s">
        <v>165</v>
      </c>
      <c r="AG30" s="16" t="s">
        <v>166</v>
      </c>
      <c r="AH30" s="16" t="s">
        <v>166</v>
      </c>
      <c r="AI30" s="16" t="s">
        <v>165</v>
      </c>
      <c r="AJ30" s="16" t="s">
        <v>165</v>
      </c>
      <c r="AK30" s="16"/>
      <c r="AL30" s="16" t="s">
        <v>166</v>
      </c>
      <c r="AM30" s="16"/>
      <c r="AN30" s="16" t="s">
        <v>166</v>
      </c>
      <c r="AO30" s="16" t="s">
        <v>166</v>
      </c>
      <c r="AP30" s="16" t="s">
        <v>166</v>
      </c>
      <c r="AQ30" s="16" t="s">
        <v>165</v>
      </c>
      <c r="AR30" s="16"/>
      <c r="AS30" s="16" t="s">
        <v>166</v>
      </c>
      <c r="AT30" s="16" t="s">
        <v>166</v>
      </c>
      <c r="AU30" s="16" t="s">
        <v>166</v>
      </c>
      <c r="AV30" s="16" t="s">
        <v>166</v>
      </c>
      <c r="AW30" s="16" t="s">
        <v>165</v>
      </c>
      <c r="AX30" s="16" t="s">
        <v>166</v>
      </c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5">
        <f>COUNTIF(F30:EN30,"P")</f>
        <v>25</v>
      </c>
      <c r="EP30" s="5">
        <f>COUNTIF(F30:EN30,"A")</f>
        <v>9</v>
      </c>
    </row>
    <row r="31" spans="1:150" x14ac:dyDescent="0.25">
      <c r="A31" s="17">
        <v>26</v>
      </c>
      <c r="B31" s="19">
        <v>546</v>
      </c>
      <c r="C31" s="20" t="s">
        <v>465</v>
      </c>
      <c r="D31" s="21" t="s">
        <v>466</v>
      </c>
      <c r="E31" s="10" t="s">
        <v>28</v>
      </c>
      <c r="F31" s="16" t="s">
        <v>165</v>
      </c>
      <c r="G31" s="16" t="s">
        <v>165</v>
      </c>
      <c r="H31" s="16" t="s">
        <v>165</v>
      </c>
      <c r="I31" s="16"/>
      <c r="J31" s="16" t="s">
        <v>165</v>
      </c>
      <c r="K31" s="16"/>
      <c r="L31" s="16" t="s">
        <v>165</v>
      </c>
      <c r="M31" s="16" t="s">
        <v>165</v>
      </c>
      <c r="N31" s="16" t="s">
        <v>165</v>
      </c>
      <c r="O31" s="16" t="s">
        <v>165</v>
      </c>
      <c r="P31" s="16"/>
      <c r="Q31" s="16"/>
      <c r="R31" s="16" t="s">
        <v>165</v>
      </c>
      <c r="S31" s="16" t="s">
        <v>165</v>
      </c>
      <c r="T31" s="16" t="s">
        <v>165</v>
      </c>
      <c r="U31" s="16"/>
      <c r="V31" s="16"/>
      <c r="W31" s="16"/>
      <c r="X31" s="16" t="s">
        <v>165</v>
      </c>
      <c r="Y31" s="16" t="s">
        <v>165</v>
      </c>
      <c r="Z31" s="16" t="s">
        <v>165</v>
      </c>
      <c r="AA31" s="16" t="s">
        <v>165</v>
      </c>
      <c r="AB31" s="16" t="s">
        <v>165</v>
      </c>
      <c r="AC31" s="16" t="s">
        <v>165</v>
      </c>
      <c r="AD31" s="16"/>
      <c r="AE31" s="16" t="s">
        <v>165</v>
      </c>
      <c r="AF31" s="16" t="s">
        <v>165</v>
      </c>
      <c r="AG31" s="16" t="s">
        <v>165</v>
      </c>
      <c r="AH31" s="16" t="s">
        <v>165</v>
      </c>
      <c r="AI31" s="16" t="s">
        <v>165</v>
      </c>
      <c r="AJ31" s="16" t="s">
        <v>165</v>
      </c>
      <c r="AK31" s="16"/>
      <c r="AL31" s="16" t="s">
        <v>165</v>
      </c>
      <c r="AM31" s="16"/>
      <c r="AN31" s="16" t="s">
        <v>165</v>
      </c>
      <c r="AO31" s="16" t="s">
        <v>165</v>
      </c>
      <c r="AP31" s="16" t="s">
        <v>165</v>
      </c>
      <c r="AQ31" s="16" t="s">
        <v>165</v>
      </c>
      <c r="AR31" s="16"/>
      <c r="AS31" s="16" t="s">
        <v>165</v>
      </c>
      <c r="AT31" s="16" t="s">
        <v>166</v>
      </c>
      <c r="AU31" s="16" t="s">
        <v>166</v>
      </c>
      <c r="AV31" s="16" t="s">
        <v>166</v>
      </c>
      <c r="AW31" s="16" t="s">
        <v>166</v>
      </c>
      <c r="AX31" s="16" t="s">
        <v>166</v>
      </c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5">
        <f>COUNTIF(F31:EN31,"P")</f>
        <v>5</v>
      </c>
      <c r="EP31" s="5">
        <f>COUNTIF(F31:EN31,"A")</f>
        <v>29</v>
      </c>
    </row>
    <row r="32" spans="1:150" x14ac:dyDescent="0.25">
      <c r="A32" s="6">
        <v>27</v>
      </c>
      <c r="B32" s="19"/>
      <c r="C32" s="20" t="s">
        <v>467</v>
      </c>
      <c r="D32" s="21" t="s">
        <v>468</v>
      </c>
      <c r="E32" s="10" t="s">
        <v>28</v>
      </c>
      <c r="F32" s="16"/>
      <c r="G32" s="16"/>
      <c r="H32" s="16"/>
      <c r="I32" s="16"/>
      <c r="J32" s="16" t="s">
        <v>166</v>
      </c>
      <c r="K32" s="16"/>
      <c r="L32" s="16" t="s">
        <v>166</v>
      </c>
      <c r="M32" s="16" t="s">
        <v>165</v>
      </c>
      <c r="N32" s="16" t="s">
        <v>166</v>
      </c>
      <c r="O32" s="16" t="s">
        <v>165</v>
      </c>
      <c r="P32" s="16"/>
      <c r="Q32" s="16"/>
      <c r="R32" s="16" t="s">
        <v>166</v>
      </c>
      <c r="S32" s="16" t="s">
        <v>165</v>
      </c>
      <c r="T32" s="16" t="s">
        <v>166</v>
      </c>
      <c r="U32" s="16"/>
      <c r="V32" s="16"/>
      <c r="W32" s="16"/>
      <c r="X32" s="16" t="s">
        <v>166</v>
      </c>
      <c r="Y32" s="16" t="s">
        <v>166</v>
      </c>
      <c r="Z32" s="16" t="s">
        <v>166</v>
      </c>
      <c r="AA32" s="16" t="s">
        <v>166</v>
      </c>
      <c r="AB32" s="16" t="s">
        <v>166</v>
      </c>
      <c r="AC32" s="16" t="s">
        <v>166</v>
      </c>
      <c r="AD32" s="16"/>
      <c r="AE32" s="16" t="s">
        <v>166</v>
      </c>
      <c r="AF32" s="16" t="s">
        <v>166</v>
      </c>
      <c r="AG32" s="16" t="s">
        <v>166</v>
      </c>
      <c r="AH32" s="16" t="s">
        <v>166</v>
      </c>
      <c r="AI32" s="16" t="s">
        <v>166</v>
      </c>
      <c r="AJ32" s="16" t="s">
        <v>166</v>
      </c>
      <c r="AK32" s="16"/>
      <c r="AL32" s="16" t="s">
        <v>165</v>
      </c>
      <c r="AM32" s="16"/>
      <c r="AN32" s="16" t="s">
        <v>166</v>
      </c>
      <c r="AO32" s="16" t="s">
        <v>166</v>
      </c>
      <c r="AP32" s="16" t="s">
        <v>166</v>
      </c>
      <c r="AQ32" s="16" t="s">
        <v>166</v>
      </c>
      <c r="AR32" s="16"/>
      <c r="AS32" s="16" t="s">
        <v>166</v>
      </c>
      <c r="AT32" s="16" t="s">
        <v>166</v>
      </c>
      <c r="AU32" s="16" t="s">
        <v>166</v>
      </c>
      <c r="AV32" s="16" t="s">
        <v>166</v>
      </c>
      <c r="AW32" s="16" t="s">
        <v>166</v>
      </c>
      <c r="AX32" s="16" t="s">
        <v>166</v>
      </c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5">
        <f>COUNTIF(F32:EN32,"P")</f>
        <v>27</v>
      </c>
      <c r="EP32" s="5">
        <f>COUNTIF(F32:EN32,"A")</f>
        <v>4</v>
      </c>
    </row>
    <row r="33" spans="1:146" x14ac:dyDescent="0.25">
      <c r="A33" s="17">
        <v>28</v>
      </c>
      <c r="B33" s="19"/>
      <c r="C33" s="20" t="s">
        <v>469</v>
      </c>
      <c r="D33" s="21" t="s">
        <v>468</v>
      </c>
      <c r="E33" s="10" t="s">
        <v>28</v>
      </c>
      <c r="F33" s="16"/>
      <c r="G33" s="16"/>
      <c r="H33" s="16"/>
      <c r="I33" s="16"/>
      <c r="J33" s="16" t="s">
        <v>166</v>
      </c>
      <c r="K33" s="16"/>
      <c r="L33" s="16" t="s">
        <v>166</v>
      </c>
      <c r="M33" s="16" t="s">
        <v>165</v>
      </c>
      <c r="N33" s="16" t="s">
        <v>166</v>
      </c>
      <c r="O33" s="16" t="s">
        <v>165</v>
      </c>
      <c r="P33" s="16"/>
      <c r="Q33" s="16"/>
      <c r="R33" s="16" t="s">
        <v>166</v>
      </c>
      <c r="S33" s="16" t="s">
        <v>165</v>
      </c>
      <c r="T33" s="16" t="s">
        <v>166</v>
      </c>
      <c r="U33" s="16"/>
      <c r="V33" s="16"/>
      <c r="W33" s="16"/>
      <c r="X33" s="16" t="s">
        <v>166</v>
      </c>
      <c r="Y33" s="16" t="s">
        <v>166</v>
      </c>
      <c r="Z33" s="16" t="s">
        <v>166</v>
      </c>
      <c r="AA33" s="16" t="s">
        <v>166</v>
      </c>
      <c r="AB33" s="16" t="s">
        <v>166</v>
      </c>
      <c r="AC33" s="16" t="s">
        <v>166</v>
      </c>
      <c r="AD33" s="16"/>
      <c r="AE33" s="16" t="s">
        <v>166</v>
      </c>
      <c r="AF33" s="16" t="s">
        <v>166</v>
      </c>
      <c r="AG33" s="16" t="s">
        <v>166</v>
      </c>
      <c r="AH33" s="16" t="s">
        <v>166</v>
      </c>
      <c r="AI33" s="16" t="s">
        <v>166</v>
      </c>
      <c r="AJ33" s="16" t="s">
        <v>166</v>
      </c>
      <c r="AK33" s="16"/>
      <c r="AL33" s="16" t="s">
        <v>165</v>
      </c>
      <c r="AM33" s="16"/>
      <c r="AN33" s="16" t="s">
        <v>166</v>
      </c>
      <c r="AO33" s="16" t="s">
        <v>166</v>
      </c>
      <c r="AP33" s="16" t="s">
        <v>166</v>
      </c>
      <c r="AQ33" s="16" t="s">
        <v>166</v>
      </c>
      <c r="AR33" s="16"/>
      <c r="AS33" s="16" t="s">
        <v>166</v>
      </c>
      <c r="AT33" s="16" t="s">
        <v>166</v>
      </c>
      <c r="AU33" s="16" t="s">
        <v>166</v>
      </c>
      <c r="AV33" s="16" t="s">
        <v>166</v>
      </c>
      <c r="AW33" s="16" t="s">
        <v>166</v>
      </c>
      <c r="AX33" s="16" t="s">
        <v>166</v>
      </c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5">
        <f>COUNTIF(F33:EN33,"P")</f>
        <v>27</v>
      </c>
      <c r="EP33" s="5">
        <f>COUNTIF(F33:EN33,"A")</f>
        <v>4</v>
      </c>
    </row>
    <row r="34" spans="1:146" x14ac:dyDescent="0.25">
      <c r="A34" s="6">
        <v>1</v>
      </c>
      <c r="B34" s="19">
        <v>544</v>
      </c>
      <c r="C34" s="20" t="s">
        <v>470</v>
      </c>
      <c r="D34" s="21" t="s">
        <v>471</v>
      </c>
      <c r="E34" s="10" t="s">
        <v>28</v>
      </c>
      <c r="F34" s="16" t="s">
        <v>166</v>
      </c>
      <c r="G34" s="16" t="s">
        <v>166</v>
      </c>
      <c r="H34" s="16" t="s">
        <v>165</v>
      </c>
      <c r="I34" s="16"/>
      <c r="J34" s="16" t="s">
        <v>166</v>
      </c>
      <c r="K34" s="16"/>
      <c r="L34" s="16" t="s">
        <v>166</v>
      </c>
      <c r="M34" s="16" t="s">
        <v>166</v>
      </c>
      <c r="N34" s="16" t="s">
        <v>166</v>
      </c>
      <c r="O34" s="16" t="s">
        <v>166</v>
      </c>
      <c r="P34" s="16"/>
      <c r="Q34" s="16"/>
      <c r="R34" s="16" t="s">
        <v>166</v>
      </c>
      <c r="S34" s="16" t="s">
        <v>165</v>
      </c>
      <c r="T34" s="16" t="s">
        <v>166</v>
      </c>
      <c r="U34" s="16"/>
      <c r="V34" s="16"/>
      <c r="W34" s="16"/>
      <c r="X34" s="16" t="s">
        <v>166</v>
      </c>
      <c r="Y34" s="16" t="s">
        <v>166</v>
      </c>
      <c r="Z34" s="16" t="s">
        <v>165</v>
      </c>
      <c r="AA34" s="16" t="s">
        <v>166</v>
      </c>
      <c r="AB34" s="16" t="s">
        <v>166</v>
      </c>
      <c r="AC34" s="16" t="s">
        <v>166</v>
      </c>
      <c r="AD34" s="16"/>
      <c r="AE34" s="16" t="s">
        <v>166</v>
      </c>
      <c r="AF34" s="16" t="s">
        <v>166</v>
      </c>
      <c r="AG34" s="16" t="s">
        <v>166</v>
      </c>
      <c r="AH34" s="16" t="s">
        <v>166</v>
      </c>
      <c r="AI34" s="16" t="s">
        <v>166</v>
      </c>
      <c r="AJ34" s="16" t="s">
        <v>166</v>
      </c>
      <c r="AK34" s="16"/>
      <c r="AL34" s="16" t="s">
        <v>166</v>
      </c>
      <c r="AM34" s="16"/>
      <c r="AN34" s="16" t="s">
        <v>165</v>
      </c>
      <c r="AO34" s="16" t="s">
        <v>166</v>
      </c>
      <c r="AP34" s="16" t="s">
        <v>166</v>
      </c>
      <c r="AQ34" s="16" t="s">
        <v>166</v>
      </c>
      <c r="AR34" s="16"/>
      <c r="AS34" s="16" t="s">
        <v>166</v>
      </c>
      <c r="AT34" s="16" t="s">
        <v>166</v>
      </c>
      <c r="AU34" s="16" t="s">
        <v>166</v>
      </c>
      <c r="AV34" s="16" t="s">
        <v>165</v>
      </c>
      <c r="AW34" s="16" t="s">
        <v>166</v>
      </c>
      <c r="AX34" s="16" t="s">
        <v>166</v>
      </c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5">
        <f>COUNTIF(F34:EN34,"P")</f>
        <v>29</v>
      </c>
      <c r="EP34" s="5">
        <f>COUNTIF(F34:EN34,"A")</f>
        <v>5</v>
      </c>
    </row>
    <row r="35" spans="1:146" x14ac:dyDescent="0.25">
      <c r="A35" s="17">
        <v>2</v>
      </c>
      <c r="B35" s="19">
        <v>780</v>
      </c>
      <c r="C35" s="20" t="s">
        <v>472</v>
      </c>
      <c r="D35" s="21" t="s">
        <v>473</v>
      </c>
      <c r="E35" s="10" t="s">
        <v>28</v>
      </c>
      <c r="F35" s="16" t="s">
        <v>166</v>
      </c>
      <c r="G35" s="16" t="s">
        <v>166</v>
      </c>
      <c r="H35" s="16" t="s">
        <v>166</v>
      </c>
      <c r="I35" s="16"/>
      <c r="J35" s="16" t="s">
        <v>166</v>
      </c>
      <c r="K35" s="16"/>
      <c r="L35" s="16" t="s">
        <v>166</v>
      </c>
      <c r="M35" s="16" t="s">
        <v>166</v>
      </c>
      <c r="N35" s="16" t="s">
        <v>166</v>
      </c>
      <c r="O35" s="16" t="s">
        <v>166</v>
      </c>
      <c r="P35" s="16"/>
      <c r="Q35" s="16"/>
      <c r="R35" s="16" t="s">
        <v>166</v>
      </c>
      <c r="S35" s="16" t="s">
        <v>165</v>
      </c>
      <c r="T35" s="16" t="s">
        <v>166</v>
      </c>
      <c r="U35" s="16"/>
      <c r="V35" s="16"/>
      <c r="W35" s="16"/>
      <c r="X35" s="16" t="s">
        <v>166</v>
      </c>
      <c r="Y35" s="16" t="s">
        <v>166</v>
      </c>
      <c r="Z35" s="16" t="s">
        <v>166</v>
      </c>
      <c r="AA35" s="16" t="s">
        <v>166</v>
      </c>
      <c r="AB35" s="16" t="s">
        <v>166</v>
      </c>
      <c r="AC35" s="16" t="s">
        <v>166</v>
      </c>
      <c r="AD35" s="16"/>
      <c r="AE35" s="16" t="s">
        <v>166</v>
      </c>
      <c r="AF35" s="16" t="s">
        <v>166</v>
      </c>
      <c r="AG35" s="16" t="s">
        <v>166</v>
      </c>
      <c r="AH35" s="16" t="s">
        <v>166</v>
      </c>
      <c r="AI35" s="16" t="s">
        <v>166</v>
      </c>
      <c r="AJ35" s="16" t="s">
        <v>166</v>
      </c>
      <c r="AK35" s="16"/>
      <c r="AL35" s="16" t="s">
        <v>166</v>
      </c>
      <c r="AM35" s="16"/>
      <c r="AN35" s="16" t="s">
        <v>166</v>
      </c>
      <c r="AO35" s="16" t="s">
        <v>166</v>
      </c>
      <c r="AP35" s="16" t="s">
        <v>166</v>
      </c>
      <c r="AQ35" s="16" t="s">
        <v>166</v>
      </c>
      <c r="AR35" s="16"/>
      <c r="AS35" s="16" t="s">
        <v>166</v>
      </c>
      <c r="AT35" s="16" t="s">
        <v>166</v>
      </c>
      <c r="AU35" s="16" t="s">
        <v>166</v>
      </c>
      <c r="AV35" s="16" t="s">
        <v>166</v>
      </c>
      <c r="AW35" s="16" t="s">
        <v>165</v>
      </c>
      <c r="AX35" s="16" t="s">
        <v>166</v>
      </c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5">
        <f>COUNTIF(F35:EN35,"P")</f>
        <v>32</v>
      </c>
      <c r="EP35" s="5">
        <f>COUNTIF(F35:EN35,"A")</f>
        <v>2</v>
      </c>
    </row>
    <row r="36" spans="1:146" x14ac:dyDescent="0.25">
      <c r="A36" s="6">
        <v>3</v>
      </c>
      <c r="B36" s="19">
        <v>569</v>
      </c>
      <c r="C36" s="20" t="s">
        <v>474</v>
      </c>
      <c r="D36" s="21" t="s">
        <v>475</v>
      </c>
      <c r="E36" s="10" t="s">
        <v>28</v>
      </c>
      <c r="F36" s="16" t="s">
        <v>166</v>
      </c>
      <c r="G36" s="16" t="s">
        <v>166</v>
      </c>
      <c r="H36" s="16" t="s">
        <v>166</v>
      </c>
      <c r="I36" s="16"/>
      <c r="J36" s="16" t="s">
        <v>166</v>
      </c>
      <c r="K36" s="16"/>
      <c r="L36" s="16" t="s">
        <v>166</v>
      </c>
      <c r="M36" s="16" t="s">
        <v>166</v>
      </c>
      <c r="N36" s="16" t="s">
        <v>166</v>
      </c>
      <c r="O36" s="16" t="s">
        <v>166</v>
      </c>
      <c r="P36" s="16"/>
      <c r="Q36" s="16"/>
      <c r="R36" s="16" t="s">
        <v>166</v>
      </c>
      <c r="S36" s="16" t="s">
        <v>165</v>
      </c>
      <c r="T36" s="16" t="s">
        <v>165</v>
      </c>
      <c r="U36" s="16"/>
      <c r="V36" s="16"/>
      <c r="W36" s="16"/>
      <c r="X36" s="16" t="s">
        <v>166</v>
      </c>
      <c r="Y36" s="16" t="s">
        <v>166</v>
      </c>
      <c r="Z36" s="16" t="s">
        <v>166</v>
      </c>
      <c r="AA36" s="16" t="s">
        <v>166</v>
      </c>
      <c r="AB36" s="16" t="s">
        <v>166</v>
      </c>
      <c r="AC36" s="16" t="s">
        <v>166</v>
      </c>
      <c r="AD36" s="16"/>
      <c r="AE36" s="16" t="s">
        <v>166</v>
      </c>
      <c r="AF36" s="16" t="s">
        <v>166</v>
      </c>
      <c r="AG36" s="16" t="s">
        <v>166</v>
      </c>
      <c r="AH36" s="16" t="s">
        <v>166</v>
      </c>
      <c r="AI36" s="16" t="s">
        <v>166</v>
      </c>
      <c r="AJ36" s="16" t="s">
        <v>166</v>
      </c>
      <c r="AK36" s="16"/>
      <c r="AL36" s="16" t="s">
        <v>166</v>
      </c>
      <c r="AM36" s="16"/>
      <c r="AN36" s="16" t="s">
        <v>166</v>
      </c>
      <c r="AO36" s="16" t="s">
        <v>166</v>
      </c>
      <c r="AP36" s="16" t="s">
        <v>166</v>
      </c>
      <c r="AQ36" s="16" t="s">
        <v>166</v>
      </c>
      <c r="AR36" s="16"/>
      <c r="AS36" s="16" t="s">
        <v>166</v>
      </c>
      <c r="AT36" s="16" t="s">
        <v>166</v>
      </c>
      <c r="AU36" s="16" t="s">
        <v>166</v>
      </c>
      <c r="AV36" s="16" t="s">
        <v>166</v>
      </c>
      <c r="AW36" s="16" t="s">
        <v>166</v>
      </c>
      <c r="AX36" s="16" t="s">
        <v>166</v>
      </c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5">
        <f>COUNTIF(F36:EN36,"P")</f>
        <v>32</v>
      </c>
      <c r="EP36" s="5">
        <f>COUNTIF(F36:EN36,"A")</f>
        <v>2</v>
      </c>
    </row>
    <row r="37" spans="1:146" x14ac:dyDescent="0.25">
      <c r="A37" s="17">
        <v>4</v>
      </c>
      <c r="B37" s="19">
        <v>582</v>
      </c>
      <c r="C37" s="20" t="s">
        <v>133</v>
      </c>
      <c r="D37" s="21" t="s">
        <v>476</v>
      </c>
      <c r="E37" s="10" t="s">
        <v>28</v>
      </c>
      <c r="F37" s="16" t="s">
        <v>166</v>
      </c>
      <c r="G37" s="16" t="s">
        <v>166</v>
      </c>
      <c r="H37" s="16" t="s">
        <v>166</v>
      </c>
      <c r="I37" s="16"/>
      <c r="J37" s="16" t="s">
        <v>166</v>
      </c>
      <c r="K37" s="16"/>
      <c r="L37" s="16" t="s">
        <v>166</v>
      </c>
      <c r="M37" s="16" t="s">
        <v>166</v>
      </c>
      <c r="N37" s="16" t="s">
        <v>166</v>
      </c>
      <c r="O37" s="16" t="s">
        <v>166</v>
      </c>
      <c r="P37" s="16"/>
      <c r="Q37" s="16"/>
      <c r="R37" s="16" t="s">
        <v>166</v>
      </c>
      <c r="S37" s="16" t="s">
        <v>165</v>
      </c>
      <c r="T37" s="16" t="s">
        <v>166</v>
      </c>
      <c r="U37" s="16"/>
      <c r="V37" s="16"/>
      <c r="W37" s="16"/>
      <c r="X37" s="16" t="s">
        <v>166</v>
      </c>
      <c r="Y37" s="16" t="s">
        <v>166</v>
      </c>
      <c r="Z37" s="16" t="s">
        <v>166</v>
      </c>
      <c r="AA37" s="16" t="s">
        <v>166</v>
      </c>
      <c r="AB37" s="16" t="s">
        <v>166</v>
      </c>
      <c r="AC37" s="16" t="s">
        <v>166</v>
      </c>
      <c r="AD37" s="16"/>
      <c r="AE37" s="16" t="s">
        <v>166</v>
      </c>
      <c r="AF37" s="16" t="s">
        <v>166</v>
      </c>
      <c r="AG37" s="16" t="s">
        <v>166</v>
      </c>
      <c r="AH37" s="16" t="s">
        <v>166</v>
      </c>
      <c r="AI37" s="16" t="s">
        <v>166</v>
      </c>
      <c r="AJ37" s="16" t="s">
        <v>166</v>
      </c>
      <c r="AK37" s="16"/>
      <c r="AL37" s="16" t="s">
        <v>165</v>
      </c>
      <c r="AM37" s="16"/>
      <c r="AN37" s="16" t="s">
        <v>166</v>
      </c>
      <c r="AO37" s="16" t="s">
        <v>166</v>
      </c>
      <c r="AP37" s="16" t="s">
        <v>166</v>
      </c>
      <c r="AQ37" s="16" t="s">
        <v>166</v>
      </c>
      <c r="AR37" s="16"/>
      <c r="AS37" s="16" t="s">
        <v>166</v>
      </c>
      <c r="AT37" s="16" t="s">
        <v>165</v>
      </c>
      <c r="AU37" s="16" t="s">
        <v>166</v>
      </c>
      <c r="AV37" s="16" t="s">
        <v>166</v>
      </c>
      <c r="AW37" s="16" t="s">
        <v>166</v>
      </c>
      <c r="AX37" s="16" t="s">
        <v>165</v>
      </c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5">
        <f>COUNTIF(F37:EN37,"P")</f>
        <v>30</v>
      </c>
      <c r="EP37" s="5">
        <f>COUNTIF(F37:EN37,"A")</f>
        <v>4</v>
      </c>
    </row>
    <row r="38" spans="1:146" x14ac:dyDescent="0.25">
      <c r="A38" s="6">
        <v>5</v>
      </c>
      <c r="B38" s="19">
        <v>574</v>
      </c>
      <c r="C38" s="20" t="s">
        <v>477</v>
      </c>
      <c r="D38" s="21" t="s">
        <v>478</v>
      </c>
      <c r="E38" s="10" t="s">
        <v>28</v>
      </c>
      <c r="F38" s="16" t="s">
        <v>166</v>
      </c>
      <c r="G38" s="16" t="s">
        <v>166</v>
      </c>
      <c r="H38" s="16" t="s">
        <v>166</v>
      </c>
      <c r="I38" s="16"/>
      <c r="J38" s="16" t="s">
        <v>166</v>
      </c>
      <c r="K38" s="16"/>
      <c r="L38" s="16" t="s">
        <v>166</v>
      </c>
      <c r="M38" s="16" t="s">
        <v>165</v>
      </c>
      <c r="N38" s="16" t="s">
        <v>166</v>
      </c>
      <c r="O38" s="16" t="s">
        <v>166</v>
      </c>
      <c r="P38" s="16"/>
      <c r="Q38" s="16"/>
      <c r="R38" s="16" t="s">
        <v>166</v>
      </c>
      <c r="S38" s="16" t="s">
        <v>165</v>
      </c>
      <c r="T38" s="16" t="s">
        <v>166</v>
      </c>
      <c r="U38" s="16"/>
      <c r="V38" s="16"/>
      <c r="W38" s="16"/>
      <c r="X38" s="16" t="s">
        <v>166</v>
      </c>
      <c r="Y38" s="16" t="s">
        <v>166</v>
      </c>
      <c r="Z38" s="16" t="s">
        <v>166</v>
      </c>
      <c r="AA38" s="16" t="s">
        <v>166</v>
      </c>
      <c r="AB38" s="16" t="s">
        <v>166</v>
      </c>
      <c r="AC38" s="16" t="s">
        <v>166</v>
      </c>
      <c r="AD38" s="16"/>
      <c r="AE38" s="16" t="s">
        <v>166</v>
      </c>
      <c r="AF38" s="16" t="s">
        <v>165</v>
      </c>
      <c r="AG38" s="16" t="s">
        <v>166</v>
      </c>
      <c r="AH38" s="16" t="s">
        <v>166</v>
      </c>
      <c r="AI38" s="16" t="s">
        <v>166</v>
      </c>
      <c r="AJ38" s="16" t="s">
        <v>166</v>
      </c>
      <c r="AK38" s="16"/>
      <c r="AL38" s="16" t="s">
        <v>165</v>
      </c>
      <c r="AM38" s="16"/>
      <c r="AN38" s="16" t="s">
        <v>166</v>
      </c>
      <c r="AO38" s="16" t="s">
        <v>166</v>
      </c>
      <c r="AP38" s="16" t="s">
        <v>166</v>
      </c>
      <c r="AQ38" s="16" t="s">
        <v>166</v>
      </c>
      <c r="AR38" s="16"/>
      <c r="AS38" s="16" t="s">
        <v>166</v>
      </c>
      <c r="AT38" s="16" t="s">
        <v>166</v>
      </c>
      <c r="AU38" s="16" t="s">
        <v>166</v>
      </c>
      <c r="AV38" s="16" t="s">
        <v>166</v>
      </c>
      <c r="AW38" s="16" t="s">
        <v>166</v>
      </c>
      <c r="AX38" s="16" t="s">
        <v>166</v>
      </c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5">
        <f>COUNTIF(F38:EN38,"P")</f>
        <v>30</v>
      </c>
      <c r="EP38" s="5">
        <f>COUNTIF(F38:EN38,"A")</f>
        <v>4</v>
      </c>
    </row>
    <row r="39" spans="1:146" x14ac:dyDescent="0.25">
      <c r="A39" s="17">
        <v>6</v>
      </c>
      <c r="B39" s="19">
        <v>571</v>
      </c>
      <c r="C39" s="20" t="s">
        <v>479</v>
      </c>
      <c r="D39" s="21" t="s">
        <v>480</v>
      </c>
      <c r="E39" s="10" t="s">
        <v>28</v>
      </c>
      <c r="F39" s="16" t="s">
        <v>166</v>
      </c>
      <c r="G39" s="16" t="s">
        <v>166</v>
      </c>
      <c r="H39" s="16" t="s">
        <v>166</v>
      </c>
      <c r="I39" s="16"/>
      <c r="J39" s="16" t="s">
        <v>166</v>
      </c>
      <c r="K39" s="16"/>
      <c r="L39" s="16" t="s">
        <v>165</v>
      </c>
      <c r="M39" s="16" t="s">
        <v>166</v>
      </c>
      <c r="N39" s="16" t="s">
        <v>166</v>
      </c>
      <c r="O39" s="16" t="s">
        <v>166</v>
      </c>
      <c r="P39" s="16"/>
      <c r="Q39" s="16"/>
      <c r="R39" s="16" t="s">
        <v>165</v>
      </c>
      <c r="S39" s="16" t="s">
        <v>166</v>
      </c>
      <c r="T39" s="16" t="s">
        <v>165</v>
      </c>
      <c r="U39" s="16"/>
      <c r="V39" s="16"/>
      <c r="W39" s="16"/>
      <c r="X39" s="16" t="s">
        <v>166</v>
      </c>
      <c r="Y39" s="16" t="s">
        <v>166</v>
      </c>
      <c r="Z39" s="16" t="s">
        <v>166</v>
      </c>
      <c r="AA39" s="16" t="s">
        <v>166</v>
      </c>
      <c r="AB39" s="16" t="s">
        <v>166</v>
      </c>
      <c r="AC39" s="16" t="s">
        <v>166</v>
      </c>
      <c r="AD39" s="16"/>
      <c r="AE39" s="16" t="s">
        <v>166</v>
      </c>
      <c r="AF39" s="16" t="s">
        <v>166</v>
      </c>
      <c r="AG39" s="16" t="s">
        <v>165</v>
      </c>
      <c r="AH39" s="16" t="s">
        <v>166</v>
      </c>
      <c r="AI39" s="16" t="s">
        <v>166</v>
      </c>
      <c r="AJ39" s="16" t="s">
        <v>166</v>
      </c>
      <c r="AK39" s="16"/>
      <c r="AL39" s="16" t="s">
        <v>165</v>
      </c>
      <c r="AM39" s="16"/>
      <c r="AN39" s="16" t="s">
        <v>166</v>
      </c>
      <c r="AO39" s="16" t="s">
        <v>166</v>
      </c>
      <c r="AP39" s="16" t="s">
        <v>166</v>
      </c>
      <c r="AQ39" s="16" t="s">
        <v>166</v>
      </c>
      <c r="AR39" s="16"/>
      <c r="AS39" s="16" t="s">
        <v>166</v>
      </c>
      <c r="AT39" s="16" t="s">
        <v>166</v>
      </c>
      <c r="AU39" s="16" t="s">
        <v>166</v>
      </c>
      <c r="AV39" s="16" t="s">
        <v>166</v>
      </c>
      <c r="AW39" s="16" t="s">
        <v>166</v>
      </c>
      <c r="AX39" s="16" t="s">
        <v>166</v>
      </c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5">
        <f>COUNTIF(F39:EN39,"P")</f>
        <v>29</v>
      </c>
      <c r="EP39" s="5">
        <f>COUNTIF(F39:EN39,"A")</f>
        <v>5</v>
      </c>
    </row>
    <row r="40" spans="1:146" x14ac:dyDescent="0.25">
      <c r="A40" s="6">
        <v>7</v>
      </c>
      <c r="B40" s="19">
        <v>526</v>
      </c>
      <c r="C40" s="20" t="s">
        <v>481</v>
      </c>
      <c r="D40" s="21" t="s">
        <v>332</v>
      </c>
      <c r="E40" s="10" t="s">
        <v>28</v>
      </c>
      <c r="F40" s="16" t="s">
        <v>166</v>
      </c>
      <c r="G40" s="16" t="s">
        <v>166</v>
      </c>
      <c r="H40" s="16" t="s">
        <v>166</v>
      </c>
      <c r="I40" s="16"/>
      <c r="J40" s="16" t="s">
        <v>166</v>
      </c>
      <c r="K40" s="16"/>
      <c r="L40" s="16" t="s">
        <v>166</v>
      </c>
      <c r="M40" s="16" t="s">
        <v>166</v>
      </c>
      <c r="N40" s="16" t="s">
        <v>166</v>
      </c>
      <c r="O40" s="16" t="s">
        <v>166</v>
      </c>
      <c r="P40" s="16"/>
      <c r="Q40" s="16"/>
      <c r="R40" s="16" t="s">
        <v>166</v>
      </c>
      <c r="S40" s="16" t="s">
        <v>166</v>
      </c>
      <c r="T40" s="16" t="s">
        <v>166</v>
      </c>
      <c r="U40" s="16"/>
      <c r="V40" s="16"/>
      <c r="W40" s="16"/>
      <c r="X40" s="16" t="s">
        <v>166</v>
      </c>
      <c r="Y40" s="16" t="s">
        <v>166</v>
      </c>
      <c r="Z40" s="16" t="s">
        <v>166</v>
      </c>
      <c r="AA40" s="16" t="s">
        <v>166</v>
      </c>
      <c r="AB40" s="16" t="s">
        <v>166</v>
      </c>
      <c r="AC40" s="16" t="s">
        <v>166</v>
      </c>
      <c r="AD40" s="16"/>
      <c r="AE40" s="16" t="s">
        <v>166</v>
      </c>
      <c r="AF40" s="16" t="s">
        <v>166</v>
      </c>
      <c r="AG40" s="16" t="s">
        <v>166</v>
      </c>
      <c r="AH40" s="16" t="s">
        <v>166</v>
      </c>
      <c r="AI40" s="16" t="s">
        <v>166</v>
      </c>
      <c r="AJ40" s="16" t="s">
        <v>166</v>
      </c>
      <c r="AK40" s="16"/>
      <c r="AL40" s="16" t="s">
        <v>166</v>
      </c>
      <c r="AM40" s="16"/>
      <c r="AN40" s="16" t="s">
        <v>166</v>
      </c>
      <c r="AO40" s="16" t="s">
        <v>166</v>
      </c>
      <c r="AP40" s="16" t="s">
        <v>171</v>
      </c>
      <c r="AQ40" s="16" t="s">
        <v>166</v>
      </c>
      <c r="AR40" s="16"/>
      <c r="AS40" s="16" t="s">
        <v>166</v>
      </c>
      <c r="AT40" s="16" t="s">
        <v>166</v>
      </c>
      <c r="AU40" s="16" t="s">
        <v>166</v>
      </c>
      <c r="AV40" s="16" t="s">
        <v>166</v>
      </c>
      <c r="AW40" s="16" t="s">
        <v>166</v>
      </c>
      <c r="AX40" s="16" t="s">
        <v>166</v>
      </c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5">
        <f>COUNTIF(F40:EN40,"P")</f>
        <v>33</v>
      </c>
      <c r="EP40" s="5">
        <f>COUNTIF(F40:EN40,"A")</f>
        <v>0</v>
      </c>
    </row>
    <row r="41" spans="1:146" x14ac:dyDescent="0.25">
      <c r="A41" s="17">
        <v>8</v>
      </c>
      <c r="B41" s="19">
        <v>537</v>
      </c>
      <c r="C41" s="20" t="s">
        <v>482</v>
      </c>
      <c r="D41" s="21" t="s">
        <v>483</v>
      </c>
      <c r="E41" s="10" t="s">
        <v>28</v>
      </c>
      <c r="F41" s="16" t="s">
        <v>166</v>
      </c>
      <c r="G41" s="16" t="s">
        <v>166</v>
      </c>
      <c r="H41" s="16" t="s">
        <v>166</v>
      </c>
      <c r="I41" s="16"/>
      <c r="J41" s="16" t="s">
        <v>166</v>
      </c>
      <c r="K41" s="16"/>
      <c r="L41" s="16" t="s">
        <v>166</v>
      </c>
      <c r="M41" s="16" t="s">
        <v>166</v>
      </c>
      <c r="N41" s="16" t="s">
        <v>166</v>
      </c>
      <c r="O41" s="16" t="s">
        <v>166</v>
      </c>
      <c r="P41" s="16"/>
      <c r="Q41" s="16"/>
      <c r="R41" s="16" t="s">
        <v>166</v>
      </c>
      <c r="S41" s="16" t="s">
        <v>166</v>
      </c>
      <c r="T41" s="16" t="s">
        <v>165</v>
      </c>
      <c r="U41" s="16"/>
      <c r="V41" s="16"/>
      <c r="W41" s="16"/>
      <c r="X41" s="16" t="s">
        <v>166</v>
      </c>
      <c r="Y41" s="16" t="s">
        <v>166</v>
      </c>
      <c r="Z41" s="16" t="s">
        <v>166</v>
      </c>
      <c r="AA41" s="16" t="s">
        <v>165</v>
      </c>
      <c r="AB41" s="16" t="s">
        <v>166</v>
      </c>
      <c r="AC41" s="16" t="s">
        <v>166</v>
      </c>
      <c r="AD41" s="16"/>
      <c r="AE41" s="16" t="s">
        <v>166</v>
      </c>
      <c r="AF41" s="16" t="s">
        <v>166</v>
      </c>
      <c r="AG41" s="16" t="s">
        <v>166</v>
      </c>
      <c r="AH41" s="16" t="s">
        <v>166</v>
      </c>
      <c r="AI41" s="16" t="s">
        <v>166</v>
      </c>
      <c r="AJ41" s="16" t="s">
        <v>166</v>
      </c>
      <c r="AK41" s="16"/>
      <c r="AL41" s="16" t="s">
        <v>165</v>
      </c>
      <c r="AM41" s="16"/>
      <c r="AN41" s="16" t="s">
        <v>166</v>
      </c>
      <c r="AO41" s="16" t="s">
        <v>166</v>
      </c>
      <c r="AP41" s="16" t="s">
        <v>166</v>
      </c>
      <c r="AQ41" s="16" t="s">
        <v>166</v>
      </c>
      <c r="AR41" s="16"/>
      <c r="AS41" s="16" t="s">
        <v>166</v>
      </c>
      <c r="AT41" s="16" t="s">
        <v>166</v>
      </c>
      <c r="AU41" s="16" t="s">
        <v>166</v>
      </c>
      <c r="AV41" s="16" t="s">
        <v>166</v>
      </c>
      <c r="AW41" s="16" t="s">
        <v>166</v>
      </c>
      <c r="AX41" s="16" t="s">
        <v>166</v>
      </c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5">
        <f>COUNTIF(F41:EN41,"P")</f>
        <v>31</v>
      </c>
      <c r="EP41" s="5">
        <f>COUNTIF(F41:EN41,"A")</f>
        <v>3</v>
      </c>
    </row>
    <row r="42" spans="1:146" x14ac:dyDescent="0.25">
      <c r="A42" s="6">
        <v>9</v>
      </c>
      <c r="B42" s="19">
        <v>584</v>
      </c>
      <c r="C42" s="20" t="s">
        <v>379</v>
      </c>
      <c r="D42" s="21" t="s">
        <v>392</v>
      </c>
      <c r="E42" s="10" t="s">
        <v>28</v>
      </c>
      <c r="F42" s="16" t="s">
        <v>166</v>
      </c>
      <c r="G42" s="16" t="s">
        <v>166</v>
      </c>
      <c r="H42" s="16" t="s">
        <v>166</v>
      </c>
      <c r="I42" s="16"/>
      <c r="J42" s="16" t="s">
        <v>166</v>
      </c>
      <c r="K42" s="16"/>
      <c r="L42" s="16" t="s">
        <v>166</v>
      </c>
      <c r="M42" s="16" t="s">
        <v>166</v>
      </c>
      <c r="N42" s="16" t="s">
        <v>166</v>
      </c>
      <c r="O42" s="16" t="s">
        <v>166</v>
      </c>
      <c r="P42" s="16"/>
      <c r="Q42" s="16"/>
      <c r="R42" s="16" t="s">
        <v>166</v>
      </c>
      <c r="S42" s="16" t="s">
        <v>165</v>
      </c>
      <c r="T42" s="16" t="s">
        <v>166</v>
      </c>
      <c r="U42" s="16"/>
      <c r="V42" s="16"/>
      <c r="W42" s="16"/>
      <c r="X42" s="16" t="s">
        <v>166</v>
      </c>
      <c r="Y42" s="16" t="s">
        <v>166</v>
      </c>
      <c r="Z42" s="16" t="s">
        <v>166</v>
      </c>
      <c r="AA42" s="16" t="s">
        <v>166</v>
      </c>
      <c r="AB42" s="16" t="s">
        <v>166</v>
      </c>
      <c r="AC42" s="16" t="s">
        <v>166</v>
      </c>
      <c r="AD42" s="16"/>
      <c r="AE42" s="16" t="s">
        <v>166</v>
      </c>
      <c r="AF42" s="16" t="s">
        <v>166</v>
      </c>
      <c r="AG42" s="16" t="s">
        <v>166</v>
      </c>
      <c r="AH42" s="16" t="s">
        <v>166</v>
      </c>
      <c r="AI42" s="16" t="s">
        <v>166</v>
      </c>
      <c r="AJ42" s="16" t="s">
        <v>166</v>
      </c>
      <c r="AK42" s="16"/>
      <c r="AL42" s="16" t="s">
        <v>166</v>
      </c>
      <c r="AM42" s="16"/>
      <c r="AN42" s="16" t="s">
        <v>165</v>
      </c>
      <c r="AO42" s="16" t="s">
        <v>166</v>
      </c>
      <c r="AP42" s="16" t="s">
        <v>166</v>
      </c>
      <c r="AQ42" s="16" t="s">
        <v>165</v>
      </c>
      <c r="AR42" s="16"/>
      <c r="AS42" s="16" t="s">
        <v>166</v>
      </c>
      <c r="AT42" s="16" t="s">
        <v>166</v>
      </c>
      <c r="AU42" s="16" t="s">
        <v>166</v>
      </c>
      <c r="AV42" s="16" t="s">
        <v>166</v>
      </c>
      <c r="AW42" s="16" t="s">
        <v>166</v>
      </c>
      <c r="AX42" s="16" t="s">
        <v>166</v>
      </c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5">
        <f>COUNTIF(F42:EN42,"P")</f>
        <v>31</v>
      </c>
      <c r="EP42" s="5">
        <f>COUNTIF(F42:EN42,"A")</f>
        <v>3</v>
      </c>
    </row>
    <row r="43" spans="1:146" x14ac:dyDescent="0.25">
      <c r="A43" s="17">
        <v>10</v>
      </c>
      <c r="B43" s="19">
        <v>520</v>
      </c>
      <c r="C43" s="20" t="s">
        <v>379</v>
      </c>
      <c r="D43" s="21" t="s">
        <v>484</v>
      </c>
      <c r="E43" s="10" t="s">
        <v>28</v>
      </c>
      <c r="F43" s="16" t="s">
        <v>165</v>
      </c>
      <c r="G43" s="16" t="s">
        <v>165</v>
      </c>
      <c r="H43" s="16" t="s">
        <v>165</v>
      </c>
      <c r="I43" s="16"/>
      <c r="J43" s="16" t="s">
        <v>166</v>
      </c>
      <c r="K43" s="16"/>
      <c r="L43" s="16" t="s">
        <v>166</v>
      </c>
      <c r="M43" s="16" t="s">
        <v>166</v>
      </c>
      <c r="N43" s="16" t="s">
        <v>166</v>
      </c>
      <c r="O43" s="16" t="s">
        <v>165</v>
      </c>
      <c r="P43" s="16"/>
      <c r="Q43" s="16"/>
      <c r="R43" s="16" t="s">
        <v>165</v>
      </c>
      <c r="S43" s="16" t="s">
        <v>165</v>
      </c>
      <c r="T43" s="16" t="s">
        <v>166</v>
      </c>
      <c r="U43" s="16"/>
      <c r="V43" s="16"/>
      <c r="W43" s="16"/>
      <c r="X43" s="16" t="s">
        <v>166</v>
      </c>
      <c r="Y43" s="16" t="s">
        <v>165</v>
      </c>
      <c r="Z43" s="16" t="s">
        <v>166</v>
      </c>
      <c r="AA43" s="16" t="s">
        <v>166</v>
      </c>
      <c r="AB43" s="16" t="s">
        <v>166</v>
      </c>
      <c r="AC43" s="16" t="s">
        <v>166</v>
      </c>
      <c r="AD43" s="16"/>
      <c r="AE43" s="16" t="s">
        <v>166</v>
      </c>
      <c r="AF43" s="16" t="s">
        <v>166</v>
      </c>
      <c r="AG43" s="16" t="s">
        <v>166</v>
      </c>
      <c r="AH43" s="16" t="s">
        <v>166</v>
      </c>
      <c r="AI43" s="16" t="s">
        <v>166</v>
      </c>
      <c r="AJ43" s="16" t="s">
        <v>165</v>
      </c>
      <c r="AK43" s="16"/>
      <c r="AL43" s="16" t="s">
        <v>166</v>
      </c>
      <c r="AM43" s="16"/>
      <c r="AN43" s="16" t="s">
        <v>165</v>
      </c>
      <c r="AO43" s="16" t="s">
        <v>166</v>
      </c>
      <c r="AP43" s="16" t="s">
        <v>166</v>
      </c>
      <c r="AQ43" s="16" t="s">
        <v>165</v>
      </c>
      <c r="AR43" s="16"/>
      <c r="AS43" s="16" t="s">
        <v>166</v>
      </c>
      <c r="AT43" s="16" t="s">
        <v>166</v>
      </c>
      <c r="AU43" s="16" t="s">
        <v>166</v>
      </c>
      <c r="AV43" s="16" t="s">
        <v>165</v>
      </c>
      <c r="AW43" s="16" t="s">
        <v>166</v>
      </c>
      <c r="AX43" s="16" t="s">
        <v>166</v>
      </c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5">
        <f>COUNTIF(F43:EN43,"P")</f>
        <v>23</v>
      </c>
      <c r="EP43" s="5">
        <f>COUNTIF(F43:EN43,"A")</f>
        <v>11</v>
      </c>
    </row>
    <row r="44" spans="1:146" x14ac:dyDescent="0.25">
      <c r="A44" s="6">
        <v>11</v>
      </c>
      <c r="B44" s="19">
        <v>570</v>
      </c>
      <c r="C44" s="20" t="s">
        <v>485</v>
      </c>
      <c r="D44" s="21" t="s">
        <v>174</v>
      </c>
      <c r="E44" s="10" t="s">
        <v>28</v>
      </c>
      <c r="F44" s="16" t="s">
        <v>165</v>
      </c>
      <c r="G44" s="16" t="s">
        <v>165</v>
      </c>
      <c r="H44" s="16" t="s">
        <v>165</v>
      </c>
      <c r="I44" s="16"/>
      <c r="J44" s="16" t="s">
        <v>165</v>
      </c>
      <c r="K44" s="16"/>
      <c r="L44" s="16" t="s">
        <v>165</v>
      </c>
      <c r="M44" s="16" t="s">
        <v>165</v>
      </c>
      <c r="N44" s="16" t="s">
        <v>165</v>
      </c>
      <c r="O44" s="16" t="s">
        <v>165</v>
      </c>
      <c r="P44" s="16"/>
      <c r="Q44" s="16"/>
      <c r="R44" s="16" t="s">
        <v>165</v>
      </c>
      <c r="S44" s="16" t="s">
        <v>165</v>
      </c>
      <c r="T44" s="16" t="s">
        <v>165</v>
      </c>
      <c r="U44" s="16"/>
      <c r="V44" s="16"/>
      <c r="W44" s="16"/>
      <c r="X44" s="16" t="s">
        <v>165</v>
      </c>
      <c r="Y44" s="16" t="s">
        <v>165</v>
      </c>
      <c r="Z44" s="16" t="s">
        <v>165</v>
      </c>
      <c r="AA44" s="16" t="s">
        <v>165</v>
      </c>
      <c r="AB44" s="16" t="s">
        <v>165</v>
      </c>
      <c r="AC44" s="16" t="s">
        <v>165</v>
      </c>
      <c r="AD44" s="16"/>
      <c r="AE44" s="16" t="s">
        <v>165</v>
      </c>
      <c r="AF44" s="16" t="s">
        <v>165</v>
      </c>
      <c r="AG44" s="16" t="s">
        <v>165</v>
      </c>
      <c r="AH44" s="16" t="s">
        <v>165</v>
      </c>
      <c r="AI44" s="16" t="s">
        <v>165</v>
      </c>
      <c r="AJ44" s="16" t="s">
        <v>165</v>
      </c>
      <c r="AK44" s="16"/>
      <c r="AL44" s="16" t="s">
        <v>165</v>
      </c>
      <c r="AM44" s="16"/>
      <c r="AN44" s="16" t="s">
        <v>165</v>
      </c>
      <c r="AO44" s="16" t="s">
        <v>165</v>
      </c>
      <c r="AP44" s="16" t="s">
        <v>165</v>
      </c>
      <c r="AQ44" s="16" t="s">
        <v>165</v>
      </c>
      <c r="AR44" s="16"/>
      <c r="AS44" s="16" t="s">
        <v>165</v>
      </c>
      <c r="AT44" s="16" t="s">
        <v>165</v>
      </c>
      <c r="AU44" s="16" t="s">
        <v>165</v>
      </c>
      <c r="AV44" s="16" t="s">
        <v>165</v>
      </c>
      <c r="AW44" s="16" t="s">
        <v>165</v>
      </c>
      <c r="AX44" s="16" t="s">
        <v>165</v>
      </c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5">
        <f>COUNTIF(F44:EN44,"P")</f>
        <v>0</v>
      </c>
      <c r="EP44" s="5">
        <f>COUNTIF(F44:EN44,"A")</f>
        <v>34</v>
      </c>
    </row>
    <row r="45" spans="1:146" x14ac:dyDescent="0.25">
      <c r="A45" s="17">
        <v>12</v>
      </c>
      <c r="B45" s="19">
        <v>687</v>
      </c>
      <c r="C45" s="20" t="s">
        <v>486</v>
      </c>
      <c r="D45" s="21" t="s">
        <v>487</v>
      </c>
      <c r="E45" s="10" t="s">
        <v>28</v>
      </c>
      <c r="F45" s="16" t="s">
        <v>166</v>
      </c>
      <c r="G45" s="16" t="s">
        <v>166</v>
      </c>
      <c r="H45" s="16" t="s">
        <v>166</v>
      </c>
      <c r="I45" s="16"/>
      <c r="J45" s="16" t="s">
        <v>166</v>
      </c>
      <c r="K45" s="16"/>
      <c r="L45" s="16" t="s">
        <v>166</v>
      </c>
      <c r="M45" s="16" t="s">
        <v>166</v>
      </c>
      <c r="N45" s="16" t="s">
        <v>166</v>
      </c>
      <c r="O45" s="16" t="s">
        <v>166</v>
      </c>
      <c r="P45" s="16"/>
      <c r="Q45" s="16"/>
      <c r="R45" s="16" t="s">
        <v>166</v>
      </c>
      <c r="S45" s="16" t="s">
        <v>166</v>
      </c>
      <c r="T45" s="16" t="s">
        <v>166</v>
      </c>
      <c r="U45" s="16"/>
      <c r="V45" s="16"/>
      <c r="W45" s="16"/>
      <c r="X45" s="16" t="s">
        <v>166</v>
      </c>
      <c r="Y45" s="16" t="s">
        <v>166</v>
      </c>
      <c r="Z45" s="16" t="s">
        <v>166</v>
      </c>
      <c r="AA45" s="16" t="s">
        <v>166</v>
      </c>
      <c r="AB45" s="16" t="s">
        <v>166</v>
      </c>
      <c r="AC45" s="16" t="s">
        <v>166</v>
      </c>
      <c r="AD45" s="16"/>
      <c r="AE45" s="16" t="s">
        <v>166</v>
      </c>
      <c r="AF45" s="16" t="s">
        <v>166</v>
      </c>
      <c r="AG45" s="16" t="s">
        <v>166</v>
      </c>
      <c r="AH45" s="16" t="s">
        <v>166</v>
      </c>
      <c r="AI45" s="16" t="s">
        <v>166</v>
      </c>
      <c r="AJ45" s="16" t="s">
        <v>166</v>
      </c>
      <c r="AK45" s="16"/>
      <c r="AL45" s="16" t="s">
        <v>166</v>
      </c>
      <c r="AM45" s="16"/>
      <c r="AN45" s="16" t="s">
        <v>166</v>
      </c>
      <c r="AO45" s="16" t="s">
        <v>166</v>
      </c>
      <c r="AP45" s="16" t="s">
        <v>166</v>
      </c>
      <c r="AQ45" s="16" t="s">
        <v>166</v>
      </c>
      <c r="AR45" s="16"/>
      <c r="AS45" s="16" t="s">
        <v>166</v>
      </c>
      <c r="AT45" s="16" t="s">
        <v>166</v>
      </c>
      <c r="AU45" s="16" t="s">
        <v>166</v>
      </c>
      <c r="AV45" s="16" t="s">
        <v>166</v>
      </c>
      <c r="AW45" s="16" t="s">
        <v>166</v>
      </c>
      <c r="AX45" s="16" t="s">
        <v>165</v>
      </c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5">
        <f>COUNTIF(F45:EN45,"P")</f>
        <v>33</v>
      </c>
      <c r="EP45" s="5">
        <f>COUNTIF(F45:EN45,"A")</f>
        <v>1</v>
      </c>
    </row>
    <row r="46" spans="1:146" x14ac:dyDescent="0.25">
      <c r="A46" s="6">
        <v>13</v>
      </c>
      <c r="B46" s="19">
        <v>581</v>
      </c>
      <c r="C46" s="20" t="s">
        <v>488</v>
      </c>
      <c r="D46" s="21" t="s">
        <v>211</v>
      </c>
      <c r="E46" s="10" t="s">
        <v>28</v>
      </c>
      <c r="F46" s="16" t="s">
        <v>166</v>
      </c>
      <c r="G46" s="16" t="s">
        <v>166</v>
      </c>
      <c r="H46" s="16" t="s">
        <v>166</v>
      </c>
      <c r="I46" s="16"/>
      <c r="J46" s="16" t="s">
        <v>166</v>
      </c>
      <c r="K46" s="16"/>
      <c r="L46" s="16" t="s">
        <v>166</v>
      </c>
      <c r="M46" s="16" t="s">
        <v>166</v>
      </c>
      <c r="N46" s="16" t="s">
        <v>166</v>
      </c>
      <c r="O46" s="16" t="s">
        <v>166</v>
      </c>
      <c r="P46" s="16"/>
      <c r="Q46" s="16"/>
      <c r="R46" s="16" t="s">
        <v>166</v>
      </c>
      <c r="S46" s="16" t="s">
        <v>165</v>
      </c>
      <c r="T46" s="16" t="s">
        <v>165</v>
      </c>
      <c r="U46" s="16"/>
      <c r="V46" s="16"/>
      <c r="W46" s="16"/>
      <c r="X46" s="16" t="s">
        <v>166</v>
      </c>
      <c r="Y46" s="16" t="s">
        <v>166</v>
      </c>
      <c r="Z46" s="16" t="s">
        <v>166</v>
      </c>
      <c r="AA46" s="16" t="s">
        <v>165</v>
      </c>
      <c r="AB46" s="16" t="s">
        <v>166</v>
      </c>
      <c r="AC46" s="16" t="s">
        <v>166</v>
      </c>
      <c r="AD46" s="16"/>
      <c r="AE46" s="16" t="s">
        <v>166</v>
      </c>
      <c r="AF46" s="16" t="s">
        <v>166</v>
      </c>
      <c r="AG46" s="16" t="s">
        <v>166</v>
      </c>
      <c r="AH46" s="16" t="s">
        <v>166</v>
      </c>
      <c r="AI46" s="16" t="s">
        <v>166</v>
      </c>
      <c r="AJ46" s="16" t="s">
        <v>166</v>
      </c>
      <c r="AK46" s="16"/>
      <c r="AL46" s="16" t="s">
        <v>165</v>
      </c>
      <c r="AM46" s="16"/>
      <c r="AN46" s="16" t="s">
        <v>166</v>
      </c>
      <c r="AO46" s="16" t="s">
        <v>166</v>
      </c>
      <c r="AP46" s="16" t="s">
        <v>166</v>
      </c>
      <c r="AQ46" s="16" t="s">
        <v>166</v>
      </c>
      <c r="AR46" s="16"/>
      <c r="AS46" s="16" t="s">
        <v>165</v>
      </c>
      <c r="AT46" s="16" t="s">
        <v>166</v>
      </c>
      <c r="AU46" s="16" t="s">
        <v>166</v>
      </c>
      <c r="AV46" s="16" t="s">
        <v>166</v>
      </c>
      <c r="AW46" s="16" t="s">
        <v>166</v>
      </c>
      <c r="AX46" s="16" t="s">
        <v>166</v>
      </c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5">
        <f>COUNTIF(F46:EN46,"P")</f>
        <v>29</v>
      </c>
      <c r="EP46" s="5">
        <f>COUNTIF(F46:EN46,"A")</f>
        <v>5</v>
      </c>
    </row>
    <row r="47" spans="1:146" x14ac:dyDescent="0.25">
      <c r="A47" s="17">
        <v>14</v>
      </c>
      <c r="B47" s="19">
        <v>588</v>
      </c>
      <c r="C47" s="20" t="s">
        <v>489</v>
      </c>
      <c r="D47" s="21" t="s">
        <v>490</v>
      </c>
      <c r="E47" s="10" t="s">
        <v>28</v>
      </c>
      <c r="F47" s="16" t="s">
        <v>166</v>
      </c>
      <c r="G47" s="16" t="s">
        <v>166</v>
      </c>
      <c r="H47" s="16" t="s">
        <v>166</v>
      </c>
      <c r="I47" s="16"/>
      <c r="J47" s="16" t="s">
        <v>166</v>
      </c>
      <c r="K47" s="16"/>
      <c r="L47" s="16" t="s">
        <v>166</v>
      </c>
      <c r="M47" s="16" t="s">
        <v>166</v>
      </c>
      <c r="N47" s="16" t="s">
        <v>165</v>
      </c>
      <c r="O47" s="16" t="s">
        <v>165</v>
      </c>
      <c r="P47" s="16"/>
      <c r="Q47" s="16"/>
      <c r="R47" s="16" t="s">
        <v>165</v>
      </c>
      <c r="S47" s="16" t="s">
        <v>165</v>
      </c>
      <c r="T47" s="16" t="s">
        <v>165</v>
      </c>
      <c r="U47" s="16"/>
      <c r="V47" s="16"/>
      <c r="W47" s="16"/>
      <c r="X47" s="16" t="s">
        <v>165</v>
      </c>
      <c r="Y47" s="16" t="s">
        <v>165</v>
      </c>
      <c r="Z47" s="16" t="s">
        <v>165</v>
      </c>
      <c r="AA47" s="16" t="s">
        <v>165</v>
      </c>
      <c r="AB47" s="16" t="s">
        <v>165</v>
      </c>
      <c r="AC47" s="16" t="s">
        <v>165</v>
      </c>
      <c r="AD47" s="16"/>
      <c r="AE47" s="16" t="s">
        <v>165</v>
      </c>
      <c r="AF47" s="16" t="s">
        <v>165</v>
      </c>
      <c r="AG47" s="16" t="s">
        <v>165</v>
      </c>
      <c r="AH47" s="16" t="s">
        <v>165</v>
      </c>
      <c r="AI47" s="16" t="s">
        <v>165</v>
      </c>
      <c r="AJ47" s="16" t="s">
        <v>165</v>
      </c>
      <c r="AK47" s="16"/>
      <c r="AL47" s="16" t="s">
        <v>165</v>
      </c>
      <c r="AM47" s="16"/>
      <c r="AN47" s="16" t="s">
        <v>166</v>
      </c>
      <c r="AO47" s="16" t="s">
        <v>166</v>
      </c>
      <c r="AP47" s="16" t="s">
        <v>166</v>
      </c>
      <c r="AQ47" s="16" t="s">
        <v>166</v>
      </c>
      <c r="AR47" s="16"/>
      <c r="AS47" s="16" t="s">
        <v>166</v>
      </c>
      <c r="AT47" s="16" t="s">
        <v>166</v>
      </c>
      <c r="AU47" s="16" t="s">
        <v>166</v>
      </c>
      <c r="AV47" s="16" t="s">
        <v>166</v>
      </c>
      <c r="AW47" s="16" t="s">
        <v>165</v>
      </c>
      <c r="AX47" s="16" t="s">
        <v>166</v>
      </c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5">
        <f>COUNTIF(F47:EN47,"P")</f>
        <v>15</v>
      </c>
      <c r="EP47" s="5">
        <f>COUNTIF(F47:EN47,"A")</f>
        <v>19</v>
      </c>
    </row>
    <row r="48" spans="1:146" x14ac:dyDescent="0.25">
      <c r="A48" s="6">
        <v>15</v>
      </c>
      <c r="B48" s="19">
        <v>686</v>
      </c>
      <c r="C48" s="20" t="s">
        <v>491</v>
      </c>
      <c r="D48" s="21" t="s">
        <v>188</v>
      </c>
      <c r="E48" s="10" t="s">
        <v>28</v>
      </c>
      <c r="F48" s="16" t="s">
        <v>166</v>
      </c>
      <c r="G48" s="16" t="s">
        <v>166</v>
      </c>
      <c r="H48" s="16" t="s">
        <v>166</v>
      </c>
      <c r="I48" s="16"/>
      <c r="J48" s="16" t="s">
        <v>166</v>
      </c>
      <c r="K48" s="16"/>
      <c r="L48" s="16" t="s">
        <v>166</v>
      </c>
      <c r="M48" s="16" t="s">
        <v>166</v>
      </c>
      <c r="N48" s="16" t="s">
        <v>166</v>
      </c>
      <c r="O48" s="16" t="s">
        <v>165</v>
      </c>
      <c r="P48" s="16"/>
      <c r="Q48" s="16"/>
      <c r="R48" s="16" t="s">
        <v>165</v>
      </c>
      <c r="S48" s="16" t="s">
        <v>165</v>
      </c>
      <c r="T48" s="16" t="s">
        <v>166</v>
      </c>
      <c r="U48" s="16"/>
      <c r="V48" s="16"/>
      <c r="W48" s="16"/>
      <c r="X48" s="16" t="s">
        <v>166</v>
      </c>
      <c r="Y48" s="16" t="s">
        <v>166</v>
      </c>
      <c r="Z48" s="16" t="s">
        <v>166</v>
      </c>
      <c r="AA48" s="16" t="s">
        <v>166</v>
      </c>
      <c r="AB48" s="16" t="s">
        <v>166</v>
      </c>
      <c r="AC48" s="16" t="s">
        <v>166</v>
      </c>
      <c r="AD48" s="16"/>
      <c r="AE48" s="16" t="s">
        <v>166</v>
      </c>
      <c r="AF48" s="16" t="s">
        <v>166</v>
      </c>
      <c r="AG48" s="16" t="s">
        <v>166</v>
      </c>
      <c r="AH48" s="16" t="s">
        <v>166</v>
      </c>
      <c r="AI48" s="16" t="s">
        <v>166</v>
      </c>
      <c r="AJ48" s="16" t="s">
        <v>166</v>
      </c>
      <c r="AK48" s="16"/>
      <c r="AL48" s="16" t="s">
        <v>166</v>
      </c>
      <c r="AM48" s="16"/>
      <c r="AN48" s="16" t="s">
        <v>166</v>
      </c>
      <c r="AO48" s="16" t="s">
        <v>166</v>
      </c>
      <c r="AP48" s="16" t="s">
        <v>166</v>
      </c>
      <c r="AQ48" s="16" t="s">
        <v>166</v>
      </c>
      <c r="AR48" s="16"/>
      <c r="AS48" s="16" t="s">
        <v>166</v>
      </c>
      <c r="AT48" s="16" t="s">
        <v>166</v>
      </c>
      <c r="AU48" s="16" t="s">
        <v>166</v>
      </c>
      <c r="AV48" s="16" t="s">
        <v>166</v>
      </c>
      <c r="AW48" s="16" t="s">
        <v>165</v>
      </c>
      <c r="AX48" s="16" t="s">
        <v>166</v>
      </c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5">
        <f>COUNTIF(F48:EN48,"P")</f>
        <v>30</v>
      </c>
      <c r="EP48" s="5">
        <f>COUNTIF(F48:EN48,"A")</f>
        <v>4</v>
      </c>
    </row>
    <row r="49" spans="1:146" x14ac:dyDescent="0.25">
      <c r="A49" s="17">
        <v>16</v>
      </c>
      <c r="B49" s="19">
        <v>525</v>
      </c>
      <c r="C49" s="20" t="s">
        <v>492</v>
      </c>
      <c r="D49" s="21" t="s">
        <v>493</v>
      </c>
      <c r="E49" s="10" t="s">
        <v>28</v>
      </c>
      <c r="F49" s="16" t="s">
        <v>166</v>
      </c>
      <c r="G49" s="16" t="s">
        <v>166</v>
      </c>
      <c r="H49" s="16" t="s">
        <v>166</v>
      </c>
      <c r="I49" s="16"/>
      <c r="J49" s="16" t="s">
        <v>166</v>
      </c>
      <c r="K49" s="16"/>
      <c r="L49" s="16" t="s">
        <v>166</v>
      </c>
      <c r="M49" s="16" t="s">
        <v>166</v>
      </c>
      <c r="N49" s="16" t="s">
        <v>166</v>
      </c>
      <c r="O49" s="16" t="s">
        <v>166</v>
      </c>
      <c r="P49" s="16"/>
      <c r="Q49" s="16"/>
      <c r="R49" s="16" t="s">
        <v>166</v>
      </c>
      <c r="S49" s="16" t="s">
        <v>165</v>
      </c>
      <c r="T49" s="16" t="s">
        <v>166</v>
      </c>
      <c r="U49" s="16"/>
      <c r="V49" s="16"/>
      <c r="W49" s="16"/>
      <c r="X49" s="16" t="s">
        <v>166</v>
      </c>
      <c r="Y49" s="16" t="s">
        <v>166</v>
      </c>
      <c r="Z49" s="16" t="s">
        <v>166</v>
      </c>
      <c r="AA49" s="16" t="s">
        <v>166</v>
      </c>
      <c r="AB49" s="16" t="s">
        <v>166</v>
      </c>
      <c r="AC49" s="16" t="s">
        <v>166</v>
      </c>
      <c r="AD49" s="16"/>
      <c r="AE49" s="16" t="s">
        <v>166</v>
      </c>
      <c r="AF49" s="16" t="s">
        <v>166</v>
      </c>
      <c r="AG49" s="16" t="s">
        <v>166</v>
      </c>
      <c r="AH49" s="16" t="s">
        <v>166</v>
      </c>
      <c r="AI49" s="16" t="s">
        <v>166</v>
      </c>
      <c r="AJ49" s="16" t="s">
        <v>166</v>
      </c>
      <c r="AK49" s="16"/>
      <c r="AL49" s="16" t="s">
        <v>165</v>
      </c>
      <c r="AM49" s="16"/>
      <c r="AN49" s="16" t="s">
        <v>166</v>
      </c>
      <c r="AO49" s="16" t="s">
        <v>166</v>
      </c>
      <c r="AP49" s="16" t="s">
        <v>166</v>
      </c>
      <c r="AQ49" s="16" t="s">
        <v>165</v>
      </c>
      <c r="AR49" s="16"/>
      <c r="AS49" s="16" t="s">
        <v>166</v>
      </c>
      <c r="AT49" s="16" t="s">
        <v>166</v>
      </c>
      <c r="AU49" s="16" t="s">
        <v>166</v>
      </c>
      <c r="AV49" s="16" t="s">
        <v>166</v>
      </c>
      <c r="AW49" s="16" t="s">
        <v>166</v>
      </c>
      <c r="AX49" s="16" t="s">
        <v>166</v>
      </c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5">
        <f>COUNTIF(F49:EN49,"P")</f>
        <v>31</v>
      </c>
      <c r="EP49" s="5">
        <f>COUNTIF(F49:EN49,"A")</f>
        <v>3</v>
      </c>
    </row>
    <row r="50" spans="1:146" x14ac:dyDescent="0.25">
      <c r="A50" s="6">
        <v>17</v>
      </c>
      <c r="B50" s="19">
        <v>577</v>
      </c>
      <c r="C50" s="20" t="s">
        <v>494</v>
      </c>
      <c r="D50" s="21" t="s">
        <v>495</v>
      </c>
      <c r="E50" s="10" t="s">
        <v>28</v>
      </c>
      <c r="F50" s="16" t="s">
        <v>166</v>
      </c>
      <c r="G50" s="16" t="s">
        <v>166</v>
      </c>
      <c r="H50" s="16" t="s">
        <v>166</v>
      </c>
      <c r="I50" s="16"/>
      <c r="J50" s="16" t="s">
        <v>166</v>
      </c>
      <c r="K50" s="16"/>
      <c r="L50" s="16" t="s">
        <v>166</v>
      </c>
      <c r="M50" s="16" t="s">
        <v>166</v>
      </c>
      <c r="N50" s="16" t="s">
        <v>166</v>
      </c>
      <c r="O50" s="16" t="s">
        <v>166</v>
      </c>
      <c r="P50" s="16"/>
      <c r="Q50" s="16"/>
      <c r="R50" s="16" t="s">
        <v>165</v>
      </c>
      <c r="S50" s="16" t="s">
        <v>165</v>
      </c>
      <c r="T50" s="16" t="s">
        <v>166</v>
      </c>
      <c r="U50" s="16"/>
      <c r="V50" s="16"/>
      <c r="W50" s="16"/>
      <c r="X50" s="16" t="s">
        <v>166</v>
      </c>
      <c r="Y50" s="16" t="s">
        <v>166</v>
      </c>
      <c r="Z50" s="16" t="s">
        <v>165</v>
      </c>
      <c r="AA50" s="16" t="s">
        <v>166</v>
      </c>
      <c r="AB50" s="16" t="s">
        <v>166</v>
      </c>
      <c r="AC50" s="16" t="s">
        <v>166</v>
      </c>
      <c r="AD50" s="16"/>
      <c r="AE50" s="16" t="s">
        <v>166</v>
      </c>
      <c r="AF50" s="16" t="s">
        <v>166</v>
      </c>
      <c r="AG50" s="16" t="s">
        <v>166</v>
      </c>
      <c r="AH50" s="16" t="s">
        <v>165</v>
      </c>
      <c r="AI50" s="16" t="s">
        <v>166</v>
      </c>
      <c r="AJ50" s="16" t="s">
        <v>165</v>
      </c>
      <c r="AK50" s="16"/>
      <c r="AL50" s="16" t="s">
        <v>166</v>
      </c>
      <c r="AM50" s="16"/>
      <c r="AN50" s="16" t="s">
        <v>166</v>
      </c>
      <c r="AO50" s="16" t="s">
        <v>166</v>
      </c>
      <c r="AP50" s="16" t="s">
        <v>166</v>
      </c>
      <c r="AQ50" s="16" t="s">
        <v>166</v>
      </c>
      <c r="AR50" s="16"/>
      <c r="AS50" s="16" t="s">
        <v>166</v>
      </c>
      <c r="AT50" s="16" t="s">
        <v>166</v>
      </c>
      <c r="AU50" s="16" t="s">
        <v>166</v>
      </c>
      <c r="AV50" s="16" t="s">
        <v>166</v>
      </c>
      <c r="AW50" s="16" t="s">
        <v>166</v>
      </c>
      <c r="AX50" s="16" t="s">
        <v>166</v>
      </c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5">
        <f>COUNTIF(F50:EN50,"P")</f>
        <v>29</v>
      </c>
      <c r="EP50" s="5">
        <f>COUNTIF(F50:EN50,"A")</f>
        <v>5</v>
      </c>
    </row>
    <row r="51" spans="1:146" x14ac:dyDescent="0.25">
      <c r="A51" s="17">
        <v>18</v>
      </c>
      <c r="B51" s="19">
        <v>589</v>
      </c>
      <c r="C51" s="20" t="s">
        <v>496</v>
      </c>
      <c r="D51" s="21" t="s">
        <v>497</v>
      </c>
      <c r="E51" s="10" t="s">
        <v>28</v>
      </c>
      <c r="F51" s="16" t="s">
        <v>166</v>
      </c>
      <c r="G51" s="16" t="s">
        <v>166</v>
      </c>
      <c r="H51" s="16" t="s">
        <v>166</v>
      </c>
      <c r="I51" s="16"/>
      <c r="J51" s="16" t="s">
        <v>166</v>
      </c>
      <c r="K51" s="16"/>
      <c r="L51" s="16" t="s">
        <v>166</v>
      </c>
      <c r="M51" s="16" t="s">
        <v>166</v>
      </c>
      <c r="N51" s="16" t="s">
        <v>166</v>
      </c>
      <c r="O51" s="16" t="s">
        <v>165</v>
      </c>
      <c r="P51" s="16"/>
      <c r="Q51" s="16"/>
      <c r="R51" s="16" t="s">
        <v>165</v>
      </c>
      <c r="S51" s="16" t="s">
        <v>165</v>
      </c>
      <c r="T51" s="16" t="s">
        <v>166</v>
      </c>
      <c r="U51" s="16"/>
      <c r="V51" s="16"/>
      <c r="W51" s="16"/>
      <c r="X51" s="16" t="s">
        <v>166</v>
      </c>
      <c r="Y51" s="16" t="s">
        <v>171</v>
      </c>
      <c r="Z51" s="16" t="s">
        <v>171</v>
      </c>
      <c r="AA51" s="16" t="s">
        <v>166</v>
      </c>
      <c r="AB51" s="16" t="s">
        <v>166</v>
      </c>
      <c r="AC51" s="16" t="s">
        <v>166</v>
      </c>
      <c r="AD51" s="16"/>
      <c r="AE51" s="16" t="s">
        <v>166</v>
      </c>
      <c r="AF51" s="16" t="s">
        <v>166</v>
      </c>
      <c r="AG51" s="16" t="s">
        <v>166</v>
      </c>
      <c r="AH51" s="16" t="s">
        <v>165</v>
      </c>
      <c r="AI51" s="16" t="s">
        <v>166</v>
      </c>
      <c r="AJ51" s="16" t="s">
        <v>166</v>
      </c>
      <c r="AK51" s="16"/>
      <c r="AL51" s="16" t="s">
        <v>166</v>
      </c>
      <c r="AM51" s="16"/>
      <c r="AN51" s="16" t="s">
        <v>166</v>
      </c>
      <c r="AO51" s="16" t="s">
        <v>165</v>
      </c>
      <c r="AP51" s="16" t="s">
        <v>166</v>
      </c>
      <c r="AQ51" s="16" t="s">
        <v>166</v>
      </c>
      <c r="AR51" s="16"/>
      <c r="AS51" s="16" t="s">
        <v>166</v>
      </c>
      <c r="AT51" s="16" t="s">
        <v>166</v>
      </c>
      <c r="AU51" s="16" t="s">
        <v>165</v>
      </c>
      <c r="AV51" s="16" t="s">
        <v>166</v>
      </c>
      <c r="AW51" s="16" t="s">
        <v>166</v>
      </c>
      <c r="AX51" s="16" t="s">
        <v>166</v>
      </c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5">
        <f>COUNTIF(F51:EN51,"P")</f>
        <v>26</v>
      </c>
      <c r="EP51" s="5">
        <f>COUNTIF(F51:EN51,"A")</f>
        <v>6</v>
      </c>
    </row>
    <row r="52" spans="1:146" x14ac:dyDescent="0.25">
      <c r="A52" s="6">
        <v>19</v>
      </c>
      <c r="B52" s="19"/>
      <c r="C52" s="20" t="s">
        <v>498</v>
      </c>
      <c r="D52" s="21" t="s">
        <v>499</v>
      </c>
      <c r="E52" s="10" t="s">
        <v>28</v>
      </c>
      <c r="F52" s="16" t="s">
        <v>166</v>
      </c>
      <c r="G52" s="16" t="s">
        <v>166</v>
      </c>
      <c r="H52" s="16" t="s">
        <v>166</v>
      </c>
      <c r="I52" s="16"/>
      <c r="J52" s="16" t="s">
        <v>166</v>
      </c>
      <c r="K52" s="16"/>
      <c r="L52" s="16" t="s">
        <v>166</v>
      </c>
      <c r="M52" s="16" t="s">
        <v>166</v>
      </c>
      <c r="N52" s="16" t="s">
        <v>166</v>
      </c>
      <c r="O52" s="16" t="s">
        <v>166</v>
      </c>
      <c r="P52" s="16"/>
      <c r="Q52" s="16"/>
      <c r="R52" s="16" t="s">
        <v>166</v>
      </c>
      <c r="S52" s="16" t="s">
        <v>165</v>
      </c>
      <c r="T52" s="16" t="s">
        <v>165</v>
      </c>
      <c r="U52" s="16"/>
      <c r="V52" s="16"/>
      <c r="W52" s="16"/>
      <c r="X52" s="16" t="s">
        <v>166</v>
      </c>
      <c r="Y52" s="16" t="s">
        <v>165</v>
      </c>
      <c r="Z52" s="16" t="s">
        <v>166</v>
      </c>
      <c r="AA52" s="16" t="s">
        <v>165</v>
      </c>
      <c r="AB52" s="16" t="s">
        <v>166</v>
      </c>
      <c r="AC52" s="16" t="s">
        <v>165</v>
      </c>
      <c r="AD52" s="16"/>
      <c r="AE52" s="16" t="s">
        <v>166</v>
      </c>
      <c r="AF52" s="16" t="s">
        <v>166</v>
      </c>
      <c r="AG52" s="16" t="s">
        <v>165</v>
      </c>
      <c r="AH52" s="16" t="s">
        <v>166</v>
      </c>
      <c r="AI52" s="16" t="s">
        <v>166</v>
      </c>
      <c r="AJ52" s="16" t="s">
        <v>166</v>
      </c>
      <c r="AK52" s="16"/>
      <c r="AL52" s="16" t="s">
        <v>165</v>
      </c>
      <c r="AM52" s="16"/>
      <c r="AN52" s="16" t="s">
        <v>166</v>
      </c>
      <c r="AO52" s="16" t="s">
        <v>166</v>
      </c>
      <c r="AP52" s="16" t="s">
        <v>166</v>
      </c>
      <c r="AQ52" s="16" t="s">
        <v>165</v>
      </c>
      <c r="AR52" s="16"/>
      <c r="AS52" s="16" t="s">
        <v>166</v>
      </c>
      <c r="AT52" s="16" t="s">
        <v>166</v>
      </c>
      <c r="AU52" s="16" t="s">
        <v>166</v>
      </c>
      <c r="AV52" s="16" t="s">
        <v>166</v>
      </c>
      <c r="AW52" s="16" t="s">
        <v>166</v>
      </c>
      <c r="AX52" s="16" t="s">
        <v>166</v>
      </c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5">
        <f>COUNTIF(F52:EN52,"P")</f>
        <v>26</v>
      </c>
      <c r="EP52" s="5">
        <f>COUNTIF(F52:EN52,"A")</f>
        <v>8</v>
      </c>
    </row>
    <row r="53" spans="1:146" x14ac:dyDescent="0.25">
      <c r="A53" s="17">
        <v>20</v>
      </c>
      <c r="B53" s="19"/>
      <c r="C53" s="20" t="s">
        <v>187</v>
      </c>
      <c r="D53" s="21" t="s">
        <v>236</v>
      </c>
      <c r="E53" s="10" t="s">
        <v>28</v>
      </c>
      <c r="F53" s="16" t="s">
        <v>369</v>
      </c>
      <c r="G53" s="16" t="s">
        <v>369</v>
      </c>
      <c r="H53" s="16" t="s">
        <v>166</v>
      </c>
      <c r="I53" s="16"/>
      <c r="J53" s="16" t="s">
        <v>166</v>
      </c>
      <c r="K53" s="16"/>
      <c r="L53" s="16" t="s">
        <v>165</v>
      </c>
      <c r="M53" s="16" t="s">
        <v>166</v>
      </c>
      <c r="N53" s="16" t="s">
        <v>166</v>
      </c>
      <c r="O53" s="16" t="s">
        <v>166</v>
      </c>
      <c r="P53" s="16"/>
      <c r="Q53" s="16"/>
      <c r="R53" s="16" t="s">
        <v>166</v>
      </c>
      <c r="S53" s="16" t="s">
        <v>165</v>
      </c>
      <c r="T53" s="16" t="s">
        <v>165</v>
      </c>
      <c r="U53" s="16"/>
      <c r="V53" s="16"/>
      <c r="W53" s="16"/>
      <c r="X53" s="16" t="s">
        <v>166</v>
      </c>
      <c r="Y53" s="16" t="s">
        <v>166</v>
      </c>
      <c r="Z53" s="16" t="s">
        <v>166</v>
      </c>
      <c r="AA53" s="16" t="s">
        <v>166</v>
      </c>
      <c r="AB53" s="16" t="s">
        <v>166</v>
      </c>
      <c r="AC53" s="16" t="s">
        <v>166</v>
      </c>
      <c r="AD53" s="16"/>
      <c r="AE53" s="16" t="s">
        <v>166</v>
      </c>
      <c r="AF53" s="16" t="s">
        <v>166</v>
      </c>
      <c r="AG53" s="16" t="s">
        <v>166</v>
      </c>
      <c r="AH53" s="16" t="s">
        <v>166</v>
      </c>
      <c r="AI53" s="16" t="s">
        <v>166</v>
      </c>
      <c r="AJ53" s="16" t="s">
        <v>166</v>
      </c>
      <c r="AK53" s="16"/>
      <c r="AL53" s="16" t="s">
        <v>166</v>
      </c>
      <c r="AM53" s="16"/>
      <c r="AN53" s="16" t="s">
        <v>166</v>
      </c>
      <c r="AO53" s="16" t="s">
        <v>166</v>
      </c>
      <c r="AP53" s="16" t="s">
        <v>166</v>
      </c>
      <c r="AQ53" s="16" t="s">
        <v>166</v>
      </c>
      <c r="AR53" s="16"/>
      <c r="AS53" s="16" t="s">
        <v>166</v>
      </c>
      <c r="AT53" s="16" t="s">
        <v>166</v>
      </c>
      <c r="AU53" s="16" t="s">
        <v>166</v>
      </c>
      <c r="AV53" s="16" t="s">
        <v>166</v>
      </c>
      <c r="AW53" s="16" t="s">
        <v>165</v>
      </c>
      <c r="AX53" s="16" t="s">
        <v>165</v>
      </c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5">
        <f>COUNTIF(F53:EN53,"P")</f>
        <v>27</v>
      </c>
      <c r="EP53" s="5">
        <f>COUNTIF(F53:EN53,"A")</f>
        <v>5</v>
      </c>
    </row>
    <row r="54" spans="1:146" x14ac:dyDescent="0.25">
      <c r="A54" s="6">
        <v>21</v>
      </c>
      <c r="B54" s="19"/>
      <c r="C54" s="20" t="s">
        <v>500</v>
      </c>
      <c r="D54" s="21" t="s">
        <v>236</v>
      </c>
      <c r="E54" s="10" t="s">
        <v>28</v>
      </c>
      <c r="F54" s="16" t="s">
        <v>369</v>
      </c>
      <c r="G54" s="16" t="s">
        <v>369</v>
      </c>
      <c r="H54" s="16" t="s">
        <v>166</v>
      </c>
      <c r="I54" s="16"/>
      <c r="J54" s="16" t="s">
        <v>166</v>
      </c>
      <c r="K54" s="16"/>
      <c r="L54" s="16" t="s">
        <v>165</v>
      </c>
      <c r="M54" s="16" t="s">
        <v>166</v>
      </c>
      <c r="N54" s="16" t="s">
        <v>166</v>
      </c>
      <c r="O54" s="16" t="s">
        <v>166</v>
      </c>
      <c r="P54" s="16"/>
      <c r="Q54" s="16"/>
      <c r="R54" s="16" t="s">
        <v>166</v>
      </c>
      <c r="S54" s="16" t="s">
        <v>165</v>
      </c>
      <c r="T54" s="16" t="s">
        <v>165</v>
      </c>
      <c r="U54" s="16"/>
      <c r="V54" s="16"/>
      <c r="W54" s="16"/>
      <c r="X54" s="16" t="s">
        <v>166</v>
      </c>
      <c r="Y54" s="16" t="s">
        <v>166</v>
      </c>
      <c r="Z54" s="16" t="s">
        <v>166</v>
      </c>
      <c r="AA54" s="16" t="s">
        <v>166</v>
      </c>
      <c r="AB54" s="16" t="s">
        <v>165</v>
      </c>
      <c r="AC54" s="16" t="s">
        <v>166</v>
      </c>
      <c r="AD54" s="16"/>
      <c r="AE54" s="16" t="s">
        <v>166</v>
      </c>
      <c r="AF54" s="16" t="s">
        <v>166</v>
      </c>
      <c r="AG54" s="16" t="s">
        <v>166</v>
      </c>
      <c r="AH54" s="16" t="s">
        <v>166</v>
      </c>
      <c r="AI54" s="16" t="s">
        <v>166</v>
      </c>
      <c r="AJ54" s="16" t="s">
        <v>166</v>
      </c>
      <c r="AK54" s="16"/>
      <c r="AL54" s="16" t="s">
        <v>166</v>
      </c>
      <c r="AM54" s="16"/>
      <c r="AN54" s="16" t="s">
        <v>166</v>
      </c>
      <c r="AO54" s="16" t="s">
        <v>166</v>
      </c>
      <c r="AP54" s="16" t="s">
        <v>166</v>
      </c>
      <c r="AQ54" s="16" t="s">
        <v>166</v>
      </c>
      <c r="AR54" s="16"/>
      <c r="AS54" s="16" t="s">
        <v>166</v>
      </c>
      <c r="AT54" s="16" t="s">
        <v>166</v>
      </c>
      <c r="AU54" s="16" t="s">
        <v>166</v>
      </c>
      <c r="AV54" s="16" t="s">
        <v>166</v>
      </c>
      <c r="AW54" s="16" t="s">
        <v>165</v>
      </c>
      <c r="AX54" s="16" t="s">
        <v>165</v>
      </c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5">
        <f>COUNTIF(F54:EN54,"P")</f>
        <v>26</v>
      </c>
      <c r="EP54" s="5">
        <f>COUNTIF(F54:EN54,"A")</f>
        <v>6</v>
      </c>
    </row>
    <row r="55" spans="1:146" x14ac:dyDescent="0.25">
      <c r="A55" s="17">
        <v>22</v>
      </c>
      <c r="B55" s="19">
        <v>572</v>
      </c>
      <c r="C55" s="20" t="s">
        <v>501</v>
      </c>
      <c r="D55" s="21" t="s">
        <v>119</v>
      </c>
      <c r="E55" s="10" t="s">
        <v>28</v>
      </c>
      <c r="F55" s="16" t="s">
        <v>171</v>
      </c>
      <c r="G55" s="16" t="s">
        <v>171</v>
      </c>
      <c r="H55" s="16" t="s">
        <v>171</v>
      </c>
      <c r="I55" s="16"/>
      <c r="J55" s="16" t="s">
        <v>171</v>
      </c>
      <c r="K55" s="16"/>
      <c r="L55" s="16" t="s">
        <v>165</v>
      </c>
      <c r="M55" s="16" t="s">
        <v>165</v>
      </c>
      <c r="N55" s="16" t="s">
        <v>165</v>
      </c>
      <c r="O55" s="16" t="s">
        <v>165</v>
      </c>
      <c r="P55" s="16"/>
      <c r="Q55" s="16"/>
      <c r="R55" s="16" t="s">
        <v>165</v>
      </c>
      <c r="S55" s="16" t="s">
        <v>166</v>
      </c>
      <c r="T55" s="16" t="s">
        <v>165</v>
      </c>
      <c r="U55" s="16"/>
      <c r="V55" s="16"/>
      <c r="W55" s="16"/>
      <c r="X55" s="16" t="s">
        <v>166</v>
      </c>
      <c r="Y55" s="16" t="s">
        <v>166</v>
      </c>
      <c r="Z55" s="16" t="s">
        <v>166</v>
      </c>
      <c r="AA55" s="16" t="s">
        <v>166</v>
      </c>
      <c r="AB55" s="16" t="s">
        <v>165</v>
      </c>
      <c r="AC55" s="16" t="s">
        <v>166</v>
      </c>
      <c r="AD55" s="16"/>
      <c r="AE55" s="16" t="s">
        <v>166</v>
      </c>
      <c r="AF55" s="16" t="s">
        <v>166</v>
      </c>
      <c r="AG55" s="16" t="s">
        <v>166</v>
      </c>
      <c r="AH55" s="16" t="s">
        <v>166</v>
      </c>
      <c r="AI55" s="16" t="s">
        <v>166</v>
      </c>
      <c r="AJ55" s="16" t="s">
        <v>166</v>
      </c>
      <c r="AK55" s="16"/>
      <c r="AL55" s="16" t="s">
        <v>165</v>
      </c>
      <c r="AM55" s="16"/>
      <c r="AN55" s="16" t="s">
        <v>166</v>
      </c>
      <c r="AO55" s="16" t="s">
        <v>166</v>
      </c>
      <c r="AP55" s="16" t="s">
        <v>166</v>
      </c>
      <c r="AQ55" s="16" t="s">
        <v>166</v>
      </c>
      <c r="AR55" s="16"/>
      <c r="AS55" s="16" t="s">
        <v>166</v>
      </c>
      <c r="AT55" s="16" t="s">
        <v>166</v>
      </c>
      <c r="AU55" s="16" t="s">
        <v>166</v>
      </c>
      <c r="AV55" s="16" t="s">
        <v>165</v>
      </c>
      <c r="AW55" s="16" t="s">
        <v>165</v>
      </c>
      <c r="AX55" s="16" t="s">
        <v>166</v>
      </c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5">
        <f>COUNTIF(F55:EN55,"P")</f>
        <v>20</v>
      </c>
      <c r="EP55" s="5">
        <f>COUNTIF(F55:EN55,"A")</f>
        <v>10</v>
      </c>
    </row>
    <row r="56" spans="1:146" x14ac:dyDescent="0.25">
      <c r="A56" s="6">
        <v>23</v>
      </c>
      <c r="B56" s="19">
        <v>649</v>
      </c>
      <c r="C56" s="20" t="s">
        <v>502</v>
      </c>
      <c r="D56" s="21" t="s">
        <v>503</v>
      </c>
      <c r="E56" s="10" t="s">
        <v>28</v>
      </c>
      <c r="F56" s="16" t="s">
        <v>166</v>
      </c>
      <c r="G56" s="16" t="s">
        <v>166</v>
      </c>
      <c r="H56" s="16" t="s">
        <v>166</v>
      </c>
      <c r="I56" s="16"/>
      <c r="J56" s="16" t="s">
        <v>166</v>
      </c>
      <c r="K56" s="16"/>
      <c r="L56" s="16" t="s">
        <v>166</v>
      </c>
      <c r="M56" s="16" t="s">
        <v>166</v>
      </c>
      <c r="N56" s="16" t="s">
        <v>166</v>
      </c>
      <c r="O56" s="16" t="s">
        <v>166</v>
      </c>
      <c r="P56" s="16"/>
      <c r="Q56" s="16"/>
      <c r="R56" s="16" t="s">
        <v>165</v>
      </c>
      <c r="S56" s="16" t="s">
        <v>165</v>
      </c>
      <c r="T56" s="16" t="s">
        <v>165</v>
      </c>
      <c r="U56" s="16"/>
      <c r="V56" s="16"/>
      <c r="W56" s="16"/>
      <c r="X56" s="16" t="s">
        <v>166</v>
      </c>
      <c r="Y56" s="16" t="s">
        <v>166</v>
      </c>
      <c r="Z56" s="16" t="s">
        <v>166</v>
      </c>
      <c r="AA56" s="16" t="s">
        <v>166</v>
      </c>
      <c r="AB56" s="16" t="s">
        <v>165</v>
      </c>
      <c r="AC56" s="16" t="s">
        <v>166</v>
      </c>
      <c r="AD56" s="16"/>
      <c r="AE56" s="16" t="s">
        <v>165</v>
      </c>
      <c r="AF56" s="16" t="s">
        <v>166</v>
      </c>
      <c r="AG56" s="16" t="s">
        <v>166</v>
      </c>
      <c r="AH56" s="16" t="s">
        <v>166</v>
      </c>
      <c r="AI56" s="16" t="s">
        <v>166</v>
      </c>
      <c r="AJ56" s="16" t="s">
        <v>166</v>
      </c>
      <c r="AK56" s="16"/>
      <c r="AL56" s="16" t="s">
        <v>165</v>
      </c>
      <c r="AM56" s="16"/>
      <c r="AN56" s="16" t="s">
        <v>166</v>
      </c>
      <c r="AO56" s="16" t="s">
        <v>166</v>
      </c>
      <c r="AP56" s="16" t="s">
        <v>166</v>
      </c>
      <c r="AQ56" s="16" t="s">
        <v>166</v>
      </c>
      <c r="AR56" s="16"/>
      <c r="AS56" s="16" t="s">
        <v>166</v>
      </c>
      <c r="AT56" s="16" t="s">
        <v>166</v>
      </c>
      <c r="AU56" s="16" t="s">
        <v>166</v>
      </c>
      <c r="AV56" s="16" t="s">
        <v>166</v>
      </c>
      <c r="AW56" s="16" t="s">
        <v>166</v>
      </c>
      <c r="AX56" s="16" t="s">
        <v>166</v>
      </c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5">
        <f>COUNTIF(F56:EN56,"P")</f>
        <v>28</v>
      </c>
      <c r="EP56" s="5">
        <f>COUNTIF(F56:EN56,"A")</f>
        <v>6</v>
      </c>
    </row>
    <row r="57" spans="1:146" x14ac:dyDescent="0.25">
      <c r="A57" s="17">
        <v>24</v>
      </c>
      <c r="B57" s="19"/>
      <c r="C57" s="20"/>
      <c r="D57" s="21"/>
      <c r="E57" s="10" t="s">
        <v>28</v>
      </c>
      <c r="F57" s="16" t="s">
        <v>166</v>
      </c>
      <c r="G57" s="16" t="s">
        <v>166</v>
      </c>
      <c r="H57" s="16" t="s">
        <v>166</v>
      </c>
      <c r="I57" s="16"/>
      <c r="J57" s="16" t="s">
        <v>166</v>
      </c>
      <c r="K57" s="16"/>
      <c r="L57" s="16" t="s">
        <v>166</v>
      </c>
      <c r="M57" s="16" t="s">
        <v>166</v>
      </c>
      <c r="N57" s="16" t="s">
        <v>166</v>
      </c>
      <c r="O57" s="16" t="s">
        <v>166</v>
      </c>
      <c r="P57" s="16"/>
      <c r="Q57" s="16"/>
      <c r="R57" s="16" t="s">
        <v>165</v>
      </c>
      <c r="S57" s="16" t="s">
        <v>165</v>
      </c>
      <c r="T57" s="16" t="s">
        <v>165</v>
      </c>
      <c r="U57" s="16"/>
      <c r="V57" s="16"/>
      <c r="W57" s="16"/>
      <c r="X57" s="16" t="s">
        <v>166</v>
      </c>
      <c r="Y57" s="16" t="s">
        <v>166</v>
      </c>
      <c r="Z57" s="16" t="s">
        <v>166</v>
      </c>
      <c r="AA57" s="16" t="s">
        <v>166</v>
      </c>
      <c r="AB57" s="16" t="s">
        <v>165</v>
      </c>
      <c r="AC57" s="16" t="s">
        <v>166</v>
      </c>
      <c r="AD57" s="16"/>
      <c r="AE57" s="16" t="s">
        <v>165</v>
      </c>
      <c r="AF57" s="16" t="s">
        <v>166</v>
      </c>
      <c r="AG57" s="16" t="s">
        <v>166</v>
      </c>
      <c r="AH57" s="16" t="s">
        <v>166</v>
      </c>
      <c r="AI57" s="16" t="s">
        <v>166</v>
      </c>
      <c r="AJ57" s="16" t="s">
        <v>166</v>
      </c>
      <c r="AK57" s="16"/>
      <c r="AL57" s="16" t="s">
        <v>165</v>
      </c>
      <c r="AM57" s="16"/>
      <c r="AN57" s="16" t="s">
        <v>166</v>
      </c>
      <c r="AO57" s="16" t="s">
        <v>166</v>
      </c>
      <c r="AP57" s="16" t="s">
        <v>166</v>
      </c>
      <c r="AQ57" s="16" t="s">
        <v>166</v>
      </c>
      <c r="AR57" s="16"/>
      <c r="AS57" s="16" t="s">
        <v>166</v>
      </c>
      <c r="AT57" s="16" t="s">
        <v>166</v>
      </c>
      <c r="AU57" s="16" t="s">
        <v>166</v>
      </c>
      <c r="AV57" s="16" t="s">
        <v>166</v>
      </c>
      <c r="AW57" s="16" t="s">
        <v>166</v>
      </c>
      <c r="AX57" s="16" t="s">
        <v>166</v>
      </c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5">
        <f t="shared" ref="EO57:EO60" si="3">COUNTIF(F57:EN57,"P")</f>
        <v>28</v>
      </c>
      <c r="EP57" s="5">
        <f t="shared" ref="EP57:EP60" si="4">COUNTIF(F57:EN57,"A")</f>
        <v>6</v>
      </c>
    </row>
    <row r="58" spans="1:146" x14ac:dyDescent="0.25">
      <c r="A58" s="6">
        <v>25</v>
      </c>
      <c r="B58" s="19"/>
      <c r="C58" s="20"/>
      <c r="D58" s="21"/>
      <c r="E58" s="10" t="s">
        <v>28</v>
      </c>
      <c r="F58" s="16" t="s">
        <v>166</v>
      </c>
      <c r="G58" s="16" t="s">
        <v>166</v>
      </c>
      <c r="H58" s="16" t="s">
        <v>166</v>
      </c>
      <c r="I58" s="16"/>
      <c r="J58" s="16" t="s">
        <v>166</v>
      </c>
      <c r="K58" s="16"/>
      <c r="L58" s="16" t="s">
        <v>166</v>
      </c>
      <c r="M58" s="16" t="s">
        <v>166</v>
      </c>
      <c r="N58" s="16" t="s">
        <v>166</v>
      </c>
      <c r="O58" s="16" t="s">
        <v>166</v>
      </c>
      <c r="P58" s="16"/>
      <c r="Q58" s="16"/>
      <c r="R58" s="16" t="s">
        <v>165</v>
      </c>
      <c r="S58" s="16" t="s">
        <v>165</v>
      </c>
      <c r="T58" s="16" t="s">
        <v>165</v>
      </c>
      <c r="U58" s="16"/>
      <c r="V58" s="16"/>
      <c r="W58" s="16"/>
      <c r="X58" s="16" t="s">
        <v>166</v>
      </c>
      <c r="Y58" s="16" t="s">
        <v>166</v>
      </c>
      <c r="Z58" s="16" t="s">
        <v>166</v>
      </c>
      <c r="AA58" s="16" t="s">
        <v>166</v>
      </c>
      <c r="AB58" s="16" t="s">
        <v>165</v>
      </c>
      <c r="AC58" s="16" t="s">
        <v>166</v>
      </c>
      <c r="AD58" s="16"/>
      <c r="AE58" s="16" t="s">
        <v>165</v>
      </c>
      <c r="AF58" s="16" t="s">
        <v>166</v>
      </c>
      <c r="AG58" s="16" t="s">
        <v>166</v>
      </c>
      <c r="AH58" s="16" t="s">
        <v>166</v>
      </c>
      <c r="AI58" s="16" t="s">
        <v>166</v>
      </c>
      <c r="AJ58" s="16" t="s">
        <v>166</v>
      </c>
      <c r="AK58" s="16"/>
      <c r="AL58" s="16" t="s">
        <v>165</v>
      </c>
      <c r="AM58" s="16"/>
      <c r="AN58" s="16" t="s">
        <v>166</v>
      </c>
      <c r="AO58" s="16" t="s">
        <v>166</v>
      </c>
      <c r="AP58" s="16" t="s">
        <v>166</v>
      </c>
      <c r="AQ58" s="16" t="s">
        <v>166</v>
      </c>
      <c r="AR58" s="16"/>
      <c r="AS58" s="16" t="s">
        <v>166</v>
      </c>
      <c r="AT58" s="16" t="s">
        <v>166</v>
      </c>
      <c r="AU58" s="16" t="s">
        <v>166</v>
      </c>
      <c r="AV58" s="16" t="s">
        <v>166</v>
      </c>
      <c r="AW58" s="16" t="s">
        <v>166</v>
      </c>
      <c r="AX58" s="16" t="s">
        <v>166</v>
      </c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5">
        <f t="shared" si="3"/>
        <v>28</v>
      </c>
      <c r="EP58" s="5">
        <f t="shared" si="4"/>
        <v>6</v>
      </c>
    </row>
    <row r="59" spans="1:146" x14ac:dyDescent="0.25">
      <c r="A59" s="17">
        <v>26</v>
      </c>
      <c r="B59" s="19"/>
      <c r="C59" s="20"/>
      <c r="D59" s="21"/>
      <c r="E59" s="10" t="s">
        <v>28</v>
      </c>
      <c r="F59" s="16" t="s">
        <v>166</v>
      </c>
      <c r="G59" s="16" t="s">
        <v>166</v>
      </c>
      <c r="H59" s="16" t="s">
        <v>166</v>
      </c>
      <c r="I59" s="16"/>
      <c r="J59" s="16" t="s">
        <v>166</v>
      </c>
      <c r="K59" s="16"/>
      <c r="L59" s="16" t="s">
        <v>166</v>
      </c>
      <c r="M59" s="16" t="s">
        <v>166</v>
      </c>
      <c r="N59" s="16" t="s">
        <v>166</v>
      </c>
      <c r="O59" s="16" t="s">
        <v>166</v>
      </c>
      <c r="P59" s="16"/>
      <c r="Q59" s="16"/>
      <c r="R59" s="16" t="s">
        <v>165</v>
      </c>
      <c r="S59" s="16" t="s">
        <v>165</v>
      </c>
      <c r="T59" s="16" t="s">
        <v>165</v>
      </c>
      <c r="U59" s="16"/>
      <c r="V59" s="16"/>
      <c r="W59" s="16"/>
      <c r="X59" s="16" t="s">
        <v>166</v>
      </c>
      <c r="Y59" s="16" t="s">
        <v>166</v>
      </c>
      <c r="Z59" s="16" t="s">
        <v>166</v>
      </c>
      <c r="AA59" s="16" t="s">
        <v>166</v>
      </c>
      <c r="AB59" s="16" t="s">
        <v>165</v>
      </c>
      <c r="AC59" s="16" t="s">
        <v>166</v>
      </c>
      <c r="AD59" s="16"/>
      <c r="AE59" s="16" t="s">
        <v>165</v>
      </c>
      <c r="AF59" s="16" t="s">
        <v>166</v>
      </c>
      <c r="AG59" s="16" t="s">
        <v>166</v>
      </c>
      <c r="AH59" s="16" t="s">
        <v>166</v>
      </c>
      <c r="AI59" s="16" t="s">
        <v>166</v>
      </c>
      <c r="AJ59" s="16" t="s">
        <v>166</v>
      </c>
      <c r="AK59" s="16"/>
      <c r="AL59" s="16" t="s">
        <v>165</v>
      </c>
      <c r="AM59" s="16"/>
      <c r="AN59" s="16" t="s">
        <v>166</v>
      </c>
      <c r="AO59" s="16" t="s">
        <v>166</v>
      </c>
      <c r="AP59" s="16" t="s">
        <v>166</v>
      </c>
      <c r="AQ59" s="16" t="s">
        <v>166</v>
      </c>
      <c r="AR59" s="16"/>
      <c r="AS59" s="16" t="s">
        <v>166</v>
      </c>
      <c r="AT59" s="16" t="s">
        <v>166</v>
      </c>
      <c r="AU59" s="16" t="s">
        <v>166</v>
      </c>
      <c r="AV59" s="16" t="s">
        <v>166</v>
      </c>
      <c r="AW59" s="16" t="s">
        <v>166</v>
      </c>
      <c r="AX59" s="16" t="s">
        <v>166</v>
      </c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5">
        <f t="shared" si="3"/>
        <v>28</v>
      </c>
      <c r="EP59" s="5">
        <f t="shared" si="4"/>
        <v>6</v>
      </c>
    </row>
    <row r="60" spans="1:146" x14ac:dyDescent="0.25">
      <c r="A60" s="6">
        <v>27</v>
      </c>
      <c r="B60" s="19"/>
      <c r="C60" s="20"/>
      <c r="D60" s="21"/>
      <c r="E60" s="10" t="s">
        <v>28</v>
      </c>
      <c r="F60" s="16" t="s">
        <v>166</v>
      </c>
      <c r="G60" s="16" t="s">
        <v>166</v>
      </c>
      <c r="H60" s="16" t="s">
        <v>166</v>
      </c>
      <c r="I60" s="16"/>
      <c r="J60" s="16" t="s">
        <v>166</v>
      </c>
      <c r="K60" s="16"/>
      <c r="L60" s="16" t="s">
        <v>166</v>
      </c>
      <c r="M60" s="16" t="s">
        <v>166</v>
      </c>
      <c r="N60" s="16" t="s">
        <v>166</v>
      </c>
      <c r="O60" s="16" t="s">
        <v>166</v>
      </c>
      <c r="P60" s="16"/>
      <c r="Q60" s="16"/>
      <c r="R60" s="16" t="s">
        <v>165</v>
      </c>
      <c r="S60" s="16" t="s">
        <v>165</v>
      </c>
      <c r="T60" s="16" t="s">
        <v>165</v>
      </c>
      <c r="U60" s="16"/>
      <c r="V60" s="16"/>
      <c r="W60" s="16"/>
      <c r="X60" s="16" t="s">
        <v>166</v>
      </c>
      <c r="Y60" s="16" t="s">
        <v>166</v>
      </c>
      <c r="Z60" s="16" t="s">
        <v>166</v>
      </c>
      <c r="AA60" s="16" t="s">
        <v>166</v>
      </c>
      <c r="AB60" s="16" t="s">
        <v>165</v>
      </c>
      <c r="AC60" s="16" t="s">
        <v>166</v>
      </c>
      <c r="AD60" s="16"/>
      <c r="AE60" s="16" t="s">
        <v>165</v>
      </c>
      <c r="AF60" s="16" t="s">
        <v>166</v>
      </c>
      <c r="AG60" s="16" t="s">
        <v>166</v>
      </c>
      <c r="AH60" s="16" t="s">
        <v>166</v>
      </c>
      <c r="AI60" s="16" t="s">
        <v>166</v>
      </c>
      <c r="AJ60" s="16" t="s">
        <v>166</v>
      </c>
      <c r="AK60" s="16"/>
      <c r="AL60" s="16" t="s">
        <v>165</v>
      </c>
      <c r="AM60" s="16"/>
      <c r="AN60" s="16" t="s">
        <v>166</v>
      </c>
      <c r="AO60" s="16" t="s">
        <v>166</v>
      </c>
      <c r="AP60" s="16" t="s">
        <v>166</v>
      </c>
      <c r="AQ60" s="16" t="s">
        <v>166</v>
      </c>
      <c r="AR60" s="16"/>
      <c r="AS60" s="16" t="s">
        <v>166</v>
      </c>
      <c r="AT60" s="16" t="s">
        <v>166</v>
      </c>
      <c r="AU60" s="16" t="s">
        <v>166</v>
      </c>
      <c r="AV60" s="16" t="s">
        <v>166</v>
      </c>
      <c r="AW60" s="16" t="s">
        <v>166</v>
      </c>
      <c r="AX60" s="16" t="s">
        <v>166</v>
      </c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5">
        <f t="shared" si="3"/>
        <v>28</v>
      </c>
      <c r="EP60" s="5">
        <f t="shared" si="4"/>
        <v>6</v>
      </c>
    </row>
  </sheetData>
  <mergeCells count="13">
    <mergeCell ref="EO4:EO5"/>
    <mergeCell ref="EP4:EP5"/>
    <mergeCell ref="EQ4:ER4"/>
    <mergeCell ref="EQ9:ET9"/>
    <mergeCell ref="EQ17:ET17"/>
    <mergeCell ref="A1:E1"/>
    <mergeCell ref="A2:E2"/>
    <mergeCell ref="A3:E3"/>
    <mergeCell ref="A4:A5"/>
    <mergeCell ref="B4:B5"/>
    <mergeCell ref="C4:C5"/>
    <mergeCell ref="D4:D5"/>
    <mergeCell ref="E4:E5"/>
  </mergeCells>
  <conditionalFormatting sqref="EQ5:ER5 F4:EN60">
    <cfRule type="expression" dxfId="4" priority="16">
      <formula>F$4="Sun"</formula>
    </cfRule>
  </conditionalFormatting>
  <conditionalFormatting sqref="F5:EN60">
    <cfRule type="expression" dxfId="3" priority="15">
      <formula>IF(F$5=TODAY(),TRUE,FALSE)</formula>
    </cfRule>
  </conditionalFormatting>
  <conditionalFormatting sqref="EO4:EP4 EO6:EP60">
    <cfRule type="expression" dxfId="11" priority="17">
      <formula>#REF!="Sun"</formula>
    </cfRule>
  </conditionalFormatting>
  <conditionalFormatting sqref="EQ6:EQ7">
    <cfRule type="expression" dxfId="10" priority="13">
      <formula>EQ$4="Sun"</formula>
    </cfRule>
  </conditionalFormatting>
  <conditionalFormatting sqref="EQ10:EQ13">
    <cfRule type="expression" dxfId="9" priority="7">
      <formula>EQ$4="Sun"</formula>
    </cfRule>
  </conditionalFormatting>
  <conditionalFormatting sqref="EQ18:EQ21">
    <cfRule type="expression" dxfId="8" priority="6">
      <formula>EQ$4="Sun"</formula>
    </cfRule>
  </conditionalFormatting>
  <conditionalFormatting sqref="ER10:ET10">
    <cfRule type="expression" dxfId="7" priority="8">
      <formula>ER$4="Sun"</formula>
    </cfRule>
  </conditionalFormatting>
  <conditionalFormatting sqref="ER18:ET18">
    <cfRule type="expression" dxfId="6" priority="5">
      <formula>ER$4="Sun"</formula>
    </cfRule>
  </conditionalFormatting>
  <conditionalFormatting sqref="B6:B60">
    <cfRule type="duplicateValues" dxfId="5" priority="22"/>
  </conditionalFormatting>
  <conditionalFormatting sqref="F6:EN60">
    <cfRule type="cellIs" dxfId="2" priority="3" operator="equal">
      <formula>"P"</formula>
    </cfRule>
    <cfRule type="cellIs" dxfId="1" priority="2" operator="equal">
      <formula>"A"</formula>
    </cfRule>
    <cfRule type="cellIs" dxfId="0" priority="1" operator="equal">
      <formula>"L"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6B5E-6656-4659-B8BD-BB2081224052}">
  <dimension ref="A1:NM46"/>
  <sheetViews>
    <sheetView workbookViewId="0">
      <selection activeCell="J14" sqref="J1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bestFit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bestFit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6" width="4.7109375" style="1" bestFit="1" customWidth="1"/>
    <col min="37" max="37" width="3.85546875" style="1" bestFit="1" customWidth="1"/>
    <col min="38" max="39" width="3.7109375" style="1" bestFit="1" customWidth="1"/>
    <col min="40" max="40" width="3.85546875" style="1" bestFit="1" customWidth="1"/>
    <col min="41" max="41" width="4.5703125" style="1" bestFit="1" customWidth="1"/>
    <col min="42" max="42" width="3.85546875" style="1" bestFit="1" customWidth="1"/>
    <col min="43" max="43" width="4.7109375" style="1" bestFit="1" customWidth="1"/>
    <col min="44" max="44" width="3.85546875" style="1" bestFit="1" customWidth="1"/>
    <col min="45" max="46" width="3.7109375" style="1" bestFit="1" customWidth="1"/>
    <col min="47" max="47" width="3.85546875" style="1" bestFit="1" customWidth="1"/>
    <col min="48" max="48" width="4.5703125" style="1" bestFit="1" customWidth="1"/>
    <col min="49" max="49" width="3.85546875" style="1" bestFit="1" customWidth="1"/>
    <col min="50" max="50" width="4.7109375" style="1" bestFit="1" customWidth="1"/>
    <col min="51" max="51" width="3.85546875" style="1" bestFit="1" customWidth="1"/>
    <col min="52" max="53" width="3.7109375" style="1" bestFit="1" customWidth="1"/>
    <col min="54" max="54" width="3.85546875" style="1" bestFit="1" customWidth="1"/>
    <col min="55" max="55" width="4.5703125" style="1" bestFit="1" customWidth="1"/>
    <col min="56" max="56" width="3.85546875" style="1" bestFit="1" customWidth="1"/>
    <col min="57" max="57" width="4.7109375" style="1" bestFit="1" customWidth="1"/>
    <col min="58" max="58" width="3.85546875" style="1" bestFit="1" customWidth="1"/>
    <col min="59" max="60" width="3.7109375" style="1" bestFit="1" customWidth="1"/>
    <col min="61" max="61" width="3.85546875" style="1" bestFit="1" customWidth="1"/>
    <col min="62" max="62" width="4.5703125" style="1" bestFit="1" customWidth="1"/>
    <col min="63" max="63" width="3.85546875" style="1" bestFit="1" customWidth="1"/>
    <col min="64" max="64" width="4.7109375" style="1" bestFit="1" customWidth="1"/>
    <col min="65" max="65" width="3.85546875" style="1" bestFit="1" customWidth="1"/>
    <col min="66" max="67" width="3.7109375" style="1" bestFit="1" customWidth="1"/>
    <col min="68" max="68" width="3.85546875" style="1" bestFit="1" customWidth="1"/>
    <col min="69" max="69" width="4.5703125" style="1" bestFit="1" customWidth="1"/>
    <col min="70" max="70" width="3.85546875" style="1" bestFit="1" customWidth="1"/>
    <col min="71" max="71" width="4.7109375" style="1" bestFit="1" customWidth="1"/>
    <col min="72" max="72" width="3.85546875" style="1" bestFit="1" customWidth="1"/>
    <col min="73" max="74" width="3.7109375" style="1" bestFit="1" customWidth="1"/>
    <col min="75" max="75" width="3.85546875" style="1" bestFit="1" customWidth="1"/>
    <col min="76" max="76" width="4.5703125" style="1" bestFit="1" customWidth="1"/>
    <col min="77" max="77" width="3.85546875" style="1" bestFit="1" customWidth="1"/>
    <col min="78" max="78" width="4.7109375" style="1" bestFit="1" customWidth="1"/>
    <col min="79" max="79" width="3.85546875" style="1" bestFit="1" customWidth="1"/>
    <col min="80" max="81" width="3.7109375" style="1" bestFit="1" customWidth="1"/>
    <col min="82" max="82" width="3.85546875" style="1" bestFit="1" customWidth="1"/>
    <col min="83" max="83" width="4.5703125" style="1" bestFit="1" customWidth="1"/>
    <col min="84" max="84" width="3.85546875" style="1" bestFit="1" customWidth="1"/>
    <col min="85" max="85" width="4.7109375" style="1" bestFit="1" customWidth="1"/>
    <col min="86" max="86" width="3.85546875" style="1" bestFit="1" customWidth="1"/>
    <col min="87" max="88" width="3.7109375" style="1" bestFit="1" customWidth="1"/>
    <col min="89" max="89" width="3.85546875" style="1" bestFit="1" customWidth="1"/>
    <col min="90" max="90" width="4.5703125" style="1" bestFit="1" customWidth="1"/>
    <col min="91" max="91" width="3.85546875" style="1" bestFit="1" customWidth="1"/>
    <col min="92" max="92" width="4.7109375" style="1" bestFit="1" customWidth="1"/>
    <col min="93" max="93" width="3.85546875" style="1" bestFit="1" customWidth="1"/>
    <col min="94" max="95" width="3.7109375" style="1" bestFit="1" customWidth="1"/>
    <col min="96" max="96" width="3.85546875" style="1" bestFit="1" customWidth="1"/>
    <col min="97" max="97" width="4.5703125" style="1" bestFit="1" customWidth="1"/>
    <col min="98" max="98" width="3.85546875" style="1" bestFit="1" customWidth="1"/>
    <col min="99" max="99" width="4.7109375" style="1" bestFit="1" customWidth="1"/>
    <col min="100" max="100" width="3.85546875" style="1" bestFit="1" customWidth="1"/>
    <col min="101" max="102" width="3.7109375" style="1" bestFit="1" customWidth="1"/>
    <col min="103" max="103" width="3.85546875" style="1" bestFit="1" customWidth="1"/>
    <col min="104" max="104" width="4.5703125" style="1" bestFit="1" customWidth="1"/>
    <col min="105" max="105" width="3.85546875" style="1" bestFit="1" customWidth="1"/>
    <col min="106" max="106" width="4.7109375" style="1" bestFit="1" customWidth="1"/>
    <col min="107" max="107" width="3.85546875" style="1" bestFit="1" customWidth="1"/>
    <col min="108" max="109" width="3.7109375" style="1" bestFit="1" customWidth="1"/>
    <col min="110" max="110" width="3.85546875" style="1" bestFit="1" customWidth="1"/>
    <col min="111" max="111" width="4.5703125" style="1" bestFit="1" customWidth="1"/>
    <col min="112" max="112" width="3.85546875" style="1" bestFit="1" customWidth="1"/>
    <col min="113" max="113" width="4.7109375" style="1" bestFit="1" customWidth="1"/>
    <col min="114" max="114" width="3.85546875" style="1" bestFit="1" customWidth="1"/>
    <col min="115" max="116" width="3.7109375" style="1" bestFit="1" customWidth="1"/>
    <col min="117" max="117" width="3.85546875" style="1" bestFit="1" customWidth="1"/>
    <col min="118" max="118" width="4.5703125" style="1" bestFit="1" customWidth="1"/>
    <col min="119" max="119" width="3.85546875" style="1" bestFit="1" customWidth="1"/>
    <col min="120" max="120" width="4.7109375" style="1" bestFit="1" customWidth="1"/>
    <col min="121" max="121" width="3.85546875" style="1" bestFit="1" customWidth="1"/>
    <col min="122" max="123" width="3.7109375" style="1" bestFit="1" customWidth="1"/>
    <col min="124" max="124" width="3.85546875" style="1" bestFit="1" customWidth="1"/>
    <col min="125" max="125" width="4.5703125" style="1" bestFit="1" customWidth="1"/>
    <col min="126" max="126" width="3.85546875" style="1" bestFit="1" customWidth="1"/>
    <col min="127" max="127" width="4.7109375" style="1" bestFit="1" customWidth="1"/>
    <col min="128" max="128" width="3.85546875" style="1" bestFit="1" customWidth="1"/>
    <col min="129" max="130" width="3.7109375" style="1" bestFit="1" customWidth="1"/>
    <col min="131" max="131" width="3.85546875" style="1" bestFit="1" customWidth="1"/>
    <col min="132" max="132" width="4.5703125" style="1" bestFit="1" customWidth="1"/>
    <col min="133" max="133" width="3.85546875" style="1" bestFit="1" customWidth="1"/>
    <col min="134" max="134" width="4.7109375" style="1" bestFit="1" customWidth="1"/>
    <col min="135" max="135" width="3.85546875" style="1" bestFit="1" customWidth="1"/>
    <col min="136" max="137" width="3.7109375" style="1" bestFit="1" customWidth="1"/>
    <col min="138" max="138" width="3.85546875" style="1" bestFit="1" customWidth="1"/>
    <col min="139" max="139" width="4.5703125" style="1" bestFit="1" customWidth="1"/>
    <col min="140" max="140" width="3.85546875" style="1" bestFit="1" customWidth="1"/>
    <col min="141" max="141" width="4.7109375" style="1" bestFit="1" customWidth="1"/>
    <col min="142" max="142" width="3.85546875" style="1" bestFit="1" customWidth="1"/>
    <col min="143" max="144" width="3.7109375" style="1" bestFit="1" customWidth="1"/>
    <col min="145" max="145" width="3.85546875" style="1" bestFit="1" customWidth="1"/>
    <col min="146" max="146" width="4.5703125" style="1" bestFit="1" customWidth="1"/>
    <col min="147" max="147" width="3.85546875" style="1" bestFit="1" customWidth="1"/>
    <col min="148" max="148" width="4.7109375" style="1" bestFit="1" customWidth="1"/>
    <col min="149" max="149" width="3.85546875" style="1" bestFit="1" customWidth="1"/>
    <col min="150" max="151" width="3.7109375" style="1" bestFit="1" customWidth="1"/>
    <col min="152" max="152" width="3.85546875" style="1" bestFit="1" customWidth="1"/>
    <col min="153" max="153" width="4.5703125" style="1" bestFit="1" customWidth="1"/>
    <col min="154" max="154" width="3.85546875" style="1" bestFit="1" customWidth="1"/>
    <col min="155" max="155" width="4.7109375" style="1" bestFit="1" customWidth="1"/>
    <col min="156" max="156" width="3.85546875" style="1" bestFit="1" customWidth="1"/>
    <col min="157" max="158" width="3.7109375" style="1" bestFit="1" customWidth="1"/>
    <col min="159" max="159" width="3.85546875" style="1" bestFit="1" customWidth="1"/>
    <col min="160" max="160" width="4.5703125" style="1" bestFit="1" customWidth="1"/>
    <col min="161" max="161" width="3.85546875" style="1" bestFit="1" customWidth="1"/>
    <col min="162" max="162" width="4.7109375" style="1" bestFit="1" customWidth="1"/>
    <col min="163" max="163" width="3.85546875" style="1" bestFit="1" customWidth="1"/>
    <col min="164" max="165" width="3.7109375" style="1" bestFit="1" customWidth="1"/>
    <col min="166" max="166" width="3.85546875" style="1" bestFit="1" customWidth="1"/>
    <col min="167" max="167" width="4.5703125" style="1" bestFit="1" customWidth="1"/>
    <col min="168" max="168" width="3.85546875" style="1" bestFit="1" customWidth="1"/>
    <col min="169" max="169" width="4.7109375" style="1" bestFit="1" customWidth="1"/>
    <col min="170" max="170" width="3.85546875" style="1" bestFit="1" customWidth="1"/>
    <col min="171" max="172" width="3.7109375" style="1" bestFit="1" customWidth="1"/>
    <col min="173" max="173" width="3.85546875" style="1" bestFit="1" customWidth="1"/>
    <col min="174" max="174" width="4.5703125" style="1" bestFit="1" customWidth="1"/>
    <col min="175" max="175" width="3.85546875" style="1" bestFit="1" customWidth="1"/>
    <col min="176" max="176" width="4.7109375" style="1" bestFit="1" customWidth="1"/>
    <col min="177" max="177" width="3.85546875" style="1" bestFit="1" customWidth="1"/>
    <col min="178" max="179" width="3.7109375" style="1" bestFit="1" customWidth="1"/>
    <col min="180" max="180" width="3.85546875" style="1" bestFit="1" customWidth="1"/>
    <col min="181" max="181" width="4.5703125" style="1" bestFit="1" customWidth="1"/>
    <col min="182" max="182" width="3.85546875" style="1" bestFit="1" customWidth="1"/>
    <col min="183" max="183" width="4.7109375" style="1" bestFit="1" customWidth="1"/>
    <col min="184" max="184" width="3.85546875" style="1" bestFit="1" customWidth="1"/>
    <col min="185" max="186" width="3.7109375" style="1" bestFit="1" customWidth="1"/>
    <col min="187" max="187" width="3.85546875" style="1" bestFit="1" customWidth="1"/>
    <col min="188" max="188" width="4.5703125" style="1" bestFit="1" customWidth="1"/>
    <col min="189" max="189" width="3.85546875" style="1" bestFit="1" customWidth="1"/>
    <col min="190" max="190" width="4.7109375" style="1" bestFit="1" customWidth="1"/>
    <col min="191" max="191" width="3.85546875" style="1" bestFit="1" customWidth="1"/>
    <col min="192" max="193" width="3.7109375" style="1" bestFit="1" customWidth="1"/>
    <col min="194" max="194" width="3.85546875" style="1" bestFit="1" customWidth="1"/>
    <col min="195" max="195" width="4.5703125" style="1" bestFit="1" customWidth="1"/>
    <col min="196" max="196" width="3.85546875" style="1" bestFit="1" customWidth="1"/>
    <col min="197" max="197" width="4.7109375" style="1" bestFit="1" customWidth="1"/>
    <col min="198" max="198" width="3.85546875" style="1" bestFit="1" customWidth="1"/>
    <col min="199" max="200" width="3.7109375" style="1" bestFit="1" customWidth="1"/>
    <col min="201" max="201" width="3.85546875" style="1" bestFit="1" customWidth="1"/>
    <col min="202" max="202" width="4.5703125" style="1" bestFit="1" customWidth="1"/>
    <col min="203" max="203" width="3.85546875" style="1" bestFit="1" customWidth="1"/>
    <col min="204" max="204" width="4.7109375" style="1" bestFit="1" customWidth="1"/>
    <col min="205" max="205" width="3.85546875" style="1" bestFit="1" customWidth="1"/>
    <col min="206" max="207" width="3.7109375" style="1" bestFit="1" customWidth="1"/>
    <col min="208" max="208" width="3.85546875" style="1" bestFit="1" customWidth="1"/>
    <col min="209" max="209" width="4.5703125" style="1" bestFit="1" customWidth="1"/>
    <col min="210" max="210" width="3.85546875" style="1" bestFit="1" customWidth="1"/>
    <col min="211" max="211" width="4.7109375" style="1" bestFit="1" customWidth="1"/>
    <col min="212" max="212" width="3.85546875" style="1" bestFit="1" customWidth="1"/>
    <col min="213" max="214" width="3.7109375" style="1" bestFit="1" customWidth="1"/>
    <col min="215" max="215" width="3.85546875" style="1" bestFit="1" customWidth="1"/>
    <col min="216" max="216" width="4.5703125" style="1" bestFit="1" customWidth="1"/>
    <col min="217" max="217" width="3.85546875" style="1" bestFit="1" customWidth="1"/>
    <col min="218" max="218" width="4.7109375" style="1" bestFit="1" customWidth="1"/>
    <col min="219" max="219" width="3.85546875" style="1" bestFit="1" customWidth="1"/>
    <col min="220" max="221" width="3.7109375" style="1" bestFit="1" customWidth="1"/>
    <col min="222" max="222" width="3.85546875" style="1" bestFit="1" customWidth="1"/>
    <col min="223" max="223" width="4.5703125" style="1" bestFit="1" customWidth="1"/>
    <col min="224" max="224" width="3.85546875" style="1" bestFit="1" customWidth="1"/>
    <col min="225" max="225" width="4.7109375" style="1" bestFit="1" customWidth="1"/>
    <col min="226" max="226" width="3.85546875" style="1" bestFit="1" customWidth="1"/>
    <col min="227" max="228" width="3.7109375" style="1" bestFit="1" customWidth="1"/>
    <col min="229" max="229" width="3.85546875" style="1" bestFit="1" customWidth="1"/>
    <col min="230" max="230" width="4.5703125" style="1" bestFit="1" customWidth="1"/>
    <col min="231" max="231" width="3.85546875" style="1" bestFit="1" customWidth="1"/>
    <col min="232" max="232" width="4.7109375" style="1" bestFit="1" customWidth="1"/>
    <col min="233" max="233" width="3.85546875" style="1" bestFit="1" customWidth="1"/>
    <col min="234" max="235" width="3.7109375" style="1" bestFit="1" customWidth="1"/>
    <col min="236" max="236" width="3.85546875" style="1" bestFit="1" customWidth="1"/>
    <col min="237" max="237" width="4.5703125" style="1" bestFit="1" customWidth="1"/>
    <col min="238" max="238" width="3.85546875" style="1" bestFit="1" customWidth="1"/>
    <col min="239" max="239" width="4.7109375" style="1" bestFit="1" customWidth="1"/>
    <col min="240" max="240" width="3.85546875" style="1" bestFit="1" customWidth="1"/>
    <col min="241" max="242" width="3.7109375" style="1" bestFit="1" customWidth="1"/>
    <col min="243" max="243" width="3.85546875" style="1" bestFit="1" customWidth="1"/>
    <col min="244" max="244" width="4.5703125" style="1" bestFit="1" customWidth="1"/>
    <col min="245" max="245" width="3.85546875" style="1" bestFit="1" customWidth="1"/>
    <col min="246" max="246" width="4.7109375" style="1" bestFit="1" customWidth="1"/>
    <col min="247" max="247" width="3.85546875" style="1" bestFit="1" customWidth="1"/>
    <col min="248" max="249" width="3.7109375" style="1" bestFit="1" customWidth="1"/>
    <col min="250" max="250" width="3.85546875" style="1" bestFit="1" customWidth="1"/>
    <col min="251" max="251" width="4.5703125" style="1" bestFit="1" customWidth="1"/>
    <col min="252" max="252" width="3.85546875" style="1" bestFit="1" customWidth="1"/>
    <col min="253" max="253" width="4.7109375" style="1" bestFit="1" customWidth="1"/>
    <col min="254" max="254" width="3.85546875" style="1" bestFit="1" customWidth="1"/>
    <col min="255" max="256" width="3.7109375" style="1" bestFit="1" customWidth="1"/>
    <col min="257" max="257" width="3.85546875" style="1" bestFit="1" customWidth="1"/>
    <col min="258" max="258" width="4.5703125" style="1" bestFit="1" customWidth="1"/>
    <col min="259" max="259" width="3.85546875" style="1" bestFit="1" customWidth="1"/>
    <col min="260" max="260" width="4.7109375" style="1" bestFit="1" customWidth="1"/>
    <col min="261" max="261" width="3.85546875" style="1" bestFit="1" customWidth="1"/>
    <col min="262" max="263" width="3.7109375" style="1" bestFit="1" customWidth="1"/>
    <col min="264" max="264" width="3.85546875" style="1" bestFit="1" customWidth="1"/>
    <col min="265" max="265" width="4.5703125" style="1" bestFit="1" customWidth="1"/>
    <col min="266" max="266" width="3.85546875" style="1" bestFit="1" customWidth="1"/>
    <col min="267" max="267" width="4.7109375" style="1" bestFit="1" customWidth="1"/>
    <col min="268" max="268" width="3.85546875" style="1" bestFit="1" customWidth="1"/>
    <col min="269" max="270" width="3.7109375" style="1" bestFit="1" customWidth="1"/>
    <col min="271" max="271" width="3.85546875" style="1" bestFit="1" customWidth="1"/>
    <col min="272" max="272" width="4.5703125" style="1" bestFit="1" customWidth="1"/>
    <col min="273" max="273" width="3.85546875" style="1" bestFit="1" customWidth="1"/>
    <col min="274" max="274" width="4.7109375" style="1" bestFit="1" customWidth="1"/>
    <col min="275" max="275" width="3.85546875" style="1" bestFit="1" customWidth="1"/>
    <col min="276" max="277" width="3.7109375" style="1" bestFit="1" customWidth="1"/>
    <col min="278" max="278" width="3.85546875" style="1" bestFit="1" customWidth="1"/>
    <col min="279" max="279" width="4.5703125" style="1" bestFit="1" customWidth="1"/>
    <col min="280" max="280" width="3.85546875" style="1" bestFit="1" customWidth="1"/>
    <col min="281" max="281" width="4.7109375" style="1" bestFit="1" customWidth="1"/>
    <col min="282" max="282" width="3.85546875" style="1" bestFit="1" customWidth="1"/>
    <col min="283" max="284" width="3.7109375" style="1" bestFit="1" customWidth="1"/>
    <col min="285" max="285" width="3.85546875" style="1" bestFit="1" customWidth="1"/>
    <col min="286" max="286" width="4.5703125" style="1" bestFit="1" customWidth="1"/>
    <col min="287" max="287" width="3.85546875" style="1" bestFit="1" customWidth="1"/>
    <col min="288" max="288" width="4.7109375" style="1" bestFit="1" customWidth="1"/>
    <col min="289" max="289" width="3.85546875" style="1" bestFit="1" customWidth="1"/>
    <col min="290" max="291" width="3.7109375" style="1" bestFit="1" customWidth="1"/>
    <col min="292" max="292" width="3.85546875" style="1" bestFit="1" customWidth="1"/>
    <col min="293" max="293" width="4.5703125" style="1" bestFit="1" customWidth="1"/>
    <col min="294" max="294" width="3.85546875" style="1" bestFit="1" customWidth="1"/>
    <col min="295" max="295" width="4.7109375" style="1" bestFit="1" customWidth="1"/>
    <col min="296" max="296" width="3.85546875" style="1" bestFit="1" customWidth="1"/>
    <col min="297" max="298" width="3.7109375" style="1" bestFit="1" customWidth="1"/>
    <col min="299" max="299" width="3.85546875" style="1" bestFit="1" customWidth="1"/>
    <col min="300" max="300" width="4.5703125" style="1" bestFit="1" customWidth="1"/>
    <col min="301" max="301" width="3.85546875" style="1" bestFit="1" customWidth="1"/>
    <col min="302" max="302" width="4.7109375" style="1" bestFit="1" customWidth="1"/>
    <col min="303" max="303" width="3.85546875" style="1" bestFit="1" customWidth="1"/>
    <col min="304" max="305" width="3.7109375" style="1" bestFit="1" customWidth="1"/>
    <col min="306" max="306" width="3.85546875" style="1" bestFit="1" customWidth="1"/>
    <col min="307" max="307" width="4.5703125" style="1" bestFit="1" customWidth="1"/>
    <col min="308" max="308" width="3.85546875" style="1" bestFit="1" customWidth="1"/>
    <col min="309" max="309" width="4.7109375" style="1" bestFit="1" customWidth="1"/>
    <col min="310" max="310" width="3.85546875" style="1" bestFit="1" customWidth="1"/>
    <col min="311" max="312" width="3.7109375" style="1" bestFit="1" customWidth="1"/>
    <col min="313" max="313" width="3.85546875" style="1" bestFit="1" customWidth="1"/>
    <col min="314" max="314" width="4.5703125" style="1" bestFit="1" customWidth="1"/>
    <col min="315" max="315" width="3.85546875" style="1" bestFit="1" customWidth="1"/>
    <col min="316" max="316" width="4.7109375" style="1" bestFit="1" customWidth="1"/>
    <col min="317" max="317" width="3.85546875" style="1" bestFit="1" customWidth="1"/>
    <col min="318" max="319" width="3.7109375" style="1" bestFit="1" customWidth="1"/>
    <col min="320" max="320" width="3.85546875" style="1" bestFit="1" customWidth="1"/>
    <col min="321" max="321" width="4.5703125" style="1" bestFit="1" customWidth="1"/>
    <col min="322" max="322" width="3.85546875" style="1" bestFit="1" customWidth="1"/>
    <col min="323" max="323" width="4.7109375" style="1" bestFit="1" customWidth="1"/>
    <col min="324" max="324" width="3.85546875" style="1" bestFit="1" customWidth="1"/>
    <col min="325" max="326" width="3.7109375" style="1" bestFit="1" customWidth="1"/>
    <col min="327" max="327" width="3.85546875" style="1" bestFit="1" customWidth="1"/>
    <col min="328" max="328" width="4.5703125" style="1" bestFit="1" customWidth="1"/>
    <col min="329" max="329" width="3.85546875" style="1" bestFit="1" customWidth="1"/>
    <col min="330" max="330" width="4.7109375" style="1" bestFit="1" customWidth="1"/>
    <col min="331" max="331" width="3.85546875" style="1" bestFit="1" customWidth="1"/>
    <col min="332" max="333" width="3.7109375" style="1" bestFit="1" customWidth="1"/>
    <col min="334" max="334" width="3.85546875" style="1" bestFit="1" customWidth="1"/>
    <col min="335" max="335" width="4.5703125" style="1" bestFit="1" customWidth="1"/>
    <col min="336" max="336" width="3.85546875" style="1" bestFit="1" customWidth="1"/>
    <col min="337" max="337" width="4.7109375" style="1" bestFit="1" customWidth="1"/>
    <col min="338" max="338" width="3.85546875" style="1" bestFit="1" customWidth="1"/>
    <col min="339" max="340" width="3.7109375" style="1" bestFit="1" customWidth="1"/>
    <col min="341" max="341" width="3.85546875" style="1" bestFit="1" customWidth="1"/>
    <col min="342" max="342" width="4.5703125" style="1" bestFit="1" customWidth="1"/>
    <col min="343" max="343" width="3.85546875" style="1" bestFit="1" customWidth="1"/>
    <col min="344" max="344" width="4.7109375" style="1" bestFit="1" customWidth="1"/>
    <col min="345" max="345" width="3.85546875" style="1" bestFit="1" customWidth="1"/>
    <col min="346" max="347" width="3.7109375" style="1" bestFit="1" customWidth="1"/>
    <col min="348" max="348" width="3.85546875" style="1" bestFit="1" customWidth="1"/>
    <col min="349" max="349" width="4.5703125" style="1" bestFit="1" customWidth="1"/>
    <col min="350" max="350" width="3.85546875" style="1" bestFit="1" customWidth="1"/>
    <col min="351" max="351" width="4.7109375" style="1" bestFit="1" customWidth="1"/>
    <col min="352" max="352" width="3.85546875" style="1" bestFit="1" customWidth="1"/>
    <col min="353" max="354" width="3.7109375" style="1" bestFit="1" customWidth="1"/>
    <col min="355" max="355" width="3.85546875" style="1" bestFit="1" customWidth="1"/>
    <col min="356" max="356" width="4.5703125" style="1" bestFit="1" customWidth="1"/>
    <col min="357" max="357" width="3.85546875" style="1" bestFit="1" customWidth="1"/>
    <col min="358" max="358" width="4.7109375" style="1" bestFit="1" customWidth="1"/>
    <col min="359" max="359" width="3.85546875" style="1" bestFit="1" customWidth="1"/>
    <col min="360" max="361" width="3.7109375" style="1" bestFit="1" customWidth="1"/>
    <col min="362" max="362" width="3.85546875" style="1" bestFit="1" customWidth="1"/>
    <col min="363" max="363" width="4.5703125" style="1" bestFit="1" customWidth="1"/>
    <col min="364" max="364" width="3.85546875" style="1" bestFit="1" customWidth="1"/>
    <col min="365" max="365" width="4.7109375" style="1" bestFit="1" customWidth="1"/>
    <col min="366" max="366" width="3.85546875" style="1" bestFit="1" customWidth="1"/>
    <col min="367" max="368" width="3.7109375" style="1" bestFit="1" customWidth="1"/>
    <col min="369" max="369" width="3.85546875" style="1" bestFit="1" customWidth="1"/>
    <col min="370" max="370" width="4.5703125" style="1" bestFit="1" customWidth="1"/>
    <col min="371" max="371" width="3.85546875" style="1" bestFit="1" customWidth="1"/>
    <col min="372" max="373" width="6.7109375" style="1" bestFit="1" customWidth="1"/>
    <col min="374" max="374" width="18.5703125" style="1" bestFit="1" customWidth="1"/>
    <col min="375" max="375" width="5.85546875" style="1" bestFit="1" customWidth="1"/>
    <col min="376" max="376" width="14.28515625" style="1" bestFit="1" customWidth="1"/>
    <col min="377" max="377" width="6.7109375" style="1" bestFit="1" customWidth="1"/>
    <col min="378" max="16384" width="3.85546875" style="1"/>
  </cols>
  <sheetData>
    <row r="1" spans="1:377" ht="17.25" x14ac:dyDescent="0.3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</row>
    <row r="2" spans="1:377" ht="17.25" x14ac:dyDescent="0.25">
      <c r="A2" s="101" t="s">
        <v>48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</row>
    <row r="3" spans="1:377" ht="17.25" x14ac:dyDescent="0.3">
      <c r="A3" s="100" t="s">
        <v>47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</row>
    <row r="4" spans="1:377" ht="15.75" x14ac:dyDescent="0.25">
      <c r="A4" s="106" t="s">
        <v>0</v>
      </c>
      <c r="B4" s="106" t="s">
        <v>1</v>
      </c>
      <c r="C4" s="106" t="s">
        <v>2</v>
      </c>
      <c r="D4" s="106" t="s">
        <v>3</v>
      </c>
      <c r="E4" s="106" t="s">
        <v>4</v>
      </c>
      <c r="F4" s="2" t="str">
        <f>TEXT(F5,"ddd")</f>
        <v>Mon</v>
      </c>
      <c r="G4" s="2" t="str">
        <f t="shared" ref="G4:BR4" si="0">TEXT(G5,"ddd")</f>
        <v>Tue</v>
      </c>
      <c r="H4" s="2" t="str">
        <f t="shared" si="0"/>
        <v>Wed</v>
      </c>
      <c r="I4" s="2" t="str">
        <f t="shared" si="0"/>
        <v>Thu</v>
      </c>
      <c r="J4" s="2" t="str">
        <f t="shared" si="0"/>
        <v>Fri</v>
      </c>
      <c r="K4" s="2" t="str">
        <f t="shared" si="0"/>
        <v>Sat</v>
      </c>
      <c r="L4" s="2" t="str">
        <f t="shared" si="0"/>
        <v>Sun</v>
      </c>
      <c r="M4" s="2" t="str">
        <f t="shared" si="0"/>
        <v>Mon</v>
      </c>
      <c r="N4" s="2" t="str">
        <f t="shared" si="0"/>
        <v>Tue</v>
      </c>
      <c r="O4" s="2" t="str">
        <f t="shared" si="0"/>
        <v>Wed</v>
      </c>
      <c r="P4" s="2" t="str">
        <f t="shared" si="0"/>
        <v>Thu</v>
      </c>
      <c r="Q4" s="2" t="str">
        <f t="shared" si="0"/>
        <v>Fri</v>
      </c>
      <c r="R4" s="2" t="str">
        <f t="shared" si="0"/>
        <v>Sat</v>
      </c>
      <c r="S4" s="2" t="str">
        <f t="shared" si="0"/>
        <v>Sun</v>
      </c>
      <c r="T4" s="2" t="str">
        <f t="shared" si="0"/>
        <v>Mon</v>
      </c>
      <c r="U4" s="2" t="str">
        <f t="shared" si="0"/>
        <v>Tue</v>
      </c>
      <c r="V4" s="2" t="str">
        <f t="shared" si="0"/>
        <v>Wed</v>
      </c>
      <c r="W4" s="2" t="str">
        <f t="shared" si="0"/>
        <v>Thu</v>
      </c>
      <c r="X4" s="2" t="str">
        <f t="shared" si="0"/>
        <v>Fri</v>
      </c>
      <c r="Y4" s="2" t="str">
        <f t="shared" si="0"/>
        <v>Sat</v>
      </c>
      <c r="Z4" s="2" t="str">
        <f t="shared" si="0"/>
        <v>Sun</v>
      </c>
      <c r="AA4" s="2" t="str">
        <f t="shared" si="0"/>
        <v>Mon</v>
      </c>
      <c r="AB4" s="2" t="str">
        <f t="shared" si="0"/>
        <v>Tue</v>
      </c>
      <c r="AC4" s="2" t="str">
        <f t="shared" si="0"/>
        <v>Wed</v>
      </c>
      <c r="AD4" s="2" t="str">
        <f t="shared" si="0"/>
        <v>Thu</v>
      </c>
      <c r="AE4" s="2" t="str">
        <f t="shared" si="0"/>
        <v>Fri</v>
      </c>
      <c r="AF4" s="2" t="str">
        <f t="shared" si="0"/>
        <v>Sat</v>
      </c>
      <c r="AG4" s="2" t="str">
        <f t="shared" si="0"/>
        <v>Sun</v>
      </c>
      <c r="AH4" s="2" t="str">
        <f t="shared" si="0"/>
        <v>Mon</v>
      </c>
      <c r="AI4" s="2" t="str">
        <f t="shared" si="0"/>
        <v>Tue</v>
      </c>
      <c r="AJ4" s="2" t="str">
        <f t="shared" si="0"/>
        <v>Wed</v>
      </c>
      <c r="AK4" s="2" t="str">
        <f t="shared" si="0"/>
        <v>Thu</v>
      </c>
      <c r="AL4" s="2" t="str">
        <f t="shared" si="0"/>
        <v>Fri</v>
      </c>
      <c r="AM4" s="2" t="str">
        <f t="shared" si="0"/>
        <v>Sat</v>
      </c>
      <c r="AN4" s="2" t="str">
        <f t="shared" si="0"/>
        <v>Sun</v>
      </c>
      <c r="AO4" s="2" t="str">
        <f t="shared" si="0"/>
        <v>Mon</v>
      </c>
      <c r="AP4" s="2" t="str">
        <f t="shared" si="0"/>
        <v>Tue</v>
      </c>
      <c r="AQ4" s="2" t="str">
        <f t="shared" si="0"/>
        <v>Wed</v>
      </c>
      <c r="AR4" s="2" t="str">
        <f t="shared" si="0"/>
        <v>Thu</v>
      </c>
      <c r="AS4" s="2" t="str">
        <f t="shared" si="0"/>
        <v>Fri</v>
      </c>
      <c r="AT4" s="2" t="str">
        <f t="shared" si="0"/>
        <v>Sat</v>
      </c>
      <c r="AU4" s="2" t="str">
        <f t="shared" si="0"/>
        <v>Sun</v>
      </c>
      <c r="AV4" s="2" t="str">
        <f t="shared" si="0"/>
        <v>Mon</v>
      </c>
      <c r="AW4" s="2" t="str">
        <f t="shared" si="0"/>
        <v>Tue</v>
      </c>
      <c r="AX4" s="2" t="str">
        <f t="shared" si="0"/>
        <v>Wed</v>
      </c>
      <c r="AY4" s="2" t="str">
        <f t="shared" si="0"/>
        <v>Thu</v>
      </c>
      <c r="AZ4" s="2" t="str">
        <f t="shared" si="0"/>
        <v>Fri</v>
      </c>
      <c r="BA4" s="2" t="str">
        <f t="shared" si="0"/>
        <v>Sat</v>
      </c>
      <c r="BB4" s="2" t="str">
        <f t="shared" si="0"/>
        <v>Sun</v>
      </c>
      <c r="BC4" s="2" t="str">
        <f t="shared" si="0"/>
        <v>Mon</v>
      </c>
      <c r="BD4" s="2" t="str">
        <f t="shared" si="0"/>
        <v>Tue</v>
      </c>
      <c r="BE4" s="2" t="str">
        <f t="shared" si="0"/>
        <v>Wed</v>
      </c>
      <c r="BF4" s="2" t="str">
        <f t="shared" si="0"/>
        <v>Thu</v>
      </c>
      <c r="BG4" s="2" t="str">
        <f t="shared" si="0"/>
        <v>Fri</v>
      </c>
      <c r="BH4" s="2" t="str">
        <f t="shared" si="0"/>
        <v>Sat</v>
      </c>
      <c r="BI4" s="2" t="str">
        <f t="shared" si="0"/>
        <v>Sun</v>
      </c>
      <c r="BJ4" s="2" t="str">
        <f t="shared" si="0"/>
        <v>Mon</v>
      </c>
      <c r="BK4" s="2" t="str">
        <f t="shared" si="0"/>
        <v>Tue</v>
      </c>
      <c r="BL4" s="2" t="str">
        <f t="shared" si="0"/>
        <v>Wed</v>
      </c>
      <c r="BM4" s="2" t="str">
        <f t="shared" si="0"/>
        <v>Thu</v>
      </c>
      <c r="BN4" s="2" t="str">
        <f t="shared" si="0"/>
        <v>Fri</v>
      </c>
      <c r="BO4" s="2" t="str">
        <f t="shared" si="0"/>
        <v>Sat</v>
      </c>
      <c r="BP4" s="2" t="str">
        <f t="shared" si="0"/>
        <v>Sun</v>
      </c>
      <c r="BQ4" s="2" t="str">
        <f t="shared" si="0"/>
        <v>Mon</v>
      </c>
      <c r="BR4" s="2" t="str">
        <f t="shared" si="0"/>
        <v>Tue</v>
      </c>
      <c r="BS4" s="2" t="str">
        <f t="shared" ref="BS4:ED4" si="1">TEXT(BS5,"ddd")</f>
        <v>Wed</v>
      </c>
      <c r="BT4" s="2" t="str">
        <f t="shared" si="1"/>
        <v>Thu</v>
      </c>
      <c r="BU4" s="2" t="str">
        <f t="shared" si="1"/>
        <v>Fri</v>
      </c>
      <c r="BV4" s="2" t="str">
        <f t="shared" si="1"/>
        <v>Sat</v>
      </c>
      <c r="BW4" s="2" t="str">
        <f t="shared" si="1"/>
        <v>Sun</v>
      </c>
      <c r="BX4" s="2" t="str">
        <f t="shared" si="1"/>
        <v>Mon</v>
      </c>
      <c r="BY4" s="2" t="str">
        <f t="shared" si="1"/>
        <v>Tue</v>
      </c>
      <c r="BZ4" s="2" t="str">
        <f t="shared" si="1"/>
        <v>Wed</v>
      </c>
      <c r="CA4" s="2" t="str">
        <f t="shared" si="1"/>
        <v>Thu</v>
      </c>
      <c r="CB4" s="2" t="str">
        <f t="shared" si="1"/>
        <v>Fri</v>
      </c>
      <c r="CC4" s="2" t="str">
        <f t="shared" si="1"/>
        <v>Sat</v>
      </c>
      <c r="CD4" s="2" t="str">
        <f t="shared" si="1"/>
        <v>Sun</v>
      </c>
      <c r="CE4" s="2" t="str">
        <f t="shared" si="1"/>
        <v>Mon</v>
      </c>
      <c r="CF4" s="2" t="str">
        <f t="shared" si="1"/>
        <v>Tue</v>
      </c>
      <c r="CG4" s="2" t="str">
        <f t="shared" si="1"/>
        <v>Wed</v>
      </c>
      <c r="CH4" s="2" t="str">
        <f t="shared" si="1"/>
        <v>Thu</v>
      </c>
      <c r="CI4" s="2" t="str">
        <f t="shared" si="1"/>
        <v>Fri</v>
      </c>
      <c r="CJ4" s="2" t="str">
        <f t="shared" si="1"/>
        <v>Sat</v>
      </c>
      <c r="CK4" s="2" t="str">
        <f t="shared" si="1"/>
        <v>Sun</v>
      </c>
      <c r="CL4" s="2" t="str">
        <f t="shared" si="1"/>
        <v>Mon</v>
      </c>
      <c r="CM4" s="2" t="str">
        <f t="shared" si="1"/>
        <v>Tue</v>
      </c>
      <c r="CN4" s="2" t="str">
        <f t="shared" si="1"/>
        <v>Wed</v>
      </c>
      <c r="CO4" s="2" t="str">
        <f t="shared" si="1"/>
        <v>Thu</v>
      </c>
      <c r="CP4" s="2" t="str">
        <f t="shared" si="1"/>
        <v>Fri</v>
      </c>
      <c r="CQ4" s="2" t="str">
        <f t="shared" si="1"/>
        <v>Sat</v>
      </c>
      <c r="CR4" s="2" t="str">
        <f t="shared" si="1"/>
        <v>Sun</v>
      </c>
      <c r="CS4" s="2" t="str">
        <f t="shared" si="1"/>
        <v>Mon</v>
      </c>
      <c r="CT4" s="2" t="str">
        <f t="shared" si="1"/>
        <v>Tue</v>
      </c>
      <c r="CU4" s="2" t="str">
        <f t="shared" si="1"/>
        <v>Wed</v>
      </c>
      <c r="CV4" s="2" t="str">
        <f t="shared" si="1"/>
        <v>Thu</v>
      </c>
      <c r="CW4" s="2" t="str">
        <f t="shared" si="1"/>
        <v>Fri</v>
      </c>
      <c r="CX4" s="2" t="str">
        <f t="shared" si="1"/>
        <v>Sat</v>
      </c>
      <c r="CY4" s="2" t="str">
        <f t="shared" si="1"/>
        <v>Sun</v>
      </c>
      <c r="CZ4" s="2" t="str">
        <f t="shared" si="1"/>
        <v>Mon</v>
      </c>
      <c r="DA4" s="2" t="str">
        <f t="shared" si="1"/>
        <v>Tue</v>
      </c>
      <c r="DB4" s="2" t="str">
        <f t="shared" si="1"/>
        <v>Wed</v>
      </c>
      <c r="DC4" s="2" t="str">
        <f t="shared" si="1"/>
        <v>Thu</v>
      </c>
      <c r="DD4" s="2" t="str">
        <f t="shared" si="1"/>
        <v>Fri</v>
      </c>
      <c r="DE4" s="2" t="str">
        <f t="shared" si="1"/>
        <v>Sat</v>
      </c>
      <c r="DF4" s="2" t="str">
        <f t="shared" si="1"/>
        <v>Sun</v>
      </c>
      <c r="DG4" s="2" t="str">
        <f t="shared" si="1"/>
        <v>Mon</v>
      </c>
      <c r="DH4" s="2" t="str">
        <f t="shared" si="1"/>
        <v>Tue</v>
      </c>
      <c r="DI4" s="2" t="str">
        <f t="shared" si="1"/>
        <v>Wed</v>
      </c>
      <c r="DJ4" s="2" t="str">
        <f t="shared" si="1"/>
        <v>Thu</v>
      </c>
      <c r="DK4" s="2" t="str">
        <f t="shared" si="1"/>
        <v>Fri</v>
      </c>
      <c r="DL4" s="2" t="str">
        <f t="shared" si="1"/>
        <v>Sat</v>
      </c>
      <c r="DM4" s="2" t="str">
        <f t="shared" si="1"/>
        <v>Sun</v>
      </c>
      <c r="DN4" s="2" t="str">
        <f t="shared" si="1"/>
        <v>Mon</v>
      </c>
      <c r="DO4" s="2" t="str">
        <f t="shared" si="1"/>
        <v>Tue</v>
      </c>
      <c r="DP4" s="2" t="str">
        <f t="shared" si="1"/>
        <v>Wed</v>
      </c>
      <c r="DQ4" s="2" t="str">
        <f t="shared" si="1"/>
        <v>Thu</v>
      </c>
      <c r="DR4" s="2" t="str">
        <f t="shared" si="1"/>
        <v>Fri</v>
      </c>
      <c r="DS4" s="2" t="str">
        <f t="shared" si="1"/>
        <v>Sat</v>
      </c>
      <c r="DT4" s="2" t="str">
        <f t="shared" si="1"/>
        <v>Sun</v>
      </c>
      <c r="DU4" s="2" t="str">
        <f t="shared" si="1"/>
        <v>Mon</v>
      </c>
      <c r="DV4" s="2" t="str">
        <f t="shared" si="1"/>
        <v>Tue</v>
      </c>
      <c r="DW4" s="2" t="str">
        <f t="shared" si="1"/>
        <v>Wed</v>
      </c>
      <c r="DX4" s="2" t="str">
        <f t="shared" si="1"/>
        <v>Thu</v>
      </c>
      <c r="DY4" s="2" t="str">
        <f t="shared" si="1"/>
        <v>Fri</v>
      </c>
      <c r="DZ4" s="2" t="str">
        <f t="shared" si="1"/>
        <v>Sat</v>
      </c>
      <c r="EA4" s="2" t="str">
        <f t="shared" si="1"/>
        <v>Sun</v>
      </c>
      <c r="EB4" s="2" t="str">
        <f t="shared" si="1"/>
        <v>Mon</v>
      </c>
      <c r="EC4" s="2" t="str">
        <f t="shared" si="1"/>
        <v>Tue</v>
      </c>
      <c r="ED4" s="2" t="str">
        <f t="shared" si="1"/>
        <v>Wed</v>
      </c>
      <c r="EE4" s="2" t="str">
        <f t="shared" ref="EE4:GP4" si="2">TEXT(EE5,"ddd")</f>
        <v>Thu</v>
      </c>
      <c r="EF4" s="2" t="str">
        <f t="shared" si="2"/>
        <v>Fri</v>
      </c>
      <c r="EG4" s="2" t="str">
        <f t="shared" si="2"/>
        <v>Sat</v>
      </c>
      <c r="EH4" s="2" t="str">
        <f t="shared" si="2"/>
        <v>Sun</v>
      </c>
      <c r="EI4" s="2" t="str">
        <f t="shared" si="2"/>
        <v>Mon</v>
      </c>
      <c r="EJ4" s="2" t="str">
        <f t="shared" si="2"/>
        <v>Tue</v>
      </c>
      <c r="EK4" s="2" t="str">
        <f t="shared" si="2"/>
        <v>Wed</v>
      </c>
      <c r="EL4" s="2" t="str">
        <f t="shared" si="2"/>
        <v>Thu</v>
      </c>
      <c r="EM4" s="2" t="str">
        <f t="shared" si="2"/>
        <v>Fri</v>
      </c>
      <c r="EN4" s="2" t="str">
        <f t="shared" si="2"/>
        <v>Sat</v>
      </c>
      <c r="EO4" s="2" t="str">
        <f t="shared" si="2"/>
        <v>Sun</v>
      </c>
      <c r="EP4" s="2" t="str">
        <f t="shared" si="2"/>
        <v>Mon</v>
      </c>
      <c r="EQ4" s="2" t="str">
        <f t="shared" si="2"/>
        <v>Tue</v>
      </c>
      <c r="ER4" s="2" t="str">
        <f t="shared" si="2"/>
        <v>Wed</v>
      </c>
      <c r="ES4" s="2" t="str">
        <f t="shared" si="2"/>
        <v>Thu</v>
      </c>
      <c r="ET4" s="2" t="str">
        <f t="shared" si="2"/>
        <v>Fri</v>
      </c>
      <c r="EU4" s="2" t="str">
        <f t="shared" si="2"/>
        <v>Sat</v>
      </c>
      <c r="EV4" s="2" t="str">
        <f t="shared" si="2"/>
        <v>Sun</v>
      </c>
      <c r="EW4" s="2" t="str">
        <f t="shared" si="2"/>
        <v>Mon</v>
      </c>
      <c r="EX4" s="2" t="str">
        <f t="shared" si="2"/>
        <v>Tue</v>
      </c>
      <c r="EY4" s="2" t="str">
        <f t="shared" si="2"/>
        <v>Wed</v>
      </c>
      <c r="EZ4" s="2" t="str">
        <f t="shared" si="2"/>
        <v>Thu</v>
      </c>
      <c r="FA4" s="2" t="str">
        <f t="shared" si="2"/>
        <v>Fri</v>
      </c>
      <c r="FB4" s="2" t="str">
        <f t="shared" si="2"/>
        <v>Sat</v>
      </c>
      <c r="FC4" s="2" t="str">
        <f t="shared" si="2"/>
        <v>Sun</v>
      </c>
      <c r="FD4" s="2" t="str">
        <f t="shared" si="2"/>
        <v>Mon</v>
      </c>
      <c r="FE4" s="2" t="str">
        <f t="shared" si="2"/>
        <v>Tue</v>
      </c>
      <c r="FF4" s="2" t="str">
        <f t="shared" si="2"/>
        <v>Wed</v>
      </c>
      <c r="FG4" s="2" t="str">
        <f t="shared" si="2"/>
        <v>Thu</v>
      </c>
      <c r="FH4" s="2" t="str">
        <f t="shared" si="2"/>
        <v>Fri</v>
      </c>
      <c r="FI4" s="2" t="str">
        <f t="shared" si="2"/>
        <v>Sat</v>
      </c>
      <c r="FJ4" s="2" t="str">
        <f t="shared" si="2"/>
        <v>Sun</v>
      </c>
      <c r="FK4" s="2" t="str">
        <f t="shared" si="2"/>
        <v>Mon</v>
      </c>
      <c r="FL4" s="2" t="str">
        <f t="shared" si="2"/>
        <v>Tue</v>
      </c>
      <c r="FM4" s="2" t="str">
        <f t="shared" si="2"/>
        <v>Wed</v>
      </c>
      <c r="FN4" s="2" t="str">
        <f t="shared" si="2"/>
        <v>Thu</v>
      </c>
      <c r="FO4" s="2" t="str">
        <f t="shared" si="2"/>
        <v>Fri</v>
      </c>
      <c r="FP4" s="2" t="str">
        <f t="shared" si="2"/>
        <v>Sat</v>
      </c>
      <c r="FQ4" s="2" t="str">
        <f t="shared" si="2"/>
        <v>Sun</v>
      </c>
      <c r="FR4" s="2" t="str">
        <f t="shared" si="2"/>
        <v>Mon</v>
      </c>
      <c r="FS4" s="2" t="str">
        <f t="shared" si="2"/>
        <v>Tue</v>
      </c>
      <c r="FT4" s="2" t="str">
        <f t="shared" si="2"/>
        <v>Wed</v>
      </c>
      <c r="FU4" s="2" t="str">
        <f t="shared" si="2"/>
        <v>Thu</v>
      </c>
      <c r="FV4" s="2" t="str">
        <f t="shared" si="2"/>
        <v>Fri</v>
      </c>
      <c r="FW4" s="2" t="str">
        <f t="shared" si="2"/>
        <v>Sat</v>
      </c>
      <c r="FX4" s="2" t="str">
        <f t="shared" si="2"/>
        <v>Sun</v>
      </c>
      <c r="FY4" s="2" t="str">
        <f t="shared" si="2"/>
        <v>Mon</v>
      </c>
      <c r="FZ4" s="2" t="str">
        <f t="shared" si="2"/>
        <v>Tue</v>
      </c>
      <c r="GA4" s="2" t="str">
        <f t="shared" si="2"/>
        <v>Wed</v>
      </c>
      <c r="GB4" s="2" t="str">
        <f t="shared" si="2"/>
        <v>Thu</v>
      </c>
      <c r="GC4" s="2" t="str">
        <f t="shared" si="2"/>
        <v>Fri</v>
      </c>
      <c r="GD4" s="2" t="str">
        <f t="shared" si="2"/>
        <v>Sat</v>
      </c>
      <c r="GE4" s="2" t="str">
        <f t="shared" si="2"/>
        <v>Sun</v>
      </c>
      <c r="GF4" s="2" t="str">
        <f t="shared" si="2"/>
        <v>Mon</v>
      </c>
      <c r="GG4" s="2" t="str">
        <f t="shared" si="2"/>
        <v>Tue</v>
      </c>
      <c r="GH4" s="2" t="str">
        <f t="shared" si="2"/>
        <v>Wed</v>
      </c>
      <c r="GI4" s="2" t="str">
        <f t="shared" si="2"/>
        <v>Thu</v>
      </c>
      <c r="GJ4" s="2" t="str">
        <f t="shared" si="2"/>
        <v>Fri</v>
      </c>
      <c r="GK4" s="2" t="str">
        <f t="shared" si="2"/>
        <v>Sat</v>
      </c>
      <c r="GL4" s="2" t="str">
        <f t="shared" si="2"/>
        <v>Sun</v>
      </c>
      <c r="GM4" s="2" t="str">
        <f t="shared" si="2"/>
        <v>Mon</v>
      </c>
      <c r="GN4" s="2" t="str">
        <f t="shared" si="2"/>
        <v>Tue</v>
      </c>
      <c r="GO4" s="2" t="str">
        <f t="shared" si="2"/>
        <v>Wed</v>
      </c>
      <c r="GP4" s="2" t="str">
        <f t="shared" si="2"/>
        <v>Thu</v>
      </c>
      <c r="GQ4" s="2" t="str">
        <f t="shared" ref="GQ4:JB4" si="3">TEXT(GQ5,"ddd")</f>
        <v>Fri</v>
      </c>
      <c r="GR4" s="2" t="str">
        <f t="shared" si="3"/>
        <v>Sat</v>
      </c>
      <c r="GS4" s="2" t="str">
        <f t="shared" si="3"/>
        <v>Sun</v>
      </c>
      <c r="GT4" s="2" t="str">
        <f t="shared" si="3"/>
        <v>Mon</v>
      </c>
      <c r="GU4" s="2" t="str">
        <f t="shared" si="3"/>
        <v>Tue</v>
      </c>
      <c r="GV4" s="2" t="str">
        <f t="shared" si="3"/>
        <v>Wed</v>
      </c>
      <c r="GW4" s="2" t="str">
        <f t="shared" si="3"/>
        <v>Thu</v>
      </c>
      <c r="GX4" s="2" t="str">
        <f t="shared" si="3"/>
        <v>Fri</v>
      </c>
      <c r="GY4" s="2" t="str">
        <f t="shared" si="3"/>
        <v>Sat</v>
      </c>
      <c r="GZ4" s="2" t="str">
        <f t="shared" si="3"/>
        <v>Sun</v>
      </c>
      <c r="HA4" s="2" t="str">
        <f t="shared" si="3"/>
        <v>Mon</v>
      </c>
      <c r="HB4" s="2" t="str">
        <f t="shared" si="3"/>
        <v>Tue</v>
      </c>
      <c r="HC4" s="2" t="str">
        <f t="shared" si="3"/>
        <v>Wed</v>
      </c>
      <c r="HD4" s="2" t="str">
        <f t="shared" si="3"/>
        <v>Thu</v>
      </c>
      <c r="HE4" s="2" t="str">
        <f t="shared" si="3"/>
        <v>Fri</v>
      </c>
      <c r="HF4" s="2" t="str">
        <f t="shared" si="3"/>
        <v>Sat</v>
      </c>
      <c r="HG4" s="2" t="str">
        <f t="shared" si="3"/>
        <v>Sun</v>
      </c>
      <c r="HH4" s="2" t="str">
        <f t="shared" si="3"/>
        <v>Mon</v>
      </c>
      <c r="HI4" s="2" t="str">
        <f t="shared" si="3"/>
        <v>Tue</v>
      </c>
      <c r="HJ4" s="2" t="str">
        <f t="shared" si="3"/>
        <v>Wed</v>
      </c>
      <c r="HK4" s="2" t="str">
        <f t="shared" si="3"/>
        <v>Thu</v>
      </c>
      <c r="HL4" s="2" t="str">
        <f t="shared" si="3"/>
        <v>Fri</v>
      </c>
      <c r="HM4" s="2" t="str">
        <f t="shared" si="3"/>
        <v>Sat</v>
      </c>
      <c r="HN4" s="2" t="str">
        <f t="shared" si="3"/>
        <v>Sun</v>
      </c>
      <c r="HO4" s="2" t="str">
        <f t="shared" si="3"/>
        <v>Mon</v>
      </c>
      <c r="HP4" s="2" t="str">
        <f t="shared" si="3"/>
        <v>Tue</v>
      </c>
      <c r="HQ4" s="2" t="str">
        <f t="shared" si="3"/>
        <v>Wed</v>
      </c>
      <c r="HR4" s="2" t="str">
        <f t="shared" si="3"/>
        <v>Thu</v>
      </c>
      <c r="HS4" s="2" t="str">
        <f t="shared" si="3"/>
        <v>Fri</v>
      </c>
      <c r="HT4" s="2" t="str">
        <f t="shared" si="3"/>
        <v>Sat</v>
      </c>
      <c r="HU4" s="2" t="str">
        <f t="shared" si="3"/>
        <v>Sun</v>
      </c>
      <c r="HV4" s="2" t="str">
        <f t="shared" si="3"/>
        <v>Mon</v>
      </c>
      <c r="HW4" s="2" t="str">
        <f t="shared" si="3"/>
        <v>Tue</v>
      </c>
      <c r="HX4" s="2" t="str">
        <f t="shared" si="3"/>
        <v>Wed</v>
      </c>
      <c r="HY4" s="2" t="str">
        <f t="shared" si="3"/>
        <v>Thu</v>
      </c>
      <c r="HZ4" s="2" t="str">
        <f t="shared" si="3"/>
        <v>Fri</v>
      </c>
      <c r="IA4" s="2" t="str">
        <f t="shared" si="3"/>
        <v>Sat</v>
      </c>
      <c r="IB4" s="2" t="str">
        <f t="shared" si="3"/>
        <v>Sun</v>
      </c>
      <c r="IC4" s="2" t="str">
        <f t="shared" si="3"/>
        <v>Mon</v>
      </c>
      <c r="ID4" s="2" t="str">
        <f t="shared" si="3"/>
        <v>Tue</v>
      </c>
      <c r="IE4" s="2" t="str">
        <f t="shared" si="3"/>
        <v>Wed</v>
      </c>
      <c r="IF4" s="2" t="str">
        <f t="shared" si="3"/>
        <v>Thu</v>
      </c>
      <c r="IG4" s="2" t="str">
        <f t="shared" si="3"/>
        <v>Fri</v>
      </c>
      <c r="IH4" s="2" t="str">
        <f t="shared" si="3"/>
        <v>Sat</v>
      </c>
      <c r="II4" s="2" t="str">
        <f t="shared" si="3"/>
        <v>Sun</v>
      </c>
      <c r="IJ4" s="2" t="str">
        <f t="shared" si="3"/>
        <v>Mon</v>
      </c>
      <c r="IK4" s="2" t="str">
        <f t="shared" si="3"/>
        <v>Tue</v>
      </c>
      <c r="IL4" s="2" t="str">
        <f t="shared" si="3"/>
        <v>Wed</v>
      </c>
      <c r="IM4" s="2" t="str">
        <f t="shared" si="3"/>
        <v>Thu</v>
      </c>
      <c r="IN4" s="2" t="str">
        <f t="shared" si="3"/>
        <v>Fri</v>
      </c>
      <c r="IO4" s="2" t="str">
        <f t="shared" si="3"/>
        <v>Sat</v>
      </c>
      <c r="IP4" s="2" t="str">
        <f t="shared" si="3"/>
        <v>Sun</v>
      </c>
      <c r="IQ4" s="2" t="str">
        <f t="shared" si="3"/>
        <v>Mon</v>
      </c>
      <c r="IR4" s="2" t="str">
        <f t="shared" si="3"/>
        <v>Tue</v>
      </c>
      <c r="IS4" s="2" t="str">
        <f t="shared" si="3"/>
        <v>Wed</v>
      </c>
      <c r="IT4" s="2" t="str">
        <f t="shared" si="3"/>
        <v>Thu</v>
      </c>
      <c r="IU4" s="2" t="str">
        <f t="shared" si="3"/>
        <v>Fri</v>
      </c>
      <c r="IV4" s="2" t="str">
        <f t="shared" si="3"/>
        <v>Sat</v>
      </c>
      <c r="IW4" s="2" t="str">
        <f t="shared" si="3"/>
        <v>Sun</v>
      </c>
      <c r="IX4" s="2" t="str">
        <f t="shared" si="3"/>
        <v>Mon</v>
      </c>
      <c r="IY4" s="2" t="str">
        <f t="shared" si="3"/>
        <v>Tue</v>
      </c>
      <c r="IZ4" s="2" t="str">
        <f t="shared" si="3"/>
        <v>Wed</v>
      </c>
      <c r="JA4" s="2" t="str">
        <f t="shared" si="3"/>
        <v>Thu</v>
      </c>
      <c r="JB4" s="2" t="str">
        <f t="shared" si="3"/>
        <v>Fri</v>
      </c>
      <c r="JC4" s="2" t="str">
        <f t="shared" ref="JC4:LN4" si="4">TEXT(JC5,"ddd")</f>
        <v>Sat</v>
      </c>
      <c r="JD4" s="2" t="str">
        <f t="shared" si="4"/>
        <v>Sun</v>
      </c>
      <c r="JE4" s="2" t="str">
        <f t="shared" si="4"/>
        <v>Mon</v>
      </c>
      <c r="JF4" s="2" t="str">
        <f t="shared" si="4"/>
        <v>Tue</v>
      </c>
      <c r="JG4" s="2" t="str">
        <f t="shared" si="4"/>
        <v>Wed</v>
      </c>
      <c r="JH4" s="2" t="str">
        <f t="shared" si="4"/>
        <v>Thu</v>
      </c>
      <c r="JI4" s="2" t="str">
        <f t="shared" si="4"/>
        <v>Fri</v>
      </c>
      <c r="JJ4" s="2" t="str">
        <f t="shared" si="4"/>
        <v>Sat</v>
      </c>
      <c r="JK4" s="2" t="str">
        <f t="shared" si="4"/>
        <v>Sun</v>
      </c>
      <c r="JL4" s="2" t="str">
        <f t="shared" si="4"/>
        <v>Mon</v>
      </c>
      <c r="JM4" s="2" t="str">
        <f t="shared" si="4"/>
        <v>Tue</v>
      </c>
      <c r="JN4" s="2" t="str">
        <f t="shared" si="4"/>
        <v>Wed</v>
      </c>
      <c r="JO4" s="2" t="str">
        <f t="shared" si="4"/>
        <v>Thu</v>
      </c>
      <c r="JP4" s="2" t="str">
        <f t="shared" si="4"/>
        <v>Fri</v>
      </c>
      <c r="JQ4" s="2" t="str">
        <f t="shared" si="4"/>
        <v>Sat</v>
      </c>
      <c r="JR4" s="2" t="str">
        <f t="shared" si="4"/>
        <v>Sun</v>
      </c>
      <c r="JS4" s="2" t="str">
        <f t="shared" si="4"/>
        <v>Mon</v>
      </c>
      <c r="JT4" s="2" t="str">
        <f t="shared" si="4"/>
        <v>Tue</v>
      </c>
      <c r="JU4" s="2" t="str">
        <f t="shared" si="4"/>
        <v>Wed</v>
      </c>
      <c r="JV4" s="2" t="str">
        <f t="shared" si="4"/>
        <v>Thu</v>
      </c>
      <c r="JW4" s="2" t="str">
        <f t="shared" si="4"/>
        <v>Fri</v>
      </c>
      <c r="JX4" s="2" t="str">
        <f t="shared" si="4"/>
        <v>Sat</v>
      </c>
      <c r="JY4" s="2" t="str">
        <f t="shared" si="4"/>
        <v>Sun</v>
      </c>
      <c r="JZ4" s="2" t="str">
        <f t="shared" si="4"/>
        <v>Mon</v>
      </c>
      <c r="KA4" s="2" t="str">
        <f t="shared" si="4"/>
        <v>Tue</v>
      </c>
      <c r="KB4" s="2" t="str">
        <f t="shared" si="4"/>
        <v>Wed</v>
      </c>
      <c r="KC4" s="2" t="str">
        <f t="shared" si="4"/>
        <v>Thu</v>
      </c>
      <c r="KD4" s="2" t="str">
        <f t="shared" si="4"/>
        <v>Fri</v>
      </c>
      <c r="KE4" s="2" t="str">
        <f t="shared" si="4"/>
        <v>Sat</v>
      </c>
      <c r="KF4" s="2" t="str">
        <f t="shared" si="4"/>
        <v>Sun</v>
      </c>
      <c r="KG4" s="2" t="str">
        <f t="shared" si="4"/>
        <v>Mon</v>
      </c>
      <c r="KH4" s="2" t="str">
        <f t="shared" si="4"/>
        <v>Tue</v>
      </c>
      <c r="KI4" s="2" t="str">
        <f t="shared" si="4"/>
        <v>Wed</v>
      </c>
      <c r="KJ4" s="2" t="str">
        <f t="shared" si="4"/>
        <v>Thu</v>
      </c>
      <c r="KK4" s="2" t="str">
        <f t="shared" si="4"/>
        <v>Fri</v>
      </c>
      <c r="KL4" s="2" t="str">
        <f t="shared" si="4"/>
        <v>Sat</v>
      </c>
      <c r="KM4" s="2" t="str">
        <f t="shared" si="4"/>
        <v>Sun</v>
      </c>
      <c r="KN4" s="2" t="str">
        <f t="shared" si="4"/>
        <v>Mon</v>
      </c>
      <c r="KO4" s="2" t="str">
        <f t="shared" si="4"/>
        <v>Tue</v>
      </c>
      <c r="KP4" s="2" t="str">
        <f t="shared" si="4"/>
        <v>Wed</v>
      </c>
      <c r="KQ4" s="2" t="str">
        <f t="shared" si="4"/>
        <v>Thu</v>
      </c>
      <c r="KR4" s="2" t="str">
        <f t="shared" si="4"/>
        <v>Fri</v>
      </c>
      <c r="KS4" s="2" t="str">
        <f t="shared" si="4"/>
        <v>Sat</v>
      </c>
      <c r="KT4" s="2" t="str">
        <f t="shared" si="4"/>
        <v>Sun</v>
      </c>
      <c r="KU4" s="2" t="str">
        <f t="shared" si="4"/>
        <v>Mon</v>
      </c>
      <c r="KV4" s="2" t="str">
        <f t="shared" si="4"/>
        <v>Tue</v>
      </c>
      <c r="KW4" s="2" t="str">
        <f t="shared" si="4"/>
        <v>Wed</v>
      </c>
      <c r="KX4" s="2" t="str">
        <f t="shared" si="4"/>
        <v>Thu</v>
      </c>
      <c r="KY4" s="2" t="str">
        <f t="shared" si="4"/>
        <v>Fri</v>
      </c>
      <c r="KZ4" s="2" t="str">
        <f t="shared" si="4"/>
        <v>Sat</v>
      </c>
      <c r="LA4" s="2" t="str">
        <f t="shared" si="4"/>
        <v>Sun</v>
      </c>
      <c r="LB4" s="2" t="str">
        <f t="shared" si="4"/>
        <v>Mon</v>
      </c>
      <c r="LC4" s="2" t="str">
        <f t="shared" si="4"/>
        <v>Tue</v>
      </c>
      <c r="LD4" s="2" t="str">
        <f t="shared" si="4"/>
        <v>Wed</v>
      </c>
      <c r="LE4" s="2" t="str">
        <f t="shared" si="4"/>
        <v>Thu</v>
      </c>
      <c r="LF4" s="2" t="str">
        <f t="shared" si="4"/>
        <v>Fri</v>
      </c>
      <c r="LG4" s="2" t="str">
        <f t="shared" si="4"/>
        <v>Sat</v>
      </c>
      <c r="LH4" s="2" t="str">
        <f t="shared" si="4"/>
        <v>Sun</v>
      </c>
      <c r="LI4" s="2" t="str">
        <f t="shared" si="4"/>
        <v>Mon</v>
      </c>
      <c r="LJ4" s="2" t="str">
        <f t="shared" si="4"/>
        <v>Tue</v>
      </c>
      <c r="LK4" s="2" t="str">
        <f t="shared" si="4"/>
        <v>Wed</v>
      </c>
      <c r="LL4" s="2" t="str">
        <f t="shared" si="4"/>
        <v>Thu</v>
      </c>
      <c r="LM4" s="2" t="str">
        <f t="shared" si="4"/>
        <v>Fri</v>
      </c>
      <c r="LN4" s="2" t="str">
        <f t="shared" si="4"/>
        <v>Sat</v>
      </c>
      <c r="LO4" s="2" t="str">
        <f t="shared" ref="LO4:NG4" si="5">TEXT(LO5,"ddd")</f>
        <v>Sun</v>
      </c>
      <c r="LP4" s="2" t="str">
        <f t="shared" si="5"/>
        <v>Mon</v>
      </c>
      <c r="LQ4" s="2" t="str">
        <f t="shared" si="5"/>
        <v>Tue</v>
      </c>
      <c r="LR4" s="2" t="str">
        <f t="shared" si="5"/>
        <v>Wed</v>
      </c>
      <c r="LS4" s="2" t="str">
        <f t="shared" si="5"/>
        <v>Thu</v>
      </c>
      <c r="LT4" s="2" t="str">
        <f t="shared" si="5"/>
        <v>Fri</v>
      </c>
      <c r="LU4" s="2" t="str">
        <f t="shared" si="5"/>
        <v>Sat</v>
      </c>
      <c r="LV4" s="2" t="str">
        <f t="shared" si="5"/>
        <v>Sun</v>
      </c>
      <c r="LW4" s="2" t="str">
        <f t="shared" si="5"/>
        <v>Mon</v>
      </c>
      <c r="LX4" s="2" t="str">
        <f t="shared" si="5"/>
        <v>Tue</v>
      </c>
      <c r="LY4" s="2" t="str">
        <f t="shared" si="5"/>
        <v>Wed</v>
      </c>
      <c r="LZ4" s="2" t="str">
        <f t="shared" si="5"/>
        <v>Thu</v>
      </c>
      <c r="MA4" s="2" t="str">
        <f t="shared" si="5"/>
        <v>Fri</v>
      </c>
      <c r="MB4" s="2" t="str">
        <f t="shared" si="5"/>
        <v>Sat</v>
      </c>
      <c r="MC4" s="2" t="str">
        <f t="shared" si="5"/>
        <v>Sun</v>
      </c>
      <c r="MD4" s="2" t="str">
        <f t="shared" si="5"/>
        <v>Mon</v>
      </c>
      <c r="ME4" s="2" t="str">
        <f t="shared" si="5"/>
        <v>Tue</v>
      </c>
      <c r="MF4" s="2" t="str">
        <f t="shared" si="5"/>
        <v>Wed</v>
      </c>
      <c r="MG4" s="2" t="str">
        <f t="shared" si="5"/>
        <v>Thu</v>
      </c>
      <c r="MH4" s="2" t="str">
        <f t="shared" si="5"/>
        <v>Fri</v>
      </c>
      <c r="MI4" s="2" t="str">
        <f t="shared" si="5"/>
        <v>Sat</v>
      </c>
      <c r="MJ4" s="2" t="str">
        <f t="shared" si="5"/>
        <v>Sun</v>
      </c>
      <c r="MK4" s="2" t="str">
        <f t="shared" si="5"/>
        <v>Mon</v>
      </c>
      <c r="ML4" s="2" t="str">
        <f t="shared" si="5"/>
        <v>Tue</v>
      </c>
      <c r="MM4" s="2" t="str">
        <f t="shared" si="5"/>
        <v>Wed</v>
      </c>
      <c r="MN4" s="2" t="str">
        <f t="shared" si="5"/>
        <v>Thu</v>
      </c>
      <c r="MO4" s="2" t="str">
        <f t="shared" si="5"/>
        <v>Fri</v>
      </c>
      <c r="MP4" s="2" t="str">
        <f t="shared" si="5"/>
        <v>Sat</v>
      </c>
      <c r="MQ4" s="2" t="str">
        <f t="shared" si="5"/>
        <v>Sun</v>
      </c>
      <c r="MR4" s="2" t="str">
        <f t="shared" si="5"/>
        <v>Mon</v>
      </c>
      <c r="MS4" s="2" t="str">
        <f t="shared" si="5"/>
        <v>Tue</v>
      </c>
      <c r="MT4" s="2" t="str">
        <f t="shared" si="5"/>
        <v>Wed</v>
      </c>
      <c r="MU4" s="2" t="str">
        <f t="shared" si="5"/>
        <v>Thu</v>
      </c>
      <c r="MV4" s="2" t="str">
        <f t="shared" si="5"/>
        <v>Fri</v>
      </c>
      <c r="MW4" s="2" t="str">
        <f t="shared" si="5"/>
        <v>Sat</v>
      </c>
      <c r="MX4" s="2" t="str">
        <f t="shared" si="5"/>
        <v>Sun</v>
      </c>
      <c r="MY4" s="2" t="str">
        <f t="shared" si="5"/>
        <v>Mon</v>
      </c>
      <c r="MZ4" s="2" t="str">
        <f t="shared" si="5"/>
        <v>Tue</v>
      </c>
      <c r="NA4" s="2" t="str">
        <f t="shared" si="5"/>
        <v>Wed</v>
      </c>
      <c r="NB4" s="2" t="str">
        <f t="shared" si="5"/>
        <v>Thu</v>
      </c>
      <c r="NC4" s="2" t="str">
        <f t="shared" si="5"/>
        <v>Fri</v>
      </c>
      <c r="ND4" s="2" t="str">
        <f t="shared" si="5"/>
        <v>Sat</v>
      </c>
      <c r="NE4" s="2" t="str">
        <f t="shared" si="5"/>
        <v>Sun</v>
      </c>
      <c r="NF4" s="2" t="str">
        <f t="shared" si="5"/>
        <v>Mon</v>
      </c>
      <c r="NG4" s="2" t="str">
        <f t="shared" si="5"/>
        <v>Tue</v>
      </c>
      <c r="NH4" s="114" t="s">
        <v>5</v>
      </c>
      <c r="NI4" s="114" t="s">
        <v>6</v>
      </c>
      <c r="NJ4" s="103" t="s">
        <v>46</v>
      </c>
      <c r="NK4" s="105"/>
      <c r="NL4" s="3"/>
      <c r="NM4" s="3"/>
    </row>
    <row r="5" spans="1:377" ht="39" x14ac:dyDescent="0.25">
      <c r="A5" s="107"/>
      <c r="B5" s="107"/>
      <c r="C5" s="107"/>
      <c r="D5" s="107"/>
      <c r="E5" s="107"/>
      <c r="F5" s="77">
        <v>45292</v>
      </c>
      <c r="G5" s="77">
        <v>45293</v>
      </c>
      <c r="H5" s="77">
        <v>45294</v>
      </c>
      <c r="I5" s="77">
        <v>45295</v>
      </c>
      <c r="J5" s="77">
        <v>45296</v>
      </c>
      <c r="K5" s="77">
        <v>45297</v>
      </c>
      <c r="L5" s="77">
        <v>45298</v>
      </c>
      <c r="M5" s="77">
        <v>45299</v>
      </c>
      <c r="N5" s="77">
        <v>45300</v>
      </c>
      <c r="O5" s="77">
        <v>45301</v>
      </c>
      <c r="P5" s="77">
        <v>45302</v>
      </c>
      <c r="Q5" s="77">
        <v>45303</v>
      </c>
      <c r="R5" s="77">
        <v>45304</v>
      </c>
      <c r="S5" s="77">
        <v>45305</v>
      </c>
      <c r="T5" s="77">
        <v>45306</v>
      </c>
      <c r="U5" s="77">
        <v>45307</v>
      </c>
      <c r="V5" s="77">
        <v>45308</v>
      </c>
      <c r="W5" s="77">
        <v>45309</v>
      </c>
      <c r="X5" s="77">
        <v>45310</v>
      </c>
      <c r="Y5" s="77">
        <v>45311</v>
      </c>
      <c r="Z5" s="77">
        <v>45312</v>
      </c>
      <c r="AA5" s="77">
        <v>45313</v>
      </c>
      <c r="AB5" s="77">
        <v>45314</v>
      </c>
      <c r="AC5" s="77">
        <v>45315</v>
      </c>
      <c r="AD5" s="77">
        <v>45316</v>
      </c>
      <c r="AE5" s="77">
        <v>45317</v>
      </c>
      <c r="AF5" s="77">
        <v>45318</v>
      </c>
      <c r="AG5" s="77">
        <v>45319</v>
      </c>
      <c r="AH5" s="77">
        <v>45320</v>
      </c>
      <c r="AI5" s="77">
        <v>45321</v>
      </c>
      <c r="AJ5" s="77">
        <v>45322</v>
      </c>
      <c r="AK5" s="77">
        <v>45323</v>
      </c>
      <c r="AL5" s="77">
        <v>45324</v>
      </c>
      <c r="AM5" s="77">
        <v>45325</v>
      </c>
      <c r="AN5" s="77">
        <v>45326</v>
      </c>
      <c r="AO5" s="77">
        <v>45327</v>
      </c>
      <c r="AP5" s="77">
        <v>45328</v>
      </c>
      <c r="AQ5" s="77">
        <v>45329</v>
      </c>
      <c r="AR5" s="77">
        <v>45330</v>
      </c>
      <c r="AS5" s="77">
        <v>45331</v>
      </c>
      <c r="AT5" s="77">
        <v>45332</v>
      </c>
      <c r="AU5" s="77">
        <v>45333</v>
      </c>
      <c r="AV5" s="77">
        <v>45334</v>
      </c>
      <c r="AW5" s="77">
        <v>45335</v>
      </c>
      <c r="AX5" s="77">
        <v>45336</v>
      </c>
      <c r="AY5" s="77">
        <v>45337</v>
      </c>
      <c r="AZ5" s="77">
        <v>45338</v>
      </c>
      <c r="BA5" s="77">
        <v>45339</v>
      </c>
      <c r="BB5" s="77">
        <v>45340</v>
      </c>
      <c r="BC5" s="77">
        <v>45341</v>
      </c>
      <c r="BD5" s="77">
        <v>45342</v>
      </c>
      <c r="BE5" s="77">
        <v>45343</v>
      </c>
      <c r="BF5" s="77">
        <v>45344</v>
      </c>
      <c r="BG5" s="77">
        <v>45345</v>
      </c>
      <c r="BH5" s="77">
        <v>45346</v>
      </c>
      <c r="BI5" s="77">
        <v>45347</v>
      </c>
      <c r="BJ5" s="77">
        <v>45348</v>
      </c>
      <c r="BK5" s="77">
        <v>45349</v>
      </c>
      <c r="BL5" s="77">
        <v>45350</v>
      </c>
      <c r="BM5" s="77">
        <v>45351</v>
      </c>
      <c r="BN5" s="77">
        <v>45352</v>
      </c>
      <c r="BO5" s="77">
        <v>45353</v>
      </c>
      <c r="BP5" s="77">
        <v>45354</v>
      </c>
      <c r="BQ5" s="77">
        <v>45355</v>
      </c>
      <c r="BR5" s="77">
        <v>45356</v>
      </c>
      <c r="BS5" s="77">
        <v>45357</v>
      </c>
      <c r="BT5" s="77">
        <v>45358</v>
      </c>
      <c r="BU5" s="77">
        <v>45359</v>
      </c>
      <c r="BV5" s="77">
        <v>45360</v>
      </c>
      <c r="BW5" s="77">
        <v>45361</v>
      </c>
      <c r="BX5" s="77">
        <v>45362</v>
      </c>
      <c r="BY5" s="77">
        <v>45363</v>
      </c>
      <c r="BZ5" s="77">
        <v>45364</v>
      </c>
      <c r="CA5" s="77">
        <v>45365</v>
      </c>
      <c r="CB5" s="77">
        <v>45366</v>
      </c>
      <c r="CC5" s="77">
        <v>45367</v>
      </c>
      <c r="CD5" s="77">
        <v>45368</v>
      </c>
      <c r="CE5" s="77">
        <v>45369</v>
      </c>
      <c r="CF5" s="77">
        <v>45370</v>
      </c>
      <c r="CG5" s="77">
        <v>45371</v>
      </c>
      <c r="CH5" s="77">
        <v>45372</v>
      </c>
      <c r="CI5" s="77">
        <v>45373</v>
      </c>
      <c r="CJ5" s="77">
        <v>45374</v>
      </c>
      <c r="CK5" s="77">
        <v>45375</v>
      </c>
      <c r="CL5" s="77">
        <v>45376</v>
      </c>
      <c r="CM5" s="77">
        <v>45377</v>
      </c>
      <c r="CN5" s="77">
        <v>45378</v>
      </c>
      <c r="CO5" s="77">
        <v>45379</v>
      </c>
      <c r="CP5" s="77">
        <v>45380</v>
      </c>
      <c r="CQ5" s="77">
        <v>45381</v>
      </c>
      <c r="CR5" s="77">
        <v>45382</v>
      </c>
      <c r="CS5" s="77">
        <v>45383</v>
      </c>
      <c r="CT5" s="77">
        <v>45384</v>
      </c>
      <c r="CU5" s="77">
        <v>45385</v>
      </c>
      <c r="CV5" s="77">
        <v>45386</v>
      </c>
      <c r="CW5" s="77">
        <v>45387</v>
      </c>
      <c r="CX5" s="77">
        <v>45388</v>
      </c>
      <c r="CY5" s="77">
        <v>45389</v>
      </c>
      <c r="CZ5" s="77">
        <v>45390</v>
      </c>
      <c r="DA5" s="77">
        <v>45391</v>
      </c>
      <c r="DB5" s="77">
        <v>45392</v>
      </c>
      <c r="DC5" s="77">
        <v>45393</v>
      </c>
      <c r="DD5" s="77">
        <v>45394</v>
      </c>
      <c r="DE5" s="77">
        <v>45395</v>
      </c>
      <c r="DF5" s="77">
        <v>45396</v>
      </c>
      <c r="DG5" s="77">
        <v>45397</v>
      </c>
      <c r="DH5" s="77">
        <v>45398</v>
      </c>
      <c r="DI5" s="77">
        <v>45399</v>
      </c>
      <c r="DJ5" s="77">
        <v>45400</v>
      </c>
      <c r="DK5" s="77">
        <v>45401</v>
      </c>
      <c r="DL5" s="77">
        <v>45402</v>
      </c>
      <c r="DM5" s="77">
        <v>45403</v>
      </c>
      <c r="DN5" s="77">
        <v>45404</v>
      </c>
      <c r="DO5" s="77">
        <v>45405</v>
      </c>
      <c r="DP5" s="77">
        <v>45406</v>
      </c>
      <c r="DQ5" s="77">
        <v>45407</v>
      </c>
      <c r="DR5" s="77">
        <v>45408</v>
      </c>
      <c r="DS5" s="77">
        <v>45409</v>
      </c>
      <c r="DT5" s="77">
        <v>45410</v>
      </c>
      <c r="DU5" s="77">
        <v>45411</v>
      </c>
      <c r="DV5" s="77">
        <v>45412</v>
      </c>
      <c r="DW5" s="77">
        <v>45413</v>
      </c>
      <c r="DX5" s="77">
        <v>45414</v>
      </c>
      <c r="DY5" s="77">
        <v>45415</v>
      </c>
      <c r="DZ5" s="77">
        <v>45416</v>
      </c>
      <c r="EA5" s="77">
        <v>45417</v>
      </c>
      <c r="EB5" s="77">
        <v>45418</v>
      </c>
      <c r="EC5" s="77">
        <v>45419</v>
      </c>
      <c r="ED5" s="77">
        <v>45420</v>
      </c>
      <c r="EE5" s="77">
        <v>45421</v>
      </c>
      <c r="EF5" s="77">
        <v>45422</v>
      </c>
      <c r="EG5" s="77">
        <v>45423</v>
      </c>
      <c r="EH5" s="77">
        <v>45424</v>
      </c>
      <c r="EI5" s="77">
        <v>45425</v>
      </c>
      <c r="EJ5" s="77">
        <v>45426</v>
      </c>
      <c r="EK5" s="77">
        <v>45427</v>
      </c>
      <c r="EL5" s="77">
        <v>45428</v>
      </c>
      <c r="EM5" s="77">
        <v>45429</v>
      </c>
      <c r="EN5" s="77">
        <v>45430</v>
      </c>
      <c r="EO5" s="77">
        <v>45431</v>
      </c>
      <c r="EP5" s="77">
        <v>45432</v>
      </c>
      <c r="EQ5" s="77">
        <v>45433</v>
      </c>
      <c r="ER5" s="77">
        <v>45434</v>
      </c>
      <c r="ES5" s="77">
        <v>45435</v>
      </c>
      <c r="ET5" s="77">
        <v>45436</v>
      </c>
      <c r="EU5" s="77">
        <v>45437</v>
      </c>
      <c r="EV5" s="77">
        <v>45438</v>
      </c>
      <c r="EW5" s="77">
        <v>45439</v>
      </c>
      <c r="EX5" s="77">
        <v>45440</v>
      </c>
      <c r="EY5" s="77">
        <v>45441</v>
      </c>
      <c r="EZ5" s="77">
        <v>45442</v>
      </c>
      <c r="FA5" s="77">
        <v>45443</v>
      </c>
      <c r="FB5" s="77">
        <v>45444</v>
      </c>
      <c r="FC5" s="77">
        <v>45445</v>
      </c>
      <c r="FD5" s="77">
        <v>45446</v>
      </c>
      <c r="FE5" s="77">
        <v>45447</v>
      </c>
      <c r="FF5" s="77">
        <v>45448</v>
      </c>
      <c r="FG5" s="77">
        <v>45449</v>
      </c>
      <c r="FH5" s="77">
        <v>45450</v>
      </c>
      <c r="FI5" s="77">
        <v>45451</v>
      </c>
      <c r="FJ5" s="77">
        <v>45452</v>
      </c>
      <c r="FK5" s="77">
        <v>45453</v>
      </c>
      <c r="FL5" s="77">
        <v>45454</v>
      </c>
      <c r="FM5" s="77">
        <v>45455</v>
      </c>
      <c r="FN5" s="77">
        <v>45456</v>
      </c>
      <c r="FO5" s="77">
        <v>45457</v>
      </c>
      <c r="FP5" s="77">
        <v>45458</v>
      </c>
      <c r="FQ5" s="77">
        <v>45459</v>
      </c>
      <c r="FR5" s="77">
        <v>45460</v>
      </c>
      <c r="FS5" s="77">
        <v>45461</v>
      </c>
      <c r="FT5" s="77">
        <v>45462</v>
      </c>
      <c r="FU5" s="77">
        <v>45463</v>
      </c>
      <c r="FV5" s="77">
        <v>45464</v>
      </c>
      <c r="FW5" s="77">
        <v>45465</v>
      </c>
      <c r="FX5" s="77">
        <v>45466</v>
      </c>
      <c r="FY5" s="77">
        <v>45467</v>
      </c>
      <c r="FZ5" s="77">
        <v>45468</v>
      </c>
      <c r="GA5" s="77">
        <v>45469</v>
      </c>
      <c r="GB5" s="77">
        <v>45470</v>
      </c>
      <c r="GC5" s="77">
        <v>45471</v>
      </c>
      <c r="GD5" s="77">
        <v>45472</v>
      </c>
      <c r="GE5" s="77">
        <v>45473</v>
      </c>
      <c r="GF5" s="77">
        <v>45474</v>
      </c>
      <c r="GG5" s="77">
        <v>45475</v>
      </c>
      <c r="GH5" s="77">
        <v>45476</v>
      </c>
      <c r="GI5" s="77">
        <v>45477</v>
      </c>
      <c r="GJ5" s="77">
        <v>45478</v>
      </c>
      <c r="GK5" s="77">
        <v>45479</v>
      </c>
      <c r="GL5" s="77">
        <v>45480</v>
      </c>
      <c r="GM5" s="77">
        <v>45481</v>
      </c>
      <c r="GN5" s="77">
        <v>45482</v>
      </c>
      <c r="GO5" s="77">
        <v>45483</v>
      </c>
      <c r="GP5" s="77">
        <v>45484</v>
      </c>
      <c r="GQ5" s="77">
        <v>45485</v>
      </c>
      <c r="GR5" s="77">
        <v>45486</v>
      </c>
      <c r="GS5" s="77">
        <v>45487</v>
      </c>
      <c r="GT5" s="77">
        <v>45488</v>
      </c>
      <c r="GU5" s="77">
        <v>45489</v>
      </c>
      <c r="GV5" s="77">
        <v>45490</v>
      </c>
      <c r="GW5" s="77">
        <v>45491</v>
      </c>
      <c r="GX5" s="77">
        <v>45492</v>
      </c>
      <c r="GY5" s="77">
        <v>45493</v>
      </c>
      <c r="GZ5" s="77">
        <v>45494</v>
      </c>
      <c r="HA5" s="77">
        <v>45495</v>
      </c>
      <c r="HB5" s="77">
        <v>45496</v>
      </c>
      <c r="HC5" s="77">
        <v>45497</v>
      </c>
      <c r="HD5" s="77">
        <v>45498</v>
      </c>
      <c r="HE5" s="77">
        <v>45499</v>
      </c>
      <c r="HF5" s="77">
        <v>45500</v>
      </c>
      <c r="HG5" s="77">
        <v>45501</v>
      </c>
      <c r="HH5" s="77">
        <v>45502</v>
      </c>
      <c r="HI5" s="77">
        <v>45503</v>
      </c>
      <c r="HJ5" s="77">
        <v>45504</v>
      </c>
      <c r="HK5" s="77">
        <v>45505</v>
      </c>
      <c r="HL5" s="77">
        <v>45506</v>
      </c>
      <c r="HM5" s="77">
        <v>45507</v>
      </c>
      <c r="HN5" s="77">
        <v>45508</v>
      </c>
      <c r="HO5" s="77">
        <v>45509</v>
      </c>
      <c r="HP5" s="77">
        <v>45510</v>
      </c>
      <c r="HQ5" s="77">
        <v>45511</v>
      </c>
      <c r="HR5" s="77">
        <v>45512</v>
      </c>
      <c r="HS5" s="77">
        <v>45513</v>
      </c>
      <c r="HT5" s="77">
        <v>45514</v>
      </c>
      <c r="HU5" s="77">
        <v>45515</v>
      </c>
      <c r="HV5" s="77">
        <v>45516</v>
      </c>
      <c r="HW5" s="77">
        <v>45517</v>
      </c>
      <c r="HX5" s="77">
        <v>45518</v>
      </c>
      <c r="HY5" s="77">
        <v>45519</v>
      </c>
      <c r="HZ5" s="77">
        <v>45520</v>
      </c>
      <c r="IA5" s="77">
        <v>45521</v>
      </c>
      <c r="IB5" s="77">
        <v>45522</v>
      </c>
      <c r="IC5" s="77">
        <v>45523</v>
      </c>
      <c r="ID5" s="77">
        <v>45524</v>
      </c>
      <c r="IE5" s="77">
        <v>45525</v>
      </c>
      <c r="IF5" s="77">
        <v>45526</v>
      </c>
      <c r="IG5" s="77">
        <v>45527</v>
      </c>
      <c r="IH5" s="77">
        <v>45528</v>
      </c>
      <c r="II5" s="77">
        <v>45529</v>
      </c>
      <c r="IJ5" s="77">
        <v>45530</v>
      </c>
      <c r="IK5" s="77">
        <v>45531</v>
      </c>
      <c r="IL5" s="77">
        <v>45532</v>
      </c>
      <c r="IM5" s="77">
        <v>45533</v>
      </c>
      <c r="IN5" s="77">
        <v>45534</v>
      </c>
      <c r="IO5" s="77">
        <v>45535</v>
      </c>
      <c r="IP5" s="77">
        <v>45536</v>
      </c>
      <c r="IQ5" s="77">
        <v>45537</v>
      </c>
      <c r="IR5" s="77">
        <v>45538</v>
      </c>
      <c r="IS5" s="77">
        <v>45539</v>
      </c>
      <c r="IT5" s="77">
        <v>45540</v>
      </c>
      <c r="IU5" s="77">
        <v>45541</v>
      </c>
      <c r="IV5" s="77">
        <v>45542</v>
      </c>
      <c r="IW5" s="77">
        <v>45543</v>
      </c>
      <c r="IX5" s="77">
        <v>45544</v>
      </c>
      <c r="IY5" s="77">
        <v>45545</v>
      </c>
      <c r="IZ5" s="77">
        <v>45546</v>
      </c>
      <c r="JA5" s="77">
        <v>45547</v>
      </c>
      <c r="JB5" s="77">
        <v>45548</v>
      </c>
      <c r="JC5" s="77">
        <v>45549</v>
      </c>
      <c r="JD5" s="77">
        <v>45550</v>
      </c>
      <c r="JE5" s="77">
        <v>45551</v>
      </c>
      <c r="JF5" s="77">
        <v>45552</v>
      </c>
      <c r="JG5" s="77">
        <v>45553</v>
      </c>
      <c r="JH5" s="77">
        <v>45554</v>
      </c>
      <c r="JI5" s="77">
        <v>45555</v>
      </c>
      <c r="JJ5" s="77">
        <v>45556</v>
      </c>
      <c r="JK5" s="77">
        <v>45557</v>
      </c>
      <c r="JL5" s="77">
        <v>45558</v>
      </c>
      <c r="JM5" s="77">
        <v>45559</v>
      </c>
      <c r="JN5" s="77">
        <v>45560</v>
      </c>
      <c r="JO5" s="77">
        <v>45561</v>
      </c>
      <c r="JP5" s="77">
        <v>45562</v>
      </c>
      <c r="JQ5" s="77">
        <v>45563</v>
      </c>
      <c r="JR5" s="77">
        <v>45564</v>
      </c>
      <c r="JS5" s="77">
        <v>45565</v>
      </c>
      <c r="JT5" s="77">
        <v>45566</v>
      </c>
      <c r="JU5" s="77">
        <v>45567</v>
      </c>
      <c r="JV5" s="77">
        <v>45568</v>
      </c>
      <c r="JW5" s="77">
        <v>45569</v>
      </c>
      <c r="JX5" s="77">
        <v>45570</v>
      </c>
      <c r="JY5" s="77">
        <v>45571</v>
      </c>
      <c r="JZ5" s="77">
        <v>45572</v>
      </c>
      <c r="KA5" s="77">
        <v>45573</v>
      </c>
      <c r="KB5" s="77">
        <v>45574</v>
      </c>
      <c r="KC5" s="77">
        <v>45575</v>
      </c>
      <c r="KD5" s="77">
        <v>45576</v>
      </c>
      <c r="KE5" s="77">
        <v>45577</v>
      </c>
      <c r="KF5" s="77">
        <v>45578</v>
      </c>
      <c r="KG5" s="77">
        <v>45579</v>
      </c>
      <c r="KH5" s="77">
        <v>45580</v>
      </c>
      <c r="KI5" s="77">
        <v>45581</v>
      </c>
      <c r="KJ5" s="77">
        <v>45582</v>
      </c>
      <c r="KK5" s="77">
        <v>45583</v>
      </c>
      <c r="KL5" s="77">
        <v>45584</v>
      </c>
      <c r="KM5" s="77">
        <v>45585</v>
      </c>
      <c r="KN5" s="77">
        <v>45586</v>
      </c>
      <c r="KO5" s="77">
        <v>45587</v>
      </c>
      <c r="KP5" s="77">
        <v>45588</v>
      </c>
      <c r="KQ5" s="77">
        <v>45589</v>
      </c>
      <c r="KR5" s="77">
        <v>45590</v>
      </c>
      <c r="KS5" s="77">
        <v>45591</v>
      </c>
      <c r="KT5" s="77">
        <v>45592</v>
      </c>
      <c r="KU5" s="77">
        <v>45593</v>
      </c>
      <c r="KV5" s="77">
        <v>45594</v>
      </c>
      <c r="KW5" s="77">
        <v>45595</v>
      </c>
      <c r="KX5" s="77">
        <v>45596</v>
      </c>
      <c r="KY5" s="77">
        <v>45597</v>
      </c>
      <c r="KZ5" s="77">
        <v>45598</v>
      </c>
      <c r="LA5" s="77">
        <v>45599</v>
      </c>
      <c r="LB5" s="77">
        <v>45600</v>
      </c>
      <c r="LC5" s="77">
        <v>45601</v>
      </c>
      <c r="LD5" s="77">
        <v>45602</v>
      </c>
      <c r="LE5" s="77">
        <v>45603</v>
      </c>
      <c r="LF5" s="77">
        <v>45604</v>
      </c>
      <c r="LG5" s="77">
        <v>45605</v>
      </c>
      <c r="LH5" s="77">
        <v>45606</v>
      </c>
      <c r="LI5" s="77">
        <v>45607</v>
      </c>
      <c r="LJ5" s="77">
        <v>45608</v>
      </c>
      <c r="LK5" s="77">
        <v>45609</v>
      </c>
      <c r="LL5" s="77">
        <v>45610</v>
      </c>
      <c r="LM5" s="77">
        <v>45611</v>
      </c>
      <c r="LN5" s="77">
        <v>45612</v>
      </c>
      <c r="LO5" s="77">
        <v>45613</v>
      </c>
      <c r="LP5" s="77">
        <v>45614</v>
      </c>
      <c r="LQ5" s="77">
        <v>45615</v>
      </c>
      <c r="LR5" s="77">
        <v>45616</v>
      </c>
      <c r="LS5" s="77">
        <v>45617</v>
      </c>
      <c r="LT5" s="77">
        <v>45618</v>
      </c>
      <c r="LU5" s="77">
        <v>45619</v>
      </c>
      <c r="LV5" s="77">
        <v>45620</v>
      </c>
      <c r="LW5" s="77">
        <v>45621</v>
      </c>
      <c r="LX5" s="77">
        <v>45622</v>
      </c>
      <c r="LY5" s="77">
        <v>45623</v>
      </c>
      <c r="LZ5" s="77">
        <v>45624</v>
      </c>
      <c r="MA5" s="77">
        <v>45625</v>
      </c>
      <c r="MB5" s="77">
        <v>45626</v>
      </c>
      <c r="MC5" s="77">
        <v>45627</v>
      </c>
      <c r="MD5" s="77">
        <v>45628</v>
      </c>
      <c r="ME5" s="77">
        <v>45629</v>
      </c>
      <c r="MF5" s="77">
        <v>45630</v>
      </c>
      <c r="MG5" s="77">
        <v>45631</v>
      </c>
      <c r="MH5" s="77">
        <v>45632</v>
      </c>
      <c r="MI5" s="77">
        <v>45633</v>
      </c>
      <c r="MJ5" s="77">
        <v>45634</v>
      </c>
      <c r="MK5" s="77">
        <v>45635</v>
      </c>
      <c r="ML5" s="77">
        <v>45636</v>
      </c>
      <c r="MM5" s="77">
        <v>45637</v>
      </c>
      <c r="MN5" s="77">
        <v>45638</v>
      </c>
      <c r="MO5" s="77">
        <v>45639</v>
      </c>
      <c r="MP5" s="77">
        <v>45640</v>
      </c>
      <c r="MQ5" s="77">
        <v>45641</v>
      </c>
      <c r="MR5" s="77">
        <v>45642</v>
      </c>
      <c r="MS5" s="77">
        <v>45643</v>
      </c>
      <c r="MT5" s="77">
        <v>45644</v>
      </c>
      <c r="MU5" s="77">
        <v>45645</v>
      </c>
      <c r="MV5" s="77">
        <v>45646</v>
      </c>
      <c r="MW5" s="77">
        <v>45647</v>
      </c>
      <c r="MX5" s="77">
        <v>45648</v>
      </c>
      <c r="MY5" s="77">
        <v>45649</v>
      </c>
      <c r="MZ5" s="77">
        <v>45650</v>
      </c>
      <c r="NA5" s="77">
        <v>45651</v>
      </c>
      <c r="NB5" s="77">
        <v>45652</v>
      </c>
      <c r="NC5" s="77">
        <v>45653</v>
      </c>
      <c r="ND5" s="77">
        <v>45654</v>
      </c>
      <c r="NE5" s="77">
        <v>45655</v>
      </c>
      <c r="NF5" s="77">
        <v>45656</v>
      </c>
      <c r="NG5" s="77">
        <v>45657</v>
      </c>
      <c r="NH5" s="114"/>
      <c r="NI5" s="114"/>
      <c r="NJ5" s="4" t="s">
        <v>7</v>
      </c>
      <c r="NK5" s="5">
        <v>31</v>
      </c>
      <c r="NL5" s="3"/>
      <c r="NM5" s="3"/>
    </row>
    <row r="6" spans="1:377" x14ac:dyDescent="0.25">
      <c r="A6" s="6">
        <v>1</v>
      </c>
      <c r="B6" s="7"/>
      <c r="C6" s="8"/>
      <c r="D6" s="9"/>
      <c r="E6" s="10" t="s">
        <v>29</v>
      </c>
      <c r="F6" s="11"/>
      <c r="G6" s="12"/>
      <c r="H6" s="11"/>
      <c r="I6" s="12"/>
      <c r="J6" s="12"/>
      <c r="K6" s="13"/>
      <c r="L6" s="12"/>
      <c r="M6" s="12"/>
      <c r="N6" s="11"/>
      <c r="O6" s="11"/>
      <c r="P6" s="12"/>
      <c r="Q6" s="12"/>
      <c r="R6" s="13"/>
      <c r="S6" s="13"/>
      <c r="T6" s="12"/>
      <c r="U6" s="14"/>
      <c r="V6" s="11"/>
      <c r="W6" s="12"/>
      <c r="X6" s="12"/>
      <c r="Y6" s="13"/>
      <c r="Z6" s="12"/>
      <c r="AA6" s="12"/>
      <c r="AB6" s="12"/>
      <c r="AC6" s="12"/>
      <c r="AD6" s="12"/>
      <c r="AE6" s="12"/>
      <c r="AF6" s="13"/>
      <c r="AG6" s="12"/>
      <c r="AH6" s="12"/>
      <c r="AI6" s="12"/>
      <c r="AJ6" s="12"/>
      <c r="AK6" s="15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5">
        <f>COUNTIF(F6:NG6,"P")</f>
        <v>0</v>
      </c>
      <c r="NI6" s="5">
        <f>COUNTIF(F6:NG6,"A")</f>
        <v>0</v>
      </c>
      <c r="NJ6" s="5" t="s">
        <v>9</v>
      </c>
      <c r="NK6" s="17">
        <v>26</v>
      </c>
      <c r="NL6" s="18" t="s">
        <v>10</v>
      </c>
      <c r="NM6" s="3"/>
    </row>
    <row r="7" spans="1:377" x14ac:dyDescent="0.25">
      <c r="A7" s="17">
        <v>2</v>
      </c>
      <c r="B7" s="19"/>
      <c r="C7" s="20"/>
      <c r="D7" s="21"/>
      <c r="E7" s="10" t="s">
        <v>29</v>
      </c>
      <c r="F7" s="11"/>
      <c r="G7" s="12"/>
      <c r="H7" s="11"/>
      <c r="I7" s="12"/>
      <c r="J7" s="12"/>
      <c r="K7" s="13"/>
      <c r="L7" s="12"/>
      <c r="M7" s="12"/>
      <c r="N7" s="11"/>
      <c r="O7" s="11"/>
      <c r="P7" s="12"/>
      <c r="Q7" s="12"/>
      <c r="R7" s="13"/>
      <c r="S7" s="13"/>
      <c r="T7" s="12"/>
      <c r="U7" s="14"/>
      <c r="V7" s="11"/>
      <c r="W7" s="12"/>
      <c r="X7" s="12"/>
      <c r="Y7" s="13"/>
      <c r="Z7" s="12"/>
      <c r="AA7" s="12"/>
      <c r="AB7" s="12"/>
      <c r="AC7" s="12"/>
      <c r="AD7" s="12"/>
      <c r="AE7" s="12"/>
      <c r="AF7" s="13"/>
      <c r="AG7" s="12"/>
      <c r="AH7" s="12"/>
      <c r="AI7" s="12"/>
      <c r="AJ7" s="12"/>
      <c r="AK7" s="15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5">
        <f t="shared" ref="NH7:NH45" si="6">COUNTIF(F7:NG7,"P")</f>
        <v>0</v>
      </c>
      <c r="NI7" s="5">
        <f t="shared" ref="NI7:NI45" si="7">COUNTIF(F7:NG7,"A")</f>
        <v>0</v>
      </c>
      <c r="NJ7" s="5" t="s">
        <v>11</v>
      </c>
      <c r="NK7" s="17">
        <v>4</v>
      </c>
      <c r="NL7" s="3"/>
      <c r="NM7" s="3"/>
    </row>
    <row r="8" spans="1:377" x14ac:dyDescent="0.25">
      <c r="A8" s="6">
        <v>3</v>
      </c>
      <c r="B8" s="19"/>
      <c r="C8" s="20"/>
      <c r="D8" s="21"/>
      <c r="E8" s="10" t="s">
        <v>29</v>
      </c>
      <c r="F8" s="11"/>
      <c r="G8" s="12"/>
      <c r="H8" s="11"/>
      <c r="I8" s="12"/>
      <c r="J8" s="12"/>
      <c r="K8" s="13"/>
      <c r="L8" s="12"/>
      <c r="M8" s="12"/>
      <c r="N8" s="11"/>
      <c r="O8" s="11"/>
      <c r="P8" s="12"/>
      <c r="Q8" s="12"/>
      <c r="R8" s="13"/>
      <c r="S8" s="13"/>
      <c r="T8" s="12"/>
      <c r="U8" s="14"/>
      <c r="V8" s="11"/>
      <c r="W8" s="12"/>
      <c r="X8" s="12"/>
      <c r="Y8" s="13"/>
      <c r="Z8" s="12"/>
      <c r="AA8" s="12"/>
      <c r="AB8" s="12"/>
      <c r="AC8" s="12"/>
      <c r="AD8" s="12"/>
      <c r="AE8" s="12"/>
      <c r="AF8" s="13"/>
      <c r="AG8" s="12"/>
      <c r="AH8" s="12"/>
      <c r="AI8" s="12"/>
      <c r="AJ8" s="12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5">
        <f t="shared" si="6"/>
        <v>0</v>
      </c>
      <c r="NI8" s="5">
        <f t="shared" si="7"/>
        <v>0</v>
      </c>
      <c r="NJ8" s="3"/>
      <c r="NK8" s="3"/>
      <c r="NL8" s="3"/>
      <c r="NM8" s="3"/>
    </row>
    <row r="9" spans="1:377" ht="15.75" x14ac:dyDescent="0.25">
      <c r="A9" s="17">
        <v>4</v>
      </c>
      <c r="B9" s="19"/>
      <c r="C9" s="20"/>
      <c r="D9" s="21"/>
      <c r="E9" s="10" t="s">
        <v>29</v>
      </c>
      <c r="F9" s="11"/>
      <c r="G9" s="12"/>
      <c r="H9" s="11"/>
      <c r="I9" s="12"/>
      <c r="J9" s="12"/>
      <c r="K9" s="13"/>
      <c r="L9" s="12"/>
      <c r="M9" s="12"/>
      <c r="N9" s="11"/>
      <c r="O9" s="11"/>
      <c r="P9" s="12"/>
      <c r="Q9" s="12"/>
      <c r="R9" s="13"/>
      <c r="S9" s="13"/>
      <c r="T9" s="12"/>
      <c r="U9" s="14"/>
      <c r="V9" s="11"/>
      <c r="W9" s="12"/>
      <c r="X9" s="12"/>
      <c r="Y9" s="13"/>
      <c r="Z9" s="12"/>
      <c r="AA9" s="12"/>
      <c r="AB9" s="12"/>
      <c r="AC9" s="12"/>
      <c r="AD9" s="12"/>
      <c r="AE9" s="12"/>
      <c r="AF9" s="13"/>
      <c r="AG9" s="12"/>
      <c r="AH9" s="12"/>
      <c r="AI9" s="12"/>
      <c r="AJ9" s="12"/>
      <c r="AK9" s="22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5">
        <f t="shared" si="6"/>
        <v>0</v>
      </c>
      <c r="NI9" s="5">
        <f t="shared" si="7"/>
        <v>0</v>
      </c>
      <c r="NJ9" s="103" t="s">
        <v>12</v>
      </c>
      <c r="NK9" s="105"/>
      <c r="NL9" s="105"/>
      <c r="NM9" s="104"/>
    </row>
    <row r="10" spans="1:377" x14ac:dyDescent="0.25">
      <c r="A10" s="6">
        <v>5</v>
      </c>
      <c r="B10" s="19"/>
      <c r="C10" s="20"/>
      <c r="D10" s="21"/>
      <c r="E10" s="10" t="s">
        <v>29</v>
      </c>
      <c r="F10" s="11"/>
      <c r="G10" s="12"/>
      <c r="H10" s="11"/>
      <c r="I10" s="12"/>
      <c r="J10" s="12"/>
      <c r="K10" s="13"/>
      <c r="L10" s="12"/>
      <c r="M10" s="12"/>
      <c r="N10" s="11"/>
      <c r="O10" s="11"/>
      <c r="P10" s="12"/>
      <c r="Q10" s="12"/>
      <c r="R10" s="13"/>
      <c r="S10" s="13"/>
      <c r="T10" s="12"/>
      <c r="U10" s="14"/>
      <c r="V10" s="11"/>
      <c r="W10" s="12"/>
      <c r="X10" s="12"/>
      <c r="Y10" s="13"/>
      <c r="Z10" s="12"/>
      <c r="AA10" s="12"/>
      <c r="AB10" s="12"/>
      <c r="AC10" s="12"/>
      <c r="AD10" s="12"/>
      <c r="AE10" s="12"/>
      <c r="AF10" s="13"/>
      <c r="AG10" s="12"/>
      <c r="AH10" s="12"/>
      <c r="AI10" s="12"/>
      <c r="AJ10" s="12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5">
        <f t="shared" si="6"/>
        <v>0</v>
      </c>
      <c r="NI10" s="5">
        <f t="shared" si="7"/>
        <v>0</v>
      </c>
      <c r="NJ10" s="5" t="s">
        <v>13</v>
      </c>
      <c r="NK10" s="5" t="s">
        <v>14</v>
      </c>
      <c r="NL10" s="5" t="s">
        <v>15</v>
      </c>
      <c r="NM10" s="5" t="s">
        <v>16</v>
      </c>
    </row>
    <row r="11" spans="1:377" x14ac:dyDescent="0.25">
      <c r="A11" s="17">
        <v>6</v>
      </c>
      <c r="B11" s="19"/>
      <c r="C11" s="20"/>
      <c r="D11" s="21"/>
      <c r="E11" s="10" t="s">
        <v>29</v>
      </c>
      <c r="F11" s="11"/>
      <c r="G11" s="12"/>
      <c r="H11" s="11"/>
      <c r="I11" s="12"/>
      <c r="J11" s="12"/>
      <c r="K11" s="13"/>
      <c r="L11" s="12"/>
      <c r="M11" s="12"/>
      <c r="N11" s="11"/>
      <c r="O11" s="11"/>
      <c r="P11" s="12"/>
      <c r="Q11" s="12"/>
      <c r="R11" s="13"/>
      <c r="S11" s="13"/>
      <c r="T11" s="12"/>
      <c r="U11" s="14"/>
      <c r="V11" s="11"/>
      <c r="W11" s="12"/>
      <c r="X11" s="12"/>
      <c r="Y11" s="13"/>
      <c r="Z11" s="12"/>
      <c r="AA11" s="12"/>
      <c r="AB11" s="12"/>
      <c r="AC11" s="12"/>
      <c r="AD11" s="12"/>
      <c r="AE11" s="12"/>
      <c r="AF11" s="13"/>
      <c r="AG11" s="12"/>
      <c r="AH11" s="12"/>
      <c r="AI11" s="12"/>
      <c r="AJ11" s="1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5">
        <f t="shared" si="6"/>
        <v>0</v>
      </c>
      <c r="NI11" s="5">
        <f t="shared" si="7"/>
        <v>0</v>
      </c>
      <c r="NJ11" s="5" t="s">
        <v>17</v>
      </c>
      <c r="NK11" s="17">
        <f>19*26</f>
        <v>494</v>
      </c>
      <c r="NL11" s="17">
        <f>21*26</f>
        <v>546</v>
      </c>
      <c r="NM11" s="17">
        <f>SUM(NK11:NL11)</f>
        <v>1040</v>
      </c>
    </row>
    <row r="12" spans="1:377" x14ac:dyDescent="0.25">
      <c r="A12" s="6">
        <v>7</v>
      </c>
      <c r="B12" s="19"/>
      <c r="C12" s="20"/>
      <c r="D12" s="21"/>
      <c r="E12" s="10" t="s">
        <v>29</v>
      </c>
      <c r="F12" s="11"/>
      <c r="G12" s="12"/>
      <c r="H12" s="11"/>
      <c r="I12" s="12"/>
      <c r="J12" s="12"/>
      <c r="K12" s="13"/>
      <c r="L12" s="12"/>
      <c r="M12" s="12"/>
      <c r="N12" s="11"/>
      <c r="O12" s="11"/>
      <c r="P12" s="12"/>
      <c r="Q12" s="12"/>
      <c r="R12" s="13"/>
      <c r="S12" s="13"/>
      <c r="T12" s="12"/>
      <c r="U12" s="14"/>
      <c r="V12" s="11"/>
      <c r="W12" s="12"/>
      <c r="X12" s="12"/>
      <c r="Y12" s="13"/>
      <c r="Z12" s="12"/>
      <c r="AA12" s="12"/>
      <c r="AB12" s="12"/>
      <c r="AC12" s="12"/>
      <c r="AD12" s="12"/>
      <c r="AE12" s="12"/>
      <c r="AF12" s="13"/>
      <c r="AG12" s="12"/>
      <c r="AH12" s="12"/>
      <c r="AI12" s="12"/>
      <c r="AJ12" s="1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5">
        <f t="shared" si="6"/>
        <v>0</v>
      </c>
      <c r="NI12" s="5">
        <f t="shared" si="7"/>
        <v>0</v>
      </c>
      <c r="NJ12" s="5" t="s">
        <v>18</v>
      </c>
      <c r="NK12" s="17">
        <f>NH7+NH8+NH9+NH12+NH13+NH14+NH16+NH20+NH21+NH22+NH23+NH24+NH25+NH26+NH27+NH29+NH30+NH32+NH43</f>
        <v>0</v>
      </c>
      <c r="NL12" s="17">
        <f>NH6+NH10+NH11+NH15+NH17+NH18+NH19+NH28+NH31+NH33+NH34+NH35+NH36+NH37+NH38+NH39+NH40+NH41+NH42+NH44+NH45</f>
        <v>0</v>
      </c>
      <c r="NM12" s="17">
        <f>NK12+NL12</f>
        <v>0</v>
      </c>
    </row>
    <row r="13" spans="1:377" x14ac:dyDescent="0.25">
      <c r="A13" s="17">
        <v>8</v>
      </c>
      <c r="B13" s="19"/>
      <c r="C13" s="20"/>
      <c r="D13" s="21"/>
      <c r="E13" s="10" t="s">
        <v>29</v>
      </c>
      <c r="F13" s="11"/>
      <c r="G13" s="12"/>
      <c r="H13" s="11"/>
      <c r="I13" s="12"/>
      <c r="J13" s="12"/>
      <c r="K13" s="13"/>
      <c r="L13" s="12"/>
      <c r="M13" s="12"/>
      <c r="N13" s="11"/>
      <c r="O13" s="11"/>
      <c r="P13" s="12"/>
      <c r="Q13" s="12"/>
      <c r="R13" s="13"/>
      <c r="S13" s="13"/>
      <c r="T13" s="12"/>
      <c r="U13" s="14"/>
      <c r="V13" s="11"/>
      <c r="W13" s="12"/>
      <c r="X13" s="12"/>
      <c r="Y13" s="13"/>
      <c r="Z13" s="12"/>
      <c r="AA13" s="12"/>
      <c r="AB13" s="12"/>
      <c r="AC13" s="12"/>
      <c r="AD13" s="12"/>
      <c r="AE13" s="12"/>
      <c r="AF13" s="13"/>
      <c r="AG13" s="12"/>
      <c r="AH13" s="12"/>
      <c r="AI13" s="12"/>
      <c r="AJ13" s="1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5">
        <f t="shared" si="6"/>
        <v>0</v>
      </c>
      <c r="NI13" s="5">
        <f t="shared" si="7"/>
        <v>0</v>
      </c>
      <c r="NJ13" s="5" t="s">
        <v>19</v>
      </c>
      <c r="NK13" s="17">
        <f>NK12/NK11</f>
        <v>0</v>
      </c>
      <c r="NL13" s="17">
        <f>NL12/NL11</f>
        <v>0</v>
      </c>
      <c r="NM13" s="17">
        <f>NM12/NM11</f>
        <v>0</v>
      </c>
    </row>
    <row r="14" spans="1:377" x14ac:dyDescent="0.25">
      <c r="A14" s="6">
        <v>9</v>
      </c>
      <c r="B14" s="19"/>
      <c r="C14" s="20"/>
      <c r="D14" s="21"/>
      <c r="E14" s="10" t="s">
        <v>29</v>
      </c>
      <c r="F14" s="11"/>
      <c r="G14" s="12"/>
      <c r="H14" s="11"/>
      <c r="I14" s="12"/>
      <c r="J14" s="12"/>
      <c r="K14" s="13"/>
      <c r="L14" s="12"/>
      <c r="M14" s="12"/>
      <c r="N14" s="11"/>
      <c r="O14" s="11"/>
      <c r="P14" s="12"/>
      <c r="Q14" s="12"/>
      <c r="R14" s="13"/>
      <c r="S14" s="13"/>
      <c r="T14" s="12"/>
      <c r="U14" s="14"/>
      <c r="V14" s="11"/>
      <c r="W14" s="12"/>
      <c r="X14" s="12"/>
      <c r="Y14" s="13"/>
      <c r="Z14" s="12"/>
      <c r="AA14" s="12"/>
      <c r="AB14" s="12"/>
      <c r="AC14" s="12"/>
      <c r="AD14" s="12"/>
      <c r="AE14" s="12"/>
      <c r="AF14" s="13"/>
      <c r="AG14" s="12"/>
      <c r="AH14" s="12"/>
      <c r="AI14" s="12"/>
      <c r="AJ14" s="12"/>
      <c r="AK14" s="23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5">
        <f t="shared" si="6"/>
        <v>0</v>
      </c>
      <c r="NI14" s="5">
        <f t="shared" si="7"/>
        <v>0</v>
      </c>
      <c r="NJ14" s="3"/>
      <c r="NK14" s="24"/>
      <c r="NL14" s="24"/>
      <c r="NM14" s="24"/>
    </row>
    <row r="15" spans="1:377" x14ac:dyDescent="0.25">
      <c r="A15" s="17">
        <v>10</v>
      </c>
      <c r="B15" s="25"/>
      <c r="C15" s="20"/>
      <c r="D15" s="21"/>
      <c r="E15" s="10" t="s">
        <v>29</v>
      </c>
      <c r="F15" s="11"/>
      <c r="G15" s="12"/>
      <c r="H15" s="11"/>
      <c r="I15" s="12"/>
      <c r="J15" s="12"/>
      <c r="K15" s="13"/>
      <c r="L15" s="12"/>
      <c r="M15" s="12"/>
      <c r="N15" s="11"/>
      <c r="O15" s="11"/>
      <c r="P15" s="12"/>
      <c r="Q15" s="12"/>
      <c r="R15" s="13"/>
      <c r="S15" s="13"/>
      <c r="T15" s="12"/>
      <c r="U15" s="14"/>
      <c r="V15" s="11"/>
      <c r="W15" s="12"/>
      <c r="X15" s="12"/>
      <c r="Y15" s="13"/>
      <c r="Z15" s="12"/>
      <c r="AA15" s="12"/>
      <c r="AB15" s="12"/>
      <c r="AC15" s="12"/>
      <c r="AD15" s="12"/>
      <c r="AE15" s="12"/>
      <c r="AF15" s="13"/>
      <c r="AG15" s="12"/>
      <c r="AH15" s="12"/>
      <c r="AI15" s="12"/>
      <c r="AJ15" s="1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5">
        <f t="shared" si="6"/>
        <v>0</v>
      </c>
      <c r="NI15" s="5">
        <f t="shared" si="7"/>
        <v>0</v>
      </c>
      <c r="NJ15" s="26"/>
      <c r="NK15" s="26"/>
      <c r="NL15" s="26"/>
      <c r="NM15" s="26"/>
    </row>
    <row r="16" spans="1:377" x14ac:dyDescent="0.25">
      <c r="A16" s="6">
        <v>11</v>
      </c>
      <c r="B16" s="19"/>
      <c r="C16" s="20"/>
      <c r="D16" s="21"/>
      <c r="E16" s="10" t="s">
        <v>29</v>
      </c>
      <c r="F16" s="11"/>
      <c r="G16" s="12"/>
      <c r="H16" s="11"/>
      <c r="I16" s="12"/>
      <c r="J16" s="12"/>
      <c r="K16" s="13"/>
      <c r="L16" s="12"/>
      <c r="M16" s="12"/>
      <c r="N16" s="11"/>
      <c r="O16" s="11"/>
      <c r="P16" s="12"/>
      <c r="Q16" s="12"/>
      <c r="R16" s="13"/>
      <c r="S16" s="13"/>
      <c r="T16" s="12"/>
      <c r="U16" s="14"/>
      <c r="V16" s="11"/>
      <c r="W16" s="12"/>
      <c r="X16" s="12"/>
      <c r="Y16" s="13"/>
      <c r="Z16" s="12"/>
      <c r="AA16" s="12"/>
      <c r="AB16" s="12"/>
      <c r="AC16" s="12"/>
      <c r="AD16" s="12"/>
      <c r="AE16" s="12"/>
      <c r="AF16" s="13"/>
      <c r="AG16" s="12"/>
      <c r="AH16" s="12"/>
      <c r="AI16" s="12"/>
      <c r="AJ16" s="1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5">
        <f t="shared" si="6"/>
        <v>0</v>
      </c>
      <c r="NI16" s="5">
        <f t="shared" si="7"/>
        <v>0</v>
      </c>
      <c r="NJ16" s="3"/>
      <c r="NK16" s="3"/>
      <c r="NL16" s="3"/>
      <c r="NM16" s="3"/>
    </row>
    <row r="17" spans="1:377" ht="15.75" x14ac:dyDescent="0.25">
      <c r="A17" s="17">
        <v>12</v>
      </c>
      <c r="B17" s="19"/>
      <c r="C17" s="20"/>
      <c r="D17" s="21"/>
      <c r="E17" s="10" t="s">
        <v>29</v>
      </c>
      <c r="F17" s="11"/>
      <c r="G17" s="12"/>
      <c r="H17" s="11"/>
      <c r="I17" s="12"/>
      <c r="J17" s="12"/>
      <c r="K17" s="13"/>
      <c r="L17" s="12"/>
      <c r="M17" s="12"/>
      <c r="N17" s="11"/>
      <c r="O17" s="11"/>
      <c r="P17" s="12"/>
      <c r="Q17" s="12"/>
      <c r="R17" s="13"/>
      <c r="S17" s="13"/>
      <c r="T17" s="12"/>
      <c r="U17" s="14"/>
      <c r="V17" s="11"/>
      <c r="W17" s="12"/>
      <c r="X17" s="12"/>
      <c r="Y17" s="13"/>
      <c r="Z17" s="12"/>
      <c r="AA17" s="12"/>
      <c r="AB17" s="12"/>
      <c r="AC17" s="12"/>
      <c r="AD17" s="12"/>
      <c r="AE17" s="12"/>
      <c r="AF17" s="13"/>
      <c r="AG17" s="12"/>
      <c r="AH17" s="12"/>
      <c r="AI17" s="12"/>
      <c r="AJ17" s="1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5">
        <f t="shared" si="6"/>
        <v>0</v>
      </c>
      <c r="NI17" s="5">
        <f t="shared" si="7"/>
        <v>0</v>
      </c>
      <c r="NJ17" s="103" t="s">
        <v>6</v>
      </c>
      <c r="NK17" s="105"/>
      <c r="NL17" s="105"/>
      <c r="NM17" s="104"/>
    </row>
    <row r="18" spans="1:377" x14ac:dyDescent="0.25">
      <c r="A18" s="6">
        <v>13</v>
      </c>
      <c r="B18" s="19"/>
      <c r="C18" s="20"/>
      <c r="D18" s="21"/>
      <c r="E18" s="10" t="s">
        <v>29</v>
      </c>
      <c r="F18" s="11"/>
      <c r="G18" s="12"/>
      <c r="H18" s="11"/>
      <c r="I18" s="12"/>
      <c r="J18" s="12"/>
      <c r="K18" s="13"/>
      <c r="L18" s="12"/>
      <c r="M18" s="12"/>
      <c r="N18" s="11"/>
      <c r="O18" s="11"/>
      <c r="P18" s="12"/>
      <c r="Q18" s="12"/>
      <c r="R18" s="13"/>
      <c r="S18" s="13"/>
      <c r="T18" s="12"/>
      <c r="U18" s="14"/>
      <c r="V18" s="11"/>
      <c r="W18" s="12"/>
      <c r="X18" s="12"/>
      <c r="Y18" s="13"/>
      <c r="Z18" s="12"/>
      <c r="AA18" s="12"/>
      <c r="AB18" s="12"/>
      <c r="AC18" s="12"/>
      <c r="AD18" s="12"/>
      <c r="AE18" s="12"/>
      <c r="AF18" s="13"/>
      <c r="AG18" s="12"/>
      <c r="AH18" s="12"/>
      <c r="AI18" s="12"/>
      <c r="AJ18" s="1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5">
        <f t="shared" si="6"/>
        <v>0</v>
      </c>
      <c r="NI18" s="5">
        <f t="shared" si="7"/>
        <v>0</v>
      </c>
      <c r="NJ18" s="5" t="s">
        <v>13</v>
      </c>
      <c r="NK18" s="5" t="s">
        <v>14</v>
      </c>
      <c r="NL18" s="5" t="s">
        <v>15</v>
      </c>
      <c r="NM18" s="5" t="s">
        <v>16</v>
      </c>
    </row>
    <row r="19" spans="1:377" x14ac:dyDescent="0.25">
      <c r="A19" s="17">
        <v>14</v>
      </c>
      <c r="B19" s="19"/>
      <c r="C19" s="20"/>
      <c r="D19" s="21"/>
      <c r="E19" s="10" t="s">
        <v>29</v>
      </c>
      <c r="F19" s="11"/>
      <c r="G19" s="12"/>
      <c r="H19" s="11"/>
      <c r="I19" s="12"/>
      <c r="J19" s="12"/>
      <c r="K19" s="13"/>
      <c r="L19" s="12"/>
      <c r="M19" s="12"/>
      <c r="N19" s="11"/>
      <c r="O19" s="11"/>
      <c r="P19" s="12"/>
      <c r="Q19" s="12"/>
      <c r="R19" s="13"/>
      <c r="S19" s="13"/>
      <c r="T19" s="12"/>
      <c r="U19" s="14"/>
      <c r="V19" s="11"/>
      <c r="W19" s="12"/>
      <c r="X19" s="12"/>
      <c r="Y19" s="13"/>
      <c r="Z19" s="12"/>
      <c r="AA19" s="12"/>
      <c r="AB19" s="12"/>
      <c r="AC19" s="12"/>
      <c r="AD19" s="12"/>
      <c r="AE19" s="12"/>
      <c r="AF19" s="13"/>
      <c r="AG19" s="12"/>
      <c r="AH19" s="12"/>
      <c r="AI19" s="12"/>
      <c r="AJ19" s="1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5">
        <f t="shared" si="6"/>
        <v>0</v>
      </c>
      <c r="NI19" s="5">
        <f t="shared" si="7"/>
        <v>0</v>
      </c>
      <c r="NJ19" s="5" t="s">
        <v>17</v>
      </c>
      <c r="NK19" s="17">
        <f>19*26</f>
        <v>494</v>
      </c>
      <c r="NL19" s="17">
        <f>21*26</f>
        <v>546</v>
      </c>
      <c r="NM19" s="17">
        <f>NK19+NL19</f>
        <v>1040</v>
      </c>
    </row>
    <row r="20" spans="1:377" x14ac:dyDescent="0.25">
      <c r="A20" s="6">
        <v>15</v>
      </c>
      <c r="B20" s="19"/>
      <c r="C20" s="20"/>
      <c r="D20" s="21"/>
      <c r="E20" s="10" t="s">
        <v>29</v>
      </c>
      <c r="F20" s="11"/>
      <c r="G20" s="12"/>
      <c r="H20" s="11"/>
      <c r="I20" s="12"/>
      <c r="J20" s="12"/>
      <c r="K20" s="13"/>
      <c r="L20" s="12"/>
      <c r="M20" s="12"/>
      <c r="N20" s="11"/>
      <c r="O20" s="11"/>
      <c r="P20" s="12"/>
      <c r="Q20" s="12"/>
      <c r="R20" s="13"/>
      <c r="S20" s="13"/>
      <c r="T20" s="12"/>
      <c r="U20" s="14"/>
      <c r="V20" s="11"/>
      <c r="W20" s="12"/>
      <c r="X20" s="12"/>
      <c r="Y20" s="13"/>
      <c r="Z20" s="12"/>
      <c r="AA20" s="12"/>
      <c r="AB20" s="12"/>
      <c r="AC20" s="12"/>
      <c r="AD20" s="12"/>
      <c r="AE20" s="12"/>
      <c r="AF20" s="13"/>
      <c r="AG20" s="12"/>
      <c r="AH20" s="12"/>
      <c r="AI20" s="12"/>
      <c r="AJ20" s="1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5">
        <f t="shared" si="6"/>
        <v>0</v>
      </c>
      <c r="NI20" s="5">
        <f t="shared" si="7"/>
        <v>0</v>
      </c>
      <c r="NJ20" s="5" t="s">
        <v>20</v>
      </c>
      <c r="NK20" s="17">
        <f>NK19-NK12</f>
        <v>494</v>
      </c>
      <c r="NL20" s="17">
        <f>NL19-NL12</f>
        <v>546</v>
      </c>
      <c r="NM20" s="17">
        <f>NK20+NL20</f>
        <v>1040</v>
      </c>
    </row>
    <row r="21" spans="1:377" x14ac:dyDescent="0.25">
      <c r="A21" s="17">
        <v>16</v>
      </c>
      <c r="B21" s="19"/>
      <c r="C21" s="20"/>
      <c r="D21" s="21"/>
      <c r="E21" s="10" t="s">
        <v>29</v>
      </c>
      <c r="F21" s="11"/>
      <c r="G21" s="12"/>
      <c r="H21" s="11"/>
      <c r="I21" s="12"/>
      <c r="J21" s="12"/>
      <c r="K21" s="13"/>
      <c r="L21" s="12"/>
      <c r="M21" s="12"/>
      <c r="N21" s="11"/>
      <c r="O21" s="11"/>
      <c r="P21" s="12"/>
      <c r="Q21" s="12"/>
      <c r="R21" s="13"/>
      <c r="S21" s="13"/>
      <c r="T21" s="12"/>
      <c r="U21" s="14"/>
      <c r="V21" s="11"/>
      <c r="W21" s="12"/>
      <c r="X21" s="12"/>
      <c r="Y21" s="13"/>
      <c r="Z21" s="12"/>
      <c r="AA21" s="12"/>
      <c r="AB21" s="12"/>
      <c r="AC21" s="12"/>
      <c r="AD21" s="12"/>
      <c r="AE21" s="12"/>
      <c r="AF21" s="13"/>
      <c r="AG21" s="12"/>
      <c r="AH21" s="12"/>
      <c r="AI21" s="12"/>
      <c r="AJ21" s="1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5">
        <f t="shared" si="6"/>
        <v>0</v>
      </c>
      <c r="NI21" s="5">
        <f t="shared" si="7"/>
        <v>0</v>
      </c>
      <c r="NJ21" s="5" t="s">
        <v>16</v>
      </c>
      <c r="NK21" s="27">
        <f>NK20/NK19</f>
        <v>1</v>
      </c>
      <c r="NL21" s="27">
        <f>NL20/NL19</f>
        <v>1</v>
      </c>
      <c r="NM21" s="27">
        <f>NM20/NM19</f>
        <v>1</v>
      </c>
    </row>
    <row r="22" spans="1:377" x14ac:dyDescent="0.25">
      <c r="A22" s="6">
        <v>17</v>
      </c>
      <c r="B22" s="19"/>
      <c r="C22" s="20"/>
      <c r="D22" s="21"/>
      <c r="E22" s="10" t="s">
        <v>29</v>
      </c>
      <c r="F22" s="11"/>
      <c r="G22" s="12"/>
      <c r="H22" s="11"/>
      <c r="I22" s="12"/>
      <c r="J22" s="12"/>
      <c r="K22" s="13"/>
      <c r="L22" s="12"/>
      <c r="M22" s="12"/>
      <c r="N22" s="11"/>
      <c r="O22" s="11"/>
      <c r="P22" s="12"/>
      <c r="Q22" s="12"/>
      <c r="R22" s="13"/>
      <c r="S22" s="13"/>
      <c r="T22" s="12"/>
      <c r="U22" s="14"/>
      <c r="V22" s="11"/>
      <c r="W22" s="12"/>
      <c r="X22" s="12"/>
      <c r="Y22" s="13"/>
      <c r="Z22" s="12"/>
      <c r="AA22" s="12"/>
      <c r="AB22" s="12"/>
      <c r="AC22" s="12"/>
      <c r="AD22" s="12"/>
      <c r="AE22" s="12"/>
      <c r="AF22" s="13"/>
      <c r="AG22" s="12"/>
      <c r="AH22" s="12"/>
      <c r="AI22" s="12"/>
      <c r="AJ22" s="1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5">
        <f t="shared" si="6"/>
        <v>0</v>
      </c>
      <c r="NI22" s="5">
        <f t="shared" si="7"/>
        <v>0</v>
      </c>
    </row>
    <row r="23" spans="1:377" x14ac:dyDescent="0.25">
      <c r="A23" s="17">
        <v>18</v>
      </c>
      <c r="B23" s="19"/>
      <c r="C23" s="20"/>
      <c r="D23" s="21"/>
      <c r="E23" s="10" t="s">
        <v>29</v>
      </c>
      <c r="F23" s="11"/>
      <c r="G23" s="12"/>
      <c r="H23" s="11"/>
      <c r="I23" s="12"/>
      <c r="J23" s="12"/>
      <c r="K23" s="13"/>
      <c r="L23" s="12"/>
      <c r="M23" s="12"/>
      <c r="N23" s="11"/>
      <c r="O23" s="11"/>
      <c r="P23" s="12"/>
      <c r="Q23" s="12"/>
      <c r="R23" s="13"/>
      <c r="S23" s="13"/>
      <c r="T23" s="12"/>
      <c r="U23" s="14"/>
      <c r="V23" s="11"/>
      <c r="W23" s="12"/>
      <c r="X23" s="12"/>
      <c r="Y23" s="13"/>
      <c r="Z23" s="12"/>
      <c r="AA23" s="12"/>
      <c r="AB23" s="12"/>
      <c r="AC23" s="12"/>
      <c r="AD23" s="12"/>
      <c r="AE23" s="12"/>
      <c r="AF23" s="13"/>
      <c r="AG23" s="12"/>
      <c r="AH23" s="12"/>
      <c r="AI23" s="12"/>
      <c r="AJ23" s="1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5">
        <f t="shared" si="6"/>
        <v>0</v>
      </c>
      <c r="NI23" s="5">
        <f t="shared" si="7"/>
        <v>0</v>
      </c>
    </row>
    <row r="24" spans="1:377" x14ac:dyDescent="0.25">
      <c r="A24" s="6">
        <v>19</v>
      </c>
      <c r="B24" s="19"/>
      <c r="C24" s="20"/>
      <c r="D24" s="21"/>
      <c r="E24" s="10" t="s">
        <v>29</v>
      </c>
      <c r="F24" s="11"/>
      <c r="G24" s="12"/>
      <c r="H24" s="11"/>
      <c r="I24" s="12"/>
      <c r="J24" s="12"/>
      <c r="K24" s="13"/>
      <c r="L24" s="12"/>
      <c r="M24" s="12"/>
      <c r="N24" s="11"/>
      <c r="O24" s="11"/>
      <c r="P24" s="12"/>
      <c r="Q24" s="12"/>
      <c r="R24" s="13"/>
      <c r="S24" s="13"/>
      <c r="T24" s="12"/>
      <c r="U24" s="14"/>
      <c r="V24" s="11"/>
      <c r="W24" s="12"/>
      <c r="X24" s="12"/>
      <c r="Y24" s="13"/>
      <c r="Z24" s="12"/>
      <c r="AA24" s="12"/>
      <c r="AB24" s="12"/>
      <c r="AC24" s="12"/>
      <c r="AD24" s="12"/>
      <c r="AE24" s="12"/>
      <c r="AF24" s="13"/>
      <c r="AG24" s="12"/>
      <c r="AH24" s="12"/>
      <c r="AI24" s="12"/>
      <c r="AJ24" s="1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5">
        <f t="shared" si="6"/>
        <v>0</v>
      </c>
      <c r="NI24" s="5">
        <f t="shared" si="7"/>
        <v>0</v>
      </c>
    </row>
    <row r="25" spans="1:377" x14ac:dyDescent="0.25">
      <c r="A25" s="17">
        <v>20</v>
      </c>
      <c r="B25" s="19"/>
      <c r="C25" s="20"/>
      <c r="D25" s="21"/>
      <c r="E25" s="10" t="s">
        <v>29</v>
      </c>
      <c r="F25" s="11"/>
      <c r="G25" s="12"/>
      <c r="H25" s="11"/>
      <c r="I25" s="12"/>
      <c r="J25" s="12"/>
      <c r="K25" s="13"/>
      <c r="L25" s="12"/>
      <c r="M25" s="12"/>
      <c r="N25" s="11"/>
      <c r="O25" s="11"/>
      <c r="P25" s="12"/>
      <c r="Q25" s="12"/>
      <c r="R25" s="13"/>
      <c r="S25" s="13"/>
      <c r="T25" s="12"/>
      <c r="U25" s="14"/>
      <c r="V25" s="11"/>
      <c r="W25" s="12"/>
      <c r="X25" s="12"/>
      <c r="Y25" s="13"/>
      <c r="Z25" s="12"/>
      <c r="AA25" s="12"/>
      <c r="AB25" s="12"/>
      <c r="AC25" s="12"/>
      <c r="AD25" s="12"/>
      <c r="AE25" s="12"/>
      <c r="AF25" s="13"/>
      <c r="AG25" s="12"/>
      <c r="AH25" s="12"/>
      <c r="AI25" s="12"/>
      <c r="AJ25" s="1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5">
        <f t="shared" si="6"/>
        <v>0</v>
      </c>
      <c r="NI25" s="5">
        <f t="shared" si="7"/>
        <v>0</v>
      </c>
    </row>
    <row r="26" spans="1:377" x14ac:dyDescent="0.25">
      <c r="A26" s="6">
        <v>21</v>
      </c>
      <c r="B26" s="19"/>
      <c r="C26" s="20"/>
      <c r="D26" s="21"/>
      <c r="E26" s="10" t="s">
        <v>29</v>
      </c>
      <c r="F26" s="11"/>
      <c r="G26" s="12"/>
      <c r="H26" s="11"/>
      <c r="I26" s="12"/>
      <c r="J26" s="12"/>
      <c r="K26" s="13"/>
      <c r="L26" s="12"/>
      <c r="M26" s="12"/>
      <c r="N26" s="11"/>
      <c r="O26" s="11"/>
      <c r="P26" s="12"/>
      <c r="Q26" s="12"/>
      <c r="R26" s="13"/>
      <c r="S26" s="13"/>
      <c r="T26" s="12"/>
      <c r="U26" s="14"/>
      <c r="V26" s="11"/>
      <c r="W26" s="12"/>
      <c r="X26" s="12"/>
      <c r="Y26" s="13"/>
      <c r="Z26" s="12"/>
      <c r="AA26" s="12"/>
      <c r="AB26" s="12"/>
      <c r="AC26" s="12"/>
      <c r="AD26" s="12"/>
      <c r="AE26" s="12"/>
      <c r="AF26" s="13"/>
      <c r="AG26" s="12"/>
      <c r="AH26" s="12"/>
      <c r="AI26" s="12"/>
      <c r="AJ26" s="1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5">
        <f t="shared" si="6"/>
        <v>0</v>
      </c>
      <c r="NI26" s="5">
        <f t="shared" si="7"/>
        <v>0</v>
      </c>
    </row>
    <row r="27" spans="1:377" x14ac:dyDescent="0.25">
      <c r="A27" s="17">
        <v>22</v>
      </c>
      <c r="B27" s="19"/>
      <c r="C27" s="20"/>
      <c r="D27" s="21"/>
      <c r="E27" s="10" t="s">
        <v>29</v>
      </c>
      <c r="F27" s="11"/>
      <c r="G27" s="12"/>
      <c r="H27" s="11"/>
      <c r="I27" s="12"/>
      <c r="J27" s="12"/>
      <c r="K27" s="13"/>
      <c r="L27" s="12"/>
      <c r="M27" s="12"/>
      <c r="N27" s="11"/>
      <c r="O27" s="11"/>
      <c r="P27" s="12"/>
      <c r="Q27" s="12"/>
      <c r="R27" s="13"/>
      <c r="S27" s="13"/>
      <c r="T27" s="12"/>
      <c r="U27" s="14"/>
      <c r="V27" s="11"/>
      <c r="W27" s="12"/>
      <c r="X27" s="12"/>
      <c r="Y27" s="13"/>
      <c r="Z27" s="12"/>
      <c r="AA27" s="12"/>
      <c r="AB27" s="12"/>
      <c r="AC27" s="12"/>
      <c r="AD27" s="12"/>
      <c r="AE27" s="12"/>
      <c r="AF27" s="13"/>
      <c r="AG27" s="12"/>
      <c r="AH27" s="12"/>
      <c r="AI27" s="12"/>
      <c r="AJ27" s="1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5">
        <f t="shared" si="6"/>
        <v>0</v>
      </c>
      <c r="NI27" s="5">
        <f t="shared" si="7"/>
        <v>0</v>
      </c>
    </row>
    <row r="28" spans="1:377" x14ac:dyDescent="0.25">
      <c r="A28" s="6">
        <v>23</v>
      </c>
      <c r="B28" s="19"/>
      <c r="C28" s="20"/>
      <c r="D28" s="21"/>
      <c r="E28" s="10" t="s">
        <v>29</v>
      </c>
      <c r="F28" s="11"/>
      <c r="G28" s="12"/>
      <c r="H28" s="11"/>
      <c r="I28" s="12"/>
      <c r="J28" s="12"/>
      <c r="K28" s="13"/>
      <c r="L28" s="12"/>
      <c r="M28" s="12"/>
      <c r="N28" s="11"/>
      <c r="O28" s="11"/>
      <c r="P28" s="12"/>
      <c r="Q28" s="12"/>
      <c r="R28" s="13"/>
      <c r="S28" s="13"/>
      <c r="T28" s="12"/>
      <c r="U28" s="14"/>
      <c r="V28" s="11"/>
      <c r="W28" s="12"/>
      <c r="X28" s="12"/>
      <c r="Y28" s="13"/>
      <c r="Z28" s="12"/>
      <c r="AA28" s="12"/>
      <c r="AB28" s="12"/>
      <c r="AC28" s="12"/>
      <c r="AD28" s="12"/>
      <c r="AE28" s="12"/>
      <c r="AF28" s="13"/>
      <c r="AG28" s="12"/>
      <c r="AH28" s="12"/>
      <c r="AI28" s="12"/>
      <c r="AJ28" s="1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5">
        <f t="shared" si="6"/>
        <v>0</v>
      </c>
      <c r="NI28" s="5">
        <f t="shared" si="7"/>
        <v>0</v>
      </c>
    </row>
    <row r="29" spans="1:377" x14ac:dyDescent="0.25">
      <c r="A29" s="17">
        <v>24</v>
      </c>
      <c r="B29" s="19"/>
      <c r="C29" s="20"/>
      <c r="D29" s="21"/>
      <c r="E29" s="10" t="s">
        <v>29</v>
      </c>
      <c r="F29" s="11"/>
      <c r="G29" s="12"/>
      <c r="H29" s="11"/>
      <c r="I29" s="12"/>
      <c r="J29" s="12"/>
      <c r="K29" s="13"/>
      <c r="L29" s="12"/>
      <c r="M29" s="12"/>
      <c r="N29" s="11"/>
      <c r="O29" s="11"/>
      <c r="P29" s="12"/>
      <c r="Q29" s="12"/>
      <c r="R29" s="13"/>
      <c r="S29" s="13"/>
      <c r="T29" s="12"/>
      <c r="U29" s="14"/>
      <c r="V29" s="11"/>
      <c r="W29" s="12"/>
      <c r="X29" s="12"/>
      <c r="Y29" s="13"/>
      <c r="Z29" s="12"/>
      <c r="AA29" s="12"/>
      <c r="AB29" s="12"/>
      <c r="AC29" s="12"/>
      <c r="AD29" s="12"/>
      <c r="AE29" s="12"/>
      <c r="AF29" s="13"/>
      <c r="AG29" s="12"/>
      <c r="AH29" s="12"/>
      <c r="AI29" s="12"/>
      <c r="AJ29" s="1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5">
        <f t="shared" si="6"/>
        <v>0</v>
      </c>
      <c r="NI29" s="5">
        <f t="shared" si="7"/>
        <v>0</v>
      </c>
    </row>
    <row r="30" spans="1:377" x14ac:dyDescent="0.25">
      <c r="A30" s="6">
        <v>25</v>
      </c>
      <c r="B30" s="19"/>
      <c r="C30" s="20"/>
      <c r="D30" s="21"/>
      <c r="E30" s="10" t="s">
        <v>29</v>
      </c>
      <c r="F30" s="11"/>
      <c r="G30" s="12"/>
      <c r="H30" s="11"/>
      <c r="I30" s="12"/>
      <c r="J30" s="12"/>
      <c r="K30" s="13"/>
      <c r="L30" s="12"/>
      <c r="M30" s="12"/>
      <c r="N30" s="11"/>
      <c r="O30" s="11"/>
      <c r="P30" s="12"/>
      <c r="Q30" s="12"/>
      <c r="R30" s="13"/>
      <c r="S30" s="13"/>
      <c r="T30" s="12"/>
      <c r="U30" s="14"/>
      <c r="V30" s="11"/>
      <c r="W30" s="12"/>
      <c r="X30" s="12"/>
      <c r="Y30" s="13"/>
      <c r="Z30" s="12"/>
      <c r="AA30" s="12"/>
      <c r="AB30" s="12"/>
      <c r="AC30" s="12"/>
      <c r="AD30" s="12"/>
      <c r="AE30" s="12"/>
      <c r="AF30" s="13"/>
      <c r="AG30" s="12"/>
      <c r="AH30" s="12"/>
      <c r="AI30" s="12"/>
      <c r="AJ30" s="1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/>
      <c r="LF30" s="16"/>
      <c r="LG30" s="16"/>
      <c r="LH30" s="16"/>
      <c r="LI30" s="16"/>
      <c r="LJ30" s="16"/>
      <c r="LK30" s="16"/>
      <c r="LL30" s="16"/>
      <c r="LM30" s="16"/>
      <c r="LN30" s="16"/>
      <c r="LO30" s="16"/>
      <c r="LP30" s="16"/>
      <c r="LQ30" s="16"/>
      <c r="LR30" s="16"/>
      <c r="LS30" s="16"/>
      <c r="LT30" s="16"/>
      <c r="LU30" s="16"/>
      <c r="LV30" s="16"/>
      <c r="LW30" s="16"/>
      <c r="LX30" s="16"/>
      <c r="LY30" s="16"/>
      <c r="LZ30" s="16"/>
      <c r="MA30" s="16"/>
      <c r="MB30" s="16"/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5">
        <f t="shared" si="6"/>
        <v>0</v>
      </c>
      <c r="NI30" s="5">
        <f t="shared" si="7"/>
        <v>0</v>
      </c>
    </row>
    <row r="31" spans="1:377" x14ac:dyDescent="0.25">
      <c r="A31" s="17">
        <v>26</v>
      </c>
      <c r="B31" s="19"/>
      <c r="C31" s="20"/>
      <c r="D31" s="21"/>
      <c r="E31" s="10" t="s">
        <v>29</v>
      </c>
      <c r="F31" s="11"/>
      <c r="G31" s="12"/>
      <c r="H31" s="11"/>
      <c r="I31" s="12"/>
      <c r="J31" s="12"/>
      <c r="K31" s="13"/>
      <c r="L31" s="12"/>
      <c r="M31" s="12"/>
      <c r="N31" s="11"/>
      <c r="O31" s="11"/>
      <c r="P31" s="12"/>
      <c r="Q31" s="12"/>
      <c r="R31" s="13"/>
      <c r="S31" s="13"/>
      <c r="T31" s="12"/>
      <c r="U31" s="14"/>
      <c r="V31" s="11"/>
      <c r="W31" s="12"/>
      <c r="X31" s="12"/>
      <c r="Y31" s="13"/>
      <c r="Z31" s="12"/>
      <c r="AA31" s="12"/>
      <c r="AB31" s="12"/>
      <c r="AC31" s="12"/>
      <c r="AD31" s="12"/>
      <c r="AE31" s="12"/>
      <c r="AF31" s="13"/>
      <c r="AG31" s="12"/>
      <c r="AH31" s="12"/>
      <c r="AI31" s="12"/>
      <c r="AJ31" s="1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6"/>
      <c r="LD31" s="16"/>
      <c r="LE31" s="16"/>
      <c r="LF31" s="16"/>
      <c r="LG31" s="16"/>
      <c r="LH31" s="16"/>
      <c r="LI31" s="16"/>
      <c r="LJ31" s="16"/>
      <c r="LK31" s="16"/>
      <c r="LL31" s="16"/>
      <c r="LM31" s="16"/>
      <c r="LN31" s="16"/>
      <c r="LO31" s="16"/>
      <c r="LP31" s="16"/>
      <c r="LQ31" s="16"/>
      <c r="LR31" s="16"/>
      <c r="LS31" s="16"/>
      <c r="LT31" s="16"/>
      <c r="LU31" s="16"/>
      <c r="LV31" s="16"/>
      <c r="LW31" s="16"/>
      <c r="LX31" s="16"/>
      <c r="LY31" s="16"/>
      <c r="LZ31" s="16"/>
      <c r="MA31" s="16"/>
      <c r="MB31" s="16"/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5">
        <f t="shared" si="6"/>
        <v>0</v>
      </c>
      <c r="NI31" s="5">
        <f t="shared" si="7"/>
        <v>0</v>
      </c>
    </row>
    <row r="32" spans="1:377" x14ac:dyDescent="0.25">
      <c r="A32" s="6">
        <v>27</v>
      </c>
      <c r="B32" s="19"/>
      <c r="C32" s="20"/>
      <c r="D32" s="21"/>
      <c r="E32" s="10" t="s">
        <v>29</v>
      </c>
      <c r="F32" s="11"/>
      <c r="G32" s="12"/>
      <c r="H32" s="11"/>
      <c r="I32" s="12"/>
      <c r="J32" s="12"/>
      <c r="K32" s="13"/>
      <c r="L32" s="12"/>
      <c r="M32" s="12"/>
      <c r="N32" s="11"/>
      <c r="O32" s="11"/>
      <c r="P32" s="12"/>
      <c r="Q32" s="12"/>
      <c r="R32" s="13"/>
      <c r="S32" s="13"/>
      <c r="T32" s="12"/>
      <c r="U32" s="14"/>
      <c r="V32" s="11"/>
      <c r="W32" s="12"/>
      <c r="X32" s="12"/>
      <c r="Y32" s="13"/>
      <c r="Z32" s="12"/>
      <c r="AA32" s="12"/>
      <c r="AB32" s="12"/>
      <c r="AC32" s="12"/>
      <c r="AD32" s="12"/>
      <c r="AE32" s="12"/>
      <c r="AF32" s="13"/>
      <c r="AG32" s="12"/>
      <c r="AH32" s="12"/>
      <c r="AI32" s="12"/>
      <c r="AJ32" s="1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/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/>
      <c r="LQ32" s="16"/>
      <c r="LR32" s="16"/>
      <c r="LS32" s="16"/>
      <c r="LT32" s="16"/>
      <c r="LU32" s="16"/>
      <c r="LV32" s="16"/>
      <c r="LW32" s="16"/>
      <c r="LX32" s="16"/>
      <c r="LY32" s="16"/>
      <c r="LZ32" s="16"/>
      <c r="MA32" s="16"/>
      <c r="MB32" s="16"/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5">
        <f t="shared" si="6"/>
        <v>0</v>
      </c>
      <c r="NI32" s="5">
        <f t="shared" si="7"/>
        <v>0</v>
      </c>
    </row>
    <row r="33" spans="1:373" x14ac:dyDescent="0.25">
      <c r="A33" s="17">
        <v>28</v>
      </c>
      <c r="B33" s="19"/>
      <c r="C33" s="20"/>
      <c r="D33" s="21"/>
      <c r="E33" s="10" t="s">
        <v>29</v>
      </c>
      <c r="F33" s="11"/>
      <c r="G33" s="12"/>
      <c r="H33" s="11"/>
      <c r="I33" s="12"/>
      <c r="J33" s="12"/>
      <c r="K33" s="13"/>
      <c r="L33" s="12"/>
      <c r="M33" s="12"/>
      <c r="N33" s="11"/>
      <c r="O33" s="11"/>
      <c r="P33" s="12"/>
      <c r="Q33" s="12"/>
      <c r="R33" s="13"/>
      <c r="S33" s="13"/>
      <c r="T33" s="12"/>
      <c r="U33" s="14"/>
      <c r="V33" s="11"/>
      <c r="W33" s="12"/>
      <c r="X33" s="12"/>
      <c r="Y33" s="13"/>
      <c r="Z33" s="12"/>
      <c r="AA33" s="12"/>
      <c r="AB33" s="12"/>
      <c r="AC33" s="12"/>
      <c r="AD33" s="12"/>
      <c r="AE33" s="12"/>
      <c r="AF33" s="13"/>
      <c r="AG33" s="12"/>
      <c r="AH33" s="12"/>
      <c r="AI33" s="12"/>
      <c r="AJ33" s="1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5">
        <f t="shared" si="6"/>
        <v>0</v>
      </c>
      <c r="NI33" s="5">
        <f t="shared" si="7"/>
        <v>0</v>
      </c>
    </row>
    <row r="34" spans="1:373" x14ac:dyDescent="0.25">
      <c r="A34" s="6">
        <v>29</v>
      </c>
      <c r="B34" s="19"/>
      <c r="C34" s="20"/>
      <c r="D34" s="21"/>
      <c r="E34" s="10" t="s">
        <v>29</v>
      </c>
      <c r="F34" s="11"/>
      <c r="G34" s="12"/>
      <c r="H34" s="11"/>
      <c r="I34" s="12"/>
      <c r="J34" s="12"/>
      <c r="K34" s="13"/>
      <c r="L34" s="12"/>
      <c r="M34" s="12"/>
      <c r="N34" s="11"/>
      <c r="O34" s="11"/>
      <c r="P34" s="12"/>
      <c r="Q34" s="12"/>
      <c r="R34" s="13"/>
      <c r="S34" s="13"/>
      <c r="T34" s="12"/>
      <c r="U34" s="14"/>
      <c r="V34" s="11"/>
      <c r="W34" s="12"/>
      <c r="X34" s="12"/>
      <c r="Y34" s="13"/>
      <c r="Z34" s="12"/>
      <c r="AA34" s="12"/>
      <c r="AB34" s="12"/>
      <c r="AC34" s="12"/>
      <c r="AD34" s="12"/>
      <c r="AE34" s="12"/>
      <c r="AF34" s="13"/>
      <c r="AG34" s="12"/>
      <c r="AH34" s="12"/>
      <c r="AI34" s="12"/>
      <c r="AJ34" s="1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5">
        <f t="shared" si="6"/>
        <v>0</v>
      </c>
      <c r="NI34" s="5">
        <f t="shared" si="7"/>
        <v>0</v>
      </c>
    </row>
    <row r="35" spans="1:373" x14ac:dyDescent="0.25">
      <c r="A35" s="17">
        <v>30</v>
      </c>
      <c r="B35" s="19"/>
      <c r="C35" s="20"/>
      <c r="D35" s="21"/>
      <c r="E35" s="10" t="s">
        <v>29</v>
      </c>
      <c r="F35" s="11"/>
      <c r="G35" s="12"/>
      <c r="H35" s="11"/>
      <c r="I35" s="12"/>
      <c r="J35" s="12"/>
      <c r="K35" s="13"/>
      <c r="L35" s="12"/>
      <c r="M35" s="12"/>
      <c r="N35" s="11"/>
      <c r="O35" s="11"/>
      <c r="P35" s="12"/>
      <c r="Q35" s="12"/>
      <c r="R35" s="13"/>
      <c r="S35" s="13"/>
      <c r="T35" s="12"/>
      <c r="U35" s="14"/>
      <c r="V35" s="11"/>
      <c r="W35" s="12"/>
      <c r="X35" s="12"/>
      <c r="Y35" s="13"/>
      <c r="Z35" s="12"/>
      <c r="AA35" s="12"/>
      <c r="AB35" s="12"/>
      <c r="AC35" s="12"/>
      <c r="AD35" s="12"/>
      <c r="AE35" s="12"/>
      <c r="AF35" s="13"/>
      <c r="AG35" s="12"/>
      <c r="AH35" s="12"/>
      <c r="AI35" s="12"/>
      <c r="AJ35" s="1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/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/>
      <c r="LQ35" s="16"/>
      <c r="LR35" s="16"/>
      <c r="LS35" s="16"/>
      <c r="LT35" s="16"/>
      <c r="LU35" s="16"/>
      <c r="LV35" s="16"/>
      <c r="LW35" s="16"/>
      <c r="LX35" s="16"/>
      <c r="LY35" s="16"/>
      <c r="LZ35" s="16"/>
      <c r="MA35" s="16"/>
      <c r="MB35" s="16"/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5">
        <f t="shared" si="6"/>
        <v>0</v>
      </c>
      <c r="NI35" s="5">
        <f t="shared" si="7"/>
        <v>0</v>
      </c>
    </row>
    <row r="36" spans="1:373" x14ac:dyDescent="0.25">
      <c r="A36" s="6">
        <v>31</v>
      </c>
      <c r="B36" s="19"/>
      <c r="C36" s="20"/>
      <c r="D36" s="21"/>
      <c r="E36" s="10" t="s">
        <v>29</v>
      </c>
      <c r="F36" s="11"/>
      <c r="G36" s="12"/>
      <c r="H36" s="11"/>
      <c r="I36" s="12"/>
      <c r="J36" s="12"/>
      <c r="K36" s="13"/>
      <c r="L36" s="12"/>
      <c r="M36" s="12"/>
      <c r="N36" s="11"/>
      <c r="O36" s="11"/>
      <c r="P36" s="12"/>
      <c r="Q36" s="12"/>
      <c r="R36" s="13"/>
      <c r="S36" s="13"/>
      <c r="T36" s="12"/>
      <c r="U36" s="14"/>
      <c r="V36" s="11"/>
      <c r="W36" s="12"/>
      <c r="X36" s="12"/>
      <c r="Y36" s="13"/>
      <c r="Z36" s="12"/>
      <c r="AA36" s="12"/>
      <c r="AB36" s="12"/>
      <c r="AC36" s="12"/>
      <c r="AD36" s="12"/>
      <c r="AE36" s="12"/>
      <c r="AF36" s="13"/>
      <c r="AG36" s="12"/>
      <c r="AH36" s="12"/>
      <c r="AI36" s="12"/>
      <c r="AJ36" s="12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5">
        <f t="shared" si="6"/>
        <v>0</v>
      </c>
      <c r="NI36" s="5">
        <f t="shared" si="7"/>
        <v>0</v>
      </c>
    </row>
    <row r="37" spans="1:373" x14ac:dyDescent="0.25">
      <c r="A37" s="17">
        <v>32</v>
      </c>
      <c r="B37" s="19"/>
      <c r="C37" s="20"/>
      <c r="D37" s="21"/>
      <c r="E37" s="10" t="s">
        <v>29</v>
      </c>
      <c r="F37" s="11"/>
      <c r="G37" s="12"/>
      <c r="H37" s="11"/>
      <c r="I37" s="12"/>
      <c r="J37" s="12"/>
      <c r="K37" s="13"/>
      <c r="L37" s="12"/>
      <c r="M37" s="12"/>
      <c r="N37" s="11"/>
      <c r="O37" s="11"/>
      <c r="P37" s="12"/>
      <c r="Q37" s="12"/>
      <c r="R37" s="13"/>
      <c r="S37" s="13"/>
      <c r="T37" s="12"/>
      <c r="U37" s="14"/>
      <c r="V37" s="11"/>
      <c r="W37" s="12"/>
      <c r="X37" s="12"/>
      <c r="Y37" s="13"/>
      <c r="Z37" s="12"/>
      <c r="AA37" s="12"/>
      <c r="AB37" s="12"/>
      <c r="AC37" s="12"/>
      <c r="AD37" s="12"/>
      <c r="AE37" s="12"/>
      <c r="AF37" s="13"/>
      <c r="AG37" s="12"/>
      <c r="AH37" s="12"/>
      <c r="AI37" s="12"/>
      <c r="AJ37" s="12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  <c r="IY37" s="16"/>
      <c r="IZ37" s="16"/>
      <c r="JA37" s="16"/>
      <c r="JB37" s="16"/>
      <c r="JC37" s="16"/>
      <c r="JD37" s="16"/>
      <c r="JE37" s="16"/>
      <c r="JF37" s="16"/>
      <c r="JG37" s="16"/>
      <c r="JH37" s="16"/>
      <c r="JI37" s="16"/>
      <c r="JJ37" s="16"/>
      <c r="JK37" s="16"/>
      <c r="JL37" s="16"/>
      <c r="JM37" s="16"/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6"/>
      <c r="KC37" s="16"/>
      <c r="KD37" s="16"/>
      <c r="KE37" s="16"/>
      <c r="KF37" s="16"/>
      <c r="KG37" s="16"/>
      <c r="KH37" s="16"/>
      <c r="KI37" s="16"/>
      <c r="KJ37" s="16"/>
      <c r="KK37" s="16"/>
      <c r="KL37" s="16"/>
      <c r="KM37" s="16"/>
      <c r="KN37" s="16"/>
      <c r="KO37" s="16"/>
      <c r="KP37" s="16"/>
      <c r="KQ37" s="16"/>
      <c r="KR37" s="16"/>
      <c r="KS37" s="16"/>
      <c r="KT37" s="16"/>
      <c r="KU37" s="16"/>
      <c r="KV37" s="16"/>
      <c r="KW37" s="16"/>
      <c r="KX37" s="16"/>
      <c r="KY37" s="16"/>
      <c r="KZ37" s="16"/>
      <c r="LA37" s="16"/>
      <c r="LB37" s="16"/>
      <c r="LC37" s="16"/>
      <c r="LD37" s="16"/>
      <c r="LE37" s="16"/>
      <c r="LF37" s="16"/>
      <c r="LG37" s="16"/>
      <c r="LH37" s="16"/>
      <c r="LI37" s="16"/>
      <c r="LJ37" s="16"/>
      <c r="LK37" s="16"/>
      <c r="LL37" s="16"/>
      <c r="LM37" s="16"/>
      <c r="LN37" s="16"/>
      <c r="LO37" s="16"/>
      <c r="LP37" s="16"/>
      <c r="LQ37" s="16"/>
      <c r="LR37" s="16"/>
      <c r="LS37" s="16"/>
      <c r="LT37" s="16"/>
      <c r="LU37" s="16"/>
      <c r="LV37" s="16"/>
      <c r="LW37" s="16"/>
      <c r="LX37" s="16"/>
      <c r="LY37" s="16"/>
      <c r="LZ37" s="16"/>
      <c r="MA37" s="16"/>
      <c r="MB37" s="16"/>
      <c r="MC37" s="16"/>
      <c r="MD37" s="16"/>
      <c r="ME37" s="16"/>
      <c r="MF37" s="16"/>
      <c r="MG37" s="16"/>
      <c r="MH37" s="16"/>
      <c r="MI37" s="16"/>
      <c r="MJ37" s="16"/>
      <c r="MK37" s="16"/>
      <c r="ML37" s="16"/>
      <c r="MM37" s="16"/>
      <c r="MN37" s="16"/>
      <c r="MO37" s="16"/>
      <c r="MP37" s="16"/>
      <c r="MQ37" s="16"/>
      <c r="MR37" s="16"/>
      <c r="MS37" s="16"/>
      <c r="MT37" s="16"/>
      <c r="MU37" s="16"/>
      <c r="MV37" s="16"/>
      <c r="MW37" s="16"/>
      <c r="MX37" s="16"/>
      <c r="MY37" s="16"/>
      <c r="MZ37" s="16"/>
      <c r="NA37" s="16"/>
      <c r="NB37" s="16"/>
      <c r="NC37" s="16"/>
      <c r="ND37" s="16"/>
      <c r="NE37" s="16"/>
      <c r="NF37" s="16"/>
      <c r="NG37" s="16"/>
      <c r="NH37" s="5">
        <f t="shared" si="6"/>
        <v>0</v>
      </c>
      <c r="NI37" s="5">
        <f t="shared" si="7"/>
        <v>0</v>
      </c>
    </row>
    <row r="38" spans="1:373" x14ac:dyDescent="0.25">
      <c r="A38" s="6">
        <v>33</v>
      </c>
      <c r="B38" s="19"/>
      <c r="C38" s="20"/>
      <c r="D38" s="21"/>
      <c r="E38" s="10" t="s">
        <v>29</v>
      </c>
      <c r="F38" s="11"/>
      <c r="G38" s="12"/>
      <c r="H38" s="11"/>
      <c r="I38" s="12"/>
      <c r="J38" s="12"/>
      <c r="K38" s="13"/>
      <c r="L38" s="12"/>
      <c r="M38" s="12"/>
      <c r="N38" s="11"/>
      <c r="O38" s="11"/>
      <c r="P38" s="12"/>
      <c r="Q38" s="12"/>
      <c r="R38" s="13"/>
      <c r="S38" s="13"/>
      <c r="T38" s="12"/>
      <c r="U38" s="14"/>
      <c r="V38" s="11"/>
      <c r="W38" s="12"/>
      <c r="X38" s="12"/>
      <c r="Y38" s="13"/>
      <c r="Z38" s="12"/>
      <c r="AA38" s="12"/>
      <c r="AB38" s="12"/>
      <c r="AC38" s="12"/>
      <c r="AD38" s="12"/>
      <c r="AE38" s="12"/>
      <c r="AF38" s="13"/>
      <c r="AG38" s="12"/>
      <c r="AH38" s="12"/>
      <c r="AI38" s="12"/>
      <c r="AJ38" s="12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5">
        <f t="shared" si="6"/>
        <v>0</v>
      </c>
      <c r="NI38" s="5">
        <f t="shared" si="7"/>
        <v>0</v>
      </c>
    </row>
    <row r="39" spans="1:373" x14ac:dyDescent="0.25">
      <c r="A39" s="17">
        <v>34</v>
      </c>
      <c r="B39" s="19"/>
      <c r="C39" s="20"/>
      <c r="D39" s="21"/>
      <c r="E39" s="10" t="s">
        <v>29</v>
      </c>
      <c r="F39" s="11"/>
      <c r="G39" s="12"/>
      <c r="H39" s="11"/>
      <c r="I39" s="12"/>
      <c r="J39" s="12"/>
      <c r="K39" s="13"/>
      <c r="L39" s="12"/>
      <c r="M39" s="12"/>
      <c r="N39" s="11"/>
      <c r="O39" s="11"/>
      <c r="P39" s="12"/>
      <c r="Q39" s="12"/>
      <c r="R39" s="13"/>
      <c r="S39" s="13"/>
      <c r="T39" s="12"/>
      <c r="U39" s="14"/>
      <c r="V39" s="11"/>
      <c r="W39" s="12"/>
      <c r="X39" s="12"/>
      <c r="Y39" s="13"/>
      <c r="Z39" s="12"/>
      <c r="AA39" s="12"/>
      <c r="AB39" s="12"/>
      <c r="AC39" s="12"/>
      <c r="AD39" s="12"/>
      <c r="AE39" s="12"/>
      <c r="AF39" s="13"/>
      <c r="AG39" s="12"/>
      <c r="AH39" s="12"/>
      <c r="AI39" s="12"/>
      <c r="AJ39" s="12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5">
        <f t="shared" si="6"/>
        <v>0</v>
      </c>
      <c r="NI39" s="5">
        <f t="shared" si="7"/>
        <v>0</v>
      </c>
    </row>
    <row r="40" spans="1:373" x14ac:dyDescent="0.25">
      <c r="A40" s="6">
        <v>35</v>
      </c>
      <c r="B40" s="19"/>
      <c r="C40" s="20"/>
      <c r="D40" s="21"/>
      <c r="E40" s="10" t="s">
        <v>29</v>
      </c>
      <c r="F40" s="11"/>
      <c r="G40" s="12"/>
      <c r="H40" s="11"/>
      <c r="I40" s="12"/>
      <c r="J40" s="12"/>
      <c r="K40" s="13"/>
      <c r="L40" s="12"/>
      <c r="M40" s="12"/>
      <c r="N40" s="11"/>
      <c r="O40" s="11"/>
      <c r="P40" s="12"/>
      <c r="Q40" s="12"/>
      <c r="R40" s="13"/>
      <c r="S40" s="13"/>
      <c r="T40" s="12"/>
      <c r="U40" s="14"/>
      <c r="V40" s="11"/>
      <c r="W40" s="12"/>
      <c r="X40" s="12"/>
      <c r="Y40" s="13"/>
      <c r="Z40" s="12"/>
      <c r="AA40" s="12"/>
      <c r="AB40" s="12"/>
      <c r="AC40" s="12"/>
      <c r="AD40" s="12"/>
      <c r="AE40" s="12"/>
      <c r="AF40" s="13"/>
      <c r="AG40" s="12"/>
      <c r="AH40" s="12"/>
      <c r="AI40" s="12"/>
      <c r="AJ40" s="12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5">
        <f t="shared" si="6"/>
        <v>0</v>
      </c>
      <c r="NI40" s="5">
        <f t="shared" si="7"/>
        <v>0</v>
      </c>
    </row>
    <row r="41" spans="1:373" x14ac:dyDescent="0.25">
      <c r="A41" s="17">
        <v>36</v>
      </c>
      <c r="B41" s="19"/>
      <c r="C41" s="20"/>
      <c r="D41" s="21"/>
      <c r="E41" s="10" t="s">
        <v>29</v>
      </c>
      <c r="F41" s="11"/>
      <c r="G41" s="12"/>
      <c r="H41" s="11"/>
      <c r="I41" s="12"/>
      <c r="J41" s="12"/>
      <c r="K41" s="13"/>
      <c r="L41" s="12"/>
      <c r="M41" s="12"/>
      <c r="N41" s="11"/>
      <c r="O41" s="11"/>
      <c r="P41" s="12"/>
      <c r="Q41" s="12"/>
      <c r="R41" s="13"/>
      <c r="S41" s="13"/>
      <c r="T41" s="12"/>
      <c r="U41" s="14"/>
      <c r="V41" s="11"/>
      <c r="W41" s="12"/>
      <c r="X41" s="12"/>
      <c r="Y41" s="13"/>
      <c r="Z41" s="12"/>
      <c r="AA41" s="12"/>
      <c r="AB41" s="12"/>
      <c r="AC41" s="12"/>
      <c r="AD41" s="12"/>
      <c r="AE41" s="12"/>
      <c r="AF41" s="13"/>
      <c r="AG41" s="12"/>
      <c r="AH41" s="12"/>
      <c r="AI41" s="12"/>
      <c r="AJ41" s="12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KY41" s="16"/>
      <c r="KZ41" s="16"/>
      <c r="LA41" s="16"/>
      <c r="LB41" s="16"/>
      <c r="LC41" s="16"/>
      <c r="LD41" s="16"/>
      <c r="LE41" s="16"/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/>
      <c r="LQ41" s="16"/>
      <c r="LR41" s="16"/>
      <c r="LS41" s="16"/>
      <c r="LT41" s="16"/>
      <c r="LU41" s="16"/>
      <c r="LV41" s="16"/>
      <c r="LW41" s="16"/>
      <c r="LX41" s="16"/>
      <c r="LY41" s="16"/>
      <c r="LZ41" s="16"/>
      <c r="MA41" s="16"/>
      <c r="MB41" s="16"/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5">
        <f t="shared" si="6"/>
        <v>0</v>
      </c>
      <c r="NI41" s="5">
        <f t="shared" si="7"/>
        <v>0</v>
      </c>
    </row>
    <row r="42" spans="1:373" x14ac:dyDescent="0.25">
      <c r="A42" s="6">
        <v>37</v>
      </c>
      <c r="B42" s="19"/>
      <c r="C42" s="20"/>
      <c r="D42" s="21"/>
      <c r="E42" s="10" t="s">
        <v>29</v>
      </c>
      <c r="F42" s="11"/>
      <c r="G42" s="12"/>
      <c r="H42" s="11"/>
      <c r="I42" s="12"/>
      <c r="J42" s="12"/>
      <c r="K42" s="13"/>
      <c r="L42" s="12"/>
      <c r="M42" s="12"/>
      <c r="N42" s="11"/>
      <c r="O42" s="11"/>
      <c r="P42" s="12"/>
      <c r="Q42" s="12"/>
      <c r="R42" s="13"/>
      <c r="S42" s="13"/>
      <c r="T42" s="12"/>
      <c r="U42" s="14"/>
      <c r="V42" s="11"/>
      <c r="W42" s="12"/>
      <c r="X42" s="12"/>
      <c r="Y42" s="13"/>
      <c r="Z42" s="12"/>
      <c r="AA42" s="12"/>
      <c r="AB42" s="12"/>
      <c r="AC42" s="12"/>
      <c r="AD42" s="12"/>
      <c r="AE42" s="12"/>
      <c r="AF42" s="13"/>
      <c r="AG42" s="12"/>
      <c r="AH42" s="12"/>
      <c r="AI42" s="12"/>
      <c r="AJ42" s="12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5">
        <f t="shared" si="6"/>
        <v>0</v>
      </c>
      <c r="NI42" s="5">
        <f t="shared" si="7"/>
        <v>0</v>
      </c>
    </row>
    <row r="43" spans="1:373" x14ac:dyDescent="0.25">
      <c r="A43" s="17">
        <v>38</v>
      </c>
      <c r="B43" s="19"/>
      <c r="C43" s="20"/>
      <c r="D43" s="21"/>
      <c r="E43" s="10" t="s">
        <v>29</v>
      </c>
      <c r="F43" s="11"/>
      <c r="G43" s="12"/>
      <c r="H43" s="11"/>
      <c r="I43" s="12"/>
      <c r="J43" s="12"/>
      <c r="K43" s="13"/>
      <c r="L43" s="12"/>
      <c r="M43" s="12"/>
      <c r="N43" s="11"/>
      <c r="O43" s="11"/>
      <c r="P43" s="12"/>
      <c r="Q43" s="12"/>
      <c r="R43" s="13"/>
      <c r="S43" s="13"/>
      <c r="T43" s="12"/>
      <c r="U43" s="14"/>
      <c r="V43" s="11"/>
      <c r="W43" s="12"/>
      <c r="X43" s="12"/>
      <c r="Y43" s="13"/>
      <c r="Z43" s="12"/>
      <c r="AA43" s="12"/>
      <c r="AB43" s="12"/>
      <c r="AC43" s="12"/>
      <c r="AD43" s="12"/>
      <c r="AE43" s="12"/>
      <c r="AF43" s="13"/>
      <c r="AG43" s="12"/>
      <c r="AH43" s="12"/>
      <c r="AI43" s="12"/>
      <c r="AJ43" s="12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KY43" s="16"/>
      <c r="KZ43" s="16"/>
      <c r="LA43" s="16"/>
      <c r="LB43" s="16"/>
      <c r="LC43" s="16"/>
      <c r="LD43" s="16"/>
      <c r="LE43" s="16"/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/>
      <c r="LQ43" s="16"/>
      <c r="LR43" s="16"/>
      <c r="LS43" s="16"/>
      <c r="LT43" s="16"/>
      <c r="LU43" s="16"/>
      <c r="LV43" s="16"/>
      <c r="LW43" s="16"/>
      <c r="LX43" s="16"/>
      <c r="LY43" s="16"/>
      <c r="LZ43" s="16"/>
      <c r="MA43" s="16"/>
      <c r="MB43" s="16"/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5">
        <f t="shared" si="6"/>
        <v>0</v>
      </c>
      <c r="NI43" s="5">
        <f t="shared" si="7"/>
        <v>0</v>
      </c>
    </row>
    <row r="44" spans="1:373" x14ac:dyDescent="0.25">
      <c r="A44" s="28">
        <v>39</v>
      </c>
      <c r="B44" s="19"/>
      <c r="C44" s="20"/>
      <c r="D44" s="21"/>
      <c r="E44" s="10" t="s">
        <v>29</v>
      </c>
      <c r="F44" s="11"/>
      <c r="G44" s="12"/>
      <c r="H44" s="11"/>
      <c r="I44" s="12"/>
      <c r="J44" s="12"/>
      <c r="K44" s="29"/>
      <c r="L44" s="12"/>
      <c r="M44" s="12"/>
      <c r="N44" s="11"/>
      <c r="O44" s="11"/>
      <c r="P44" s="12"/>
      <c r="Q44" s="12"/>
      <c r="R44" s="13"/>
      <c r="S44" s="13"/>
      <c r="T44" s="12"/>
      <c r="U44" s="14"/>
      <c r="V44" s="11"/>
      <c r="W44" s="12"/>
      <c r="X44" s="12"/>
      <c r="Y44" s="29"/>
      <c r="Z44" s="12"/>
      <c r="AA44" s="12"/>
      <c r="AB44" s="12"/>
      <c r="AC44" s="12"/>
      <c r="AD44" s="12"/>
      <c r="AE44" s="12"/>
      <c r="AF44" s="29"/>
      <c r="AG44" s="12"/>
      <c r="AH44" s="12"/>
      <c r="AI44" s="12"/>
      <c r="AJ44" s="12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6"/>
      <c r="LD44" s="16"/>
      <c r="LE44" s="16"/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/>
      <c r="LQ44" s="16"/>
      <c r="LR44" s="16"/>
      <c r="LS44" s="16"/>
      <c r="LT44" s="16"/>
      <c r="LU44" s="16"/>
      <c r="LV44" s="16"/>
      <c r="LW44" s="16"/>
      <c r="LX44" s="16"/>
      <c r="LY44" s="16"/>
      <c r="LZ44" s="16"/>
      <c r="MA44" s="16"/>
      <c r="MB44" s="16"/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5">
        <f t="shared" si="6"/>
        <v>0</v>
      </c>
      <c r="NI44" s="5">
        <f t="shared" si="7"/>
        <v>0</v>
      </c>
    </row>
    <row r="45" spans="1:373" x14ac:dyDescent="0.25">
      <c r="A45" s="17">
        <v>40</v>
      </c>
      <c r="B45" s="19"/>
      <c r="C45" s="20"/>
      <c r="D45" s="21"/>
      <c r="E45" s="10" t="s">
        <v>29</v>
      </c>
      <c r="F45" s="16"/>
      <c r="G45" s="16"/>
      <c r="H45" s="16"/>
      <c r="I45" s="16"/>
      <c r="J45" s="16"/>
      <c r="K45" s="12"/>
      <c r="L45" s="12"/>
      <c r="M45" s="11"/>
      <c r="N45" s="11"/>
      <c r="O45" s="12"/>
      <c r="P45" s="12"/>
      <c r="Q45" s="12"/>
      <c r="R45" s="13"/>
      <c r="S45" s="13"/>
      <c r="T45" s="12"/>
      <c r="U45" s="12"/>
      <c r="V45" s="12"/>
      <c r="W45" s="12"/>
      <c r="X45" s="12"/>
      <c r="Y45" s="16"/>
      <c r="Z45" s="12"/>
      <c r="AA45" s="12"/>
      <c r="AB45" s="12"/>
      <c r="AC45" s="12"/>
      <c r="AD45" s="12"/>
      <c r="AE45" s="12"/>
      <c r="AF45" s="16"/>
      <c r="AG45" s="12"/>
      <c r="AH45" s="12"/>
      <c r="AI45" s="12"/>
      <c r="AJ45" s="12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5">
        <f t="shared" si="6"/>
        <v>0</v>
      </c>
      <c r="NI45" s="5">
        <f t="shared" si="7"/>
        <v>0</v>
      </c>
    </row>
    <row r="46" spans="1:373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0"/>
      <c r="IR46" s="30"/>
      <c r="IS46" s="30"/>
      <c r="IT46" s="30"/>
      <c r="IU46" s="30"/>
      <c r="IV46" s="30"/>
      <c r="IW46" s="30"/>
      <c r="IX46" s="30"/>
      <c r="IY46" s="30"/>
      <c r="IZ46" s="30"/>
      <c r="JA46" s="30"/>
      <c r="JB46" s="30"/>
      <c r="JC46" s="30"/>
      <c r="JD46" s="30"/>
      <c r="JE46" s="30"/>
      <c r="JF46" s="30"/>
      <c r="JG46" s="30"/>
      <c r="JH46" s="30"/>
      <c r="JI46" s="30"/>
      <c r="JJ46" s="30"/>
      <c r="JK46" s="30"/>
      <c r="JL46" s="30"/>
      <c r="JM46" s="30"/>
      <c r="JN46" s="30"/>
      <c r="JO46" s="30"/>
      <c r="JP46" s="30"/>
      <c r="JQ46" s="30"/>
      <c r="JR46" s="30"/>
      <c r="JS46" s="30"/>
      <c r="JT46" s="30"/>
      <c r="JU46" s="30"/>
      <c r="JV46" s="30"/>
      <c r="JW46" s="30"/>
      <c r="JX46" s="30"/>
      <c r="JY46" s="30"/>
      <c r="JZ46" s="30"/>
      <c r="KA46" s="30"/>
      <c r="KB46" s="30"/>
      <c r="KC46" s="30"/>
      <c r="KD46" s="30"/>
      <c r="KE46" s="30"/>
      <c r="KF46" s="30"/>
      <c r="KG46" s="30"/>
      <c r="KH46" s="30"/>
      <c r="KI46" s="30"/>
      <c r="KJ46" s="30"/>
      <c r="KK46" s="30"/>
      <c r="KL46" s="30"/>
      <c r="KM46" s="30"/>
      <c r="KN46" s="30"/>
      <c r="KO46" s="30"/>
      <c r="KP46" s="30"/>
      <c r="KQ46" s="30"/>
      <c r="KR46" s="30"/>
      <c r="KS46" s="30"/>
      <c r="KT46" s="30"/>
      <c r="KU46" s="30"/>
      <c r="KV46" s="30"/>
      <c r="KW46" s="30"/>
      <c r="KX46" s="30"/>
      <c r="KY46" s="30"/>
      <c r="KZ46" s="30"/>
      <c r="LA46" s="30"/>
      <c r="LB46" s="30"/>
      <c r="LC46" s="30"/>
      <c r="LD46" s="30"/>
      <c r="LE46" s="30"/>
      <c r="LF46" s="30"/>
      <c r="LG46" s="30"/>
      <c r="LH46" s="30"/>
      <c r="LI46" s="30"/>
      <c r="LJ46" s="30"/>
      <c r="LK46" s="30"/>
      <c r="LL46" s="30"/>
      <c r="LM46" s="30"/>
      <c r="LN46" s="30"/>
      <c r="LO46" s="30"/>
      <c r="LP46" s="30"/>
      <c r="LQ46" s="30"/>
      <c r="LR46" s="30"/>
      <c r="LS46" s="30"/>
      <c r="LT46" s="30"/>
      <c r="LU46" s="30"/>
      <c r="LV46" s="30"/>
      <c r="LW46" s="30"/>
      <c r="LX46" s="30"/>
      <c r="LY46" s="30"/>
      <c r="LZ46" s="30"/>
      <c r="MA46" s="30"/>
      <c r="MB46" s="30"/>
      <c r="MC46" s="30"/>
      <c r="MD46" s="30"/>
      <c r="ME46" s="30"/>
      <c r="MF46" s="30"/>
      <c r="MG46" s="30"/>
      <c r="MH46" s="30"/>
      <c r="MI46" s="30"/>
      <c r="MJ46" s="30"/>
      <c r="MK46" s="30"/>
      <c r="ML46" s="30"/>
      <c r="MM46" s="30"/>
      <c r="MN46" s="30"/>
      <c r="MO46" s="30"/>
      <c r="MP46" s="30"/>
      <c r="MQ46" s="30"/>
      <c r="MR46" s="30"/>
      <c r="MS46" s="30"/>
      <c r="MT46" s="30"/>
      <c r="MU46" s="30"/>
      <c r="MV46" s="30"/>
      <c r="MW46" s="30"/>
      <c r="MX46" s="30"/>
      <c r="MY46" s="30"/>
      <c r="MZ46" s="30"/>
      <c r="NA46" s="30"/>
      <c r="NB46" s="30"/>
      <c r="NC46" s="30"/>
      <c r="ND46" s="30"/>
      <c r="NE46" s="30"/>
      <c r="NF46" s="30"/>
      <c r="NG46" s="30"/>
      <c r="NH46" s="33">
        <f>SUM(NH6:NH45)</f>
        <v>0</v>
      </c>
      <c r="NI46" s="33">
        <f>SUM(NI6:NI45)</f>
        <v>0</v>
      </c>
    </row>
  </sheetData>
  <mergeCells count="13">
    <mergeCell ref="NH4:NH5"/>
    <mergeCell ref="NI4:NI5"/>
    <mergeCell ref="NJ4:NK4"/>
    <mergeCell ref="NJ9:NM9"/>
    <mergeCell ref="NJ17:NM17"/>
    <mergeCell ref="A1:AJ1"/>
    <mergeCell ref="A2:AJ2"/>
    <mergeCell ref="A3:AJ3"/>
    <mergeCell ref="A4:A5"/>
    <mergeCell ref="B4:B5"/>
    <mergeCell ref="C4:C5"/>
    <mergeCell ref="D4:D5"/>
    <mergeCell ref="E4:E5"/>
  </mergeCells>
  <conditionalFormatting sqref="F4:NG45 NJ5:NK5">
    <cfRule type="expression" dxfId="67" priority="12">
      <formula>F$4="Sun"</formula>
    </cfRule>
  </conditionalFormatting>
  <conditionalFormatting sqref="F5:NG45">
    <cfRule type="expression" dxfId="66" priority="11">
      <formula>IF(F$5=TODAY(),TRUE,FALSE)</formula>
    </cfRule>
  </conditionalFormatting>
  <conditionalFormatting sqref="NH4:NI4 NH6:NI46">
    <cfRule type="expression" dxfId="65" priority="13">
      <formula>#REF!="Sun"</formula>
    </cfRule>
  </conditionalFormatting>
  <conditionalFormatting sqref="NJ6:NJ7">
    <cfRule type="expression" dxfId="64" priority="9">
      <formula>NJ$4="Sun"</formula>
    </cfRule>
  </conditionalFormatting>
  <conditionalFormatting sqref="NJ10:NJ13">
    <cfRule type="expression" dxfId="63" priority="3">
      <formula>NJ$4="Sun"</formula>
    </cfRule>
  </conditionalFormatting>
  <conditionalFormatting sqref="NJ18:NJ21">
    <cfRule type="expression" dxfId="62" priority="2">
      <formula>NJ$4="Sun"</formula>
    </cfRule>
  </conditionalFormatting>
  <conditionalFormatting sqref="NK10:NM10">
    <cfRule type="expression" dxfId="61" priority="4">
      <formula>NK$4="Sun"</formula>
    </cfRule>
  </conditionalFormatting>
  <conditionalFormatting sqref="NK18:NM18">
    <cfRule type="expression" dxfId="60" priority="1">
      <formula>NK$4="Sun"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7BE4-C75C-4DD1-AF50-B13801560513}">
  <dimension ref="A1:NM46"/>
  <sheetViews>
    <sheetView workbookViewId="0">
      <selection activeCell="I8" sqref="I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bestFit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bestFit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6" width="4.7109375" style="1" bestFit="1" customWidth="1"/>
    <col min="37" max="37" width="3.85546875" style="1" bestFit="1" customWidth="1"/>
    <col min="38" max="39" width="3.7109375" style="1" bestFit="1" customWidth="1"/>
    <col min="40" max="40" width="3.85546875" style="1" bestFit="1" customWidth="1"/>
    <col min="41" max="41" width="4.5703125" style="1" bestFit="1" customWidth="1"/>
    <col min="42" max="42" width="3.85546875" style="1" bestFit="1" customWidth="1"/>
    <col min="43" max="43" width="4.7109375" style="1" bestFit="1" customWidth="1"/>
    <col min="44" max="44" width="3.85546875" style="1" bestFit="1" customWidth="1"/>
    <col min="45" max="46" width="3.7109375" style="1" bestFit="1" customWidth="1"/>
    <col min="47" max="47" width="3.85546875" style="1" bestFit="1" customWidth="1"/>
    <col min="48" max="48" width="4.5703125" style="1" bestFit="1" customWidth="1"/>
    <col min="49" max="49" width="3.85546875" style="1" bestFit="1" customWidth="1"/>
    <col min="50" max="50" width="4.7109375" style="1" bestFit="1" customWidth="1"/>
    <col min="51" max="51" width="3.85546875" style="1" bestFit="1" customWidth="1"/>
    <col min="52" max="53" width="3.7109375" style="1" bestFit="1" customWidth="1"/>
    <col min="54" max="54" width="3.85546875" style="1" bestFit="1" customWidth="1"/>
    <col min="55" max="55" width="4.5703125" style="1" bestFit="1" customWidth="1"/>
    <col min="56" max="56" width="3.85546875" style="1" bestFit="1" customWidth="1"/>
    <col min="57" max="57" width="4.7109375" style="1" bestFit="1" customWidth="1"/>
    <col min="58" max="58" width="3.85546875" style="1" bestFit="1" customWidth="1"/>
    <col min="59" max="60" width="3.7109375" style="1" bestFit="1" customWidth="1"/>
    <col min="61" max="61" width="3.85546875" style="1" bestFit="1" customWidth="1"/>
    <col min="62" max="62" width="4.5703125" style="1" bestFit="1" customWidth="1"/>
    <col min="63" max="63" width="3.85546875" style="1" bestFit="1" customWidth="1"/>
    <col min="64" max="64" width="4.7109375" style="1" bestFit="1" customWidth="1"/>
    <col min="65" max="65" width="3.85546875" style="1" bestFit="1" customWidth="1"/>
    <col min="66" max="67" width="3.7109375" style="1" bestFit="1" customWidth="1"/>
    <col min="68" max="68" width="3.85546875" style="1" bestFit="1" customWidth="1"/>
    <col min="69" max="69" width="4.5703125" style="1" bestFit="1" customWidth="1"/>
    <col min="70" max="70" width="3.85546875" style="1" bestFit="1" customWidth="1"/>
    <col min="71" max="71" width="4.7109375" style="1" bestFit="1" customWidth="1"/>
    <col min="72" max="72" width="3.85546875" style="1" bestFit="1" customWidth="1"/>
    <col min="73" max="74" width="3.7109375" style="1" bestFit="1" customWidth="1"/>
    <col min="75" max="75" width="3.85546875" style="1" bestFit="1" customWidth="1"/>
    <col min="76" max="76" width="4.5703125" style="1" bestFit="1" customWidth="1"/>
    <col min="77" max="77" width="3.85546875" style="1" bestFit="1" customWidth="1"/>
    <col min="78" max="78" width="4.7109375" style="1" bestFit="1" customWidth="1"/>
    <col min="79" max="79" width="3.85546875" style="1" bestFit="1" customWidth="1"/>
    <col min="80" max="81" width="3.7109375" style="1" bestFit="1" customWidth="1"/>
    <col min="82" max="82" width="3.85546875" style="1" bestFit="1" customWidth="1"/>
    <col min="83" max="83" width="4.5703125" style="1" bestFit="1" customWidth="1"/>
    <col min="84" max="84" width="3.85546875" style="1" bestFit="1" customWidth="1"/>
    <col min="85" max="85" width="4.7109375" style="1" bestFit="1" customWidth="1"/>
    <col min="86" max="86" width="3.85546875" style="1" bestFit="1" customWidth="1"/>
    <col min="87" max="88" width="3.7109375" style="1" bestFit="1" customWidth="1"/>
    <col min="89" max="89" width="3.85546875" style="1" bestFit="1" customWidth="1"/>
    <col min="90" max="90" width="4.5703125" style="1" bestFit="1" customWidth="1"/>
    <col min="91" max="91" width="3.85546875" style="1" bestFit="1" customWidth="1"/>
    <col min="92" max="92" width="4.7109375" style="1" bestFit="1" customWidth="1"/>
    <col min="93" max="93" width="3.85546875" style="1" bestFit="1" customWidth="1"/>
    <col min="94" max="95" width="3.7109375" style="1" bestFit="1" customWidth="1"/>
    <col min="96" max="96" width="3.85546875" style="1" bestFit="1" customWidth="1"/>
    <col min="97" max="97" width="4.5703125" style="1" bestFit="1" customWidth="1"/>
    <col min="98" max="98" width="3.85546875" style="1" bestFit="1" customWidth="1"/>
    <col min="99" max="99" width="4.7109375" style="1" bestFit="1" customWidth="1"/>
    <col min="100" max="100" width="3.85546875" style="1" bestFit="1" customWidth="1"/>
    <col min="101" max="102" width="3.7109375" style="1" bestFit="1" customWidth="1"/>
    <col min="103" max="103" width="3.85546875" style="1" bestFit="1" customWidth="1"/>
    <col min="104" max="104" width="4.5703125" style="1" bestFit="1" customWidth="1"/>
    <col min="105" max="105" width="3.85546875" style="1" bestFit="1" customWidth="1"/>
    <col min="106" max="106" width="4.7109375" style="1" bestFit="1" customWidth="1"/>
    <col min="107" max="107" width="3.85546875" style="1" bestFit="1" customWidth="1"/>
    <col min="108" max="109" width="3.7109375" style="1" bestFit="1" customWidth="1"/>
    <col min="110" max="110" width="3.85546875" style="1" bestFit="1" customWidth="1"/>
    <col min="111" max="111" width="4.5703125" style="1" bestFit="1" customWidth="1"/>
    <col min="112" max="112" width="3.85546875" style="1" bestFit="1" customWidth="1"/>
    <col min="113" max="113" width="4.7109375" style="1" bestFit="1" customWidth="1"/>
    <col min="114" max="114" width="3.85546875" style="1" bestFit="1" customWidth="1"/>
    <col min="115" max="116" width="3.7109375" style="1" bestFit="1" customWidth="1"/>
    <col min="117" max="117" width="3.85546875" style="1" bestFit="1" customWidth="1"/>
    <col min="118" max="118" width="4.5703125" style="1" bestFit="1" customWidth="1"/>
    <col min="119" max="119" width="3.85546875" style="1" bestFit="1" customWidth="1"/>
    <col min="120" max="120" width="4.7109375" style="1" bestFit="1" customWidth="1"/>
    <col min="121" max="121" width="3.85546875" style="1" bestFit="1" customWidth="1"/>
    <col min="122" max="123" width="3.7109375" style="1" bestFit="1" customWidth="1"/>
    <col min="124" max="124" width="3.85546875" style="1" bestFit="1" customWidth="1"/>
    <col min="125" max="125" width="4.5703125" style="1" bestFit="1" customWidth="1"/>
    <col min="126" max="126" width="3.85546875" style="1" bestFit="1" customWidth="1"/>
    <col min="127" max="127" width="4.7109375" style="1" bestFit="1" customWidth="1"/>
    <col min="128" max="128" width="3.85546875" style="1" bestFit="1" customWidth="1"/>
    <col min="129" max="130" width="3.7109375" style="1" bestFit="1" customWidth="1"/>
    <col min="131" max="131" width="3.85546875" style="1" bestFit="1" customWidth="1"/>
    <col min="132" max="132" width="4.5703125" style="1" bestFit="1" customWidth="1"/>
    <col min="133" max="133" width="3.85546875" style="1" bestFit="1" customWidth="1"/>
    <col min="134" max="134" width="4.7109375" style="1" bestFit="1" customWidth="1"/>
    <col min="135" max="135" width="3.85546875" style="1" bestFit="1" customWidth="1"/>
    <col min="136" max="137" width="3.7109375" style="1" bestFit="1" customWidth="1"/>
    <col min="138" max="138" width="3.85546875" style="1" bestFit="1" customWidth="1"/>
    <col min="139" max="139" width="4.5703125" style="1" bestFit="1" customWidth="1"/>
    <col min="140" max="140" width="3.85546875" style="1" bestFit="1" customWidth="1"/>
    <col min="141" max="141" width="4.7109375" style="1" bestFit="1" customWidth="1"/>
    <col min="142" max="142" width="3.85546875" style="1" bestFit="1" customWidth="1"/>
    <col min="143" max="144" width="3.7109375" style="1" bestFit="1" customWidth="1"/>
    <col min="145" max="145" width="3.85546875" style="1" bestFit="1" customWidth="1"/>
    <col min="146" max="146" width="4.5703125" style="1" bestFit="1" customWidth="1"/>
    <col min="147" max="147" width="3.85546875" style="1" bestFit="1" customWidth="1"/>
    <col min="148" max="148" width="4.7109375" style="1" bestFit="1" customWidth="1"/>
    <col min="149" max="149" width="3.85546875" style="1" bestFit="1" customWidth="1"/>
    <col min="150" max="151" width="3.7109375" style="1" bestFit="1" customWidth="1"/>
    <col min="152" max="152" width="3.85546875" style="1" bestFit="1" customWidth="1"/>
    <col min="153" max="153" width="4.5703125" style="1" bestFit="1" customWidth="1"/>
    <col min="154" max="154" width="3.85546875" style="1" bestFit="1" customWidth="1"/>
    <col min="155" max="155" width="4.7109375" style="1" bestFit="1" customWidth="1"/>
    <col min="156" max="156" width="3.85546875" style="1" bestFit="1" customWidth="1"/>
    <col min="157" max="158" width="3.7109375" style="1" bestFit="1" customWidth="1"/>
    <col min="159" max="159" width="3.85546875" style="1" bestFit="1" customWidth="1"/>
    <col min="160" max="160" width="4.5703125" style="1" bestFit="1" customWidth="1"/>
    <col min="161" max="161" width="3.85546875" style="1" bestFit="1" customWidth="1"/>
    <col min="162" max="162" width="4.7109375" style="1" bestFit="1" customWidth="1"/>
    <col min="163" max="163" width="3.85546875" style="1" bestFit="1" customWidth="1"/>
    <col min="164" max="165" width="3.7109375" style="1" bestFit="1" customWidth="1"/>
    <col min="166" max="166" width="3.85546875" style="1" bestFit="1" customWidth="1"/>
    <col min="167" max="167" width="4.5703125" style="1" bestFit="1" customWidth="1"/>
    <col min="168" max="168" width="3.85546875" style="1" bestFit="1" customWidth="1"/>
    <col min="169" max="169" width="4.7109375" style="1" bestFit="1" customWidth="1"/>
    <col min="170" max="170" width="3.85546875" style="1" bestFit="1" customWidth="1"/>
    <col min="171" max="172" width="3.7109375" style="1" bestFit="1" customWidth="1"/>
    <col min="173" max="173" width="3.85546875" style="1" bestFit="1" customWidth="1"/>
    <col min="174" max="174" width="4.5703125" style="1" bestFit="1" customWidth="1"/>
    <col min="175" max="175" width="3.85546875" style="1" bestFit="1" customWidth="1"/>
    <col min="176" max="176" width="4.7109375" style="1" bestFit="1" customWidth="1"/>
    <col min="177" max="177" width="3.85546875" style="1" bestFit="1" customWidth="1"/>
    <col min="178" max="179" width="3.7109375" style="1" bestFit="1" customWidth="1"/>
    <col min="180" max="180" width="3.85546875" style="1" bestFit="1" customWidth="1"/>
    <col min="181" max="181" width="4.5703125" style="1" bestFit="1" customWidth="1"/>
    <col min="182" max="182" width="3.85546875" style="1" bestFit="1" customWidth="1"/>
    <col min="183" max="183" width="4.7109375" style="1" bestFit="1" customWidth="1"/>
    <col min="184" max="184" width="3.85546875" style="1" bestFit="1" customWidth="1"/>
    <col min="185" max="186" width="3.7109375" style="1" bestFit="1" customWidth="1"/>
    <col min="187" max="187" width="3.85546875" style="1" bestFit="1" customWidth="1"/>
    <col min="188" max="188" width="4.5703125" style="1" bestFit="1" customWidth="1"/>
    <col min="189" max="189" width="3.85546875" style="1" bestFit="1" customWidth="1"/>
    <col min="190" max="190" width="4.7109375" style="1" bestFit="1" customWidth="1"/>
    <col min="191" max="191" width="3.85546875" style="1" bestFit="1" customWidth="1"/>
    <col min="192" max="193" width="3.7109375" style="1" bestFit="1" customWidth="1"/>
    <col min="194" max="194" width="3.85546875" style="1" bestFit="1" customWidth="1"/>
    <col min="195" max="195" width="4.5703125" style="1" bestFit="1" customWidth="1"/>
    <col min="196" max="196" width="3.85546875" style="1" bestFit="1" customWidth="1"/>
    <col min="197" max="197" width="4.7109375" style="1" bestFit="1" customWidth="1"/>
    <col min="198" max="198" width="3.85546875" style="1" bestFit="1" customWidth="1"/>
    <col min="199" max="200" width="3.7109375" style="1" bestFit="1" customWidth="1"/>
    <col min="201" max="201" width="3.85546875" style="1" bestFit="1" customWidth="1"/>
    <col min="202" max="202" width="4.5703125" style="1" bestFit="1" customWidth="1"/>
    <col min="203" max="203" width="3.85546875" style="1" bestFit="1" customWidth="1"/>
    <col min="204" max="204" width="4.7109375" style="1" bestFit="1" customWidth="1"/>
    <col min="205" max="205" width="3.85546875" style="1" bestFit="1" customWidth="1"/>
    <col min="206" max="207" width="3.7109375" style="1" bestFit="1" customWidth="1"/>
    <col min="208" max="208" width="3.85546875" style="1" bestFit="1" customWidth="1"/>
    <col min="209" max="209" width="4.5703125" style="1" bestFit="1" customWidth="1"/>
    <col min="210" max="210" width="3.85546875" style="1" bestFit="1" customWidth="1"/>
    <col min="211" max="211" width="4.7109375" style="1" bestFit="1" customWidth="1"/>
    <col min="212" max="212" width="3.85546875" style="1" bestFit="1" customWidth="1"/>
    <col min="213" max="214" width="3.7109375" style="1" bestFit="1" customWidth="1"/>
    <col min="215" max="215" width="3.85546875" style="1" bestFit="1" customWidth="1"/>
    <col min="216" max="216" width="4.5703125" style="1" bestFit="1" customWidth="1"/>
    <col min="217" max="217" width="3.85546875" style="1" bestFit="1" customWidth="1"/>
    <col min="218" max="218" width="4.7109375" style="1" bestFit="1" customWidth="1"/>
    <col min="219" max="219" width="3.85546875" style="1" bestFit="1" customWidth="1"/>
    <col min="220" max="221" width="3.7109375" style="1" bestFit="1" customWidth="1"/>
    <col min="222" max="222" width="3.85546875" style="1" bestFit="1" customWidth="1"/>
    <col min="223" max="223" width="4.5703125" style="1" bestFit="1" customWidth="1"/>
    <col min="224" max="224" width="3.85546875" style="1" bestFit="1" customWidth="1"/>
    <col min="225" max="225" width="4.7109375" style="1" bestFit="1" customWidth="1"/>
    <col min="226" max="226" width="3.85546875" style="1" bestFit="1" customWidth="1"/>
    <col min="227" max="228" width="3.7109375" style="1" bestFit="1" customWidth="1"/>
    <col min="229" max="229" width="3.85546875" style="1" bestFit="1" customWidth="1"/>
    <col min="230" max="230" width="4.5703125" style="1" bestFit="1" customWidth="1"/>
    <col min="231" max="231" width="3.85546875" style="1" bestFit="1" customWidth="1"/>
    <col min="232" max="232" width="4.7109375" style="1" bestFit="1" customWidth="1"/>
    <col min="233" max="233" width="3.85546875" style="1" bestFit="1" customWidth="1"/>
    <col min="234" max="235" width="3.7109375" style="1" bestFit="1" customWidth="1"/>
    <col min="236" max="236" width="3.85546875" style="1" bestFit="1" customWidth="1"/>
    <col min="237" max="237" width="4.5703125" style="1" bestFit="1" customWidth="1"/>
    <col min="238" max="238" width="3.85546875" style="1" bestFit="1" customWidth="1"/>
    <col min="239" max="239" width="4.7109375" style="1" bestFit="1" customWidth="1"/>
    <col min="240" max="240" width="3.85546875" style="1" bestFit="1" customWidth="1"/>
    <col min="241" max="242" width="3.7109375" style="1" bestFit="1" customWidth="1"/>
    <col min="243" max="243" width="3.85546875" style="1" bestFit="1" customWidth="1"/>
    <col min="244" max="244" width="4.5703125" style="1" bestFit="1" customWidth="1"/>
    <col min="245" max="245" width="3.85546875" style="1" bestFit="1" customWidth="1"/>
    <col min="246" max="246" width="4.7109375" style="1" bestFit="1" customWidth="1"/>
    <col min="247" max="247" width="3.85546875" style="1" bestFit="1" customWidth="1"/>
    <col min="248" max="249" width="3.7109375" style="1" bestFit="1" customWidth="1"/>
    <col min="250" max="250" width="3.85546875" style="1" bestFit="1" customWidth="1"/>
    <col min="251" max="251" width="4.5703125" style="1" bestFit="1" customWidth="1"/>
    <col min="252" max="252" width="3.85546875" style="1" bestFit="1" customWidth="1"/>
    <col min="253" max="253" width="4.7109375" style="1" bestFit="1" customWidth="1"/>
    <col min="254" max="254" width="3.85546875" style="1" bestFit="1" customWidth="1"/>
    <col min="255" max="256" width="3.7109375" style="1" bestFit="1" customWidth="1"/>
    <col min="257" max="257" width="3.85546875" style="1" bestFit="1" customWidth="1"/>
    <col min="258" max="258" width="4.5703125" style="1" bestFit="1" customWidth="1"/>
    <col min="259" max="259" width="3.85546875" style="1" bestFit="1" customWidth="1"/>
    <col min="260" max="260" width="4.7109375" style="1" bestFit="1" customWidth="1"/>
    <col min="261" max="261" width="3.85546875" style="1" bestFit="1" customWidth="1"/>
    <col min="262" max="263" width="3.7109375" style="1" bestFit="1" customWidth="1"/>
    <col min="264" max="264" width="3.85546875" style="1" bestFit="1" customWidth="1"/>
    <col min="265" max="265" width="4.5703125" style="1" bestFit="1" customWidth="1"/>
    <col min="266" max="266" width="3.85546875" style="1" bestFit="1" customWidth="1"/>
    <col min="267" max="267" width="4.7109375" style="1" bestFit="1" customWidth="1"/>
    <col min="268" max="268" width="3.85546875" style="1" bestFit="1" customWidth="1"/>
    <col min="269" max="270" width="3.7109375" style="1" bestFit="1" customWidth="1"/>
    <col min="271" max="271" width="3.85546875" style="1" bestFit="1" customWidth="1"/>
    <col min="272" max="272" width="4.5703125" style="1" bestFit="1" customWidth="1"/>
    <col min="273" max="273" width="3.85546875" style="1" bestFit="1" customWidth="1"/>
    <col min="274" max="274" width="4.7109375" style="1" bestFit="1" customWidth="1"/>
    <col min="275" max="275" width="3.85546875" style="1" bestFit="1" customWidth="1"/>
    <col min="276" max="277" width="3.7109375" style="1" bestFit="1" customWidth="1"/>
    <col min="278" max="278" width="3.85546875" style="1" bestFit="1" customWidth="1"/>
    <col min="279" max="279" width="4.5703125" style="1" bestFit="1" customWidth="1"/>
    <col min="280" max="280" width="3.85546875" style="1" bestFit="1" customWidth="1"/>
    <col min="281" max="281" width="4.7109375" style="1" bestFit="1" customWidth="1"/>
    <col min="282" max="282" width="3.85546875" style="1" bestFit="1" customWidth="1"/>
    <col min="283" max="284" width="3.7109375" style="1" bestFit="1" customWidth="1"/>
    <col min="285" max="285" width="3.85546875" style="1" bestFit="1" customWidth="1"/>
    <col min="286" max="286" width="4.5703125" style="1" bestFit="1" customWidth="1"/>
    <col min="287" max="287" width="3.85546875" style="1" bestFit="1" customWidth="1"/>
    <col min="288" max="288" width="4.7109375" style="1" bestFit="1" customWidth="1"/>
    <col min="289" max="289" width="3.85546875" style="1" bestFit="1" customWidth="1"/>
    <col min="290" max="291" width="3.7109375" style="1" bestFit="1" customWidth="1"/>
    <col min="292" max="292" width="3.85546875" style="1" bestFit="1" customWidth="1"/>
    <col min="293" max="293" width="4.5703125" style="1" bestFit="1" customWidth="1"/>
    <col min="294" max="294" width="3.85546875" style="1" bestFit="1" customWidth="1"/>
    <col min="295" max="295" width="4.7109375" style="1" bestFit="1" customWidth="1"/>
    <col min="296" max="296" width="3.85546875" style="1" bestFit="1" customWidth="1"/>
    <col min="297" max="298" width="3.7109375" style="1" bestFit="1" customWidth="1"/>
    <col min="299" max="299" width="3.85546875" style="1" bestFit="1" customWidth="1"/>
    <col min="300" max="300" width="4.5703125" style="1" bestFit="1" customWidth="1"/>
    <col min="301" max="301" width="3.85546875" style="1" bestFit="1" customWidth="1"/>
    <col min="302" max="302" width="4.7109375" style="1" bestFit="1" customWidth="1"/>
    <col min="303" max="303" width="3.85546875" style="1" bestFit="1" customWidth="1"/>
    <col min="304" max="305" width="3.7109375" style="1" bestFit="1" customWidth="1"/>
    <col min="306" max="306" width="3.85546875" style="1" bestFit="1" customWidth="1"/>
    <col min="307" max="307" width="4.5703125" style="1" bestFit="1" customWidth="1"/>
    <col min="308" max="308" width="3.85546875" style="1" bestFit="1" customWidth="1"/>
    <col min="309" max="309" width="4.7109375" style="1" bestFit="1" customWidth="1"/>
    <col min="310" max="310" width="3.85546875" style="1" bestFit="1" customWidth="1"/>
    <col min="311" max="312" width="3.7109375" style="1" bestFit="1" customWidth="1"/>
    <col min="313" max="313" width="3.85546875" style="1" bestFit="1" customWidth="1"/>
    <col min="314" max="314" width="4.5703125" style="1" bestFit="1" customWidth="1"/>
    <col min="315" max="315" width="3.85546875" style="1" bestFit="1" customWidth="1"/>
    <col min="316" max="316" width="4.7109375" style="1" bestFit="1" customWidth="1"/>
    <col min="317" max="317" width="3.85546875" style="1" bestFit="1" customWidth="1"/>
    <col min="318" max="319" width="3.7109375" style="1" bestFit="1" customWidth="1"/>
    <col min="320" max="320" width="3.85546875" style="1" bestFit="1" customWidth="1"/>
    <col min="321" max="321" width="4.5703125" style="1" bestFit="1" customWidth="1"/>
    <col min="322" max="322" width="3.85546875" style="1" bestFit="1" customWidth="1"/>
    <col min="323" max="323" width="4.7109375" style="1" bestFit="1" customWidth="1"/>
    <col min="324" max="324" width="3.85546875" style="1" bestFit="1" customWidth="1"/>
    <col min="325" max="326" width="3.7109375" style="1" bestFit="1" customWidth="1"/>
    <col min="327" max="327" width="3.85546875" style="1" bestFit="1" customWidth="1"/>
    <col min="328" max="328" width="4.5703125" style="1" bestFit="1" customWidth="1"/>
    <col min="329" max="329" width="3.85546875" style="1" bestFit="1" customWidth="1"/>
    <col min="330" max="330" width="4.7109375" style="1" bestFit="1" customWidth="1"/>
    <col min="331" max="331" width="3.85546875" style="1" bestFit="1" customWidth="1"/>
    <col min="332" max="333" width="3.7109375" style="1" bestFit="1" customWidth="1"/>
    <col min="334" max="334" width="3.85546875" style="1" bestFit="1" customWidth="1"/>
    <col min="335" max="335" width="4.5703125" style="1" bestFit="1" customWidth="1"/>
    <col min="336" max="336" width="3.85546875" style="1" bestFit="1" customWidth="1"/>
    <col min="337" max="337" width="4.7109375" style="1" bestFit="1" customWidth="1"/>
    <col min="338" max="338" width="3.85546875" style="1" bestFit="1" customWidth="1"/>
    <col min="339" max="340" width="3.7109375" style="1" bestFit="1" customWidth="1"/>
    <col min="341" max="341" width="3.85546875" style="1" bestFit="1" customWidth="1"/>
    <col min="342" max="342" width="4.5703125" style="1" bestFit="1" customWidth="1"/>
    <col min="343" max="343" width="3.85546875" style="1" bestFit="1" customWidth="1"/>
    <col min="344" max="344" width="4.7109375" style="1" bestFit="1" customWidth="1"/>
    <col min="345" max="345" width="3.85546875" style="1" bestFit="1" customWidth="1"/>
    <col min="346" max="347" width="3.7109375" style="1" bestFit="1" customWidth="1"/>
    <col min="348" max="348" width="3.85546875" style="1" bestFit="1" customWidth="1"/>
    <col min="349" max="349" width="4.5703125" style="1" bestFit="1" customWidth="1"/>
    <col min="350" max="350" width="3.85546875" style="1" bestFit="1" customWidth="1"/>
    <col min="351" max="351" width="4.7109375" style="1" bestFit="1" customWidth="1"/>
    <col min="352" max="352" width="3.85546875" style="1" bestFit="1" customWidth="1"/>
    <col min="353" max="354" width="3.7109375" style="1" bestFit="1" customWidth="1"/>
    <col min="355" max="355" width="3.85546875" style="1" bestFit="1" customWidth="1"/>
    <col min="356" max="356" width="4.5703125" style="1" bestFit="1" customWidth="1"/>
    <col min="357" max="357" width="3.85546875" style="1" bestFit="1" customWidth="1"/>
    <col min="358" max="358" width="4.7109375" style="1" bestFit="1" customWidth="1"/>
    <col min="359" max="359" width="3.85546875" style="1" bestFit="1" customWidth="1"/>
    <col min="360" max="361" width="3.7109375" style="1" bestFit="1" customWidth="1"/>
    <col min="362" max="362" width="3.85546875" style="1" bestFit="1" customWidth="1"/>
    <col min="363" max="363" width="4.5703125" style="1" bestFit="1" customWidth="1"/>
    <col min="364" max="364" width="3.85546875" style="1" bestFit="1" customWidth="1"/>
    <col min="365" max="365" width="4.7109375" style="1" bestFit="1" customWidth="1"/>
    <col min="366" max="366" width="3.85546875" style="1" bestFit="1" customWidth="1"/>
    <col min="367" max="368" width="3.7109375" style="1" bestFit="1" customWidth="1"/>
    <col min="369" max="369" width="3.85546875" style="1" bestFit="1" customWidth="1"/>
    <col min="370" max="370" width="4.5703125" style="1" bestFit="1" customWidth="1"/>
    <col min="371" max="371" width="3.85546875" style="1" bestFit="1" customWidth="1"/>
    <col min="372" max="373" width="6.7109375" style="1" bestFit="1" customWidth="1"/>
    <col min="374" max="374" width="18.5703125" style="1" bestFit="1" customWidth="1"/>
    <col min="375" max="375" width="5.85546875" style="1" bestFit="1" customWidth="1"/>
    <col min="376" max="376" width="14.28515625" style="1" bestFit="1" customWidth="1"/>
    <col min="377" max="377" width="6.7109375" style="1" bestFit="1" customWidth="1"/>
    <col min="378" max="16384" width="3.85546875" style="1"/>
  </cols>
  <sheetData>
    <row r="1" spans="1:377" ht="17.25" x14ac:dyDescent="0.3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</row>
    <row r="2" spans="1:377" ht="17.25" x14ac:dyDescent="0.25">
      <c r="A2" s="101" t="s">
        <v>48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</row>
    <row r="3" spans="1:377" ht="17.25" x14ac:dyDescent="0.3">
      <c r="A3" s="100" t="s">
        <v>47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</row>
    <row r="4" spans="1:377" ht="15.75" x14ac:dyDescent="0.25">
      <c r="A4" s="106" t="s">
        <v>0</v>
      </c>
      <c r="B4" s="106" t="s">
        <v>1</v>
      </c>
      <c r="C4" s="106" t="s">
        <v>2</v>
      </c>
      <c r="D4" s="106" t="s">
        <v>3</v>
      </c>
      <c r="E4" s="106" t="s">
        <v>4</v>
      </c>
      <c r="F4" s="2" t="str">
        <f>TEXT(F5,"ddd")</f>
        <v>Mon</v>
      </c>
      <c r="G4" s="2" t="str">
        <f t="shared" ref="G4:BR4" si="0">TEXT(G5,"ddd")</f>
        <v>Tue</v>
      </c>
      <c r="H4" s="2" t="str">
        <f t="shared" si="0"/>
        <v>Wed</v>
      </c>
      <c r="I4" s="2" t="str">
        <f t="shared" si="0"/>
        <v>Thu</v>
      </c>
      <c r="J4" s="2" t="str">
        <f t="shared" si="0"/>
        <v>Fri</v>
      </c>
      <c r="K4" s="2" t="str">
        <f t="shared" si="0"/>
        <v>Sat</v>
      </c>
      <c r="L4" s="2" t="str">
        <f t="shared" si="0"/>
        <v>Sun</v>
      </c>
      <c r="M4" s="2" t="str">
        <f t="shared" si="0"/>
        <v>Mon</v>
      </c>
      <c r="N4" s="2" t="str">
        <f t="shared" si="0"/>
        <v>Tue</v>
      </c>
      <c r="O4" s="2" t="str">
        <f t="shared" si="0"/>
        <v>Wed</v>
      </c>
      <c r="P4" s="2" t="str">
        <f t="shared" si="0"/>
        <v>Thu</v>
      </c>
      <c r="Q4" s="2" t="str">
        <f t="shared" si="0"/>
        <v>Fri</v>
      </c>
      <c r="R4" s="2" t="str">
        <f t="shared" si="0"/>
        <v>Sat</v>
      </c>
      <c r="S4" s="2" t="str">
        <f t="shared" si="0"/>
        <v>Sun</v>
      </c>
      <c r="T4" s="2" t="str">
        <f t="shared" si="0"/>
        <v>Mon</v>
      </c>
      <c r="U4" s="2" t="str">
        <f t="shared" si="0"/>
        <v>Tue</v>
      </c>
      <c r="V4" s="2" t="str">
        <f t="shared" si="0"/>
        <v>Wed</v>
      </c>
      <c r="W4" s="2" t="str">
        <f t="shared" si="0"/>
        <v>Thu</v>
      </c>
      <c r="X4" s="2" t="str">
        <f t="shared" si="0"/>
        <v>Fri</v>
      </c>
      <c r="Y4" s="2" t="str">
        <f t="shared" si="0"/>
        <v>Sat</v>
      </c>
      <c r="Z4" s="2" t="str">
        <f t="shared" si="0"/>
        <v>Sun</v>
      </c>
      <c r="AA4" s="2" t="str">
        <f t="shared" si="0"/>
        <v>Mon</v>
      </c>
      <c r="AB4" s="2" t="str">
        <f t="shared" si="0"/>
        <v>Tue</v>
      </c>
      <c r="AC4" s="2" t="str">
        <f t="shared" si="0"/>
        <v>Wed</v>
      </c>
      <c r="AD4" s="2" t="str">
        <f t="shared" si="0"/>
        <v>Thu</v>
      </c>
      <c r="AE4" s="2" t="str">
        <f t="shared" si="0"/>
        <v>Fri</v>
      </c>
      <c r="AF4" s="2" t="str">
        <f t="shared" si="0"/>
        <v>Sat</v>
      </c>
      <c r="AG4" s="2" t="str">
        <f t="shared" si="0"/>
        <v>Sun</v>
      </c>
      <c r="AH4" s="2" t="str">
        <f t="shared" si="0"/>
        <v>Mon</v>
      </c>
      <c r="AI4" s="2" t="str">
        <f t="shared" si="0"/>
        <v>Tue</v>
      </c>
      <c r="AJ4" s="2" t="str">
        <f t="shared" si="0"/>
        <v>Wed</v>
      </c>
      <c r="AK4" s="2" t="str">
        <f t="shared" si="0"/>
        <v>Thu</v>
      </c>
      <c r="AL4" s="2" t="str">
        <f t="shared" si="0"/>
        <v>Fri</v>
      </c>
      <c r="AM4" s="2" t="str">
        <f t="shared" si="0"/>
        <v>Sat</v>
      </c>
      <c r="AN4" s="2" t="str">
        <f t="shared" si="0"/>
        <v>Sun</v>
      </c>
      <c r="AO4" s="2" t="str">
        <f t="shared" si="0"/>
        <v>Mon</v>
      </c>
      <c r="AP4" s="2" t="str">
        <f t="shared" si="0"/>
        <v>Tue</v>
      </c>
      <c r="AQ4" s="2" t="str">
        <f t="shared" si="0"/>
        <v>Wed</v>
      </c>
      <c r="AR4" s="2" t="str">
        <f t="shared" si="0"/>
        <v>Thu</v>
      </c>
      <c r="AS4" s="2" t="str">
        <f t="shared" si="0"/>
        <v>Fri</v>
      </c>
      <c r="AT4" s="2" t="str">
        <f t="shared" si="0"/>
        <v>Sat</v>
      </c>
      <c r="AU4" s="2" t="str">
        <f t="shared" si="0"/>
        <v>Sun</v>
      </c>
      <c r="AV4" s="2" t="str">
        <f t="shared" si="0"/>
        <v>Mon</v>
      </c>
      <c r="AW4" s="2" t="str">
        <f t="shared" si="0"/>
        <v>Tue</v>
      </c>
      <c r="AX4" s="2" t="str">
        <f t="shared" si="0"/>
        <v>Wed</v>
      </c>
      <c r="AY4" s="2" t="str">
        <f t="shared" si="0"/>
        <v>Thu</v>
      </c>
      <c r="AZ4" s="2" t="str">
        <f t="shared" si="0"/>
        <v>Fri</v>
      </c>
      <c r="BA4" s="2" t="str">
        <f t="shared" si="0"/>
        <v>Sat</v>
      </c>
      <c r="BB4" s="2" t="str">
        <f t="shared" si="0"/>
        <v>Sun</v>
      </c>
      <c r="BC4" s="2" t="str">
        <f t="shared" si="0"/>
        <v>Mon</v>
      </c>
      <c r="BD4" s="2" t="str">
        <f t="shared" si="0"/>
        <v>Tue</v>
      </c>
      <c r="BE4" s="2" t="str">
        <f t="shared" si="0"/>
        <v>Wed</v>
      </c>
      <c r="BF4" s="2" t="str">
        <f t="shared" si="0"/>
        <v>Thu</v>
      </c>
      <c r="BG4" s="2" t="str">
        <f t="shared" si="0"/>
        <v>Fri</v>
      </c>
      <c r="BH4" s="2" t="str">
        <f t="shared" si="0"/>
        <v>Sat</v>
      </c>
      <c r="BI4" s="2" t="str">
        <f t="shared" si="0"/>
        <v>Sun</v>
      </c>
      <c r="BJ4" s="2" t="str">
        <f t="shared" si="0"/>
        <v>Mon</v>
      </c>
      <c r="BK4" s="2" t="str">
        <f t="shared" si="0"/>
        <v>Tue</v>
      </c>
      <c r="BL4" s="2" t="str">
        <f t="shared" si="0"/>
        <v>Wed</v>
      </c>
      <c r="BM4" s="2" t="str">
        <f t="shared" si="0"/>
        <v>Thu</v>
      </c>
      <c r="BN4" s="2" t="str">
        <f t="shared" si="0"/>
        <v>Fri</v>
      </c>
      <c r="BO4" s="2" t="str">
        <f t="shared" si="0"/>
        <v>Sat</v>
      </c>
      <c r="BP4" s="2" t="str">
        <f t="shared" si="0"/>
        <v>Sun</v>
      </c>
      <c r="BQ4" s="2" t="str">
        <f t="shared" si="0"/>
        <v>Mon</v>
      </c>
      <c r="BR4" s="2" t="str">
        <f t="shared" si="0"/>
        <v>Tue</v>
      </c>
      <c r="BS4" s="2" t="str">
        <f t="shared" ref="BS4:ED4" si="1">TEXT(BS5,"ddd")</f>
        <v>Wed</v>
      </c>
      <c r="BT4" s="2" t="str">
        <f t="shared" si="1"/>
        <v>Thu</v>
      </c>
      <c r="BU4" s="2" t="str">
        <f t="shared" si="1"/>
        <v>Fri</v>
      </c>
      <c r="BV4" s="2" t="str">
        <f t="shared" si="1"/>
        <v>Sat</v>
      </c>
      <c r="BW4" s="2" t="str">
        <f t="shared" si="1"/>
        <v>Sun</v>
      </c>
      <c r="BX4" s="2" t="str">
        <f t="shared" si="1"/>
        <v>Mon</v>
      </c>
      <c r="BY4" s="2" t="str">
        <f t="shared" si="1"/>
        <v>Tue</v>
      </c>
      <c r="BZ4" s="2" t="str">
        <f t="shared" si="1"/>
        <v>Wed</v>
      </c>
      <c r="CA4" s="2" t="str">
        <f t="shared" si="1"/>
        <v>Thu</v>
      </c>
      <c r="CB4" s="2" t="str">
        <f t="shared" si="1"/>
        <v>Fri</v>
      </c>
      <c r="CC4" s="2" t="str">
        <f t="shared" si="1"/>
        <v>Sat</v>
      </c>
      <c r="CD4" s="2" t="str">
        <f t="shared" si="1"/>
        <v>Sun</v>
      </c>
      <c r="CE4" s="2" t="str">
        <f t="shared" si="1"/>
        <v>Mon</v>
      </c>
      <c r="CF4" s="2" t="str">
        <f t="shared" si="1"/>
        <v>Tue</v>
      </c>
      <c r="CG4" s="2" t="str">
        <f t="shared" si="1"/>
        <v>Wed</v>
      </c>
      <c r="CH4" s="2" t="str">
        <f t="shared" si="1"/>
        <v>Thu</v>
      </c>
      <c r="CI4" s="2" t="str">
        <f t="shared" si="1"/>
        <v>Fri</v>
      </c>
      <c r="CJ4" s="2" t="str">
        <f t="shared" si="1"/>
        <v>Sat</v>
      </c>
      <c r="CK4" s="2" t="str">
        <f t="shared" si="1"/>
        <v>Sun</v>
      </c>
      <c r="CL4" s="2" t="str">
        <f t="shared" si="1"/>
        <v>Mon</v>
      </c>
      <c r="CM4" s="2" t="str">
        <f t="shared" si="1"/>
        <v>Tue</v>
      </c>
      <c r="CN4" s="2" t="str">
        <f t="shared" si="1"/>
        <v>Wed</v>
      </c>
      <c r="CO4" s="2" t="str">
        <f t="shared" si="1"/>
        <v>Thu</v>
      </c>
      <c r="CP4" s="2" t="str">
        <f t="shared" si="1"/>
        <v>Fri</v>
      </c>
      <c r="CQ4" s="2" t="str">
        <f t="shared" si="1"/>
        <v>Sat</v>
      </c>
      <c r="CR4" s="2" t="str">
        <f t="shared" si="1"/>
        <v>Sun</v>
      </c>
      <c r="CS4" s="2" t="str">
        <f t="shared" si="1"/>
        <v>Mon</v>
      </c>
      <c r="CT4" s="2" t="str">
        <f t="shared" si="1"/>
        <v>Tue</v>
      </c>
      <c r="CU4" s="2" t="str">
        <f t="shared" si="1"/>
        <v>Wed</v>
      </c>
      <c r="CV4" s="2" t="str">
        <f t="shared" si="1"/>
        <v>Thu</v>
      </c>
      <c r="CW4" s="2" t="str">
        <f t="shared" si="1"/>
        <v>Fri</v>
      </c>
      <c r="CX4" s="2" t="str">
        <f t="shared" si="1"/>
        <v>Sat</v>
      </c>
      <c r="CY4" s="2" t="str">
        <f t="shared" si="1"/>
        <v>Sun</v>
      </c>
      <c r="CZ4" s="2" t="str">
        <f t="shared" si="1"/>
        <v>Mon</v>
      </c>
      <c r="DA4" s="2" t="str">
        <f t="shared" si="1"/>
        <v>Tue</v>
      </c>
      <c r="DB4" s="2" t="str">
        <f t="shared" si="1"/>
        <v>Wed</v>
      </c>
      <c r="DC4" s="2" t="str">
        <f t="shared" si="1"/>
        <v>Thu</v>
      </c>
      <c r="DD4" s="2" t="str">
        <f t="shared" si="1"/>
        <v>Fri</v>
      </c>
      <c r="DE4" s="2" t="str">
        <f t="shared" si="1"/>
        <v>Sat</v>
      </c>
      <c r="DF4" s="2" t="str">
        <f t="shared" si="1"/>
        <v>Sun</v>
      </c>
      <c r="DG4" s="2" t="str">
        <f t="shared" si="1"/>
        <v>Mon</v>
      </c>
      <c r="DH4" s="2" t="str">
        <f t="shared" si="1"/>
        <v>Tue</v>
      </c>
      <c r="DI4" s="2" t="str">
        <f t="shared" si="1"/>
        <v>Wed</v>
      </c>
      <c r="DJ4" s="2" t="str">
        <f t="shared" si="1"/>
        <v>Thu</v>
      </c>
      <c r="DK4" s="2" t="str">
        <f t="shared" si="1"/>
        <v>Fri</v>
      </c>
      <c r="DL4" s="2" t="str">
        <f t="shared" si="1"/>
        <v>Sat</v>
      </c>
      <c r="DM4" s="2" t="str">
        <f t="shared" si="1"/>
        <v>Sun</v>
      </c>
      <c r="DN4" s="2" t="str">
        <f t="shared" si="1"/>
        <v>Mon</v>
      </c>
      <c r="DO4" s="2" t="str">
        <f t="shared" si="1"/>
        <v>Tue</v>
      </c>
      <c r="DP4" s="2" t="str">
        <f t="shared" si="1"/>
        <v>Wed</v>
      </c>
      <c r="DQ4" s="2" t="str">
        <f t="shared" si="1"/>
        <v>Thu</v>
      </c>
      <c r="DR4" s="2" t="str">
        <f t="shared" si="1"/>
        <v>Fri</v>
      </c>
      <c r="DS4" s="2" t="str">
        <f t="shared" si="1"/>
        <v>Sat</v>
      </c>
      <c r="DT4" s="2" t="str">
        <f t="shared" si="1"/>
        <v>Sun</v>
      </c>
      <c r="DU4" s="2" t="str">
        <f t="shared" si="1"/>
        <v>Mon</v>
      </c>
      <c r="DV4" s="2" t="str">
        <f t="shared" si="1"/>
        <v>Tue</v>
      </c>
      <c r="DW4" s="2" t="str">
        <f t="shared" si="1"/>
        <v>Wed</v>
      </c>
      <c r="DX4" s="2" t="str">
        <f t="shared" si="1"/>
        <v>Thu</v>
      </c>
      <c r="DY4" s="2" t="str">
        <f t="shared" si="1"/>
        <v>Fri</v>
      </c>
      <c r="DZ4" s="2" t="str">
        <f t="shared" si="1"/>
        <v>Sat</v>
      </c>
      <c r="EA4" s="2" t="str">
        <f t="shared" si="1"/>
        <v>Sun</v>
      </c>
      <c r="EB4" s="2" t="str">
        <f t="shared" si="1"/>
        <v>Mon</v>
      </c>
      <c r="EC4" s="2" t="str">
        <f t="shared" si="1"/>
        <v>Tue</v>
      </c>
      <c r="ED4" s="2" t="str">
        <f t="shared" si="1"/>
        <v>Wed</v>
      </c>
      <c r="EE4" s="2" t="str">
        <f t="shared" ref="EE4:GP4" si="2">TEXT(EE5,"ddd")</f>
        <v>Thu</v>
      </c>
      <c r="EF4" s="2" t="str">
        <f t="shared" si="2"/>
        <v>Fri</v>
      </c>
      <c r="EG4" s="2" t="str">
        <f t="shared" si="2"/>
        <v>Sat</v>
      </c>
      <c r="EH4" s="2" t="str">
        <f t="shared" si="2"/>
        <v>Sun</v>
      </c>
      <c r="EI4" s="2" t="str">
        <f t="shared" si="2"/>
        <v>Mon</v>
      </c>
      <c r="EJ4" s="2" t="str">
        <f t="shared" si="2"/>
        <v>Tue</v>
      </c>
      <c r="EK4" s="2" t="str">
        <f t="shared" si="2"/>
        <v>Wed</v>
      </c>
      <c r="EL4" s="2" t="str">
        <f t="shared" si="2"/>
        <v>Thu</v>
      </c>
      <c r="EM4" s="2" t="str">
        <f t="shared" si="2"/>
        <v>Fri</v>
      </c>
      <c r="EN4" s="2" t="str">
        <f t="shared" si="2"/>
        <v>Sat</v>
      </c>
      <c r="EO4" s="2" t="str">
        <f t="shared" si="2"/>
        <v>Sun</v>
      </c>
      <c r="EP4" s="2" t="str">
        <f t="shared" si="2"/>
        <v>Mon</v>
      </c>
      <c r="EQ4" s="2" t="str">
        <f t="shared" si="2"/>
        <v>Tue</v>
      </c>
      <c r="ER4" s="2" t="str">
        <f t="shared" si="2"/>
        <v>Wed</v>
      </c>
      <c r="ES4" s="2" t="str">
        <f t="shared" si="2"/>
        <v>Thu</v>
      </c>
      <c r="ET4" s="2" t="str">
        <f t="shared" si="2"/>
        <v>Fri</v>
      </c>
      <c r="EU4" s="2" t="str">
        <f t="shared" si="2"/>
        <v>Sat</v>
      </c>
      <c r="EV4" s="2" t="str">
        <f t="shared" si="2"/>
        <v>Sun</v>
      </c>
      <c r="EW4" s="2" t="str">
        <f t="shared" si="2"/>
        <v>Mon</v>
      </c>
      <c r="EX4" s="2" t="str">
        <f t="shared" si="2"/>
        <v>Tue</v>
      </c>
      <c r="EY4" s="2" t="str">
        <f t="shared" si="2"/>
        <v>Wed</v>
      </c>
      <c r="EZ4" s="2" t="str">
        <f t="shared" si="2"/>
        <v>Thu</v>
      </c>
      <c r="FA4" s="2" t="str">
        <f t="shared" si="2"/>
        <v>Fri</v>
      </c>
      <c r="FB4" s="2" t="str">
        <f t="shared" si="2"/>
        <v>Sat</v>
      </c>
      <c r="FC4" s="2" t="str">
        <f t="shared" si="2"/>
        <v>Sun</v>
      </c>
      <c r="FD4" s="2" t="str">
        <f t="shared" si="2"/>
        <v>Mon</v>
      </c>
      <c r="FE4" s="2" t="str">
        <f t="shared" si="2"/>
        <v>Tue</v>
      </c>
      <c r="FF4" s="2" t="str">
        <f t="shared" si="2"/>
        <v>Wed</v>
      </c>
      <c r="FG4" s="2" t="str">
        <f t="shared" si="2"/>
        <v>Thu</v>
      </c>
      <c r="FH4" s="2" t="str">
        <f t="shared" si="2"/>
        <v>Fri</v>
      </c>
      <c r="FI4" s="2" t="str">
        <f t="shared" si="2"/>
        <v>Sat</v>
      </c>
      <c r="FJ4" s="2" t="str">
        <f t="shared" si="2"/>
        <v>Sun</v>
      </c>
      <c r="FK4" s="2" t="str">
        <f t="shared" si="2"/>
        <v>Mon</v>
      </c>
      <c r="FL4" s="2" t="str">
        <f t="shared" si="2"/>
        <v>Tue</v>
      </c>
      <c r="FM4" s="2" t="str">
        <f t="shared" si="2"/>
        <v>Wed</v>
      </c>
      <c r="FN4" s="2" t="str">
        <f t="shared" si="2"/>
        <v>Thu</v>
      </c>
      <c r="FO4" s="2" t="str">
        <f t="shared" si="2"/>
        <v>Fri</v>
      </c>
      <c r="FP4" s="2" t="str">
        <f t="shared" si="2"/>
        <v>Sat</v>
      </c>
      <c r="FQ4" s="2" t="str">
        <f t="shared" si="2"/>
        <v>Sun</v>
      </c>
      <c r="FR4" s="2" t="str">
        <f t="shared" si="2"/>
        <v>Mon</v>
      </c>
      <c r="FS4" s="2" t="str">
        <f t="shared" si="2"/>
        <v>Tue</v>
      </c>
      <c r="FT4" s="2" t="str">
        <f t="shared" si="2"/>
        <v>Wed</v>
      </c>
      <c r="FU4" s="2" t="str">
        <f t="shared" si="2"/>
        <v>Thu</v>
      </c>
      <c r="FV4" s="2" t="str">
        <f t="shared" si="2"/>
        <v>Fri</v>
      </c>
      <c r="FW4" s="2" t="str">
        <f t="shared" si="2"/>
        <v>Sat</v>
      </c>
      <c r="FX4" s="2" t="str">
        <f t="shared" si="2"/>
        <v>Sun</v>
      </c>
      <c r="FY4" s="2" t="str">
        <f t="shared" si="2"/>
        <v>Mon</v>
      </c>
      <c r="FZ4" s="2" t="str">
        <f t="shared" si="2"/>
        <v>Tue</v>
      </c>
      <c r="GA4" s="2" t="str">
        <f t="shared" si="2"/>
        <v>Wed</v>
      </c>
      <c r="GB4" s="2" t="str">
        <f t="shared" si="2"/>
        <v>Thu</v>
      </c>
      <c r="GC4" s="2" t="str">
        <f t="shared" si="2"/>
        <v>Fri</v>
      </c>
      <c r="GD4" s="2" t="str">
        <f t="shared" si="2"/>
        <v>Sat</v>
      </c>
      <c r="GE4" s="2" t="str">
        <f t="shared" si="2"/>
        <v>Sun</v>
      </c>
      <c r="GF4" s="2" t="str">
        <f t="shared" si="2"/>
        <v>Mon</v>
      </c>
      <c r="GG4" s="2" t="str">
        <f t="shared" si="2"/>
        <v>Tue</v>
      </c>
      <c r="GH4" s="2" t="str">
        <f t="shared" si="2"/>
        <v>Wed</v>
      </c>
      <c r="GI4" s="2" t="str">
        <f t="shared" si="2"/>
        <v>Thu</v>
      </c>
      <c r="GJ4" s="2" t="str">
        <f t="shared" si="2"/>
        <v>Fri</v>
      </c>
      <c r="GK4" s="2" t="str">
        <f t="shared" si="2"/>
        <v>Sat</v>
      </c>
      <c r="GL4" s="2" t="str">
        <f t="shared" si="2"/>
        <v>Sun</v>
      </c>
      <c r="GM4" s="2" t="str">
        <f t="shared" si="2"/>
        <v>Mon</v>
      </c>
      <c r="GN4" s="2" t="str">
        <f t="shared" si="2"/>
        <v>Tue</v>
      </c>
      <c r="GO4" s="2" t="str">
        <f t="shared" si="2"/>
        <v>Wed</v>
      </c>
      <c r="GP4" s="2" t="str">
        <f t="shared" si="2"/>
        <v>Thu</v>
      </c>
      <c r="GQ4" s="2" t="str">
        <f t="shared" ref="GQ4:JB4" si="3">TEXT(GQ5,"ddd")</f>
        <v>Fri</v>
      </c>
      <c r="GR4" s="2" t="str">
        <f t="shared" si="3"/>
        <v>Sat</v>
      </c>
      <c r="GS4" s="2" t="str">
        <f t="shared" si="3"/>
        <v>Sun</v>
      </c>
      <c r="GT4" s="2" t="str">
        <f t="shared" si="3"/>
        <v>Mon</v>
      </c>
      <c r="GU4" s="2" t="str">
        <f t="shared" si="3"/>
        <v>Tue</v>
      </c>
      <c r="GV4" s="2" t="str">
        <f t="shared" si="3"/>
        <v>Wed</v>
      </c>
      <c r="GW4" s="2" t="str">
        <f t="shared" si="3"/>
        <v>Thu</v>
      </c>
      <c r="GX4" s="2" t="str">
        <f t="shared" si="3"/>
        <v>Fri</v>
      </c>
      <c r="GY4" s="2" t="str">
        <f t="shared" si="3"/>
        <v>Sat</v>
      </c>
      <c r="GZ4" s="2" t="str">
        <f t="shared" si="3"/>
        <v>Sun</v>
      </c>
      <c r="HA4" s="2" t="str">
        <f t="shared" si="3"/>
        <v>Mon</v>
      </c>
      <c r="HB4" s="2" t="str">
        <f t="shared" si="3"/>
        <v>Tue</v>
      </c>
      <c r="HC4" s="2" t="str">
        <f t="shared" si="3"/>
        <v>Wed</v>
      </c>
      <c r="HD4" s="2" t="str">
        <f t="shared" si="3"/>
        <v>Thu</v>
      </c>
      <c r="HE4" s="2" t="str">
        <f t="shared" si="3"/>
        <v>Fri</v>
      </c>
      <c r="HF4" s="2" t="str">
        <f t="shared" si="3"/>
        <v>Sat</v>
      </c>
      <c r="HG4" s="2" t="str">
        <f t="shared" si="3"/>
        <v>Sun</v>
      </c>
      <c r="HH4" s="2" t="str">
        <f t="shared" si="3"/>
        <v>Mon</v>
      </c>
      <c r="HI4" s="2" t="str">
        <f t="shared" si="3"/>
        <v>Tue</v>
      </c>
      <c r="HJ4" s="2" t="str">
        <f t="shared" si="3"/>
        <v>Wed</v>
      </c>
      <c r="HK4" s="2" t="str">
        <f t="shared" si="3"/>
        <v>Thu</v>
      </c>
      <c r="HL4" s="2" t="str">
        <f t="shared" si="3"/>
        <v>Fri</v>
      </c>
      <c r="HM4" s="2" t="str">
        <f t="shared" si="3"/>
        <v>Sat</v>
      </c>
      <c r="HN4" s="2" t="str">
        <f t="shared" si="3"/>
        <v>Sun</v>
      </c>
      <c r="HO4" s="2" t="str">
        <f t="shared" si="3"/>
        <v>Mon</v>
      </c>
      <c r="HP4" s="2" t="str">
        <f t="shared" si="3"/>
        <v>Tue</v>
      </c>
      <c r="HQ4" s="2" t="str">
        <f t="shared" si="3"/>
        <v>Wed</v>
      </c>
      <c r="HR4" s="2" t="str">
        <f t="shared" si="3"/>
        <v>Thu</v>
      </c>
      <c r="HS4" s="2" t="str">
        <f t="shared" si="3"/>
        <v>Fri</v>
      </c>
      <c r="HT4" s="2" t="str">
        <f t="shared" si="3"/>
        <v>Sat</v>
      </c>
      <c r="HU4" s="2" t="str">
        <f t="shared" si="3"/>
        <v>Sun</v>
      </c>
      <c r="HV4" s="2" t="str">
        <f t="shared" si="3"/>
        <v>Mon</v>
      </c>
      <c r="HW4" s="2" t="str">
        <f t="shared" si="3"/>
        <v>Tue</v>
      </c>
      <c r="HX4" s="2" t="str">
        <f t="shared" si="3"/>
        <v>Wed</v>
      </c>
      <c r="HY4" s="2" t="str">
        <f t="shared" si="3"/>
        <v>Thu</v>
      </c>
      <c r="HZ4" s="2" t="str">
        <f t="shared" si="3"/>
        <v>Fri</v>
      </c>
      <c r="IA4" s="2" t="str">
        <f t="shared" si="3"/>
        <v>Sat</v>
      </c>
      <c r="IB4" s="2" t="str">
        <f t="shared" si="3"/>
        <v>Sun</v>
      </c>
      <c r="IC4" s="2" t="str">
        <f t="shared" si="3"/>
        <v>Mon</v>
      </c>
      <c r="ID4" s="2" t="str">
        <f t="shared" si="3"/>
        <v>Tue</v>
      </c>
      <c r="IE4" s="2" t="str">
        <f t="shared" si="3"/>
        <v>Wed</v>
      </c>
      <c r="IF4" s="2" t="str">
        <f t="shared" si="3"/>
        <v>Thu</v>
      </c>
      <c r="IG4" s="2" t="str">
        <f t="shared" si="3"/>
        <v>Fri</v>
      </c>
      <c r="IH4" s="2" t="str">
        <f t="shared" si="3"/>
        <v>Sat</v>
      </c>
      <c r="II4" s="2" t="str">
        <f t="shared" si="3"/>
        <v>Sun</v>
      </c>
      <c r="IJ4" s="2" t="str">
        <f t="shared" si="3"/>
        <v>Mon</v>
      </c>
      <c r="IK4" s="2" t="str">
        <f t="shared" si="3"/>
        <v>Tue</v>
      </c>
      <c r="IL4" s="2" t="str">
        <f t="shared" si="3"/>
        <v>Wed</v>
      </c>
      <c r="IM4" s="2" t="str">
        <f t="shared" si="3"/>
        <v>Thu</v>
      </c>
      <c r="IN4" s="2" t="str">
        <f t="shared" si="3"/>
        <v>Fri</v>
      </c>
      <c r="IO4" s="2" t="str">
        <f t="shared" si="3"/>
        <v>Sat</v>
      </c>
      <c r="IP4" s="2" t="str">
        <f t="shared" si="3"/>
        <v>Sun</v>
      </c>
      <c r="IQ4" s="2" t="str">
        <f t="shared" si="3"/>
        <v>Mon</v>
      </c>
      <c r="IR4" s="2" t="str">
        <f t="shared" si="3"/>
        <v>Tue</v>
      </c>
      <c r="IS4" s="2" t="str">
        <f t="shared" si="3"/>
        <v>Wed</v>
      </c>
      <c r="IT4" s="2" t="str">
        <f t="shared" si="3"/>
        <v>Thu</v>
      </c>
      <c r="IU4" s="2" t="str">
        <f t="shared" si="3"/>
        <v>Fri</v>
      </c>
      <c r="IV4" s="2" t="str">
        <f t="shared" si="3"/>
        <v>Sat</v>
      </c>
      <c r="IW4" s="2" t="str">
        <f t="shared" si="3"/>
        <v>Sun</v>
      </c>
      <c r="IX4" s="2" t="str">
        <f t="shared" si="3"/>
        <v>Mon</v>
      </c>
      <c r="IY4" s="2" t="str">
        <f t="shared" si="3"/>
        <v>Tue</v>
      </c>
      <c r="IZ4" s="2" t="str">
        <f t="shared" si="3"/>
        <v>Wed</v>
      </c>
      <c r="JA4" s="2" t="str">
        <f t="shared" si="3"/>
        <v>Thu</v>
      </c>
      <c r="JB4" s="2" t="str">
        <f t="shared" si="3"/>
        <v>Fri</v>
      </c>
      <c r="JC4" s="2" t="str">
        <f t="shared" ref="JC4:LN4" si="4">TEXT(JC5,"ddd")</f>
        <v>Sat</v>
      </c>
      <c r="JD4" s="2" t="str">
        <f t="shared" si="4"/>
        <v>Sun</v>
      </c>
      <c r="JE4" s="2" t="str">
        <f t="shared" si="4"/>
        <v>Mon</v>
      </c>
      <c r="JF4" s="2" t="str">
        <f t="shared" si="4"/>
        <v>Tue</v>
      </c>
      <c r="JG4" s="2" t="str">
        <f t="shared" si="4"/>
        <v>Wed</v>
      </c>
      <c r="JH4" s="2" t="str">
        <f t="shared" si="4"/>
        <v>Thu</v>
      </c>
      <c r="JI4" s="2" t="str">
        <f t="shared" si="4"/>
        <v>Fri</v>
      </c>
      <c r="JJ4" s="2" t="str">
        <f t="shared" si="4"/>
        <v>Sat</v>
      </c>
      <c r="JK4" s="2" t="str">
        <f t="shared" si="4"/>
        <v>Sun</v>
      </c>
      <c r="JL4" s="2" t="str">
        <f t="shared" si="4"/>
        <v>Mon</v>
      </c>
      <c r="JM4" s="2" t="str">
        <f t="shared" si="4"/>
        <v>Tue</v>
      </c>
      <c r="JN4" s="2" t="str">
        <f t="shared" si="4"/>
        <v>Wed</v>
      </c>
      <c r="JO4" s="2" t="str">
        <f t="shared" si="4"/>
        <v>Thu</v>
      </c>
      <c r="JP4" s="2" t="str">
        <f t="shared" si="4"/>
        <v>Fri</v>
      </c>
      <c r="JQ4" s="2" t="str">
        <f t="shared" si="4"/>
        <v>Sat</v>
      </c>
      <c r="JR4" s="2" t="str">
        <f t="shared" si="4"/>
        <v>Sun</v>
      </c>
      <c r="JS4" s="2" t="str">
        <f t="shared" si="4"/>
        <v>Mon</v>
      </c>
      <c r="JT4" s="2" t="str">
        <f t="shared" si="4"/>
        <v>Tue</v>
      </c>
      <c r="JU4" s="2" t="str">
        <f t="shared" si="4"/>
        <v>Wed</v>
      </c>
      <c r="JV4" s="2" t="str">
        <f t="shared" si="4"/>
        <v>Thu</v>
      </c>
      <c r="JW4" s="2" t="str">
        <f t="shared" si="4"/>
        <v>Fri</v>
      </c>
      <c r="JX4" s="2" t="str">
        <f t="shared" si="4"/>
        <v>Sat</v>
      </c>
      <c r="JY4" s="2" t="str">
        <f t="shared" si="4"/>
        <v>Sun</v>
      </c>
      <c r="JZ4" s="2" t="str">
        <f t="shared" si="4"/>
        <v>Mon</v>
      </c>
      <c r="KA4" s="2" t="str">
        <f t="shared" si="4"/>
        <v>Tue</v>
      </c>
      <c r="KB4" s="2" t="str">
        <f t="shared" si="4"/>
        <v>Wed</v>
      </c>
      <c r="KC4" s="2" t="str">
        <f t="shared" si="4"/>
        <v>Thu</v>
      </c>
      <c r="KD4" s="2" t="str">
        <f t="shared" si="4"/>
        <v>Fri</v>
      </c>
      <c r="KE4" s="2" t="str">
        <f t="shared" si="4"/>
        <v>Sat</v>
      </c>
      <c r="KF4" s="2" t="str">
        <f t="shared" si="4"/>
        <v>Sun</v>
      </c>
      <c r="KG4" s="2" t="str">
        <f t="shared" si="4"/>
        <v>Mon</v>
      </c>
      <c r="KH4" s="2" t="str">
        <f t="shared" si="4"/>
        <v>Tue</v>
      </c>
      <c r="KI4" s="2" t="str">
        <f t="shared" si="4"/>
        <v>Wed</v>
      </c>
      <c r="KJ4" s="2" t="str">
        <f t="shared" si="4"/>
        <v>Thu</v>
      </c>
      <c r="KK4" s="2" t="str">
        <f t="shared" si="4"/>
        <v>Fri</v>
      </c>
      <c r="KL4" s="2" t="str">
        <f t="shared" si="4"/>
        <v>Sat</v>
      </c>
      <c r="KM4" s="2" t="str">
        <f t="shared" si="4"/>
        <v>Sun</v>
      </c>
      <c r="KN4" s="2" t="str">
        <f t="shared" si="4"/>
        <v>Mon</v>
      </c>
      <c r="KO4" s="2" t="str">
        <f t="shared" si="4"/>
        <v>Tue</v>
      </c>
      <c r="KP4" s="2" t="str">
        <f t="shared" si="4"/>
        <v>Wed</v>
      </c>
      <c r="KQ4" s="2" t="str">
        <f t="shared" si="4"/>
        <v>Thu</v>
      </c>
      <c r="KR4" s="2" t="str">
        <f t="shared" si="4"/>
        <v>Fri</v>
      </c>
      <c r="KS4" s="2" t="str">
        <f t="shared" si="4"/>
        <v>Sat</v>
      </c>
      <c r="KT4" s="2" t="str">
        <f t="shared" si="4"/>
        <v>Sun</v>
      </c>
      <c r="KU4" s="2" t="str">
        <f t="shared" si="4"/>
        <v>Mon</v>
      </c>
      <c r="KV4" s="2" t="str">
        <f t="shared" si="4"/>
        <v>Tue</v>
      </c>
      <c r="KW4" s="2" t="str">
        <f t="shared" si="4"/>
        <v>Wed</v>
      </c>
      <c r="KX4" s="2" t="str">
        <f t="shared" si="4"/>
        <v>Thu</v>
      </c>
      <c r="KY4" s="2" t="str">
        <f t="shared" si="4"/>
        <v>Fri</v>
      </c>
      <c r="KZ4" s="2" t="str">
        <f t="shared" si="4"/>
        <v>Sat</v>
      </c>
      <c r="LA4" s="2" t="str">
        <f t="shared" si="4"/>
        <v>Sun</v>
      </c>
      <c r="LB4" s="2" t="str">
        <f t="shared" si="4"/>
        <v>Mon</v>
      </c>
      <c r="LC4" s="2" t="str">
        <f t="shared" si="4"/>
        <v>Tue</v>
      </c>
      <c r="LD4" s="2" t="str">
        <f t="shared" si="4"/>
        <v>Wed</v>
      </c>
      <c r="LE4" s="2" t="str">
        <f t="shared" si="4"/>
        <v>Thu</v>
      </c>
      <c r="LF4" s="2" t="str">
        <f t="shared" si="4"/>
        <v>Fri</v>
      </c>
      <c r="LG4" s="2" t="str">
        <f t="shared" si="4"/>
        <v>Sat</v>
      </c>
      <c r="LH4" s="2" t="str">
        <f t="shared" si="4"/>
        <v>Sun</v>
      </c>
      <c r="LI4" s="2" t="str">
        <f t="shared" si="4"/>
        <v>Mon</v>
      </c>
      <c r="LJ4" s="2" t="str">
        <f t="shared" si="4"/>
        <v>Tue</v>
      </c>
      <c r="LK4" s="2" t="str">
        <f t="shared" si="4"/>
        <v>Wed</v>
      </c>
      <c r="LL4" s="2" t="str">
        <f t="shared" si="4"/>
        <v>Thu</v>
      </c>
      <c r="LM4" s="2" t="str">
        <f t="shared" si="4"/>
        <v>Fri</v>
      </c>
      <c r="LN4" s="2" t="str">
        <f t="shared" si="4"/>
        <v>Sat</v>
      </c>
      <c r="LO4" s="2" t="str">
        <f t="shared" ref="LO4:NG4" si="5">TEXT(LO5,"ddd")</f>
        <v>Sun</v>
      </c>
      <c r="LP4" s="2" t="str">
        <f t="shared" si="5"/>
        <v>Mon</v>
      </c>
      <c r="LQ4" s="2" t="str">
        <f t="shared" si="5"/>
        <v>Tue</v>
      </c>
      <c r="LR4" s="2" t="str">
        <f t="shared" si="5"/>
        <v>Wed</v>
      </c>
      <c r="LS4" s="2" t="str">
        <f t="shared" si="5"/>
        <v>Thu</v>
      </c>
      <c r="LT4" s="2" t="str">
        <f t="shared" si="5"/>
        <v>Fri</v>
      </c>
      <c r="LU4" s="2" t="str">
        <f t="shared" si="5"/>
        <v>Sat</v>
      </c>
      <c r="LV4" s="2" t="str">
        <f t="shared" si="5"/>
        <v>Sun</v>
      </c>
      <c r="LW4" s="2" t="str">
        <f t="shared" si="5"/>
        <v>Mon</v>
      </c>
      <c r="LX4" s="2" t="str">
        <f t="shared" si="5"/>
        <v>Tue</v>
      </c>
      <c r="LY4" s="2" t="str">
        <f t="shared" si="5"/>
        <v>Wed</v>
      </c>
      <c r="LZ4" s="2" t="str">
        <f t="shared" si="5"/>
        <v>Thu</v>
      </c>
      <c r="MA4" s="2" t="str">
        <f t="shared" si="5"/>
        <v>Fri</v>
      </c>
      <c r="MB4" s="2" t="str">
        <f t="shared" si="5"/>
        <v>Sat</v>
      </c>
      <c r="MC4" s="2" t="str">
        <f t="shared" si="5"/>
        <v>Sun</v>
      </c>
      <c r="MD4" s="2" t="str">
        <f t="shared" si="5"/>
        <v>Mon</v>
      </c>
      <c r="ME4" s="2" t="str">
        <f t="shared" si="5"/>
        <v>Tue</v>
      </c>
      <c r="MF4" s="2" t="str">
        <f t="shared" si="5"/>
        <v>Wed</v>
      </c>
      <c r="MG4" s="2" t="str">
        <f t="shared" si="5"/>
        <v>Thu</v>
      </c>
      <c r="MH4" s="2" t="str">
        <f t="shared" si="5"/>
        <v>Fri</v>
      </c>
      <c r="MI4" s="2" t="str">
        <f t="shared" si="5"/>
        <v>Sat</v>
      </c>
      <c r="MJ4" s="2" t="str">
        <f t="shared" si="5"/>
        <v>Sun</v>
      </c>
      <c r="MK4" s="2" t="str">
        <f t="shared" si="5"/>
        <v>Mon</v>
      </c>
      <c r="ML4" s="2" t="str">
        <f t="shared" si="5"/>
        <v>Tue</v>
      </c>
      <c r="MM4" s="2" t="str">
        <f t="shared" si="5"/>
        <v>Wed</v>
      </c>
      <c r="MN4" s="2" t="str">
        <f t="shared" si="5"/>
        <v>Thu</v>
      </c>
      <c r="MO4" s="2" t="str">
        <f t="shared" si="5"/>
        <v>Fri</v>
      </c>
      <c r="MP4" s="2" t="str">
        <f t="shared" si="5"/>
        <v>Sat</v>
      </c>
      <c r="MQ4" s="2" t="str">
        <f t="shared" si="5"/>
        <v>Sun</v>
      </c>
      <c r="MR4" s="2" t="str">
        <f t="shared" si="5"/>
        <v>Mon</v>
      </c>
      <c r="MS4" s="2" t="str">
        <f t="shared" si="5"/>
        <v>Tue</v>
      </c>
      <c r="MT4" s="2" t="str">
        <f t="shared" si="5"/>
        <v>Wed</v>
      </c>
      <c r="MU4" s="2" t="str">
        <f t="shared" si="5"/>
        <v>Thu</v>
      </c>
      <c r="MV4" s="2" t="str">
        <f t="shared" si="5"/>
        <v>Fri</v>
      </c>
      <c r="MW4" s="2" t="str">
        <f t="shared" si="5"/>
        <v>Sat</v>
      </c>
      <c r="MX4" s="2" t="str">
        <f t="shared" si="5"/>
        <v>Sun</v>
      </c>
      <c r="MY4" s="2" t="str">
        <f t="shared" si="5"/>
        <v>Mon</v>
      </c>
      <c r="MZ4" s="2" t="str">
        <f t="shared" si="5"/>
        <v>Tue</v>
      </c>
      <c r="NA4" s="2" t="str">
        <f t="shared" si="5"/>
        <v>Wed</v>
      </c>
      <c r="NB4" s="2" t="str">
        <f t="shared" si="5"/>
        <v>Thu</v>
      </c>
      <c r="NC4" s="2" t="str">
        <f t="shared" si="5"/>
        <v>Fri</v>
      </c>
      <c r="ND4" s="2" t="str">
        <f t="shared" si="5"/>
        <v>Sat</v>
      </c>
      <c r="NE4" s="2" t="str">
        <f t="shared" si="5"/>
        <v>Sun</v>
      </c>
      <c r="NF4" s="2" t="str">
        <f t="shared" si="5"/>
        <v>Mon</v>
      </c>
      <c r="NG4" s="2" t="str">
        <f t="shared" si="5"/>
        <v>Tue</v>
      </c>
      <c r="NH4" s="114" t="s">
        <v>5</v>
      </c>
      <c r="NI4" s="114" t="s">
        <v>6</v>
      </c>
      <c r="NJ4" s="103" t="s">
        <v>46</v>
      </c>
      <c r="NK4" s="105"/>
      <c r="NL4" s="3"/>
      <c r="NM4" s="3"/>
    </row>
    <row r="5" spans="1:377" ht="39" x14ac:dyDescent="0.25">
      <c r="A5" s="107"/>
      <c r="B5" s="107"/>
      <c r="C5" s="107"/>
      <c r="D5" s="107"/>
      <c r="E5" s="107"/>
      <c r="F5" s="77">
        <v>45292</v>
      </c>
      <c r="G5" s="77">
        <v>45293</v>
      </c>
      <c r="H5" s="77">
        <v>45294</v>
      </c>
      <c r="I5" s="77">
        <v>45295</v>
      </c>
      <c r="J5" s="77">
        <v>45296</v>
      </c>
      <c r="K5" s="77">
        <v>45297</v>
      </c>
      <c r="L5" s="77">
        <v>45298</v>
      </c>
      <c r="M5" s="77">
        <v>45299</v>
      </c>
      <c r="N5" s="77">
        <v>45300</v>
      </c>
      <c r="O5" s="77">
        <v>45301</v>
      </c>
      <c r="P5" s="77">
        <v>45302</v>
      </c>
      <c r="Q5" s="77">
        <v>45303</v>
      </c>
      <c r="R5" s="77">
        <v>45304</v>
      </c>
      <c r="S5" s="77">
        <v>45305</v>
      </c>
      <c r="T5" s="77">
        <v>45306</v>
      </c>
      <c r="U5" s="77">
        <v>45307</v>
      </c>
      <c r="V5" s="77">
        <v>45308</v>
      </c>
      <c r="W5" s="77">
        <v>45309</v>
      </c>
      <c r="X5" s="77">
        <v>45310</v>
      </c>
      <c r="Y5" s="77">
        <v>45311</v>
      </c>
      <c r="Z5" s="77">
        <v>45312</v>
      </c>
      <c r="AA5" s="77">
        <v>45313</v>
      </c>
      <c r="AB5" s="77">
        <v>45314</v>
      </c>
      <c r="AC5" s="77">
        <v>45315</v>
      </c>
      <c r="AD5" s="77">
        <v>45316</v>
      </c>
      <c r="AE5" s="77">
        <v>45317</v>
      </c>
      <c r="AF5" s="77">
        <v>45318</v>
      </c>
      <c r="AG5" s="77">
        <v>45319</v>
      </c>
      <c r="AH5" s="77">
        <v>45320</v>
      </c>
      <c r="AI5" s="77">
        <v>45321</v>
      </c>
      <c r="AJ5" s="77">
        <v>45322</v>
      </c>
      <c r="AK5" s="77">
        <v>45323</v>
      </c>
      <c r="AL5" s="77">
        <v>45324</v>
      </c>
      <c r="AM5" s="77">
        <v>45325</v>
      </c>
      <c r="AN5" s="77">
        <v>45326</v>
      </c>
      <c r="AO5" s="77">
        <v>45327</v>
      </c>
      <c r="AP5" s="77">
        <v>45328</v>
      </c>
      <c r="AQ5" s="77">
        <v>45329</v>
      </c>
      <c r="AR5" s="77">
        <v>45330</v>
      </c>
      <c r="AS5" s="77">
        <v>45331</v>
      </c>
      <c r="AT5" s="77">
        <v>45332</v>
      </c>
      <c r="AU5" s="77">
        <v>45333</v>
      </c>
      <c r="AV5" s="77">
        <v>45334</v>
      </c>
      <c r="AW5" s="77">
        <v>45335</v>
      </c>
      <c r="AX5" s="77">
        <v>45336</v>
      </c>
      <c r="AY5" s="77">
        <v>45337</v>
      </c>
      <c r="AZ5" s="77">
        <v>45338</v>
      </c>
      <c r="BA5" s="77">
        <v>45339</v>
      </c>
      <c r="BB5" s="77">
        <v>45340</v>
      </c>
      <c r="BC5" s="77">
        <v>45341</v>
      </c>
      <c r="BD5" s="77">
        <v>45342</v>
      </c>
      <c r="BE5" s="77">
        <v>45343</v>
      </c>
      <c r="BF5" s="77">
        <v>45344</v>
      </c>
      <c r="BG5" s="77">
        <v>45345</v>
      </c>
      <c r="BH5" s="77">
        <v>45346</v>
      </c>
      <c r="BI5" s="77">
        <v>45347</v>
      </c>
      <c r="BJ5" s="77">
        <v>45348</v>
      </c>
      <c r="BK5" s="77">
        <v>45349</v>
      </c>
      <c r="BL5" s="77">
        <v>45350</v>
      </c>
      <c r="BM5" s="77">
        <v>45351</v>
      </c>
      <c r="BN5" s="77">
        <v>45352</v>
      </c>
      <c r="BO5" s="77">
        <v>45353</v>
      </c>
      <c r="BP5" s="77">
        <v>45354</v>
      </c>
      <c r="BQ5" s="77">
        <v>45355</v>
      </c>
      <c r="BR5" s="77">
        <v>45356</v>
      </c>
      <c r="BS5" s="77">
        <v>45357</v>
      </c>
      <c r="BT5" s="77">
        <v>45358</v>
      </c>
      <c r="BU5" s="77">
        <v>45359</v>
      </c>
      <c r="BV5" s="77">
        <v>45360</v>
      </c>
      <c r="BW5" s="77">
        <v>45361</v>
      </c>
      <c r="BX5" s="77">
        <v>45362</v>
      </c>
      <c r="BY5" s="77">
        <v>45363</v>
      </c>
      <c r="BZ5" s="77">
        <v>45364</v>
      </c>
      <c r="CA5" s="77">
        <v>45365</v>
      </c>
      <c r="CB5" s="77">
        <v>45366</v>
      </c>
      <c r="CC5" s="77">
        <v>45367</v>
      </c>
      <c r="CD5" s="77">
        <v>45368</v>
      </c>
      <c r="CE5" s="77">
        <v>45369</v>
      </c>
      <c r="CF5" s="77">
        <v>45370</v>
      </c>
      <c r="CG5" s="77">
        <v>45371</v>
      </c>
      <c r="CH5" s="77">
        <v>45372</v>
      </c>
      <c r="CI5" s="77">
        <v>45373</v>
      </c>
      <c r="CJ5" s="77">
        <v>45374</v>
      </c>
      <c r="CK5" s="77">
        <v>45375</v>
      </c>
      <c r="CL5" s="77">
        <v>45376</v>
      </c>
      <c r="CM5" s="77">
        <v>45377</v>
      </c>
      <c r="CN5" s="77">
        <v>45378</v>
      </c>
      <c r="CO5" s="77">
        <v>45379</v>
      </c>
      <c r="CP5" s="77">
        <v>45380</v>
      </c>
      <c r="CQ5" s="77">
        <v>45381</v>
      </c>
      <c r="CR5" s="77">
        <v>45382</v>
      </c>
      <c r="CS5" s="77">
        <v>45383</v>
      </c>
      <c r="CT5" s="77">
        <v>45384</v>
      </c>
      <c r="CU5" s="77">
        <v>45385</v>
      </c>
      <c r="CV5" s="77">
        <v>45386</v>
      </c>
      <c r="CW5" s="77">
        <v>45387</v>
      </c>
      <c r="CX5" s="77">
        <v>45388</v>
      </c>
      <c r="CY5" s="77">
        <v>45389</v>
      </c>
      <c r="CZ5" s="77">
        <v>45390</v>
      </c>
      <c r="DA5" s="77">
        <v>45391</v>
      </c>
      <c r="DB5" s="77">
        <v>45392</v>
      </c>
      <c r="DC5" s="77">
        <v>45393</v>
      </c>
      <c r="DD5" s="77">
        <v>45394</v>
      </c>
      <c r="DE5" s="77">
        <v>45395</v>
      </c>
      <c r="DF5" s="77">
        <v>45396</v>
      </c>
      <c r="DG5" s="77">
        <v>45397</v>
      </c>
      <c r="DH5" s="77">
        <v>45398</v>
      </c>
      <c r="DI5" s="77">
        <v>45399</v>
      </c>
      <c r="DJ5" s="77">
        <v>45400</v>
      </c>
      <c r="DK5" s="77">
        <v>45401</v>
      </c>
      <c r="DL5" s="77">
        <v>45402</v>
      </c>
      <c r="DM5" s="77">
        <v>45403</v>
      </c>
      <c r="DN5" s="77">
        <v>45404</v>
      </c>
      <c r="DO5" s="77">
        <v>45405</v>
      </c>
      <c r="DP5" s="77">
        <v>45406</v>
      </c>
      <c r="DQ5" s="77">
        <v>45407</v>
      </c>
      <c r="DR5" s="77">
        <v>45408</v>
      </c>
      <c r="DS5" s="77">
        <v>45409</v>
      </c>
      <c r="DT5" s="77">
        <v>45410</v>
      </c>
      <c r="DU5" s="77">
        <v>45411</v>
      </c>
      <c r="DV5" s="77">
        <v>45412</v>
      </c>
      <c r="DW5" s="77">
        <v>45413</v>
      </c>
      <c r="DX5" s="77">
        <v>45414</v>
      </c>
      <c r="DY5" s="77">
        <v>45415</v>
      </c>
      <c r="DZ5" s="77">
        <v>45416</v>
      </c>
      <c r="EA5" s="77">
        <v>45417</v>
      </c>
      <c r="EB5" s="77">
        <v>45418</v>
      </c>
      <c r="EC5" s="77">
        <v>45419</v>
      </c>
      <c r="ED5" s="77">
        <v>45420</v>
      </c>
      <c r="EE5" s="77">
        <v>45421</v>
      </c>
      <c r="EF5" s="77">
        <v>45422</v>
      </c>
      <c r="EG5" s="77">
        <v>45423</v>
      </c>
      <c r="EH5" s="77">
        <v>45424</v>
      </c>
      <c r="EI5" s="77">
        <v>45425</v>
      </c>
      <c r="EJ5" s="77">
        <v>45426</v>
      </c>
      <c r="EK5" s="77">
        <v>45427</v>
      </c>
      <c r="EL5" s="77">
        <v>45428</v>
      </c>
      <c r="EM5" s="77">
        <v>45429</v>
      </c>
      <c r="EN5" s="77">
        <v>45430</v>
      </c>
      <c r="EO5" s="77">
        <v>45431</v>
      </c>
      <c r="EP5" s="77">
        <v>45432</v>
      </c>
      <c r="EQ5" s="77">
        <v>45433</v>
      </c>
      <c r="ER5" s="77">
        <v>45434</v>
      </c>
      <c r="ES5" s="77">
        <v>45435</v>
      </c>
      <c r="ET5" s="77">
        <v>45436</v>
      </c>
      <c r="EU5" s="77">
        <v>45437</v>
      </c>
      <c r="EV5" s="77">
        <v>45438</v>
      </c>
      <c r="EW5" s="77">
        <v>45439</v>
      </c>
      <c r="EX5" s="77">
        <v>45440</v>
      </c>
      <c r="EY5" s="77">
        <v>45441</v>
      </c>
      <c r="EZ5" s="77">
        <v>45442</v>
      </c>
      <c r="FA5" s="77">
        <v>45443</v>
      </c>
      <c r="FB5" s="77">
        <v>45444</v>
      </c>
      <c r="FC5" s="77">
        <v>45445</v>
      </c>
      <c r="FD5" s="77">
        <v>45446</v>
      </c>
      <c r="FE5" s="77">
        <v>45447</v>
      </c>
      <c r="FF5" s="77">
        <v>45448</v>
      </c>
      <c r="FG5" s="77">
        <v>45449</v>
      </c>
      <c r="FH5" s="77">
        <v>45450</v>
      </c>
      <c r="FI5" s="77">
        <v>45451</v>
      </c>
      <c r="FJ5" s="77">
        <v>45452</v>
      </c>
      <c r="FK5" s="77">
        <v>45453</v>
      </c>
      <c r="FL5" s="77">
        <v>45454</v>
      </c>
      <c r="FM5" s="77">
        <v>45455</v>
      </c>
      <c r="FN5" s="77">
        <v>45456</v>
      </c>
      <c r="FO5" s="77">
        <v>45457</v>
      </c>
      <c r="FP5" s="77">
        <v>45458</v>
      </c>
      <c r="FQ5" s="77">
        <v>45459</v>
      </c>
      <c r="FR5" s="77">
        <v>45460</v>
      </c>
      <c r="FS5" s="77">
        <v>45461</v>
      </c>
      <c r="FT5" s="77">
        <v>45462</v>
      </c>
      <c r="FU5" s="77">
        <v>45463</v>
      </c>
      <c r="FV5" s="77">
        <v>45464</v>
      </c>
      <c r="FW5" s="77">
        <v>45465</v>
      </c>
      <c r="FX5" s="77">
        <v>45466</v>
      </c>
      <c r="FY5" s="77">
        <v>45467</v>
      </c>
      <c r="FZ5" s="77">
        <v>45468</v>
      </c>
      <c r="GA5" s="77">
        <v>45469</v>
      </c>
      <c r="GB5" s="77">
        <v>45470</v>
      </c>
      <c r="GC5" s="77">
        <v>45471</v>
      </c>
      <c r="GD5" s="77">
        <v>45472</v>
      </c>
      <c r="GE5" s="77">
        <v>45473</v>
      </c>
      <c r="GF5" s="77">
        <v>45474</v>
      </c>
      <c r="GG5" s="77">
        <v>45475</v>
      </c>
      <c r="GH5" s="77">
        <v>45476</v>
      </c>
      <c r="GI5" s="77">
        <v>45477</v>
      </c>
      <c r="GJ5" s="77">
        <v>45478</v>
      </c>
      <c r="GK5" s="77">
        <v>45479</v>
      </c>
      <c r="GL5" s="77">
        <v>45480</v>
      </c>
      <c r="GM5" s="77">
        <v>45481</v>
      </c>
      <c r="GN5" s="77">
        <v>45482</v>
      </c>
      <c r="GO5" s="77">
        <v>45483</v>
      </c>
      <c r="GP5" s="77">
        <v>45484</v>
      </c>
      <c r="GQ5" s="77">
        <v>45485</v>
      </c>
      <c r="GR5" s="77">
        <v>45486</v>
      </c>
      <c r="GS5" s="77">
        <v>45487</v>
      </c>
      <c r="GT5" s="77">
        <v>45488</v>
      </c>
      <c r="GU5" s="77">
        <v>45489</v>
      </c>
      <c r="GV5" s="77">
        <v>45490</v>
      </c>
      <c r="GW5" s="77">
        <v>45491</v>
      </c>
      <c r="GX5" s="77">
        <v>45492</v>
      </c>
      <c r="GY5" s="77">
        <v>45493</v>
      </c>
      <c r="GZ5" s="77">
        <v>45494</v>
      </c>
      <c r="HA5" s="77">
        <v>45495</v>
      </c>
      <c r="HB5" s="77">
        <v>45496</v>
      </c>
      <c r="HC5" s="77">
        <v>45497</v>
      </c>
      <c r="HD5" s="77">
        <v>45498</v>
      </c>
      <c r="HE5" s="77">
        <v>45499</v>
      </c>
      <c r="HF5" s="77">
        <v>45500</v>
      </c>
      <c r="HG5" s="77">
        <v>45501</v>
      </c>
      <c r="HH5" s="77">
        <v>45502</v>
      </c>
      <c r="HI5" s="77">
        <v>45503</v>
      </c>
      <c r="HJ5" s="77">
        <v>45504</v>
      </c>
      <c r="HK5" s="77">
        <v>45505</v>
      </c>
      <c r="HL5" s="77">
        <v>45506</v>
      </c>
      <c r="HM5" s="77">
        <v>45507</v>
      </c>
      <c r="HN5" s="77">
        <v>45508</v>
      </c>
      <c r="HO5" s="77">
        <v>45509</v>
      </c>
      <c r="HP5" s="77">
        <v>45510</v>
      </c>
      <c r="HQ5" s="77">
        <v>45511</v>
      </c>
      <c r="HR5" s="77">
        <v>45512</v>
      </c>
      <c r="HS5" s="77">
        <v>45513</v>
      </c>
      <c r="HT5" s="77">
        <v>45514</v>
      </c>
      <c r="HU5" s="77">
        <v>45515</v>
      </c>
      <c r="HV5" s="77">
        <v>45516</v>
      </c>
      <c r="HW5" s="77">
        <v>45517</v>
      </c>
      <c r="HX5" s="77">
        <v>45518</v>
      </c>
      <c r="HY5" s="77">
        <v>45519</v>
      </c>
      <c r="HZ5" s="77">
        <v>45520</v>
      </c>
      <c r="IA5" s="77">
        <v>45521</v>
      </c>
      <c r="IB5" s="77">
        <v>45522</v>
      </c>
      <c r="IC5" s="77">
        <v>45523</v>
      </c>
      <c r="ID5" s="77">
        <v>45524</v>
      </c>
      <c r="IE5" s="77">
        <v>45525</v>
      </c>
      <c r="IF5" s="77">
        <v>45526</v>
      </c>
      <c r="IG5" s="77">
        <v>45527</v>
      </c>
      <c r="IH5" s="77">
        <v>45528</v>
      </c>
      <c r="II5" s="77">
        <v>45529</v>
      </c>
      <c r="IJ5" s="77">
        <v>45530</v>
      </c>
      <c r="IK5" s="77">
        <v>45531</v>
      </c>
      <c r="IL5" s="77">
        <v>45532</v>
      </c>
      <c r="IM5" s="77">
        <v>45533</v>
      </c>
      <c r="IN5" s="77">
        <v>45534</v>
      </c>
      <c r="IO5" s="77">
        <v>45535</v>
      </c>
      <c r="IP5" s="77">
        <v>45536</v>
      </c>
      <c r="IQ5" s="77">
        <v>45537</v>
      </c>
      <c r="IR5" s="77">
        <v>45538</v>
      </c>
      <c r="IS5" s="77">
        <v>45539</v>
      </c>
      <c r="IT5" s="77">
        <v>45540</v>
      </c>
      <c r="IU5" s="77">
        <v>45541</v>
      </c>
      <c r="IV5" s="77">
        <v>45542</v>
      </c>
      <c r="IW5" s="77">
        <v>45543</v>
      </c>
      <c r="IX5" s="77">
        <v>45544</v>
      </c>
      <c r="IY5" s="77">
        <v>45545</v>
      </c>
      <c r="IZ5" s="77">
        <v>45546</v>
      </c>
      <c r="JA5" s="77">
        <v>45547</v>
      </c>
      <c r="JB5" s="77">
        <v>45548</v>
      </c>
      <c r="JC5" s="77">
        <v>45549</v>
      </c>
      <c r="JD5" s="77">
        <v>45550</v>
      </c>
      <c r="JE5" s="77">
        <v>45551</v>
      </c>
      <c r="JF5" s="77">
        <v>45552</v>
      </c>
      <c r="JG5" s="77">
        <v>45553</v>
      </c>
      <c r="JH5" s="77">
        <v>45554</v>
      </c>
      <c r="JI5" s="77">
        <v>45555</v>
      </c>
      <c r="JJ5" s="77">
        <v>45556</v>
      </c>
      <c r="JK5" s="77">
        <v>45557</v>
      </c>
      <c r="JL5" s="77">
        <v>45558</v>
      </c>
      <c r="JM5" s="77">
        <v>45559</v>
      </c>
      <c r="JN5" s="77">
        <v>45560</v>
      </c>
      <c r="JO5" s="77">
        <v>45561</v>
      </c>
      <c r="JP5" s="77">
        <v>45562</v>
      </c>
      <c r="JQ5" s="77">
        <v>45563</v>
      </c>
      <c r="JR5" s="77">
        <v>45564</v>
      </c>
      <c r="JS5" s="77">
        <v>45565</v>
      </c>
      <c r="JT5" s="77">
        <v>45566</v>
      </c>
      <c r="JU5" s="77">
        <v>45567</v>
      </c>
      <c r="JV5" s="77">
        <v>45568</v>
      </c>
      <c r="JW5" s="77">
        <v>45569</v>
      </c>
      <c r="JX5" s="77">
        <v>45570</v>
      </c>
      <c r="JY5" s="77">
        <v>45571</v>
      </c>
      <c r="JZ5" s="77">
        <v>45572</v>
      </c>
      <c r="KA5" s="77">
        <v>45573</v>
      </c>
      <c r="KB5" s="77">
        <v>45574</v>
      </c>
      <c r="KC5" s="77">
        <v>45575</v>
      </c>
      <c r="KD5" s="77">
        <v>45576</v>
      </c>
      <c r="KE5" s="77">
        <v>45577</v>
      </c>
      <c r="KF5" s="77">
        <v>45578</v>
      </c>
      <c r="KG5" s="77">
        <v>45579</v>
      </c>
      <c r="KH5" s="77">
        <v>45580</v>
      </c>
      <c r="KI5" s="77">
        <v>45581</v>
      </c>
      <c r="KJ5" s="77">
        <v>45582</v>
      </c>
      <c r="KK5" s="77">
        <v>45583</v>
      </c>
      <c r="KL5" s="77">
        <v>45584</v>
      </c>
      <c r="KM5" s="77">
        <v>45585</v>
      </c>
      <c r="KN5" s="77">
        <v>45586</v>
      </c>
      <c r="KO5" s="77">
        <v>45587</v>
      </c>
      <c r="KP5" s="77">
        <v>45588</v>
      </c>
      <c r="KQ5" s="77">
        <v>45589</v>
      </c>
      <c r="KR5" s="77">
        <v>45590</v>
      </c>
      <c r="KS5" s="77">
        <v>45591</v>
      </c>
      <c r="KT5" s="77">
        <v>45592</v>
      </c>
      <c r="KU5" s="77">
        <v>45593</v>
      </c>
      <c r="KV5" s="77">
        <v>45594</v>
      </c>
      <c r="KW5" s="77">
        <v>45595</v>
      </c>
      <c r="KX5" s="77">
        <v>45596</v>
      </c>
      <c r="KY5" s="77">
        <v>45597</v>
      </c>
      <c r="KZ5" s="77">
        <v>45598</v>
      </c>
      <c r="LA5" s="77">
        <v>45599</v>
      </c>
      <c r="LB5" s="77">
        <v>45600</v>
      </c>
      <c r="LC5" s="77">
        <v>45601</v>
      </c>
      <c r="LD5" s="77">
        <v>45602</v>
      </c>
      <c r="LE5" s="77">
        <v>45603</v>
      </c>
      <c r="LF5" s="77">
        <v>45604</v>
      </c>
      <c r="LG5" s="77">
        <v>45605</v>
      </c>
      <c r="LH5" s="77">
        <v>45606</v>
      </c>
      <c r="LI5" s="77">
        <v>45607</v>
      </c>
      <c r="LJ5" s="77">
        <v>45608</v>
      </c>
      <c r="LK5" s="77">
        <v>45609</v>
      </c>
      <c r="LL5" s="77">
        <v>45610</v>
      </c>
      <c r="LM5" s="77">
        <v>45611</v>
      </c>
      <c r="LN5" s="77">
        <v>45612</v>
      </c>
      <c r="LO5" s="77">
        <v>45613</v>
      </c>
      <c r="LP5" s="77">
        <v>45614</v>
      </c>
      <c r="LQ5" s="77">
        <v>45615</v>
      </c>
      <c r="LR5" s="77">
        <v>45616</v>
      </c>
      <c r="LS5" s="77">
        <v>45617</v>
      </c>
      <c r="LT5" s="77">
        <v>45618</v>
      </c>
      <c r="LU5" s="77">
        <v>45619</v>
      </c>
      <c r="LV5" s="77">
        <v>45620</v>
      </c>
      <c r="LW5" s="77">
        <v>45621</v>
      </c>
      <c r="LX5" s="77">
        <v>45622</v>
      </c>
      <c r="LY5" s="77">
        <v>45623</v>
      </c>
      <c r="LZ5" s="77">
        <v>45624</v>
      </c>
      <c r="MA5" s="77">
        <v>45625</v>
      </c>
      <c r="MB5" s="77">
        <v>45626</v>
      </c>
      <c r="MC5" s="77">
        <v>45627</v>
      </c>
      <c r="MD5" s="77">
        <v>45628</v>
      </c>
      <c r="ME5" s="77">
        <v>45629</v>
      </c>
      <c r="MF5" s="77">
        <v>45630</v>
      </c>
      <c r="MG5" s="77">
        <v>45631</v>
      </c>
      <c r="MH5" s="77">
        <v>45632</v>
      </c>
      <c r="MI5" s="77">
        <v>45633</v>
      </c>
      <c r="MJ5" s="77">
        <v>45634</v>
      </c>
      <c r="MK5" s="77">
        <v>45635</v>
      </c>
      <c r="ML5" s="77">
        <v>45636</v>
      </c>
      <c r="MM5" s="77">
        <v>45637</v>
      </c>
      <c r="MN5" s="77">
        <v>45638</v>
      </c>
      <c r="MO5" s="77">
        <v>45639</v>
      </c>
      <c r="MP5" s="77">
        <v>45640</v>
      </c>
      <c r="MQ5" s="77">
        <v>45641</v>
      </c>
      <c r="MR5" s="77">
        <v>45642</v>
      </c>
      <c r="MS5" s="77">
        <v>45643</v>
      </c>
      <c r="MT5" s="77">
        <v>45644</v>
      </c>
      <c r="MU5" s="77">
        <v>45645</v>
      </c>
      <c r="MV5" s="77">
        <v>45646</v>
      </c>
      <c r="MW5" s="77">
        <v>45647</v>
      </c>
      <c r="MX5" s="77">
        <v>45648</v>
      </c>
      <c r="MY5" s="77">
        <v>45649</v>
      </c>
      <c r="MZ5" s="77">
        <v>45650</v>
      </c>
      <c r="NA5" s="77">
        <v>45651</v>
      </c>
      <c r="NB5" s="77">
        <v>45652</v>
      </c>
      <c r="NC5" s="77">
        <v>45653</v>
      </c>
      <c r="ND5" s="77">
        <v>45654</v>
      </c>
      <c r="NE5" s="77">
        <v>45655</v>
      </c>
      <c r="NF5" s="77">
        <v>45656</v>
      </c>
      <c r="NG5" s="77">
        <v>45657</v>
      </c>
      <c r="NH5" s="114"/>
      <c r="NI5" s="114"/>
      <c r="NJ5" s="4" t="s">
        <v>7</v>
      </c>
      <c r="NK5" s="5">
        <v>31</v>
      </c>
      <c r="NL5" s="3"/>
      <c r="NM5" s="3"/>
    </row>
    <row r="6" spans="1:377" x14ac:dyDescent="0.25">
      <c r="A6" s="6">
        <v>1</v>
      </c>
      <c r="B6" s="7"/>
      <c r="C6" s="8"/>
      <c r="D6" s="9"/>
      <c r="E6" s="10" t="s">
        <v>30</v>
      </c>
      <c r="F6" s="11"/>
      <c r="G6" s="12"/>
      <c r="H6" s="11"/>
      <c r="I6" s="12"/>
      <c r="J6" s="12"/>
      <c r="K6" s="13"/>
      <c r="L6" s="12"/>
      <c r="M6" s="12"/>
      <c r="N6" s="11"/>
      <c r="O6" s="11"/>
      <c r="P6" s="12"/>
      <c r="Q6" s="12"/>
      <c r="R6" s="13"/>
      <c r="S6" s="13"/>
      <c r="T6" s="12"/>
      <c r="U6" s="14"/>
      <c r="V6" s="11"/>
      <c r="W6" s="12"/>
      <c r="X6" s="12"/>
      <c r="Y6" s="13"/>
      <c r="Z6" s="12"/>
      <c r="AA6" s="12"/>
      <c r="AB6" s="12"/>
      <c r="AC6" s="12"/>
      <c r="AD6" s="12"/>
      <c r="AE6" s="12"/>
      <c r="AF6" s="13"/>
      <c r="AG6" s="12"/>
      <c r="AH6" s="12"/>
      <c r="AI6" s="12"/>
      <c r="AJ6" s="12"/>
      <c r="AK6" s="15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5">
        <f>COUNTIF(F6:NG6,"P")</f>
        <v>0</v>
      </c>
      <c r="NI6" s="5">
        <f>COUNTIF(F6:NG6,"A")</f>
        <v>0</v>
      </c>
      <c r="NJ6" s="5" t="s">
        <v>9</v>
      </c>
      <c r="NK6" s="17">
        <v>26</v>
      </c>
      <c r="NL6" s="18" t="s">
        <v>10</v>
      </c>
      <c r="NM6" s="3"/>
    </row>
    <row r="7" spans="1:377" ht="20.25" customHeight="1" x14ac:dyDescent="0.25">
      <c r="A7" s="17">
        <v>2</v>
      </c>
      <c r="B7" s="19"/>
      <c r="C7" s="20"/>
      <c r="D7" s="21"/>
      <c r="E7" s="10" t="s">
        <v>30</v>
      </c>
      <c r="F7" s="11"/>
      <c r="G7" s="12"/>
      <c r="H7" s="11"/>
      <c r="I7" s="12"/>
      <c r="J7" s="12"/>
      <c r="K7" s="13"/>
      <c r="L7" s="12"/>
      <c r="M7" s="12"/>
      <c r="N7" s="11"/>
      <c r="O7" s="11"/>
      <c r="P7" s="12"/>
      <c r="Q7" s="12"/>
      <c r="R7" s="13"/>
      <c r="S7" s="13"/>
      <c r="T7" s="12"/>
      <c r="U7" s="14"/>
      <c r="V7" s="11"/>
      <c r="W7" s="12"/>
      <c r="X7" s="12"/>
      <c r="Y7" s="13"/>
      <c r="Z7" s="12"/>
      <c r="AA7" s="12"/>
      <c r="AB7" s="12"/>
      <c r="AC7" s="12"/>
      <c r="AD7" s="12"/>
      <c r="AE7" s="12"/>
      <c r="AF7" s="13"/>
      <c r="AG7" s="12"/>
      <c r="AH7" s="12"/>
      <c r="AI7" s="12"/>
      <c r="AJ7" s="12"/>
      <c r="AK7" s="15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5">
        <f t="shared" ref="NH7:NH45" si="6">COUNTIF(F7:NG7,"P")</f>
        <v>0</v>
      </c>
      <c r="NI7" s="5">
        <f t="shared" ref="NI7:NI45" si="7">COUNTIF(F7:NG7,"A")</f>
        <v>0</v>
      </c>
      <c r="NJ7" s="5" t="s">
        <v>11</v>
      </c>
      <c r="NK7" s="17">
        <v>4</v>
      </c>
      <c r="NL7" s="3"/>
      <c r="NM7" s="3"/>
    </row>
    <row r="8" spans="1:377" x14ac:dyDescent="0.25">
      <c r="A8" s="6">
        <v>3</v>
      </c>
      <c r="B8" s="19"/>
      <c r="C8" s="20"/>
      <c r="D8" s="21"/>
      <c r="E8" s="10" t="s">
        <v>30</v>
      </c>
      <c r="F8" s="11"/>
      <c r="G8" s="12"/>
      <c r="H8" s="11"/>
      <c r="I8" s="12"/>
      <c r="J8" s="12"/>
      <c r="K8" s="13"/>
      <c r="L8" s="12"/>
      <c r="M8" s="12"/>
      <c r="N8" s="11"/>
      <c r="O8" s="11"/>
      <c r="P8" s="12"/>
      <c r="Q8" s="12"/>
      <c r="R8" s="13"/>
      <c r="S8" s="13"/>
      <c r="T8" s="12"/>
      <c r="U8" s="14"/>
      <c r="V8" s="11"/>
      <c r="W8" s="12"/>
      <c r="X8" s="12"/>
      <c r="Y8" s="13"/>
      <c r="Z8" s="12"/>
      <c r="AA8" s="12"/>
      <c r="AB8" s="12"/>
      <c r="AC8" s="12"/>
      <c r="AD8" s="12"/>
      <c r="AE8" s="12"/>
      <c r="AF8" s="13"/>
      <c r="AG8" s="12"/>
      <c r="AH8" s="12"/>
      <c r="AI8" s="12"/>
      <c r="AJ8" s="12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5">
        <f t="shared" si="6"/>
        <v>0</v>
      </c>
      <c r="NI8" s="5">
        <f t="shared" si="7"/>
        <v>0</v>
      </c>
      <c r="NJ8" s="3"/>
      <c r="NK8" s="3"/>
      <c r="NL8" s="3"/>
      <c r="NM8" s="3"/>
    </row>
    <row r="9" spans="1:377" ht="15.75" x14ac:dyDescent="0.25">
      <c r="A9" s="17">
        <v>4</v>
      </c>
      <c r="B9" s="19"/>
      <c r="C9" s="20"/>
      <c r="D9" s="21"/>
      <c r="E9" s="10" t="s">
        <v>30</v>
      </c>
      <c r="F9" s="11"/>
      <c r="G9" s="12"/>
      <c r="H9" s="11"/>
      <c r="I9" s="12"/>
      <c r="J9" s="12"/>
      <c r="K9" s="13"/>
      <c r="L9" s="12"/>
      <c r="M9" s="12"/>
      <c r="N9" s="11"/>
      <c r="O9" s="11"/>
      <c r="P9" s="12"/>
      <c r="Q9" s="12"/>
      <c r="R9" s="13"/>
      <c r="S9" s="13"/>
      <c r="T9" s="12"/>
      <c r="U9" s="14"/>
      <c r="V9" s="11"/>
      <c r="W9" s="12"/>
      <c r="X9" s="12"/>
      <c r="Y9" s="13"/>
      <c r="Z9" s="12"/>
      <c r="AA9" s="12"/>
      <c r="AB9" s="12"/>
      <c r="AC9" s="12"/>
      <c r="AD9" s="12"/>
      <c r="AE9" s="12"/>
      <c r="AF9" s="13"/>
      <c r="AG9" s="12"/>
      <c r="AH9" s="12"/>
      <c r="AI9" s="12"/>
      <c r="AJ9" s="12"/>
      <c r="AK9" s="22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5">
        <f t="shared" si="6"/>
        <v>0</v>
      </c>
      <c r="NI9" s="5">
        <f t="shared" si="7"/>
        <v>0</v>
      </c>
      <c r="NJ9" s="103" t="s">
        <v>12</v>
      </c>
      <c r="NK9" s="105"/>
      <c r="NL9" s="105"/>
      <c r="NM9" s="104"/>
    </row>
    <row r="10" spans="1:377" x14ac:dyDescent="0.25">
      <c r="A10" s="6">
        <v>5</v>
      </c>
      <c r="B10" s="19"/>
      <c r="C10" s="20"/>
      <c r="D10" s="21"/>
      <c r="E10" s="10" t="s">
        <v>30</v>
      </c>
      <c r="F10" s="11"/>
      <c r="G10" s="12"/>
      <c r="H10" s="11"/>
      <c r="I10" s="12"/>
      <c r="J10" s="12"/>
      <c r="K10" s="13"/>
      <c r="L10" s="12"/>
      <c r="M10" s="12"/>
      <c r="N10" s="11"/>
      <c r="O10" s="11"/>
      <c r="P10" s="12"/>
      <c r="Q10" s="12"/>
      <c r="R10" s="13"/>
      <c r="S10" s="13"/>
      <c r="T10" s="12"/>
      <c r="U10" s="14"/>
      <c r="V10" s="11"/>
      <c r="W10" s="12"/>
      <c r="X10" s="12"/>
      <c r="Y10" s="13"/>
      <c r="Z10" s="12"/>
      <c r="AA10" s="12"/>
      <c r="AB10" s="12"/>
      <c r="AC10" s="12"/>
      <c r="AD10" s="12"/>
      <c r="AE10" s="12"/>
      <c r="AF10" s="13"/>
      <c r="AG10" s="12"/>
      <c r="AH10" s="12"/>
      <c r="AI10" s="12"/>
      <c r="AJ10" s="12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5">
        <f t="shared" si="6"/>
        <v>0</v>
      </c>
      <c r="NI10" s="5">
        <f t="shared" si="7"/>
        <v>0</v>
      </c>
      <c r="NJ10" s="5" t="s">
        <v>13</v>
      </c>
      <c r="NK10" s="5" t="s">
        <v>14</v>
      </c>
      <c r="NL10" s="5" t="s">
        <v>15</v>
      </c>
      <c r="NM10" s="5" t="s">
        <v>16</v>
      </c>
    </row>
    <row r="11" spans="1:377" x14ac:dyDescent="0.25">
      <c r="A11" s="17">
        <v>6</v>
      </c>
      <c r="B11" s="19"/>
      <c r="C11" s="20"/>
      <c r="D11" s="21"/>
      <c r="E11" s="10" t="s">
        <v>30</v>
      </c>
      <c r="F11" s="11"/>
      <c r="G11" s="12"/>
      <c r="H11" s="11"/>
      <c r="I11" s="12"/>
      <c r="J11" s="12"/>
      <c r="K11" s="13"/>
      <c r="L11" s="12"/>
      <c r="M11" s="12"/>
      <c r="N11" s="11"/>
      <c r="O11" s="11"/>
      <c r="P11" s="12"/>
      <c r="Q11" s="12"/>
      <c r="R11" s="13"/>
      <c r="S11" s="13"/>
      <c r="T11" s="12"/>
      <c r="U11" s="14"/>
      <c r="V11" s="11"/>
      <c r="W11" s="12"/>
      <c r="X11" s="12"/>
      <c r="Y11" s="13"/>
      <c r="Z11" s="12"/>
      <c r="AA11" s="12"/>
      <c r="AB11" s="12"/>
      <c r="AC11" s="12"/>
      <c r="AD11" s="12"/>
      <c r="AE11" s="12"/>
      <c r="AF11" s="13"/>
      <c r="AG11" s="12"/>
      <c r="AH11" s="12"/>
      <c r="AI11" s="12"/>
      <c r="AJ11" s="1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5">
        <f t="shared" si="6"/>
        <v>0</v>
      </c>
      <c r="NI11" s="5">
        <f t="shared" si="7"/>
        <v>0</v>
      </c>
      <c r="NJ11" s="5" t="s">
        <v>17</v>
      </c>
      <c r="NK11" s="17">
        <f>19*26</f>
        <v>494</v>
      </c>
      <c r="NL11" s="17">
        <f>21*26</f>
        <v>546</v>
      </c>
      <c r="NM11" s="17">
        <f>SUM(NK11:NL11)</f>
        <v>1040</v>
      </c>
    </row>
    <row r="12" spans="1:377" x14ac:dyDescent="0.25">
      <c r="A12" s="6">
        <v>7</v>
      </c>
      <c r="B12" s="19"/>
      <c r="C12" s="20"/>
      <c r="D12" s="21"/>
      <c r="E12" s="10" t="s">
        <v>30</v>
      </c>
      <c r="F12" s="11"/>
      <c r="G12" s="12"/>
      <c r="H12" s="11"/>
      <c r="I12" s="12"/>
      <c r="J12" s="12"/>
      <c r="K12" s="13"/>
      <c r="L12" s="12"/>
      <c r="M12" s="12"/>
      <c r="N12" s="11"/>
      <c r="O12" s="11"/>
      <c r="P12" s="12"/>
      <c r="Q12" s="12"/>
      <c r="R12" s="13"/>
      <c r="S12" s="13"/>
      <c r="T12" s="12"/>
      <c r="U12" s="14"/>
      <c r="V12" s="11"/>
      <c r="W12" s="12"/>
      <c r="X12" s="12"/>
      <c r="Y12" s="13"/>
      <c r="Z12" s="12"/>
      <c r="AA12" s="12"/>
      <c r="AB12" s="12"/>
      <c r="AC12" s="12"/>
      <c r="AD12" s="12"/>
      <c r="AE12" s="12"/>
      <c r="AF12" s="13"/>
      <c r="AG12" s="12"/>
      <c r="AH12" s="12"/>
      <c r="AI12" s="12"/>
      <c r="AJ12" s="1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5">
        <f t="shared" si="6"/>
        <v>0</v>
      </c>
      <c r="NI12" s="5">
        <f t="shared" si="7"/>
        <v>0</v>
      </c>
      <c r="NJ12" s="5" t="s">
        <v>18</v>
      </c>
      <c r="NK12" s="17">
        <f>NH7+NH8+NH9+NH12+NH13+NH14+NH16+NH20+NH21+NH22+NH23+NH24+NH25+NH26+NH27+NH29+NH30+NH32+NH43</f>
        <v>0</v>
      </c>
      <c r="NL12" s="17">
        <f>NH6+NH10+NH11+NH15+NH17+NH18+NH19+NH28+NH31+NH33+NH34+NH35+NH36+NH37+NH38+NH39+NH40+NH41+NH42+NH44+NH45</f>
        <v>0</v>
      </c>
      <c r="NM12" s="17">
        <f>NK12+NL12</f>
        <v>0</v>
      </c>
    </row>
    <row r="13" spans="1:377" x14ac:dyDescent="0.25">
      <c r="A13" s="17">
        <v>8</v>
      </c>
      <c r="B13" s="19"/>
      <c r="C13" s="20"/>
      <c r="D13" s="21"/>
      <c r="E13" s="10" t="s">
        <v>30</v>
      </c>
      <c r="F13" s="11"/>
      <c r="G13" s="12"/>
      <c r="H13" s="11"/>
      <c r="I13" s="12"/>
      <c r="J13" s="12"/>
      <c r="K13" s="13"/>
      <c r="L13" s="12"/>
      <c r="M13" s="12"/>
      <c r="N13" s="11"/>
      <c r="O13" s="11"/>
      <c r="P13" s="12"/>
      <c r="Q13" s="12"/>
      <c r="R13" s="13"/>
      <c r="S13" s="13"/>
      <c r="T13" s="12"/>
      <c r="U13" s="14"/>
      <c r="V13" s="11"/>
      <c r="W13" s="12"/>
      <c r="X13" s="12"/>
      <c r="Y13" s="13"/>
      <c r="Z13" s="12"/>
      <c r="AA13" s="12"/>
      <c r="AB13" s="12"/>
      <c r="AC13" s="12"/>
      <c r="AD13" s="12"/>
      <c r="AE13" s="12"/>
      <c r="AF13" s="13"/>
      <c r="AG13" s="12"/>
      <c r="AH13" s="12"/>
      <c r="AI13" s="12"/>
      <c r="AJ13" s="1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5">
        <f t="shared" si="6"/>
        <v>0</v>
      </c>
      <c r="NI13" s="5">
        <f t="shared" si="7"/>
        <v>0</v>
      </c>
      <c r="NJ13" s="5" t="s">
        <v>19</v>
      </c>
      <c r="NK13" s="17">
        <f>NK12/NK11</f>
        <v>0</v>
      </c>
      <c r="NL13" s="17">
        <f>NL12/NL11</f>
        <v>0</v>
      </c>
      <c r="NM13" s="17">
        <f>NM12/NM11</f>
        <v>0</v>
      </c>
    </row>
    <row r="14" spans="1:377" x14ac:dyDescent="0.25">
      <c r="A14" s="6">
        <v>9</v>
      </c>
      <c r="B14" s="19"/>
      <c r="C14" s="20"/>
      <c r="D14" s="21"/>
      <c r="E14" s="10" t="s">
        <v>30</v>
      </c>
      <c r="F14" s="11"/>
      <c r="G14" s="12"/>
      <c r="H14" s="11"/>
      <c r="I14" s="12"/>
      <c r="J14" s="12"/>
      <c r="K14" s="13"/>
      <c r="L14" s="12"/>
      <c r="M14" s="12"/>
      <c r="N14" s="11"/>
      <c r="O14" s="11"/>
      <c r="P14" s="12"/>
      <c r="Q14" s="12"/>
      <c r="R14" s="13"/>
      <c r="S14" s="13"/>
      <c r="T14" s="12"/>
      <c r="U14" s="14"/>
      <c r="V14" s="11"/>
      <c r="W14" s="12"/>
      <c r="X14" s="12"/>
      <c r="Y14" s="13"/>
      <c r="Z14" s="12"/>
      <c r="AA14" s="12"/>
      <c r="AB14" s="12"/>
      <c r="AC14" s="12"/>
      <c r="AD14" s="12"/>
      <c r="AE14" s="12"/>
      <c r="AF14" s="13"/>
      <c r="AG14" s="12"/>
      <c r="AH14" s="12"/>
      <c r="AI14" s="12"/>
      <c r="AJ14" s="12"/>
      <c r="AK14" s="23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5">
        <f t="shared" si="6"/>
        <v>0</v>
      </c>
      <c r="NI14" s="5">
        <f t="shared" si="7"/>
        <v>0</v>
      </c>
      <c r="NJ14" s="3"/>
      <c r="NK14" s="24"/>
      <c r="NL14" s="24"/>
      <c r="NM14" s="24"/>
    </row>
    <row r="15" spans="1:377" x14ac:dyDescent="0.25">
      <c r="A15" s="17">
        <v>10</v>
      </c>
      <c r="B15" s="25"/>
      <c r="C15" s="20"/>
      <c r="D15" s="21"/>
      <c r="E15" s="10" t="s">
        <v>30</v>
      </c>
      <c r="F15" s="11"/>
      <c r="G15" s="12"/>
      <c r="H15" s="11"/>
      <c r="I15" s="12"/>
      <c r="J15" s="12"/>
      <c r="K15" s="13"/>
      <c r="L15" s="12"/>
      <c r="M15" s="12"/>
      <c r="N15" s="11"/>
      <c r="O15" s="11"/>
      <c r="P15" s="12"/>
      <c r="Q15" s="12"/>
      <c r="R15" s="13"/>
      <c r="S15" s="13"/>
      <c r="T15" s="12"/>
      <c r="U15" s="14"/>
      <c r="V15" s="11"/>
      <c r="W15" s="12"/>
      <c r="X15" s="12"/>
      <c r="Y15" s="13"/>
      <c r="Z15" s="12"/>
      <c r="AA15" s="12"/>
      <c r="AB15" s="12"/>
      <c r="AC15" s="12"/>
      <c r="AD15" s="12"/>
      <c r="AE15" s="12"/>
      <c r="AF15" s="13"/>
      <c r="AG15" s="12"/>
      <c r="AH15" s="12"/>
      <c r="AI15" s="12"/>
      <c r="AJ15" s="1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5">
        <f t="shared" si="6"/>
        <v>0</v>
      </c>
      <c r="NI15" s="5">
        <f t="shared" si="7"/>
        <v>0</v>
      </c>
      <c r="NJ15" s="26"/>
      <c r="NK15" s="26"/>
      <c r="NL15" s="26"/>
      <c r="NM15" s="26"/>
    </row>
    <row r="16" spans="1:377" x14ac:dyDescent="0.25">
      <c r="A16" s="6">
        <v>11</v>
      </c>
      <c r="B16" s="19"/>
      <c r="C16" s="20"/>
      <c r="D16" s="21"/>
      <c r="E16" s="10" t="s">
        <v>30</v>
      </c>
      <c r="F16" s="11"/>
      <c r="G16" s="12"/>
      <c r="H16" s="11"/>
      <c r="I16" s="12"/>
      <c r="J16" s="12"/>
      <c r="K16" s="13"/>
      <c r="L16" s="12"/>
      <c r="M16" s="12"/>
      <c r="N16" s="11"/>
      <c r="O16" s="11"/>
      <c r="P16" s="12"/>
      <c r="Q16" s="12"/>
      <c r="R16" s="13"/>
      <c r="S16" s="13"/>
      <c r="T16" s="12"/>
      <c r="U16" s="14"/>
      <c r="V16" s="11"/>
      <c r="W16" s="12"/>
      <c r="X16" s="12"/>
      <c r="Y16" s="13"/>
      <c r="Z16" s="12"/>
      <c r="AA16" s="12"/>
      <c r="AB16" s="12"/>
      <c r="AC16" s="12"/>
      <c r="AD16" s="12"/>
      <c r="AE16" s="12"/>
      <c r="AF16" s="13"/>
      <c r="AG16" s="12"/>
      <c r="AH16" s="12"/>
      <c r="AI16" s="12"/>
      <c r="AJ16" s="1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5">
        <f t="shared" si="6"/>
        <v>0</v>
      </c>
      <c r="NI16" s="5">
        <f t="shared" si="7"/>
        <v>0</v>
      </c>
      <c r="NJ16" s="3"/>
      <c r="NK16" s="3"/>
      <c r="NL16" s="3"/>
      <c r="NM16" s="3"/>
    </row>
    <row r="17" spans="1:377" ht="15.75" x14ac:dyDescent="0.25">
      <c r="A17" s="17">
        <v>12</v>
      </c>
      <c r="B17" s="19"/>
      <c r="C17" s="20"/>
      <c r="D17" s="21"/>
      <c r="E17" s="10" t="s">
        <v>30</v>
      </c>
      <c r="F17" s="11"/>
      <c r="G17" s="12"/>
      <c r="H17" s="11"/>
      <c r="I17" s="12"/>
      <c r="J17" s="12"/>
      <c r="K17" s="13"/>
      <c r="L17" s="12"/>
      <c r="M17" s="12"/>
      <c r="N17" s="11"/>
      <c r="O17" s="11"/>
      <c r="P17" s="12"/>
      <c r="Q17" s="12"/>
      <c r="R17" s="13"/>
      <c r="S17" s="13"/>
      <c r="T17" s="12"/>
      <c r="U17" s="14"/>
      <c r="V17" s="11"/>
      <c r="W17" s="12"/>
      <c r="X17" s="12"/>
      <c r="Y17" s="13"/>
      <c r="Z17" s="12"/>
      <c r="AA17" s="12"/>
      <c r="AB17" s="12"/>
      <c r="AC17" s="12"/>
      <c r="AD17" s="12"/>
      <c r="AE17" s="12"/>
      <c r="AF17" s="13"/>
      <c r="AG17" s="12"/>
      <c r="AH17" s="12"/>
      <c r="AI17" s="12"/>
      <c r="AJ17" s="1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5">
        <f t="shared" si="6"/>
        <v>0</v>
      </c>
      <c r="NI17" s="5">
        <f t="shared" si="7"/>
        <v>0</v>
      </c>
      <c r="NJ17" s="103" t="s">
        <v>6</v>
      </c>
      <c r="NK17" s="105"/>
      <c r="NL17" s="105"/>
      <c r="NM17" s="104"/>
    </row>
    <row r="18" spans="1:377" x14ac:dyDescent="0.25">
      <c r="A18" s="6">
        <v>13</v>
      </c>
      <c r="B18" s="19"/>
      <c r="C18" s="20"/>
      <c r="D18" s="21"/>
      <c r="E18" s="10" t="s">
        <v>30</v>
      </c>
      <c r="F18" s="11"/>
      <c r="G18" s="12"/>
      <c r="H18" s="11"/>
      <c r="I18" s="12"/>
      <c r="J18" s="12"/>
      <c r="K18" s="13"/>
      <c r="L18" s="12"/>
      <c r="M18" s="12"/>
      <c r="N18" s="11"/>
      <c r="O18" s="11"/>
      <c r="P18" s="12"/>
      <c r="Q18" s="12"/>
      <c r="R18" s="13"/>
      <c r="S18" s="13"/>
      <c r="T18" s="12"/>
      <c r="U18" s="14"/>
      <c r="V18" s="11"/>
      <c r="W18" s="12"/>
      <c r="X18" s="12"/>
      <c r="Y18" s="13"/>
      <c r="Z18" s="12"/>
      <c r="AA18" s="12"/>
      <c r="AB18" s="12"/>
      <c r="AC18" s="12"/>
      <c r="AD18" s="12"/>
      <c r="AE18" s="12"/>
      <c r="AF18" s="13"/>
      <c r="AG18" s="12"/>
      <c r="AH18" s="12"/>
      <c r="AI18" s="12"/>
      <c r="AJ18" s="1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5">
        <f t="shared" si="6"/>
        <v>0</v>
      </c>
      <c r="NI18" s="5">
        <f t="shared" si="7"/>
        <v>0</v>
      </c>
      <c r="NJ18" s="5" t="s">
        <v>13</v>
      </c>
      <c r="NK18" s="5" t="s">
        <v>14</v>
      </c>
      <c r="NL18" s="5" t="s">
        <v>15</v>
      </c>
      <c r="NM18" s="5" t="s">
        <v>16</v>
      </c>
    </row>
    <row r="19" spans="1:377" x14ac:dyDescent="0.25">
      <c r="A19" s="17">
        <v>14</v>
      </c>
      <c r="B19" s="19"/>
      <c r="C19" s="20"/>
      <c r="D19" s="21"/>
      <c r="E19" s="10" t="s">
        <v>30</v>
      </c>
      <c r="F19" s="11"/>
      <c r="G19" s="12"/>
      <c r="H19" s="11"/>
      <c r="I19" s="12"/>
      <c r="J19" s="12"/>
      <c r="K19" s="13"/>
      <c r="L19" s="12"/>
      <c r="M19" s="12"/>
      <c r="N19" s="11"/>
      <c r="O19" s="11"/>
      <c r="P19" s="12"/>
      <c r="Q19" s="12"/>
      <c r="R19" s="13"/>
      <c r="S19" s="13"/>
      <c r="T19" s="12"/>
      <c r="U19" s="14"/>
      <c r="V19" s="11"/>
      <c r="W19" s="12"/>
      <c r="X19" s="12"/>
      <c r="Y19" s="13"/>
      <c r="Z19" s="12"/>
      <c r="AA19" s="12"/>
      <c r="AB19" s="12"/>
      <c r="AC19" s="12"/>
      <c r="AD19" s="12"/>
      <c r="AE19" s="12"/>
      <c r="AF19" s="13"/>
      <c r="AG19" s="12"/>
      <c r="AH19" s="12"/>
      <c r="AI19" s="12"/>
      <c r="AJ19" s="1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5">
        <f t="shared" si="6"/>
        <v>0</v>
      </c>
      <c r="NI19" s="5">
        <f t="shared" si="7"/>
        <v>0</v>
      </c>
      <c r="NJ19" s="5" t="s">
        <v>17</v>
      </c>
      <c r="NK19" s="17">
        <f>19*26</f>
        <v>494</v>
      </c>
      <c r="NL19" s="17">
        <f>21*26</f>
        <v>546</v>
      </c>
      <c r="NM19" s="17">
        <f>NK19+NL19</f>
        <v>1040</v>
      </c>
    </row>
    <row r="20" spans="1:377" x14ac:dyDescent="0.25">
      <c r="A20" s="6">
        <v>15</v>
      </c>
      <c r="B20" s="19"/>
      <c r="C20" s="20"/>
      <c r="D20" s="21"/>
      <c r="E20" s="10" t="s">
        <v>30</v>
      </c>
      <c r="F20" s="11"/>
      <c r="G20" s="12"/>
      <c r="H20" s="11"/>
      <c r="I20" s="12"/>
      <c r="J20" s="12"/>
      <c r="K20" s="13"/>
      <c r="L20" s="12"/>
      <c r="M20" s="12"/>
      <c r="N20" s="11"/>
      <c r="O20" s="11"/>
      <c r="P20" s="12"/>
      <c r="Q20" s="12"/>
      <c r="R20" s="13"/>
      <c r="S20" s="13"/>
      <c r="T20" s="12"/>
      <c r="U20" s="14"/>
      <c r="V20" s="11"/>
      <c r="W20" s="12"/>
      <c r="X20" s="12"/>
      <c r="Y20" s="13"/>
      <c r="Z20" s="12"/>
      <c r="AA20" s="12"/>
      <c r="AB20" s="12"/>
      <c r="AC20" s="12"/>
      <c r="AD20" s="12"/>
      <c r="AE20" s="12"/>
      <c r="AF20" s="13"/>
      <c r="AG20" s="12"/>
      <c r="AH20" s="12"/>
      <c r="AI20" s="12"/>
      <c r="AJ20" s="1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5">
        <f t="shared" si="6"/>
        <v>0</v>
      </c>
      <c r="NI20" s="5">
        <f t="shared" si="7"/>
        <v>0</v>
      </c>
      <c r="NJ20" s="5" t="s">
        <v>20</v>
      </c>
      <c r="NK20" s="17">
        <f>NK19-NK12</f>
        <v>494</v>
      </c>
      <c r="NL20" s="17">
        <f>NL19-NL12</f>
        <v>546</v>
      </c>
      <c r="NM20" s="17">
        <f>NK20+NL20</f>
        <v>1040</v>
      </c>
    </row>
    <row r="21" spans="1:377" x14ac:dyDescent="0.25">
      <c r="A21" s="17">
        <v>16</v>
      </c>
      <c r="B21" s="19"/>
      <c r="C21" s="20"/>
      <c r="D21" s="21"/>
      <c r="E21" s="10" t="s">
        <v>30</v>
      </c>
      <c r="F21" s="11"/>
      <c r="G21" s="12"/>
      <c r="H21" s="11"/>
      <c r="I21" s="12"/>
      <c r="J21" s="12"/>
      <c r="K21" s="13"/>
      <c r="L21" s="12"/>
      <c r="M21" s="12"/>
      <c r="N21" s="11"/>
      <c r="O21" s="11"/>
      <c r="P21" s="12"/>
      <c r="Q21" s="12"/>
      <c r="R21" s="13"/>
      <c r="S21" s="13"/>
      <c r="T21" s="12"/>
      <c r="U21" s="14"/>
      <c r="V21" s="11"/>
      <c r="W21" s="12"/>
      <c r="X21" s="12"/>
      <c r="Y21" s="13"/>
      <c r="Z21" s="12"/>
      <c r="AA21" s="12"/>
      <c r="AB21" s="12"/>
      <c r="AC21" s="12"/>
      <c r="AD21" s="12"/>
      <c r="AE21" s="12"/>
      <c r="AF21" s="13"/>
      <c r="AG21" s="12"/>
      <c r="AH21" s="12"/>
      <c r="AI21" s="12"/>
      <c r="AJ21" s="1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5">
        <f t="shared" si="6"/>
        <v>0</v>
      </c>
      <c r="NI21" s="5">
        <f t="shared" si="7"/>
        <v>0</v>
      </c>
      <c r="NJ21" s="5" t="s">
        <v>16</v>
      </c>
      <c r="NK21" s="27">
        <f>NK20/NK19</f>
        <v>1</v>
      </c>
      <c r="NL21" s="27">
        <f>NL20/NL19</f>
        <v>1</v>
      </c>
      <c r="NM21" s="27">
        <f>NM20/NM19</f>
        <v>1</v>
      </c>
    </row>
    <row r="22" spans="1:377" x14ac:dyDescent="0.25">
      <c r="A22" s="6">
        <v>17</v>
      </c>
      <c r="B22" s="19"/>
      <c r="C22" s="20"/>
      <c r="D22" s="21"/>
      <c r="E22" s="10" t="s">
        <v>30</v>
      </c>
      <c r="F22" s="11"/>
      <c r="G22" s="12"/>
      <c r="H22" s="11"/>
      <c r="I22" s="12"/>
      <c r="J22" s="12"/>
      <c r="K22" s="13"/>
      <c r="L22" s="12"/>
      <c r="M22" s="12"/>
      <c r="N22" s="11"/>
      <c r="O22" s="11"/>
      <c r="P22" s="12"/>
      <c r="Q22" s="12"/>
      <c r="R22" s="13"/>
      <c r="S22" s="13"/>
      <c r="T22" s="12"/>
      <c r="U22" s="14"/>
      <c r="V22" s="11"/>
      <c r="W22" s="12"/>
      <c r="X22" s="12"/>
      <c r="Y22" s="13"/>
      <c r="Z22" s="12"/>
      <c r="AA22" s="12"/>
      <c r="AB22" s="12"/>
      <c r="AC22" s="12"/>
      <c r="AD22" s="12"/>
      <c r="AE22" s="12"/>
      <c r="AF22" s="13"/>
      <c r="AG22" s="12"/>
      <c r="AH22" s="12"/>
      <c r="AI22" s="12"/>
      <c r="AJ22" s="1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5">
        <f t="shared" si="6"/>
        <v>0</v>
      </c>
      <c r="NI22" s="5">
        <f t="shared" si="7"/>
        <v>0</v>
      </c>
    </row>
    <row r="23" spans="1:377" x14ac:dyDescent="0.25">
      <c r="A23" s="17">
        <v>18</v>
      </c>
      <c r="B23" s="19"/>
      <c r="C23" s="20"/>
      <c r="D23" s="21"/>
      <c r="E23" s="10" t="s">
        <v>30</v>
      </c>
      <c r="F23" s="11"/>
      <c r="G23" s="12"/>
      <c r="H23" s="11"/>
      <c r="I23" s="12"/>
      <c r="J23" s="12"/>
      <c r="K23" s="13"/>
      <c r="L23" s="12"/>
      <c r="M23" s="12"/>
      <c r="N23" s="11"/>
      <c r="O23" s="11"/>
      <c r="P23" s="12"/>
      <c r="Q23" s="12"/>
      <c r="R23" s="13"/>
      <c r="S23" s="13"/>
      <c r="T23" s="12"/>
      <c r="U23" s="14"/>
      <c r="V23" s="11"/>
      <c r="W23" s="12"/>
      <c r="X23" s="12"/>
      <c r="Y23" s="13"/>
      <c r="Z23" s="12"/>
      <c r="AA23" s="12"/>
      <c r="AB23" s="12"/>
      <c r="AC23" s="12"/>
      <c r="AD23" s="12"/>
      <c r="AE23" s="12"/>
      <c r="AF23" s="13"/>
      <c r="AG23" s="12"/>
      <c r="AH23" s="12"/>
      <c r="AI23" s="12"/>
      <c r="AJ23" s="1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5">
        <f t="shared" si="6"/>
        <v>0</v>
      </c>
      <c r="NI23" s="5">
        <f t="shared" si="7"/>
        <v>0</v>
      </c>
    </row>
    <row r="24" spans="1:377" x14ac:dyDescent="0.25">
      <c r="A24" s="6">
        <v>19</v>
      </c>
      <c r="B24" s="19"/>
      <c r="C24" s="20"/>
      <c r="D24" s="21"/>
      <c r="E24" s="10" t="s">
        <v>30</v>
      </c>
      <c r="F24" s="11"/>
      <c r="G24" s="12"/>
      <c r="H24" s="11"/>
      <c r="I24" s="12"/>
      <c r="J24" s="12"/>
      <c r="K24" s="13"/>
      <c r="L24" s="12"/>
      <c r="M24" s="12"/>
      <c r="N24" s="11"/>
      <c r="O24" s="11"/>
      <c r="P24" s="12"/>
      <c r="Q24" s="12"/>
      <c r="R24" s="13"/>
      <c r="S24" s="13"/>
      <c r="T24" s="12"/>
      <c r="U24" s="14"/>
      <c r="V24" s="11"/>
      <c r="W24" s="12"/>
      <c r="X24" s="12"/>
      <c r="Y24" s="13"/>
      <c r="Z24" s="12"/>
      <c r="AA24" s="12"/>
      <c r="AB24" s="12"/>
      <c r="AC24" s="12"/>
      <c r="AD24" s="12"/>
      <c r="AE24" s="12"/>
      <c r="AF24" s="13"/>
      <c r="AG24" s="12"/>
      <c r="AH24" s="12"/>
      <c r="AI24" s="12"/>
      <c r="AJ24" s="1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5">
        <f t="shared" si="6"/>
        <v>0</v>
      </c>
      <c r="NI24" s="5">
        <f t="shared" si="7"/>
        <v>0</v>
      </c>
    </row>
    <row r="25" spans="1:377" x14ac:dyDescent="0.25">
      <c r="A25" s="17">
        <v>20</v>
      </c>
      <c r="B25" s="19"/>
      <c r="C25" s="20"/>
      <c r="D25" s="21"/>
      <c r="E25" s="10" t="s">
        <v>30</v>
      </c>
      <c r="F25" s="11"/>
      <c r="G25" s="12"/>
      <c r="H25" s="11"/>
      <c r="I25" s="12"/>
      <c r="J25" s="12"/>
      <c r="K25" s="13"/>
      <c r="L25" s="12"/>
      <c r="M25" s="12"/>
      <c r="N25" s="11"/>
      <c r="O25" s="11"/>
      <c r="P25" s="12"/>
      <c r="Q25" s="12"/>
      <c r="R25" s="13"/>
      <c r="S25" s="13"/>
      <c r="T25" s="12"/>
      <c r="U25" s="14"/>
      <c r="V25" s="11"/>
      <c r="W25" s="12"/>
      <c r="X25" s="12"/>
      <c r="Y25" s="13"/>
      <c r="Z25" s="12"/>
      <c r="AA25" s="12"/>
      <c r="AB25" s="12"/>
      <c r="AC25" s="12"/>
      <c r="AD25" s="12"/>
      <c r="AE25" s="12"/>
      <c r="AF25" s="13"/>
      <c r="AG25" s="12"/>
      <c r="AH25" s="12"/>
      <c r="AI25" s="12"/>
      <c r="AJ25" s="1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5">
        <f t="shared" si="6"/>
        <v>0</v>
      </c>
      <c r="NI25" s="5">
        <f t="shared" si="7"/>
        <v>0</v>
      </c>
    </row>
    <row r="26" spans="1:377" x14ac:dyDescent="0.25">
      <c r="A26" s="6">
        <v>21</v>
      </c>
      <c r="B26" s="19"/>
      <c r="C26" s="20"/>
      <c r="D26" s="21"/>
      <c r="E26" s="10" t="s">
        <v>30</v>
      </c>
      <c r="F26" s="11"/>
      <c r="G26" s="12"/>
      <c r="H26" s="11"/>
      <c r="I26" s="12"/>
      <c r="J26" s="12"/>
      <c r="K26" s="13"/>
      <c r="L26" s="12"/>
      <c r="M26" s="12"/>
      <c r="N26" s="11"/>
      <c r="O26" s="11"/>
      <c r="P26" s="12"/>
      <c r="Q26" s="12"/>
      <c r="R26" s="13"/>
      <c r="S26" s="13"/>
      <c r="T26" s="12"/>
      <c r="U26" s="14"/>
      <c r="V26" s="11"/>
      <c r="W26" s="12"/>
      <c r="X26" s="12"/>
      <c r="Y26" s="13"/>
      <c r="Z26" s="12"/>
      <c r="AA26" s="12"/>
      <c r="AB26" s="12"/>
      <c r="AC26" s="12"/>
      <c r="AD26" s="12"/>
      <c r="AE26" s="12"/>
      <c r="AF26" s="13"/>
      <c r="AG26" s="12"/>
      <c r="AH26" s="12"/>
      <c r="AI26" s="12"/>
      <c r="AJ26" s="1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5">
        <f t="shared" si="6"/>
        <v>0</v>
      </c>
      <c r="NI26" s="5">
        <f t="shared" si="7"/>
        <v>0</v>
      </c>
    </row>
    <row r="27" spans="1:377" x14ac:dyDescent="0.25">
      <c r="A27" s="17">
        <v>22</v>
      </c>
      <c r="B27" s="19"/>
      <c r="C27" s="20"/>
      <c r="D27" s="21"/>
      <c r="E27" s="10" t="s">
        <v>30</v>
      </c>
      <c r="F27" s="11"/>
      <c r="G27" s="12"/>
      <c r="H27" s="11"/>
      <c r="I27" s="12"/>
      <c r="J27" s="12"/>
      <c r="K27" s="13"/>
      <c r="L27" s="12"/>
      <c r="M27" s="12"/>
      <c r="N27" s="11"/>
      <c r="O27" s="11"/>
      <c r="P27" s="12"/>
      <c r="Q27" s="12"/>
      <c r="R27" s="13"/>
      <c r="S27" s="13"/>
      <c r="T27" s="12"/>
      <c r="U27" s="14"/>
      <c r="V27" s="11"/>
      <c r="W27" s="12"/>
      <c r="X27" s="12"/>
      <c r="Y27" s="13"/>
      <c r="Z27" s="12"/>
      <c r="AA27" s="12"/>
      <c r="AB27" s="12"/>
      <c r="AC27" s="12"/>
      <c r="AD27" s="12"/>
      <c r="AE27" s="12"/>
      <c r="AF27" s="13"/>
      <c r="AG27" s="12"/>
      <c r="AH27" s="12"/>
      <c r="AI27" s="12"/>
      <c r="AJ27" s="1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5">
        <f t="shared" si="6"/>
        <v>0</v>
      </c>
      <c r="NI27" s="5">
        <f t="shared" si="7"/>
        <v>0</v>
      </c>
    </row>
    <row r="28" spans="1:377" x14ac:dyDescent="0.25">
      <c r="A28" s="6">
        <v>23</v>
      </c>
      <c r="B28" s="19"/>
      <c r="C28" s="20"/>
      <c r="D28" s="21"/>
      <c r="E28" s="10" t="s">
        <v>30</v>
      </c>
      <c r="F28" s="11"/>
      <c r="G28" s="12"/>
      <c r="H28" s="11"/>
      <c r="I28" s="12"/>
      <c r="J28" s="12"/>
      <c r="K28" s="13"/>
      <c r="L28" s="12"/>
      <c r="M28" s="12"/>
      <c r="N28" s="11"/>
      <c r="O28" s="11"/>
      <c r="P28" s="12"/>
      <c r="Q28" s="12"/>
      <c r="R28" s="13"/>
      <c r="S28" s="13"/>
      <c r="T28" s="12"/>
      <c r="U28" s="14"/>
      <c r="V28" s="11"/>
      <c r="W28" s="12"/>
      <c r="X28" s="12"/>
      <c r="Y28" s="13"/>
      <c r="Z28" s="12"/>
      <c r="AA28" s="12"/>
      <c r="AB28" s="12"/>
      <c r="AC28" s="12"/>
      <c r="AD28" s="12"/>
      <c r="AE28" s="12"/>
      <c r="AF28" s="13"/>
      <c r="AG28" s="12"/>
      <c r="AH28" s="12"/>
      <c r="AI28" s="12"/>
      <c r="AJ28" s="1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5">
        <f t="shared" si="6"/>
        <v>0</v>
      </c>
      <c r="NI28" s="5">
        <f t="shared" si="7"/>
        <v>0</v>
      </c>
    </row>
    <row r="29" spans="1:377" x14ac:dyDescent="0.25">
      <c r="A29" s="17">
        <v>24</v>
      </c>
      <c r="B29" s="19"/>
      <c r="C29" s="20"/>
      <c r="D29" s="21"/>
      <c r="E29" s="10" t="s">
        <v>30</v>
      </c>
      <c r="F29" s="11"/>
      <c r="G29" s="12"/>
      <c r="H29" s="11"/>
      <c r="I29" s="12"/>
      <c r="J29" s="12"/>
      <c r="K29" s="13"/>
      <c r="L29" s="12"/>
      <c r="M29" s="12"/>
      <c r="N29" s="11"/>
      <c r="O29" s="11"/>
      <c r="P29" s="12"/>
      <c r="Q29" s="12"/>
      <c r="R29" s="13"/>
      <c r="S29" s="13"/>
      <c r="T29" s="12"/>
      <c r="U29" s="14"/>
      <c r="V29" s="11"/>
      <c r="W29" s="12"/>
      <c r="X29" s="12"/>
      <c r="Y29" s="13"/>
      <c r="Z29" s="12"/>
      <c r="AA29" s="12"/>
      <c r="AB29" s="12"/>
      <c r="AC29" s="12"/>
      <c r="AD29" s="12"/>
      <c r="AE29" s="12"/>
      <c r="AF29" s="13"/>
      <c r="AG29" s="12"/>
      <c r="AH29" s="12"/>
      <c r="AI29" s="12"/>
      <c r="AJ29" s="1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5">
        <f t="shared" si="6"/>
        <v>0</v>
      </c>
      <c r="NI29" s="5">
        <f t="shared" si="7"/>
        <v>0</v>
      </c>
    </row>
    <row r="30" spans="1:377" x14ac:dyDescent="0.25">
      <c r="A30" s="6">
        <v>25</v>
      </c>
      <c r="B30" s="19"/>
      <c r="C30" s="20"/>
      <c r="D30" s="21"/>
      <c r="E30" s="10" t="s">
        <v>30</v>
      </c>
      <c r="F30" s="11"/>
      <c r="G30" s="12"/>
      <c r="H30" s="11"/>
      <c r="I30" s="12"/>
      <c r="J30" s="12"/>
      <c r="K30" s="13"/>
      <c r="L30" s="12"/>
      <c r="M30" s="12"/>
      <c r="N30" s="11"/>
      <c r="O30" s="11"/>
      <c r="P30" s="12"/>
      <c r="Q30" s="12"/>
      <c r="R30" s="13"/>
      <c r="S30" s="13"/>
      <c r="T30" s="12"/>
      <c r="U30" s="14"/>
      <c r="V30" s="11"/>
      <c r="W30" s="12"/>
      <c r="X30" s="12"/>
      <c r="Y30" s="13"/>
      <c r="Z30" s="12"/>
      <c r="AA30" s="12"/>
      <c r="AB30" s="12"/>
      <c r="AC30" s="12"/>
      <c r="AD30" s="12"/>
      <c r="AE30" s="12"/>
      <c r="AF30" s="13"/>
      <c r="AG30" s="12"/>
      <c r="AH30" s="12"/>
      <c r="AI30" s="12"/>
      <c r="AJ30" s="1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/>
      <c r="LF30" s="16"/>
      <c r="LG30" s="16"/>
      <c r="LH30" s="16"/>
      <c r="LI30" s="16"/>
      <c r="LJ30" s="16"/>
      <c r="LK30" s="16"/>
      <c r="LL30" s="16"/>
      <c r="LM30" s="16"/>
      <c r="LN30" s="16"/>
      <c r="LO30" s="16"/>
      <c r="LP30" s="16"/>
      <c r="LQ30" s="16"/>
      <c r="LR30" s="16"/>
      <c r="LS30" s="16"/>
      <c r="LT30" s="16"/>
      <c r="LU30" s="16"/>
      <c r="LV30" s="16"/>
      <c r="LW30" s="16"/>
      <c r="LX30" s="16"/>
      <c r="LY30" s="16"/>
      <c r="LZ30" s="16"/>
      <c r="MA30" s="16"/>
      <c r="MB30" s="16"/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5">
        <f t="shared" si="6"/>
        <v>0</v>
      </c>
      <c r="NI30" s="5">
        <f t="shared" si="7"/>
        <v>0</v>
      </c>
    </row>
    <row r="31" spans="1:377" x14ac:dyDescent="0.25">
      <c r="A31" s="17">
        <v>26</v>
      </c>
      <c r="B31" s="19"/>
      <c r="C31" s="20"/>
      <c r="D31" s="21"/>
      <c r="E31" s="10" t="s">
        <v>30</v>
      </c>
      <c r="F31" s="11"/>
      <c r="G31" s="12"/>
      <c r="H31" s="11"/>
      <c r="I31" s="12"/>
      <c r="J31" s="12"/>
      <c r="K31" s="13"/>
      <c r="L31" s="12"/>
      <c r="M31" s="12"/>
      <c r="N31" s="11"/>
      <c r="O31" s="11"/>
      <c r="P31" s="12"/>
      <c r="Q31" s="12"/>
      <c r="R31" s="13"/>
      <c r="S31" s="13"/>
      <c r="T31" s="12"/>
      <c r="U31" s="14"/>
      <c r="V31" s="11"/>
      <c r="W31" s="12"/>
      <c r="X31" s="12"/>
      <c r="Y31" s="13"/>
      <c r="Z31" s="12"/>
      <c r="AA31" s="12"/>
      <c r="AB31" s="12"/>
      <c r="AC31" s="12"/>
      <c r="AD31" s="12"/>
      <c r="AE31" s="12"/>
      <c r="AF31" s="13"/>
      <c r="AG31" s="12"/>
      <c r="AH31" s="12"/>
      <c r="AI31" s="12"/>
      <c r="AJ31" s="1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6"/>
      <c r="LD31" s="16"/>
      <c r="LE31" s="16"/>
      <c r="LF31" s="16"/>
      <c r="LG31" s="16"/>
      <c r="LH31" s="16"/>
      <c r="LI31" s="16"/>
      <c r="LJ31" s="16"/>
      <c r="LK31" s="16"/>
      <c r="LL31" s="16"/>
      <c r="LM31" s="16"/>
      <c r="LN31" s="16"/>
      <c r="LO31" s="16"/>
      <c r="LP31" s="16"/>
      <c r="LQ31" s="16"/>
      <c r="LR31" s="16"/>
      <c r="LS31" s="16"/>
      <c r="LT31" s="16"/>
      <c r="LU31" s="16"/>
      <c r="LV31" s="16"/>
      <c r="LW31" s="16"/>
      <c r="LX31" s="16"/>
      <c r="LY31" s="16"/>
      <c r="LZ31" s="16"/>
      <c r="MA31" s="16"/>
      <c r="MB31" s="16"/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5">
        <f t="shared" si="6"/>
        <v>0</v>
      </c>
      <c r="NI31" s="5">
        <f t="shared" si="7"/>
        <v>0</v>
      </c>
    </row>
    <row r="32" spans="1:377" x14ac:dyDescent="0.25">
      <c r="A32" s="6">
        <v>27</v>
      </c>
      <c r="B32" s="19"/>
      <c r="C32" s="20"/>
      <c r="D32" s="21"/>
      <c r="E32" s="10" t="s">
        <v>30</v>
      </c>
      <c r="F32" s="11"/>
      <c r="G32" s="12"/>
      <c r="H32" s="11"/>
      <c r="I32" s="12"/>
      <c r="J32" s="12"/>
      <c r="K32" s="13"/>
      <c r="L32" s="12"/>
      <c r="M32" s="12"/>
      <c r="N32" s="11"/>
      <c r="O32" s="11"/>
      <c r="P32" s="12"/>
      <c r="Q32" s="12"/>
      <c r="R32" s="13"/>
      <c r="S32" s="13"/>
      <c r="T32" s="12"/>
      <c r="U32" s="14"/>
      <c r="V32" s="11"/>
      <c r="W32" s="12"/>
      <c r="X32" s="12"/>
      <c r="Y32" s="13"/>
      <c r="Z32" s="12"/>
      <c r="AA32" s="12"/>
      <c r="AB32" s="12"/>
      <c r="AC32" s="12"/>
      <c r="AD32" s="12"/>
      <c r="AE32" s="12"/>
      <c r="AF32" s="13"/>
      <c r="AG32" s="12"/>
      <c r="AH32" s="12"/>
      <c r="AI32" s="12"/>
      <c r="AJ32" s="1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/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/>
      <c r="LQ32" s="16"/>
      <c r="LR32" s="16"/>
      <c r="LS32" s="16"/>
      <c r="LT32" s="16"/>
      <c r="LU32" s="16"/>
      <c r="LV32" s="16"/>
      <c r="LW32" s="16"/>
      <c r="LX32" s="16"/>
      <c r="LY32" s="16"/>
      <c r="LZ32" s="16"/>
      <c r="MA32" s="16"/>
      <c r="MB32" s="16"/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5">
        <f t="shared" si="6"/>
        <v>0</v>
      </c>
      <c r="NI32" s="5">
        <f t="shared" si="7"/>
        <v>0</v>
      </c>
    </row>
    <row r="33" spans="1:373" x14ac:dyDescent="0.25">
      <c r="A33" s="17">
        <v>28</v>
      </c>
      <c r="B33" s="19"/>
      <c r="C33" s="20"/>
      <c r="D33" s="21"/>
      <c r="E33" s="10" t="s">
        <v>30</v>
      </c>
      <c r="F33" s="11"/>
      <c r="G33" s="12"/>
      <c r="H33" s="11"/>
      <c r="I33" s="12"/>
      <c r="J33" s="12"/>
      <c r="K33" s="13"/>
      <c r="L33" s="12"/>
      <c r="M33" s="12"/>
      <c r="N33" s="11"/>
      <c r="O33" s="11"/>
      <c r="P33" s="12"/>
      <c r="Q33" s="12"/>
      <c r="R33" s="13"/>
      <c r="S33" s="13"/>
      <c r="T33" s="12"/>
      <c r="U33" s="14"/>
      <c r="V33" s="11"/>
      <c r="W33" s="12"/>
      <c r="X33" s="12"/>
      <c r="Y33" s="13"/>
      <c r="Z33" s="12"/>
      <c r="AA33" s="12"/>
      <c r="AB33" s="12"/>
      <c r="AC33" s="12"/>
      <c r="AD33" s="12"/>
      <c r="AE33" s="12"/>
      <c r="AF33" s="13"/>
      <c r="AG33" s="12"/>
      <c r="AH33" s="12"/>
      <c r="AI33" s="12"/>
      <c r="AJ33" s="1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5">
        <f t="shared" si="6"/>
        <v>0</v>
      </c>
      <c r="NI33" s="5">
        <f t="shared" si="7"/>
        <v>0</v>
      </c>
    </row>
    <row r="34" spans="1:373" x14ac:dyDescent="0.25">
      <c r="A34" s="6">
        <v>29</v>
      </c>
      <c r="B34" s="19"/>
      <c r="C34" s="20"/>
      <c r="D34" s="21"/>
      <c r="E34" s="10" t="s">
        <v>30</v>
      </c>
      <c r="F34" s="11"/>
      <c r="G34" s="12"/>
      <c r="H34" s="11"/>
      <c r="I34" s="12"/>
      <c r="J34" s="12"/>
      <c r="K34" s="13"/>
      <c r="L34" s="12"/>
      <c r="M34" s="12"/>
      <c r="N34" s="11"/>
      <c r="O34" s="11"/>
      <c r="P34" s="12"/>
      <c r="Q34" s="12"/>
      <c r="R34" s="13"/>
      <c r="S34" s="13"/>
      <c r="T34" s="12"/>
      <c r="U34" s="14"/>
      <c r="V34" s="11"/>
      <c r="W34" s="12"/>
      <c r="X34" s="12"/>
      <c r="Y34" s="13"/>
      <c r="Z34" s="12"/>
      <c r="AA34" s="12"/>
      <c r="AB34" s="12"/>
      <c r="AC34" s="12"/>
      <c r="AD34" s="12"/>
      <c r="AE34" s="12"/>
      <c r="AF34" s="13"/>
      <c r="AG34" s="12"/>
      <c r="AH34" s="12"/>
      <c r="AI34" s="12"/>
      <c r="AJ34" s="1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5">
        <f t="shared" si="6"/>
        <v>0</v>
      </c>
      <c r="NI34" s="5">
        <f t="shared" si="7"/>
        <v>0</v>
      </c>
    </row>
    <row r="35" spans="1:373" x14ac:dyDescent="0.25">
      <c r="A35" s="17">
        <v>30</v>
      </c>
      <c r="B35" s="19"/>
      <c r="C35" s="20"/>
      <c r="D35" s="21"/>
      <c r="E35" s="10" t="s">
        <v>30</v>
      </c>
      <c r="F35" s="11"/>
      <c r="G35" s="12"/>
      <c r="H35" s="11"/>
      <c r="I35" s="12"/>
      <c r="J35" s="12"/>
      <c r="K35" s="13"/>
      <c r="L35" s="12"/>
      <c r="M35" s="12"/>
      <c r="N35" s="11"/>
      <c r="O35" s="11"/>
      <c r="P35" s="12"/>
      <c r="Q35" s="12"/>
      <c r="R35" s="13"/>
      <c r="S35" s="13"/>
      <c r="T35" s="12"/>
      <c r="U35" s="14"/>
      <c r="V35" s="11"/>
      <c r="W35" s="12"/>
      <c r="X35" s="12"/>
      <c r="Y35" s="13"/>
      <c r="Z35" s="12"/>
      <c r="AA35" s="12"/>
      <c r="AB35" s="12"/>
      <c r="AC35" s="12"/>
      <c r="AD35" s="12"/>
      <c r="AE35" s="12"/>
      <c r="AF35" s="13"/>
      <c r="AG35" s="12"/>
      <c r="AH35" s="12"/>
      <c r="AI35" s="12"/>
      <c r="AJ35" s="1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/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/>
      <c r="LQ35" s="16"/>
      <c r="LR35" s="16"/>
      <c r="LS35" s="16"/>
      <c r="LT35" s="16"/>
      <c r="LU35" s="16"/>
      <c r="LV35" s="16"/>
      <c r="LW35" s="16"/>
      <c r="LX35" s="16"/>
      <c r="LY35" s="16"/>
      <c r="LZ35" s="16"/>
      <c r="MA35" s="16"/>
      <c r="MB35" s="16"/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5">
        <f t="shared" si="6"/>
        <v>0</v>
      </c>
      <c r="NI35" s="5">
        <f t="shared" si="7"/>
        <v>0</v>
      </c>
    </row>
    <row r="36" spans="1:373" x14ac:dyDescent="0.25">
      <c r="A36" s="6">
        <v>31</v>
      </c>
      <c r="B36" s="19"/>
      <c r="C36" s="20"/>
      <c r="D36" s="21"/>
      <c r="E36" s="10" t="s">
        <v>30</v>
      </c>
      <c r="F36" s="11"/>
      <c r="G36" s="12"/>
      <c r="H36" s="11"/>
      <c r="I36" s="12"/>
      <c r="J36" s="12"/>
      <c r="K36" s="13"/>
      <c r="L36" s="12"/>
      <c r="M36" s="12"/>
      <c r="N36" s="11"/>
      <c r="O36" s="11"/>
      <c r="P36" s="12"/>
      <c r="Q36" s="12"/>
      <c r="R36" s="13"/>
      <c r="S36" s="13"/>
      <c r="T36" s="12"/>
      <c r="U36" s="14"/>
      <c r="V36" s="11"/>
      <c r="W36" s="12"/>
      <c r="X36" s="12"/>
      <c r="Y36" s="13"/>
      <c r="Z36" s="12"/>
      <c r="AA36" s="12"/>
      <c r="AB36" s="12"/>
      <c r="AC36" s="12"/>
      <c r="AD36" s="12"/>
      <c r="AE36" s="12"/>
      <c r="AF36" s="13"/>
      <c r="AG36" s="12"/>
      <c r="AH36" s="12"/>
      <c r="AI36" s="12"/>
      <c r="AJ36" s="12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5">
        <f t="shared" si="6"/>
        <v>0</v>
      </c>
      <c r="NI36" s="5">
        <f t="shared" si="7"/>
        <v>0</v>
      </c>
    </row>
    <row r="37" spans="1:373" x14ac:dyDescent="0.25">
      <c r="A37" s="17">
        <v>32</v>
      </c>
      <c r="B37" s="19"/>
      <c r="C37" s="20"/>
      <c r="D37" s="21"/>
      <c r="E37" s="10" t="s">
        <v>30</v>
      </c>
      <c r="F37" s="11"/>
      <c r="G37" s="12"/>
      <c r="H37" s="11"/>
      <c r="I37" s="12"/>
      <c r="J37" s="12"/>
      <c r="K37" s="13"/>
      <c r="L37" s="12"/>
      <c r="M37" s="12"/>
      <c r="N37" s="11"/>
      <c r="O37" s="11"/>
      <c r="P37" s="12"/>
      <c r="Q37" s="12"/>
      <c r="R37" s="13"/>
      <c r="S37" s="13"/>
      <c r="T37" s="12"/>
      <c r="U37" s="14"/>
      <c r="V37" s="11"/>
      <c r="W37" s="12"/>
      <c r="X37" s="12"/>
      <c r="Y37" s="13"/>
      <c r="Z37" s="12"/>
      <c r="AA37" s="12"/>
      <c r="AB37" s="12"/>
      <c r="AC37" s="12"/>
      <c r="AD37" s="12"/>
      <c r="AE37" s="12"/>
      <c r="AF37" s="13"/>
      <c r="AG37" s="12"/>
      <c r="AH37" s="12"/>
      <c r="AI37" s="12"/>
      <c r="AJ37" s="12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  <c r="IY37" s="16"/>
      <c r="IZ37" s="16"/>
      <c r="JA37" s="16"/>
      <c r="JB37" s="16"/>
      <c r="JC37" s="16"/>
      <c r="JD37" s="16"/>
      <c r="JE37" s="16"/>
      <c r="JF37" s="16"/>
      <c r="JG37" s="16"/>
      <c r="JH37" s="16"/>
      <c r="JI37" s="16"/>
      <c r="JJ37" s="16"/>
      <c r="JK37" s="16"/>
      <c r="JL37" s="16"/>
      <c r="JM37" s="16"/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6"/>
      <c r="KC37" s="16"/>
      <c r="KD37" s="16"/>
      <c r="KE37" s="16"/>
      <c r="KF37" s="16"/>
      <c r="KG37" s="16"/>
      <c r="KH37" s="16"/>
      <c r="KI37" s="16"/>
      <c r="KJ37" s="16"/>
      <c r="KK37" s="16"/>
      <c r="KL37" s="16"/>
      <c r="KM37" s="16"/>
      <c r="KN37" s="16"/>
      <c r="KO37" s="16"/>
      <c r="KP37" s="16"/>
      <c r="KQ37" s="16"/>
      <c r="KR37" s="16"/>
      <c r="KS37" s="16"/>
      <c r="KT37" s="16"/>
      <c r="KU37" s="16"/>
      <c r="KV37" s="16"/>
      <c r="KW37" s="16"/>
      <c r="KX37" s="16"/>
      <c r="KY37" s="16"/>
      <c r="KZ37" s="16"/>
      <c r="LA37" s="16"/>
      <c r="LB37" s="16"/>
      <c r="LC37" s="16"/>
      <c r="LD37" s="16"/>
      <c r="LE37" s="16"/>
      <c r="LF37" s="16"/>
      <c r="LG37" s="16"/>
      <c r="LH37" s="16"/>
      <c r="LI37" s="16"/>
      <c r="LJ37" s="16"/>
      <c r="LK37" s="16"/>
      <c r="LL37" s="16"/>
      <c r="LM37" s="16"/>
      <c r="LN37" s="16"/>
      <c r="LO37" s="16"/>
      <c r="LP37" s="16"/>
      <c r="LQ37" s="16"/>
      <c r="LR37" s="16"/>
      <c r="LS37" s="16"/>
      <c r="LT37" s="16"/>
      <c r="LU37" s="16"/>
      <c r="LV37" s="16"/>
      <c r="LW37" s="16"/>
      <c r="LX37" s="16"/>
      <c r="LY37" s="16"/>
      <c r="LZ37" s="16"/>
      <c r="MA37" s="16"/>
      <c r="MB37" s="16"/>
      <c r="MC37" s="16"/>
      <c r="MD37" s="16"/>
      <c r="ME37" s="16"/>
      <c r="MF37" s="16"/>
      <c r="MG37" s="16"/>
      <c r="MH37" s="16"/>
      <c r="MI37" s="16"/>
      <c r="MJ37" s="16"/>
      <c r="MK37" s="16"/>
      <c r="ML37" s="16"/>
      <c r="MM37" s="16"/>
      <c r="MN37" s="16"/>
      <c r="MO37" s="16"/>
      <c r="MP37" s="16"/>
      <c r="MQ37" s="16"/>
      <c r="MR37" s="16"/>
      <c r="MS37" s="16"/>
      <c r="MT37" s="16"/>
      <c r="MU37" s="16"/>
      <c r="MV37" s="16"/>
      <c r="MW37" s="16"/>
      <c r="MX37" s="16"/>
      <c r="MY37" s="16"/>
      <c r="MZ37" s="16"/>
      <c r="NA37" s="16"/>
      <c r="NB37" s="16"/>
      <c r="NC37" s="16"/>
      <c r="ND37" s="16"/>
      <c r="NE37" s="16"/>
      <c r="NF37" s="16"/>
      <c r="NG37" s="16"/>
      <c r="NH37" s="5">
        <f t="shared" si="6"/>
        <v>0</v>
      </c>
      <c r="NI37" s="5">
        <f t="shared" si="7"/>
        <v>0</v>
      </c>
    </row>
    <row r="38" spans="1:373" x14ac:dyDescent="0.25">
      <c r="A38" s="6">
        <v>33</v>
      </c>
      <c r="B38" s="19"/>
      <c r="C38" s="20"/>
      <c r="D38" s="21"/>
      <c r="E38" s="10" t="s">
        <v>30</v>
      </c>
      <c r="F38" s="11"/>
      <c r="G38" s="12"/>
      <c r="H38" s="11"/>
      <c r="I38" s="12"/>
      <c r="J38" s="12"/>
      <c r="K38" s="13"/>
      <c r="L38" s="12"/>
      <c r="M38" s="12"/>
      <c r="N38" s="11"/>
      <c r="O38" s="11"/>
      <c r="P38" s="12"/>
      <c r="Q38" s="12"/>
      <c r="R38" s="13"/>
      <c r="S38" s="13"/>
      <c r="T38" s="12"/>
      <c r="U38" s="14"/>
      <c r="V38" s="11"/>
      <c r="W38" s="12"/>
      <c r="X38" s="12"/>
      <c r="Y38" s="13"/>
      <c r="Z38" s="12"/>
      <c r="AA38" s="12"/>
      <c r="AB38" s="12"/>
      <c r="AC38" s="12"/>
      <c r="AD38" s="12"/>
      <c r="AE38" s="12"/>
      <c r="AF38" s="13"/>
      <c r="AG38" s="12"/>
      <c r="AH38" s="12"/>
      <c r="AI38" s="12"/>
      <c r="AJ38" s="12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5">
        <f t="shared" si="6"/>
        <v>0</v>
      </c>
      <c r="NI38" s="5">
        <f t="shared" si="7"/>
        <v>0</v>
      </c>
    </row>
    <row r="39" spans="1:373" x14ac:dyDescent="0.25">
      <c r="A39" s="17">
        <v>34</v>
      </c>
      <c r="B39" s="19"/>
      <c r="C39" s="20"/>
      <c r="D39" s="21"/>
      <c r="E39" s="10" t="s">
        <v>30</v>
      </c>
      <c r="F39" s="11"/>
      <c r="G39" s="12"/>
      <c r="H39" s="11"/>
      <c r="I39" s="12"/>
      <c r="J39" s="12"/>
      <c r="K39" s="13"/>
      <c r="L39" s="12"/>
      <c r="M39" s="12"/>
      <c r="N39" s="11"/>
      <c r="O39" s="11"/>
      <c r="P39" s="12"/>
      <c r="Q39" s="12"/>
      <c r="R39" s="13"/>
      <c r="S39" s="13"/>
      <c r="T39" s="12"/>
      <c r="U39" s="14"/>
      <c r="V39" s="11"/>
      <c r="W39" s="12"/>
      <c r="X39" s="12"/>
      <c r="Y39" s="13"/>
      <c r="Z39" s="12"/>
      <c r="AA39" s="12"/>
      <c r="AB39" s="12"/>
      <c r="AC39" s="12"/>
      <c r="AD39" s="12"/>
      <c r="AE39" s="12"/>
      <c r="AF39" s="13"/>
      <c r="AG39" s="12"/>
      <c r="AH39" s="12"/>
      <c r="AI39" s="12"/>
      <c r="AJ39" s="12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5">
        <f t="shared" si="6"/>
        <v>0</v>
      </c>
      <c r="NI39" s="5">
        <f t="shared" si="7"/>
        <v>0</v>
      </c>
    </row>
    <row r="40" spans="1:373" x14ac:dyDescent="0.25">
      <c r="A40" s="6">
        <v>35</v>
      </c>
      <c r="B40" s="19"/>
      <c r="C40" s="20"/>
      <c r="D40" s="21"/>
      <c r="E40" s="10" t="s">
        <v>30</v>
      </c>
      <c r="F40" s="11"/>
      <c r="G40" s="12"/>
      <c r="H40" s="11"/>
      <c r="I40" s="12"/>
      <c r="J40" s="12"/>
      <c r="K40" s="13"/>
      <c r="L40" s="12"/>
      <c r="M40" s="12"/>
      <c r="N40" s="11"/>
      <c r="O40" s="11"/>
      <c r="P40" s="12"/>
      <c r="Q40" s="12"/>
      <c r="R40" s="13"/>
      <c r="S40" s="13"/>
      <c r="T40" s="12"/>
      <c r="U40" s="14"/>
      <c r="V40" s="11"/>
      <c r="W40" s="12"/>
      <c r="X40" s="12"/>
      <c r="Y40" s="13"/>
      <c r="Z40" s="12"/>
      <c r="AA40" s="12"/>
      <c r="AB40" s="12"/>
      <c r="AC40" s="12"/>
      <c r="AD40" s="12"/>
      <c r="AE40" s="12"/>
      <c r="AF40" s="13"/>
      <c r="AG40" s="12"/>
      <c r="AH40" s="12"/>
      <c r="AI40" s="12"/>
      <c r="AJ40" s="12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5">
        <f t="shared" si="6"/>
        <v>0</v>
      </c>
      <c r="NI40" s="5">
        <f t="shared" si="7"/>
        <v>0</v>
      </c>
    </row>
    <row r="41" spans="1:373" x14ac:dyDescent="0.25">
      <c r="A41" s="17">
        <v>36</v>
      </c>
      <c r="B41" s="19"/>
      <c r="C41" s="20"/>
      <c r="D41" s="21"/>
      <c r="E41" s="10" t="s">
        <v>30</v>
      </c>
      <c r="F41" s="11"/>
      <c r="G41" s="12"/>
      <c r="H41" s="11"/>
      <c r="I41" s="12"/>
      <c r="J41" s="12"/>
      <c r="K41" s="13"/>
      <c r="L41" s="12"/>
      <c r="M41" s="12"/>
      <c r="N41" s="11"/>
      <c r="O41" s="11"/>
      <c r="P41" s="12"/>
      <c r="Q41" s="12"/>
      <c r="R41" s="13"/>
      <c r="S41" s="13"/>
      <c r="T41" s="12"/>
      <c r="U41" s="14"/>
      <c r="V41" s="11"/>
      <c r="W41" s="12"/>
      <c r="X41" s="12"/>
      <c r="Y41" s="13"/>
      <c r="Z41" s="12"/>
      <c r="AA41" s="12"/>
      <c r="AB41" s="12"/>
      <c r="AC41" s="12"/>
      <c r="AD41" s="12"/>
      <c r="AE41" s="12"/>
      <c r="AF41" s="13"/>
      <c r="AG41" s="12"/>
      <c r="AH41" s="12"/>
      <c r="AI41" s="12"/>
      <c r="AJ41" s="12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KY41" s="16"/>
      <c r="KZ41" s="16"/>
      <c r="LA41" s="16"/>
      <c r="LB41" s="16"/>
      <c r="LC41" s="16"/>
      <c r="LD41" s="16"/>
      <c r="LE41" s="16"/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/>
      <c r="LQ41" s="16"/>
      <c r="LR41" s="16"/>
      <c r="LS41" s="16"/>
      <c r="LT41" s="16"/>
      <c r="LU41" s="16"/>
      <c r="LV41" s="16"/>
      <c r="LW41" s="16"/>
      <c r="LX41" s="16"/>
      <c r="LY41" s="16"/>
      <c r="LZ41" s="16"/>
      <c r="MA41" s="16"/>
      <c r="MB41" s="16"/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5">
        <f t="shared" si="6"/>
        <v>0</v>
      </c>
      <c r="NI41" s="5">
        <f t="shared" si="7"/>
        <v>0</v>
      </c>
    </row>
    <row r="42" spans="1:373" x14ac:dyDescent="0.25">
      <c r="A42" s="6">
        <v>37</v>
      </c>
      <c r="B42" s="19"/>
      <c r="C42" s="20"/>
      <c r="D42" s="21"/>
      <c r="E42" s="10" t="s">
        <v>30</v>
      </c>
      <c r="F42" s="11"/>
      <c r="G42" s="12"/>
      <c r="H42" s="11"/>
      <c r="I42" s="12"/>
      <c r="J42" s="12"/>
      <c r="K42" s="13"/>
      <c r="L42" s="12"/>
      <c r="M42" s="12"/>
      <c r="N42" s="11"/>
      <c r="O42" s="11"/>
      <c r="P42" s="12"/>
      <c r="Q42" s="12"/>
      <c r="R42" s="13"/>
      <c r="S42" s="13"/>
      <c r="T42" s="12"/>
      <c r="U42" s="14"/>
      <c r="V42" s="11"/>
      <c r="W42" s="12"/>
      <c r="X42" s="12"/>
      <c r="Y42" s="13"/>
      <c r="Z42" s="12"/>
      <c r="AA42" s="12"/>
      <c r="AB42" s="12"/>
      <c r="AC42" s="12"/>
      <c r="AD42" s="12"/>
      <c r="AE42" s="12"/>
      <c r="AF42" s="13"/>
      <c r="AG42" s="12"/>
      <c r="AH42" s="12"/>
      <c r="AI42" s="12"/>
      <c r="AJ42" s="12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5">
        <f t="shared" si="6"/>
        <v>0</v>
      </c>
      <c r="NI42" s="5">
        <f t="shared" si="7"/>
        <v>0</v>
      </c>
    </row>
    <row r="43" spans="1:373" x14ac:dyDescent="0.25">
      <c r="A43" s="17">
        <v>38</v>
      </c>
      <c r="B43" s="19"/>
      <c r="C43" s="20"/>
      <c r="D43" s="21"/>
      <c r="E43" s="10" t="s">
        <v>30</v>
      </c>
      <c r="F43" s="11"/>
      <c r="G43" s="12"/>
      <c r="H43" s="11"/>
      <c r="I43" s="12"/>
      <c r="J43" s="12"/>
      <c r="K43" s="13"/>
      <c r="L43" s="12"/>
      <c r="M43" s="12"/>
      <c r="N43" s="11"/>
      <c r="O43" s="11"/>
      <c r="P43" s="12"/>
      <c r="Q43" s="12"/>
      <c r="R43" s="13"/>
      <c r="S43" s="13"/>
      <c r="T43" s="12"/>
      <c r="U43" s="14"/>
      <c r="V43" s="11"/>
      <c r="W43" s="12"/>
      <c r="X43" s="12"/>
      <c r="Y43" s="13"/>
      <c r="Z43" s="12"/>
      <c r="AA43" s="12"/>
      <c r="AB43" s="12"/>
      <c r="AC43" s="12"/>
      <c r="AD43" s="12"/>
      <c r="AE43" s="12"/>
      <c r="AF43" s="13"/>
      <c r="AG43" s="12"/>
      <c r="AH43" s="12"/>
      <c r="AI43" s="12"/>
      <c r="AJ43" s="12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KY43" s="16"/>
      <c r="KZ43" s="16"/>
      <c r="LA43" s="16"/>
      <c r="LB43" s="16"/>
      <c r="LC43" s="16"/>
      <c r="LD43" s="16"/>
      <c r="LE43" s="16"/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/>
      <c r="LQ43" s="16"/>
      <c r="LR43" s="16"/>
      <c r="LS43" s="16"/>
      <c r="LT43" s="16"/>
      <c r="LU43" s="16"/>
      <c r="LV43" s="16"/>
      <c r="LW43" s="16"/>
      <c r="LX43" s="16"/>
      <c r="LY43" s="16"/>
      <c r="LZ43" s="16"/>
      <c r="MA43" s="16"/>
      <c r="MB43" s="16"/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5">
        <f t="shared" si="6"/>
        <v>0</v>
      </c>
      <c r="NI43" s="5">
        <f t="shared" si="7"/>
        <v>0</v>
      </c>
    </row>
    <row r="44" spans="1:373" x14ac:dyDescent="0.25">
      <c r="A44" s="28">
        <v>39</v>
      </c>
      <c r="B44" s="19"/>
      <c r="C44" s="20"/>
      <c r="D44" s="21"/>
      <c r="E44" s="10" t="s">
        <v>30</v>
      </c>
      <c r="F44" s="11"/>
      <c r="G44" s="12"/>
      <c r="H44" s="11"/>
      <c r="I44" s="12"/>
      <c r="J44" s="12"/>
      <c r="K44" s="29"/>
      <c r="L44" s="12"/>
      <c r="M44" s="12"/>
      <c r="N44" s="11"/>
      <c r="O44" s="11"/>
      <c r="P44" s="12"/>
      <c r="Q44" s="12"/>
      <c r="R44" s="13"/>
      <c r="S44" s="13"/>
      <c r="T44" s="12"/>
      <c r="U44" s="14"/>
      <c r="V44" s="11"/>
      <c r="W44" s="12"/>
      <c r="X44" s="12"/>
      <c r="Y44" s="29"/>
      <c r="Z44" s="12"/>
      <c r="AA44" s="12"/>
      <c r="AB44" s="12"/>
      <c r="AC44" s="12"/>
      <c r="AD44" s="12"/>
      <c r="AE44" s="12"/>
      <c r="AF44" s="29"/>
      <c r="AG44" s="12"/>
      <c r="AH44" s="12"/>
      <c r="AI44" s="12"/>
      <c r="AJ44" s="12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6"/>
      <c r="LD44" s="16"/>
      <c r="LE44" s="16"/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/>
      <c r="LQ44" s="16"/>
      <c r="LR44" s="16"/>
      <c r="LS44" s="16"/>
      <c r="LT44" s="16"/>
      <c r="LU44" s="16"/>
      <c r="LV44" s="16"/>
      <c r="LW44" s="16"/>
      <c r="LX44" s="16"/>
      <c r="LY44" s="16"/>
      <c r="LZ44" s="16"/>
      <c r="MA44" s="16"/>
      <c r="MB44" s="16"/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5">
        <f t="shared" si="6"/>
        <v>0</v>
      </c>
      <c r="NI44" s="5">
        <f t="shared" si="7"/>
        <v>0</v>
      </c>
    </row>
    <row r="45" spans="1:373" x14ac:dyDescent="0.25">
      <c r="A45" s="17">
        <v>40</v>
      </c>
      <c r="B45" s="19"/>
      <c r="C45" s="20"/>
      <c r="D45" s="21"/>
      <c r="E45" s="10" t="s">
        <v>30</v>
      </c>
      <c r="F45" s="16"/>
      <c r="G45" s="16"/>
      <c r="H45" s="16"/>
      <c r="I45" s="16"/>
      <c r="J45" s="16"/>
      <c r="K45" s="12"/>
      <c r="L45" s="12"/>
      <c r="M45" s="11"/>
      <c r="N45" s="11"/>
      <c r="O45" s="12"/>
      <c r="P45" s="12"/>
      <c r="Q45" s="12"/>
      <c r="R45" s="13"/>
      <c r="S45" s="13"/>
      <c r="T45" s="12"/>
      <c r="U45" s="12"/>
      <c r="V45" s="12"/>
      <c r="W45" s="12"/>
      <c r="X45" s="12"/>
      <c r="Y45" s="16"/>
      <c r="Z45" s="12"/>
      <c r="AA45" s="12"/>
      <c r="AB45" s="12"/>
      <c r="AC45" s="12"/>
      <c r="AD45" s="12"/>
      <c r="AE45" s="12"/>
      <c r="AF45" s="16"/>
      <c r="AG45" s="12"/>
      <c r="AH45" s="12"/>
      <c r="AI45" s="12"/>
      <c r="AJ45" s="12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5">
        <f t="shared" si="6"/>
        <v>0</v>
      </c>
      <c r="NI45" s="5">
        <f t="shared" si="7"/>
        <v>0</v>
      </c>
    </row>
    <row r="46" spans="1:373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0"/>
      <c r="IR46" s="30"/>
      <c r="IS46" s="30"/>
      <c r="IT46" s="30"/>
      <c r="IU46" s="30"/>
      <c r="IV46" s="30"/>
      <c r="IW46" s="30"/>
      <c r="IX46" s="30"/>
      <c r="IY46" s="30"/>
      <c r="IZ46" s="30"/>
      <c r="JA46" s="30"/>
      <c r="JB46" s="30"/>
      <c r="JC46" s="30"/>
      <c r="JD46" s="30"/>
      <c r="JE46" s="30"/>
      <c r="JF46" s="30"/>
      <c r="JG46" s="30"/>
      <c r="JH46" s="30"/>
      <c r="JI46" s="30"/>
      <c r="JJ46" s="30"/>
      <c r="JK46" s="30"/>
      <c r="JL46" s="30"/>
      <c r="JM46" s="30"/>
      <c r="JN46" s="30"/>
      <c r="JO46" s="30"/>
      <c r="JP46" s="30"/>
      <c r="JQ46" s="30"/>
      <c r="JR46" s="30"/>
      <c r="JS46" s="30"/>
      <c r="JT46" s="30"/>
      <c r="JU46" s="30"/>
      <c r="JV46" s="30"/>
      <c r="JW46" s="30"/>
      <c r="JX46" s="30"/>
      <c r="JY46" s="30"/>
      <c r="JZ46" s="30"/>
      <c r="KA46" s="30"/>
      <c r="KB46" s="30"/>
      <c r="KC46" s="30"/>
      <c r="KD46" s="30"/>
      <c r="KE46" s="30"/>
      <c r="KF46" s="30"/>
      <c r="KG46" s="30"/>
      <c r="KH46" s="30"/>
      <c r="KI46" s="30"/>
      <c r="KJ46" s="30"/>
      <c r="KK46" s="30"/>
      <c r="KL46" s="30"/>
      <c r="KM46" s="30"/>
      <c r="KN46" s="30"/>
      <c r="KO46" s="30"/>
      <c r="KP46" s="30"/>
      <c r="KQ46" s="30"/>
      <c r="KR46" s="30"/>
      <c r="KS46" s="30"/>
      <c r="KT46" s="30"/>
      <c r="KU46" s="30"/>
      <c r="KV46" s="30"/>
      <c r="KW46" s="30"/>
      <c r="KX46" s="30"/>
      <c r="KY46" s="30"/>
      <c r="KZ46" s="30"/>
      <c r="LA46" s="30"/>
      <c r="LB46" s="30"/>
      <c r="LC46" s="30"/>
      <c r="LD46" s="30"/>
      <c r="LE46" s="30"/>
      <c r="LF46" s="30"/>
      <c r="LG46" s="30"/>
      <c r="LH46" s="30"/>
      <c r="LI46" s="30"/>
      <c r="LJ46" s="30"/>
      <c r="LK46" s="30"/>
      <c r="LL46" s="30"/>
      <c r="LM46" s="30"/>
      <c r="LN46" s="30"/>
      <c r="LO46" s="30"/>
      <c r="LP46" s="30"/>
      <c r="LQ46" s="30"/>
      <c r="LR46" s="30"/>
      <c r="LS46" s="30"/>
      <c r="LT46" s="30"/>
      <c r="LU46" s="30"/>
      <c r="LV46" s="30"/>
      <c r="LW46" s="30"/>
      <c r="LX46" s="30"/>
      <c r="LY46" s="30"/>
      <c r="LZ46" s="30"/>
      <c r="MA46" s="30"/>
      <c r="MB46" s="30"/>
      <c r="MC46" s="30"/>
      <c r="MD46" s="30"/>
      <c r="ME46" s="30"/>
      <c r="MF46" s="30"/>
      <c r="MG46" s="30"/>
      <c r="MH46" s="30"/>
      <c r="MI46" s="30"/>
      <c r="MJ46" s="30"/>
      <c r="MK46" s="30"/>
      <c r="ML46" s="30"/>
      <c r="MM46" s="30"/>
      <c r="MN46" s="30"/>
      <c r="MO46" s="30"/>
      <c r="MP46" s="30"/>
      <c r="MQ46" s="30"/>
      <c r="MR46" s="30"/>
      <c r="MS46" s="30"/>
      <c r="MT46" s="30"/>
      <c r="MU46" s="30"/>
      <c r="MV46" s="30"/>
      <c r="MW46" s="30"/>
      <c r="MX46" s="30"/>
      <c r="MY46" s="30"/>
      <c r="MZ46" s="30"/>
      <c r="NA46" s="30"/>
      <c r="NB46" s="30"/>
      <c r="NC46" s="30"/>
      <c r="ND46" s="30"/>
      <c r="NE46" s="30"/>
      <c r="NF46" s="30"/>
      <c r="NG46" s="30"/>
      <c r="NH46" s="33">
        <f>SUM(NH6:NH45)</f>
        <v>0</v>
      </c>
      <c r="NI46" s="33">
        <f>SUM(NI6:NI45)</f>
        <v>0</v>
      </c>
    </row>
  </sheetData>
  <mergeCells count="13">
    <mergeCell ref="NH4:NH5"/>
    <mergeCell ref="NI4:NI5"/>
    <mergeCell ref="NJ4:NK4"/>
    <mergeCell ref="NJ9:NM9"/>
    <mergeCell ref="NJ17:NM17"/>
    <mergeCell ref="A1:AJ1"/>
    <mergeCell ref="A2:AJ2"/>
    <mergeCell ref="A3:AJ3"/>
    <mergeCell ref="A4:A5"/>
    <mergeCell ref="B4:B5"/>
    <mergeCell ref="C4:C5"/>
    <mergeCell ref="D4:D5"/>
    <mergeCell ref="E4:E5"/>
  </mergeCells>
  <conditionalFormatting sqref="F4:NG45 NJ5:NK5">
    <cfRule type="expression" dxfId="59" priority="12">
      <formula>F$4="Sun"</formula>
    </cfRule>
  </conditionalFormatting>
  <conditionalFormatting sqref="F5:NG45">
    <cfRule type="expression" dxfId="58" priority="11">
      <formula>IF(F$5=TODAY(),TRUE,FALSE)</formula>
    </cfRule>
  </conditionalFormatting>
  <conditionalFormatting sqref="NH4:NI4 NH6:NI46">
    <cfRule type="expression" dxfId="57" priority="13">
      <formula>#REF!="Sun"</formula>
    </cfRule>
  </conditionalFormatting>
  <conditionalFormatting sqref="NJ6:NJ7">
    <cfRule type="expression" dxfId="56" priority="9">
      <formula>NJ$4="Sun"</formula>
    </cfRule>
  </conditionalFormatting>
  <conditionalFormatting sqref="NJ10:NJ13">
    <cfRule type="expression" dxfId="55" priority="3">
      <formula>NJ$4="Sun"</formula>
    </cfRule>
  </conditionalFormatting>
  <conditionalFormatting sqref="NJ18:NJ21">
    <cfRule type="expression" dxfId="54" priority="2">
      <formula>NJ$4="Sun"</formula>
    </cfRule>
  </conditionalFormatting>
  <conditionalFormatting sqref="NK10:NM10">
    <cfRule type="expression" dxfId="53" priority="4">
      <formula>NK$4="Sun"</formula>
    </cfRule>
  </conditionalFormatting>
  <conditionalFormatting sqref="NK18:NM18">
    <cfRule type="expression" dxfId="52" priority="1">
      <formula>NK$4="Sun"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C52B-126E-403D-9FD9-55C1D02A072E}">
  <dimension ref="A1:NM46"/>
  <sheetViews>
    <sheetView workbookViewId="0">
      <selection activeCell="G5" sqref="G5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bestFit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bestFit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6" width="4.7109375" style="1" bestFit="1" customWidth="1"/>
    <col min="37" max="37" width="3.85546875" style="1" bestFit="1" customWidth="1"/>
    <col min="38" max="39" width="3.7109375" style="1" bestFit="1" customWidth="1"/>
    <col min="40" max="40" width="3.85546875" style="1" bestFit="1" customWidth="1"/>
    <col min="41" max="41" width="4.5703125" style="1" bestFit="1" customWidth="1"/>
    <col min="42" max="42" width="3.85546875" style="1" bestFit="1" customWidth="1"/>
    <col min="43" max="43" width="4.7109375" style="1" bestFit="1" customWidth="1"/>
    <col min="44" max="44" width="3.85546875" style="1" bestFit="1" customWidth="1"/>
    <col min="45" max="46" width="3.7109375" style="1" bestFit="1" customWidth="1"/>
    <col min="47" max="47" width="3.85546875" style="1" bestFit="1" customWidth="1"/>
    <col min="48" max="48" width="4.5703125" style="1" bestFit="1" customWidth="1"/>
    <col min="49" max="49" width="3.85546875" style="1" bestFit="1" customWidth="1"/>
    <col min="50" max="50" width="4.7109375" style="1" bestFit="1" customWidth="1"/>
    <col min="51" max="51" width="3.85546875" style="1" bestFit="1" customWidth="1"/>
    <col min="52" max="53" width="3.7109375" style="1" bestFit="1" customWidth="1"/>
    <col min="54" max="54" width="3.85546875" style="1" bestFit="1" customWidth="1"/>
    <col min="55" max="55" width="4.5703125" style="1" bestFit="1" customWidth="1"/>
    <col min="56" max="56" width="3.85546875" style="1" bestFit="1" customWidth="1"/>
    <col min="57" max="57" width="4.7109375" style="1" bestFit="1" customWidth="1"/>
    <col min="58" max="58" width="3.85546875" style="1" bestFit="1" customWidth="1"/>
    <col min="59" max="60" width="3.7109375" style="1" bestFit="1" customWidth="1"/>
    <col min="61" max="61" width="3.85546875" style="1" bestFit="1" customWidth="1"/>
    <col min="62" max="62" width="4.5703125" style="1" bestFit="1" customWidth="1"/>
    <col min="63" max="63" width="3.85546875" style="1" bestFit="1" customWidth="1"/>
    <col min="64" max="64" width="4.7109375" style="1" bestFit="1" customWidth="1"/>
    <col min="65" max="65" width="3.85546875" style="1" bestFit="1" customWidth="1"/>
    <col min="66" max="67" width="3.7109375" style="1" bestFit="1" customWidth="1"/>
    <col min="68" max="68" width="3.85546875" style="1" bestFit="1" customWidth="1"/>
    <col min="69" max="69" width="4.5703125" style="1" bestFit="1" customWidth="1"/>
    <col min="70" max="70" width="3.85546875" style="1" bestFit="1" customWidth="1"/>
    <col min="71" max="71" width="4.7109375" style="1" bestFit="1" customWidth="1"/>
    <col min="72" max="72" width="3.85546875" style="1" bestFit="1" customWidth="1"/>
    <col min="73" max="74" width="3.7109375" style="1" bestFit="1" customWidth="1"/>
    <col min="75" max="75" width="3.85546875" style="1" bestFit="1" customWidth="1"/>
    <col min="76" max="76" width="4.5703125" style="1" bestFit="1" customWidth="1"/>
    <col min="77" max="77" width="3.85546875" style="1" bestFit="1" customWidth="1"/>
    <col min="78" max="78" width="4.7109375" style="1" bestFit="1" customWidth="1"/>
    <col min="79" max="79" width="3.85546875" style="1" bestFit="1" customWidth="1"/>
    <col min="80" max="81" width="3.7109375" style="1" bestFit="1" customWidth="1"/>
    <col min="82" max="82" width="3.85546875" style="1" bestFit="1" customWidth="1"/>
    <col min="83" max="83" width="4.5703125" style="1" bestFit="1" customWidth="1"/>
    <col min="84" max="84" width="3.85546875" style="1" bestFit="1" customWidth="1"/>
    <col min="85" max="85" width="4.7109375" style="1" bestFit="1" customWidth="1"/>
    <col min="86" max="86" width="3.85546875" style="1" bestFit="1" customWidth="1"/>
    <col min="87" max="88" width="3.7109375" style="1" bestFit="1" customWidth="1"/>
    <col min="89" max="89" width="3.85546875" style="1" bestFit="1" customWidth="1"/>
    <col min="90" max="90" width="4.5703125" style="1" bestFit="1" customWidth="1"/>
    <col min="91" max="91" width="3.85546875" style="1" bestFit="1" customWidth="1"/>
    <col min="92" max="92" width="4.7109375" style="1" bestFit="1" customWidth="1"/>
    <col min="93" max="93" width="3.85546875" style="1" bestFit="1" customWidth="1"/>
    <col min="94" max="95" width="3.7109375" style="1" bestFit="1" customWidth="1"/>
    <col min="96" max="96" width="3.85546875" style="1" bestFit="1" customWidth="1"/>
    <col min="97" max="97" width="4.5703125" style="1" bestFit="1" customWidth="1"/>
    <col min="98" max="98" width="3.85546875" style="1" bestFit="1" customWidth="1"/>
    <col min="99" max="99" width="4.7109375" style="1" bestFit="1" customWidth="1"/>
    <col min="100" max="100" width="3.85546875" style="1" bestFit="1" customWidth="1"/>
    <col min="101" max="102" width="3.7109375" style="1" bestFit="1" customWidth="1"/>
    <col min="103" max="103" width="3.85546875" style="1" bestFit="1" customWidth="1"/>
    <col min="104" max="104" width="4.5703125" style="1" bestFit="1" customWidth="1"/>
    <col min="105" max="105" width="3.85546875" style="1" bestFit="1" customWidth="1"/>
    <col min="106" max="106" width="4.7109375" style="1" bestFit="1" customWidth="1"/>
    <col min="107" max="107" width="3.85546875" style="1" bestFit="1" customWidth="1"/>
    <col min="108" max="109" width="3.7109375" style="1" bestFit="1" customWidth="1"/>
    <col min="110" max="110" width="3.85546875" style="1" bestFit="1" customWidth="1"/>
    <col min="111" max="111" width="4.5703125" style="1" bestFit="1" customWidth="1"/>
    <col min="112" max="112" width="3.85546875" style="1" bestFit="1" customWidth="1"/>
    <col min="113" max="113" width="4.7109375" style="1" bestFit="1" customWidth="1"/>
    <col min="114" max="114" width="3.85546875" style="1" bestFit="1" customWidth="1"/>
    <col min="115" max="116" width="3.7109375" style="1" bestFit="1" customWidth="1"/>
    <col min="117" max="117" width="3.85546875" style="1" bestFit="1" customWidth="1"/>
    <col min="118" max="118" width="4.5703125" style="1" bestFit="1" customWidth="1"/>
    <col min="119" max="119" width="3.85546875" style="1" bestFit="1" customWidth="1"/>
    <col min="120" max="120" width="4.7109375" style="1" bestFit="1" customWidth="1"/>
    <col min="121" max="121" width="3.85546875" style="1" bestFit="1" customWidth="1"/>
    <col min="122" max="123" width="3.7109375" style="1" bestFit="1" customWidth="1"/>
    <col min="124" max="124" width="3.85546875" style="1" bestFit="1" customWidth="1"/>
    <col min="125" max="125" width="4.5703125" style="1" bestFit="1" customWidth="1"/>
    <col min="126" max="126" width="3.85546875" style="1" bestFit="1" customWidth="1"/>
    <col min="127" max="127" width="4.7109375" style="1" bestFit="1" customWidth="1"/>
    <col min="128" max="128" width="3.85546875" style="1" bestFit="1" customWidth="1"/>
    <col min="129" max="130" width="3.7109375" style="1" bestFit="1" customWidth="1"/>
    <col min="131" max="131" width="3.85546875" style="1" bestFit="1" customWidth="1"/>
    <col min="132" max="132" width="4.5703125" style="1" bestFit="1" customWidth="1"/>
    <col min="133" max="133" width="3.85546875" style="1" bestFit="1" customWidth="1"/>
    <col min="134" max="134" width="4.7109375" style="1" bestFit="1" customWidth="1"/>
    <col min="135" max="135" width="3.85546875" style="1" bestFit="1" customWidth="1"/>
    <col min="136" max="137" width="3.7109375" style="1" bestFit="1" customWidth="1"/>
    <col min="138" max="138" width="3.85546875" style="1" bestFit="1" customWidth="1"/>
    <col min="139" max="139" width="4.5703125" style="1" bestFit="1" customWidth="1"/>
    <col min="140" max="140" width="3.85546875" style="1" bestFit="1" customWidth="1"/>
    <col min="141" max="141" width="4.7109375" style="1" bestFit="1" customWidth="1"/>
    <col min="142" max="142" width="3.85546875" style="1" bestFit="1" customWidth="1"/>
    <col min="143" max="144" width="3.7109375" style="1" bestFit="1" customWidth="1"/>
    <col min="145" max="145" width="3.85546875" style="1" bestFit="1" customWidth="1"/>
    <col min="146" max="146" width="4.5703125" style="1" bestFit="1" customWidth="1"/>
    <col min="147" max="147" width="3.85546875" style="1" bestFit="1" customWidth="1"/>
    <col min="148" max="148" width="4.7109375" style="1" bestFit="1" customWidth="1"/>
    <col min="149" max="149" width="3.85546875" style="1" bestFit="1" customWidth="1"/>
    <col min="150" max="151" width="3.7109375" style="1" bestFit="1" customWidth="1"/>
    <col min="152" max="152" width="3.85546875" style="1" bestFit="1" customWidth="1"/>
    <col min="153" max="153" width="4.5703125" style="1" bestFit="1" customWidth="1"/>
    <col min="154" max="154" width="3.85546875" style="1" bestFit="1" customWidth="1"/>
    <col min="155" max="155" width="4.7109375" style="1" bestFit="1" customWidth="1"/>
    <col min="156" max="156" width="3.85546875" style="1" bestFit="1" customWidth="1"/>
    <col min="157" max="158" width="3.7109375" style="1" bestFit="1" customWidth="1"/>
    <col min="159" max="159" width="3.85546875" style="1" bestFit="1" customWidth="1"/>
    <col min="160" max="160" width="4.5703125" style="1" bestFit="1" customWidth="1"/>
    <col min="161" max="161" width="3.85546875" style="1" bestFit="1" customWidth="1"/>
    <col min="162" max="162" width="4.7109375" style="1" bestFit="1" customWidth="1"/>
    <col min="163" max="163" width="3.85546875" style="1" bestFit="1" customWidth="1"/>
    <col min="164" max="165" width="3.7109375" style="1" bestFit="1" customWidth="1"/>
    <col min="166" max="166" width="3.85546875" style="1" bestFit="1" customWidth="1"/>
    <col min="167" max="167" width="4.5703125" style="1" bestFit="1" customWidth="1"/>
    <col min="168" max="168" width="3.85546875" style="1" bestFit="1" customWidth="1"/>
    <col min="169" max="169" width="4.7109375" style="1" bestFit="1" customWidth="1"/>
    <col min="170" max="170" width="3.85546875" style="1" bestFit="1" customWidth="1"/>
    <col min="171" max="172" width="3.7109375" style="1" bestFit="1" customWidth="1"/>
    <col min="173" max="173" width="3.85546875" style="1" bestFit="1" customWidth="1"/>
    <col min="174" max="174" width="4.5703125" style="1" bestFit="1" customWidth="1"/>
    <col min="175" max="175" width="3.85546875" style="1" bestFit="1" customWidth="1"/>
    <col min="176" max="176" width="4.7109375" style="1" bestFit="1" customWidth="1"/>
    <col min="177" max="177" width="3.85546875" style="1" bestFit="1" customWidth="1"/>
    <col min="178" max="179" width="3.7109375" style="1" bestFit="1" customWidth="1"/>
    <col min="180" max="180" width="3.85546875" style="1" bestFit="1" customWidth="1"/>
    <col min="181" max="181" width="4.5703125" style="1" bestFit="1" customWidth="1"/>
    <col min="182" max="182" width="3.85546875" style="1" bestFit="1" customWidth="1"/>
    <col min="183" max="183" width="4.7109375" style="1" bestFit="1" customWidth="1"/>
    <col min="184" max="184" width="3.85546875" style="1" bestFit="1" customWidth="1"/>
    <col min="185" max="186" width="3.7109375" style="1" bestFit="1" customWidth="1"/>
    <col min="187" max="187" width="3.85546875" style="1" bestFit="1" customWidth="1"/>
    <col min="188" max="188" width="4.5703125" style="1" bestFit="1" customWidth="1"/>
    <col min="189" max="189" width="3.85546875" style="1" bestFit="1" customWidth="1"/>
    <col min="190" max="190" width="4.7109375" style="1" bestFit="1" customWidth="1"/>
    <col min="191" max="191" width="3.85546875" style="1" bestFit="1" customWidth="1"/>
    <col min="192" max="193" width="3.7109375" style="1" bestFit="1" customWidth="1"/>
    <col min="194" max="194" width="3.85546875" style="1" bestFit="1" customWidth="1"/>
    <col min="195" max="195" width="4.5703125" style="1" bestFit="1" customWidth="1"/>
    <col min="196" max="196" width="3.85546875" style="1" bestFit="1" customWidth="1"/>
    <col min="197" max="197" width="4.7109375" style="1" bestFit="1" customWidth="1"/>
    <col min="198" max="198" width="3.85546875" style="1" bestFit="1" customWidth="1"/>
    <col min="199" max="200" width="3.7109375" style="1" bestFit="1" customWidth="1"/>
    <col min="201" max="201" width="3.85546875" style="1" bestFit="1" customWidth="1"/>
    <col min="202" max="202" width="4.5703125" style="1" bestFit="1" customWidth="1"/>
    <col min="203" max="203" width="3.85546875" style="1" bestFit="1" customWidth="1"/>
    <col min="204" max="204" width="4.7109375" style="1" bestFit="1" customWidth="1"/>
    <col min="205" max="205" width="3.85546875" style="1" bestFit="1" customWidth="1"/>
    <col min="206" max="207" width="3.7109375" style="1" bestFit="1" customWidth="1"/>
    <col min="208" max="208" width="3.85546875" style="1" bestFit="1" customWidth="1"/>
    <col min="209" max="209" width="4.5703125" style="1" bestFit="1" customWidth="1"/>
    <col min="210" max="210" width="3.85546875" style="1" bestFit="1" customWidth="1"/>
    <col min="211" max="211" width="4.7109375" style="1" bestFit="1" customWidth="1"/>
    <col min="212" max="212" width="3.85546875" style="1" bestFit="1" customWidth="1"/>
    <col min="213" max="214" width="3.7109375" style="1" bestFit="1" customWidth="1"/>
    <col min="215" max="215" width="3.85546875" style="1" bestFit="1" customWidth="1"/>
    <col min="216" max="216" width="4.5703125" style="1" bestFit="1" customWidth="1"/>
    <col min="217" max="217" width="3.85546875" style="1" bestFit="1" customWidth="1"/>
    <col min="218" max="218" width="4.7109375" style="1" bestFit="1" customWidth="1"/>
    <col min="219" max="219" width="3.85546875" style="1" bestFit="1" customWidth="1"/>
    <col min="220" max="221" width="3.7109375" style="1" bestFit="1" customWidth="1"/>
    <col min="222" max="222" width="3.85546875" style="1" bestFit="1" customWidth="1"/>
    <col min="223" max="223" width="4.5703125" style="1" bestFit="1" customWidth="1"/>
    <col min="224" max="224" width="3.85546875" style="1" bestFit="1" customWidth="1"/>
    <col min="225" max="225" width="4.7109375" style="1" bestFit="1" customWidth="1"/>
    <col min="226" max="226" width="3.85546875" style="1" bestFit="1" customWidth="1"/>
    <col min="227" max="228" width="3.7109375" style="1" bestFit="1" customWidth="1"/>
    <col min="229" max="229" width="3.85546875" style="1" bestFit="1" customWidth="1"/>
    <col min="230" max="230" width="4.5703125" style="1" bestFit="1" customWidth="1"/>
    <col min="231" max="231" width="3.85546875" style="1" bestFit="1" customWidth="1"/>
    <col min="232" max="232" width="4.7109375" style="1" bestFit="1" customWidth="1"/>
    <col min="233" max="233" width="3.85546875" style="1" bestFit="1" customWidth="1"/>
    <col min="234" max="235" width="3.7109375" style="1" bestFit="1" customWidth="1"/>
    <col min="236" max="236" width="3.85546875" style="1" bestFit="1" customWidth="1"/>
    <col min="237" max="237" width="4.5703125" style="1" bestFit="1" customWidth="1"/>
    <col min="238" max="238" width="3.85546875" style="1" bestFit="1" customWidth="1"/>
    <col min="239" max="239" width="4.7109375" style="1" bestFit="1" customWidth="1"/>
    <col min="240" max="240" width="3.85546875" style="1" bestFit="1" customWidth="1"/>
    <col min="241" max="242" width="3.7109375" style="1" bestFit="1" customWidth="1"/>
    <col min="243" max="243" width="3.85546875" style="1" bestFit="1" customWidth="1"/>
    <col min="244" max="244" width="4.5703125" style="1" bestFit="1" customWidth="1"/>
    <col min="245" max="245" width="3.85546875" style="1" bestFit="1" customWidth="1"/>
    <col min="246" max="246" width="4.7109375" style="1" bestFit="1" customWidth="1"/>
    <col min="247" max="247" width="3.85546875" style="1" bestFit="1" customWidth="1"/>
    <col min="248" max="249" width="3.7109375" style="1" bestFit="1" customWidth="1"/>
    <col min="250" max="250" width="3.85546875" style="1" bestFit="1" customWidth="1"/>
    <col min="251" max="251" width="4.5703125" style="1" bestFit="1" customWidth="1"/>
    <col min="252" max="252" width="3.85546875" style="1" bestFit="1" customWidth="1"/>
    <col min="253" max="253" width="4.7109375" style="1" bestFit="1" customWidth="1"/>
    <col min="254" max="254" width="3.85546875" style="1" bestFit="1" customWidth="1"/>
    <col min="255" max="256" width="3.7109375" style="1" bestFit="1" customWidth="1"/>
    <col min="257" max="257" width="3.85546875" style="1" bestFit="1" customWidth="1"/>
    <col min="258" max="258" width="4.5703125" style="1" bestFit="1" customWidth="1"/>
    <col min="259" max="259" width="3.85546875" style="1" bestFit="1" customWidth="1"/>
    <col min="260" max="260" width="4.7109375" style="1" bestFit="1" customWidth="1"/>
    <col min="261" max="261" width="3.85546875" style="1" bestFit="1" customWidth="1"/>
    <col min="262" max="263" width="3.7109375" style="1" bestFit="1" customWidth="1"/>
    <col min="264" max="264" width="3.85546875" style="1" bestFit="1" customWidth="1"/>
    <col min="265" max="265" width="4.5703125" style="1" bestFit="1" customWidth="1"/>
    <col min="266" max="266" width="3.85546875" style="1" bestFit="1" customWidth="1"/>
    <col min="267" max="267" width="4.7109375" style="1" bestFit="1" customWidth="1"/>
    <col min="268" max="268" width="3.85546875" style="1" bestFit="1" customWidth="1"/>
    <col min="269" max="270" width="3.7109375" style="1" bestFit="1" customWidth="1"/>
    <col min="271" max="271" width="3.85546875" style="1" bestFit="1" customWidth="1"/>
    <col min="272" max="272" width="4.5703125" style="1" bestFit="1" customWidth="1"/>
    <col min="273" max="273" width="3.85546875" style="1" bestFit="1" customWidth="1"/>
    <col min="274" max="274" width="4.7109375" style="1" bestFit="1" customWidth="1"/>
    <col min="275" max="275" width="3.85546875" style="1" bestFit="1" customWidth="1"/>
    <col min="276" max="277" width="3.7109375" style="1" bestFit="1" customWidth="1"/>
    <col min="278" max="278" width="3.85546875" style="1" bestFit="1" customWidth="1"/>
    <col min="279" max="279" width="4.5703125" style="1" bestFit="1" customWidth="1"/>
    <col min="280" max="280" width="3.85546875" style="1" bestFit="1" customWidth="1"/>
    <col min="281" max="281" width="4.7109375" style="1" bestFit="1" customWidth="1"/>
    <col min="282" max="282" width="3.85546875" style="1" bestFit="1" customWidth="1"/>
    <col min="283" max="284" width="3.7109375" style="1" bestFit="1" customWidth="1"/>
    <col min="285" max="285" width="3.85546875" style="1" bestFit="1" customWidth="1"/>
    <col min="286" max="286" width="4.5703125" style="1" bestFit="1" customWidth="1"/>
    <col min="287" max="287" width="3.85546875" style="1" bestFit="1" customWidth="1"/>
    <col min="288" max="288" width="4.7109375" style="1" bestFit="1" customWidth="1"/>
    <col min="289" max="289" width="3.85546875" style="1" bestFit="1" customWidth="1"/>
    <col min="290" max="291" width="3.7109375" style="1" bestFit="1" customWidth="1"/>
    <col min="292" max="292" width="3.85546875" style="1" bestFit="1" customWidth="1"/>
    <col min="293" max="293" width="4.5703125" style="1" bestFit="1" customWidth="1"/>
    <col min="294" max="294" width="3.85546875" style="1" bestFit="1" customWidth="1"/>
    <col min="295" max="295" width="4.7109375" style="1" bestFit="1" customWidth="1"/>
    <col min="296" max="296" width="3.85546875" style="1" bestFit="1" customWidth="1"/>
    <col min="297" max="298" width="3.7109375" style="1" bestFit="1" customWidth="1"/>
    <col min="299" max="299" width="3.85546875" style="1" bestFit="1" customWidth="1"/>
    <col min="300" max="300" width="4.5703125" style="1" bestFit="1" customWidth="1"/>
    <col min="301" max="301" width="3.85546875" style="1" bestFit="1" customWidth="1"/>
    <col min="302" max="302" width="4.7109375" style="1" bestFit="1" customWidth="1"/>
    <col min="303" max="303" width="3.85546875" style="1" bestFit="1" customWidth="1"/>
    <col min="304" max="305" width="3.7109375" style="1" bestFit="1" customWidth="1"/>
    <col min="306" max="306" width="3.85546875" style="1" bestFit="1" customWidth="1"/>
    <col min="307" max="307" width="4.5703125" style="1" bestFit="1" customWidth="1"/>
    <col min="308" max="308" width="3.85546875" style="1" bestFit="1" customWidth="1"/>
    <col min="309" max="309" width="4.7109375" style="1" bestFit="1" customWidth="1"/>
    <col min="310" max="310" width="3.85546875" style="1" bestFit="1" customWidth="1"/>
    <col min="311" max="312" width="3.7109375" style="1" bestFit="1" customWidth="1"/>
    <col min="313" max="313" width="3.85546875" style="1" bestFit="1" customWidth="1"/>
    <col min="314" max="314" width="4.5703125" style="1" bestFit="1" customWidth="1"/>
    <col min="315" max="315" width="3.85546875" style="1" bestFit="1" customWidth="1"/>
    <col min="316" max="316" width="4.7109375" style="1" bestFit="1" customWidth="1"/>
    <col min="317" max="317" width="3.85546875" style="1" bestFit="1" customWidth="1"/>
    <col min="318" max="319" width="3.7109375" style="1" bestFit="1" customWidth="1"/>
    <col min="320" max="320" width="3.85546875" style="1" bestFit="1" customWidth="1"/>
    <col min="321" max="321" width="4.5703125" style="1" bestFit="1" customWidth="1"/>
    <col min="322" max="322" width="3.85546875" style="1" bestFit="1" customWidth="1"/>
    <col min="323" max="323" width="4.7109375" style="1" bestFit="1" customWidth="1"/>
    <col min="324" max="324" width="3.85546875" style="1" bestFit="1" customWidth="1"/>
    <col min="325" max="326" width="3.7109375" style="1" bestFit="1" customWidth="1"/>
    <col min="327" max="327" width="3.85546875" style="1" bestFit="1" customWidth="1"/>
    <col min="328" max="328" width="4.5703125" style="1" bestFit="1" customWidth="1"/>
    <col min="329" max="329" width="3.85546875" style="1" bestFit="1" customWidth="1"/>
    <col min="330" max="330" width="4.7109375" style="1" bestFit="1" customWidth="1"/>
    <col min="331" max="331" width="3.85546875" style="1" bestFit="1" customWidth="1"/>
    <col min="332" max="333" width="3.7109375" style="1" bestFit="1" customWidth="1"/>
    <col min="334" max="334" width="3.85546875" style="1" bestFit="1" customWidth="1"/>
    <col min="335" max="335" width="4.5703125" style="1" bestFit="1" customWidth="1"/>
    <col min="336" max="336" width="3.85546875" style="1" bestFit="1" customWidth="1"/>
    <col min="337" max="337" width="4.7109375" style="1" bestFit="1" customWidth="1"/>
    <col min="338" max="338" width="3.85546875" style="1" bestFit="1" customWidth="1"/>
    <col min="339" max="340" width="3.7109375" style="1" bestFit="1" customWidth="1"/>
    <col min="341" max="341" width="3.85546875" style="1" bestFit="1" customWidth="1"/>
    <col min="342" max="342" width="4.5703125" style="1" bestFit="1" customWidth="1"/>
    <col min="343" max="343" width="3.85546875" style="1" bestFit="1" customWidth="1"/>
    <col min="344" max="344" width="4.7109375" style="1" bestFit="1" customWidth="1"/>
    <col min="345" max="345" width="3.85546875" style="1" bestFit="1" customWidth="1"/>
    <col min="346" max="347" width="3.7109375" style="1" bestFit="1" customWidth="1"/>
    <col min="348" max="348" width="3.85546875" style="1" bestFit="1" customWidth="1"/>
    <col min="349" max="349" width="4.5703125" style="1" bestFit="1" customWidth="1"/>
    <col min="350" max="350" width="3.85546875" style="1" bestFit="1" customWidth="1"/>
    <col min="351" max="351" width="4.7109375" style="1" bestFit="1" customWidth="1"/>
    <col min="352" max="352" width="3.85546875" style="1" bestFit="1" customWidth="1"/>
    <col min="353" max="354" width="3.7109375" style="1" bestFit="1" customWidth="1"/>
    <col min="355" max="355" width="3.85546875" style="1" bestFit="1" customWidth="1"/>
    <col min="356" max="356" width="4.5703125" style="1" bestFit="1" customWidth="1"/>
    <col min="357" max="357" width="3.85546875" style="1" bestFit="1" customWidth="1"/>
    <col min="358" max="358" width="4.7109375" style="1" bestFit="1" customWidth="1"/>
    <col min="359" max="359" width="3.85546875" style="1" bestFit="1" customWidth="1"/>
    <col min="360" max="361" width="3.7109375" style="1" bestFit="1" customWidth="1"/>
    <col min="362" max="362" width="3.85546875" style="1" bestFit="1" customWidth="1"/>
    <col min="363" max="363" width="4.5703125" style="1" bestFit="1" customWidth="1"/>
    <col min="364" max="364" width="3.85546875" style="1" bestFit="1" customWidth="1"/>
    <col min="365" max="365" width="4.7109375" style="1" bestFit="1" customWidth="1"/>
    <col min="366" max="366" width="3.85546875" style="1" bestFit="1" customWidth="1"/>
    <col min="367" max="368" width="3.7109375" style="1" bestFit="1" customWidth="1"/>
    <col min="369" max="369" width="3.85546875" style="1" bestFit="1" customWidth="1"/>
    <col min="370" max="370" width="4.5703125" style="1" bestFit="1" customWidth="1"/>
    <col min="371" max="371" width="3.85546875" style="1" bestFit="1" customWidth="1"/>
    <col min="372" max="373" width="6.7109375" style="1" bestFit="1" customWidth="1"/>
    <col min="374" max="374" width="18.5703125" style="1" bestFit="1" customWidth="1"/>
    <col min="375" max="375" width="5.85546875" style="1" bestFit="1" customWidth="1"/>
    <col min="376" max="376" width="14.28515625" style="1" bestFit="1" customWidth="1"/>
    <col min="377" max="377" width="6.7109375" style="1" bestFit="1" customWidth="1"/>
    <col min="378" max="16384" width="3.85546875" style="1"/>
  </cols>
  <sheetData>
    <row r="1" spans="1:377" ht="17.25" x14ac:dyDescent="0.3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</row>
    <row r="2" spans="1:377" ht="17.25" x14ac:dyDescent="0.25">
      <c r="A2" s="101" t="s">
        <v>48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</row>
    <row r="3" spans="1:377" ht="17.25" x14ac:dyDescent="0.3">
      <c r="A3" s="100" t="s">
        <v>47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</row>
    <row r="4" spans="1:377" ht="15.75" x14ac:dyDescent="0.25">
      <c r="A4" s="106" t="s">
        <v>0</v>
      </c>
      <c r="B4" s="106" t="s">
        <v>1</v>
      </c>
      <c r="C4" s="106" t="s">
        <v>2</v>
      </c>
      <c r="D4" s="106" t="s">
        <v>3</v>
      </c>
      <c r="E4" s="106" t="s">
        <v>4</v>
      </c>
      <c r="F4" s="2" t="str">
        <f>TEXT(F5,"ddd")</f>
        <v>Mon</v>
      </c>
      <c r="G4" s="2" t="str">
        <f t="shared" ref="G4:BR4" si="0">TEXT(G5,"ddd")</f>
        <v>Tue</v>
      </c>
      <c r="H4" s="2" t="str">
        <f t="shared" si="0"/>
        <v>Wed</v>
      </c>
      <c r="I4" s="2" t="str">
        <f t="shared" si="0"/>
        <v>Thu</v>
      </c>
      <c r="J4" s="2" t="str">
        <f t="shared" si="0"/>
        <v>Fri</v>
      </c>
      <c r="K4" s="2" t="str">
        <f t="shared" si="0"/>
        <v>Sat</v>
      </c>
      <c r="L4" s="2" t="str">
        <f t="shared" si="0"/>
        <v>Sun</v>
      </c>
      <c r="M4" s="2" t="str">
        <f t="shared" si="0"/>
        <v>Mon</v>
      </c>
      <c r="N4" s="2" t="str">
        <f t="shared" si="0"/>
        <v>Tue</v>
      </c>
      <c r="O4" s="2" t="str">
        <f t="shared" si="0"/>
        <v>Wed</v>
      </c>
      <c r="P4" s="2" t="str">
        <f t="shared" si="0"/>
        <v>Thu</v>
      </c>
      <c r="Q4" s="2" t="str">
        <f t="shared" si="0"/>
        <v>Fri</v>
      </c>
      <c r="R4" s="2" t="str">
        <f t="shared" si="0"/>
        <v>Sat</v>
      </c>
      <c r="S4" s="2" t="str">
        <f t="shared" si="0"/>
        <v>Sun</v>
      </c>
      <c r="T4" s="2" t="str">
        <f t="shared" si="0"/>
        <v>Mon</v>
      </c>
      <c r="U4" s="2" t="str">
        <f t="shared" si="0"/>
        <v>Tue</v>
      </c>
      <c r="V4" s="2" t="str">
        <f t="shared" si="0"/>
        <v>Wed</v>
      </c>
      <c r="W4" s="2" t="str">
        <f t="shared" si="0"/>
        <v>Thu</v>
      </c>
      <c r="X4" s="2" t="str">
        <f t="shared" si="0"/>
        <v>Fri</v>
      </c>
      <c r="Y4" s="2" t="str">
        <f t="shared" si="0"/>
        <v>Sat</v>
      </c>
      <c r="Z4" s="2" t="str">
        <f t="shared" si="0"/>
        <v>Sun</v>
      </c>
      <c r="AA4" s="2" t="str">
        <f t="shared" si="0"/>
        <v>Mon</v>
      </c>
      <c r="AB4" s="2" t="str">
        <f t="shared" si="0"/>
        <v>Tue</v>
      </c>
      <c r="AC4" s="2" t="str">
        <f t="shared" si="0"/>
        <v>Wed</v>
      </c>
      <c r="AD4" s="2" t="str">
        <f t="shared" si="0"/>
        <v>Thu</v>
      </c>
      <c r="AE4" s="2" t="str">
        <f t="shared" si="0"/>
        <v>Fri</v>
      </c>
      <c r="AF4" s="2" t="str">
        <f t="shared" si="0"/>
        <v>Sat</v>
      </c>
      <c r="AG4" s="2" t="str">
        <f t="shared" si="0"/>
        <v>Sun</v>
      </c>
      <c r="AH4" s="2" t="str">
        <f t="shared" si="0"/>
        <v>Mon</v>
      </c>
      <c r="AI4" s="2" t="str">
        <f t="shared" si="0"/>
        <v>Tue</v>
      </c>
      <c r="AJ4" s="2" t="str">
        <f t="shared" si="0"/>
        <v>Wed</v>
      </c>
      <c r="AK4" s="2" t="str">
        <f t="shared" si="0"/>
        <v>Thu</v>
      </c>
      <c r="AL4" s="2" t="str">
        <f t="shared" si="0"/>
        <v>Fri</v>
      </c>
      <c r="AM4" s="2" t="str">
        <f t="shared" si="0"/>
        <v>Sat</v>
      </c>
      <c r="AN4" s="2" t="str">
        <f t="shared" si="0"/>
        <v>Sun</v>
      </c>
      <c r="AO4" s="2" t="str">
        <f t="shared" si="0"/>
        <v>Mon</v>
      </c>
      <c r="AP4" s="2" t="str">
        <f t="shared" si="0"/>
        <v>Tue</v>
      </c>
      <c r="AQ4" s="2" t="str">
        <f t="shared" si="0"/>
        <v>Wed</v>
      </c>
      <c r="AR4" s="2" t="str">
        <f t="shared" si="0"/>
        <v>Thu</v>
      </c>
      <c r="AS4" s="2" t="str">
        <f t="shared" si="0"/>
        <v>Fri</v>
      </c>
      <c r="AT4" s="2" t="str">
        <f t="shared" si="0"/>
        <v>Sat</v>
      </c>
      <c r="AU4" s="2" t="str">
        <f t="shared" si="0"/>
        <v>Sun</v>
      </c>
      <c r="AV4" s="2" t="str">
        <f t="shared" si="0"/>
        <v>Mon</v>
      </c>
      <c r="AW4" s="2" t="str">
        <f t="shared" si="0"/>
        <v>Tue</v>
      </c>
      <c r="AX4" s="2" t="str">
        <f t="shared" si="0"/>
        <v>Wed</v>
      </c>
      <c r="AY4" s="2" t="str">
        <f t="shared" si="0"/>
        <v>Thu</v>
      </c>
      <c r="AZ4" s="2" t="str">
        <f t="shared" si="0"/>
        <v>Fri</v>
      </c>
      <c r="BA4" s="2" t="str">
        <f t="shared" si="0"/>
        <v>Sat</v>
      </c>
      <c r="BB4" s="2" t="str">
        <f t="shared" si="0"/>
        <v>Sun</v>
      </c>
      <c r="BC4" s="2" t="str">
        <f t="shared" si="0"/>
        <v>Mon</v>
      </c>
      <c r="BD4" s="2" t="str">
        <f t="shared" si="0"/>
        <v>Tue</v>
      </c>
      <c r="BE4" s="2" t="str">
        <f t="shared" si="0"/>
        <v>Wed</v>
      </c>
      <c r="BF4" s="2" t="str">
        <f t="shared" si="0"/>
        <v>Thu</v>
      </c>
      <c r="BG4" s="2" t="str">
        <f t="shared" si="0"/>
        <v>Fri</v>
      </c>
      <c r="BH4" s="2" t="str">
        <f t="shared" si="0"/>
        <v>Sat</v>
      </c>
      <c r="BI4" s="2" t="str">
        <f t="shared" si="0"/>
        <v>Sun</v>
      </c>
      <c r="BJ4" s="2" t="str">
        <f t="shared" si="0"/>
        <v>Mon</v>
      </c>
      <c r="BK4" s="2" t="str">
        <f t="shared" si="0"/>
        <v>Tue</v>
      </c>
      <c r="BL4" s="2" t="str">
        <f t="shared" si="0"/>
        <v>Wed</v>
      </c>
      <c r="BM4" s="2" t="str">
        <f t="shared" si="0"/>
        <v>Thu</v>
      </c>
      <c r="BN4" s="2" t="str">
        <f t="shared" si="0"/>
        <v>Fri</v>
      </c>
      <c r="BO4" s="2" t="str">
        <f t="shared" si="0"/>
        <v>Sat</v>
      </c>
      <c r="BP4" s="2" t="str">
        <f t="shared" si="0"/>
        <v>Sun</v>
      </c>
      <c r="BQ4" s="2" t="str">
        <f t="shared" si="0"/>
        <v>Mon</v>
      </c>
      <c r="BR4" s="2" t="str">
        <f t="shared" si="0"/>
        <v>Tue</v>
      </c>
      <c r="BS4" s="2" t="str">
        <f t="shared" ref="BS4:ED4" si="1">TEXT(BS5,"ddd")</f>
        <v>Wed</v>
      </c>
      <c r="BT4" s="2" t="str">
        <f t="shared" si="1"/>
        <v>Thu</v>
      </c>
      <c r="BU4" s="2" t="str">
        <f t="shared" si="1"/>
        <v>Fri</v>
      </c>
      <c r="BV4" s="2" t="str">
        <f t="shared" si="1"/>
        <v>Sat</v>
      </c>
      <c r="BW4" s="2" t="str">
        <f t="shared" si="1"/>
        <v>Sun</v>
      </c>
      <c r="BX4" s="2" t="str">
        <f t="shared" si="1"/>
        <v>Mon</v>
      </c>
      <c r="BY4" s="2" t="str">
        <f t="shared" si="1"/>
        <v>Tue</v>
      </c>
      <c r="BZ4" s="2" t="str">
        <f t="shared" si="1"/>
        <v>Wed</v>
      </c>
      <c r="CA4" s="2" t="str">
        <f t="shared" si="1"/>
        <v>Thu</v>
      </c>
      <c r="CB4" s="2" t="str">
        <f t="shared" si="1"/>
        <v>Fri</v>
      </c>
      <c r="CC4" s="2" t="str">
        <f t="shared" si="1"/>
        <v>Sat</v>
      </c>
      <c r="CD4" s="2" t="str">
        <f t="shared" si="1"/>
        <v>Sun</v>
      </c>
      <c r="CE4" s="2" t="str">
        <f t="shared" si="1"/>
        <v>Mon</v>
      </c>
      <c r="CF4" s="2" t="str">
        <f t="shared" si="1"/>
        <v>Tue</v>
      </c>
      <c r="CG4" s="2" t="str">
        <f t="shared" si="1"/>
        <v>Wed</v>
      </c>
      <c r="CH4" s="2" t="str">
        <f t="shared" si="1"/>
        <v>Thu</v>
      </c>
      <c r="CI4" s="2" t="str">
        <f t="shared" si="1"/>
        <v>Fri</v>
      </c>
      <c r="CJ4" s="2" t="str">
        <f t="shared" si="1"/>
        <v>Sat</v>
      </c>
      <c r="CK4" s="2" t="str">
        <f t="shared" si="1"/>
        <v>Sun</v>
      </c>
      <c r="CL4" s="2" t="str">
        <f t="shared" si="1"/>
        <v>Mon</v>
      </c>
      <c r="CM4" s="2" t="str">
        <f t="shared" si="1"/>
        <v>Tue</v>
      </c>
      <c r="CN4" s="2" t="str">
        <f t="shared" si="1"/>
        <v>Wed</v>
      </c>
      <c r="CO4" s="2" t="str">
        <f t="shared" si="1"/>
        <v>Thu</v>
      </c>
      <c r="CP4" s="2" t="str">
        <f t="shared" si="1"/>
        <v>Fri</v>
      </c>
      <c r="CQ4" s="2" t="str">
        <f t="shared" si="1"/>
        <v>Sat</v>
      </c>
      <c r="CR4" s="2" t="str">
        <f t="shared" si="1"/>
        <v>Sun</v>
      </c>
      <c r="CS4" s="2" t="str">
        <f t="shared" si="1"/>
        <v>Mon</v>
      </c>
      <c r="CT4" s="2" t="str">
        <f t="shared" si="1"/>
        <v>Tue</v>
      </c>
      <c r="CU4" s="2" t="str">
        <f t="shared" si="1"/>
        <v>Wed</v>
      </c>
      <c r="CV4" s="2" t="str">
        <f t="shared" si="1"/>
        <v>Thu</v>
      </c>
      <c r="CW4" s="2" t="str">
        <f t="shared" si="1"/>
        <v>Fri</v>
      </c>
      <c r="CX4" s="2" t="str">
        <f t="shared" si="1"/>
        <v>Sat</v>
      </c>
      <c r="CY4" s="2" t="str">
        <f t="shared" si="1"/>
        <v>Sun</v>
      </c>
      <c r="CZ4" s="2" t="str">
        <f t="shared" si="1"/>
        <v>Mon</v>
      </c>
      <c r="DA4" s="2" t="str">
        <f t="shared" si="1"/>
        <v>Tue</v>
      </c>
      <c r="DB4" s="2" t="str">
        <f t="shared" si="1"/>
        <v>Wed</v>
      </c>
      <c r="DC4" s="2" t="str">
        <f t="shared" si="1"/>
        <v>Thu</v>
      </c>
      <c r="DD4" s="2" t="str">
        <f t="shared" si="1"/>
        <v>Fri</v>
      </c>
      <c r="DE4" s="2" t="str">
        <f t="shared" si="1"/>
        <v>Sat</v>
      </c>
      <c r="DF4" s="2" t="str">
        <f t="shared" si="1"/>
        <v>Sun</v>
      </c>
      <c r="DG4" s="2" t="str">
        <f t="shared" si="1"/>
        <v>Mon</v>
      </c>
      <c r="DH4" s="2" t="str">
        <f t="shared" si="1"/>
        <v>Tue</v>
      </c>
      <c r="DI4" s="2" t="str">
        <f t="shared" si="1"/>
        <v>Wed</v>
      </c>
      <c r="DJ4" s="2" t="str">
        <f t="shared" si="1"/>
        <v>Thu</v>
      </c>
      <c r="DK4" s="2" t="str">
        <f t="shared" si="1"/>
        <v>Fri</v>
      </c>
      <c r="DL4" s="2" t="str">
        <f t="shared" si="1"/>
        <v>Sat</v>
      </c>
      <c r="DM4" s="2" t="str">
        <f t="shared" si="1"/>
        <v>Sun</v>
      </c>
      <c r="DN4" s="2" t="str">
        <f t="shared" si="1"/>
        <v>Mon</v>
      </c>
      <c r="DO4" s="2" t="str">
        <f t="shared" si="1"/>
        <v>Tue</v>
      </c>
      <c r="DP4" s="2" t="str">
        <f t="shared" si="1"/>
        <v>Wed</v>
      </c>
      <c r="DQ4" s="2" t="str">
        <f t="shared" si="1"/>
        <v>Thu</v>
      </c>
      <c r="DR4" s="2" t="str">
        <f t="shared" si="1"/>
        <v>Fri</v>
      </c>
      <c r="DS4" s="2" t="str">
        <f t="shared" si="1"/>
        <v>Sat</v>
      </c>
      <c r="DT4" s="2" t="str">
        <f t="shared" si="1"/>
        <v>Sun</v>
      </c>
      <c r="DU4" s="2" t="str">
        <f t="shared" si="1"/>
        <v>Mon</v>
      </c>
      <c r="DV4" s="2" t="str">
        <f t="shared" si="1"/>
        <v>Tue</v>
      </c>
      <c r="DW4" s="2" t="str">
        <f t="shared" si="1"/>
        <v>Wed</v>
      </c>
      <c r="DX4" s="2" t="str">
        <f t="shared" si="1"/>
        <v>Thu</v>
      </c>
      <c r="DY4" s="2" t="str">
        <f t="shared" si="1"/>
        <v>Fri</v>
      </c>
      <c r="DZ4" s="2" t="str">
        <f t="shared" si="1"/>
        <v>Sat</v>
      </c>
      <c r="EA4" s="2" t="str">
        <f t="shared" si="1"/>
        <v>Sun</v>
      </c>
      <c r="EB4" s="2" t="str">
        <f t="shared" si="1"/>
        <v>Mon</v>
      </c>
      <c r="EC4" s="2" t="str">
        <f t="shared" si="1"/>
        <v>Tue</v>
      </c>
      <c r="ED4" s="2" t="str">
        <f t="shared" si="1"/>
        <v>Wed</v>
      </c>
      <c r="EE4" s="2" t="str">
        <f t="shared" ref="EE4:GP4" si="2">TEXT(EE5,"ddd")</f>
        <v>Thu</v>
      </c>
      <c r="EF4" s="2" t="str">
        <f t="shared" si="2"/>
        <v>Fri</v>
      </c>
      <c r="EG4" s="2" t="str">
        <f t="shared" si="2"/>
        <v>Sat</v>
      </c>
      <c r="EH4" s="2" t="str">
        <f t="shared" si="2"/>
        <v>Sun</v>
      </c>
      <c r="EI4" s="2" t="str">
        <f t="shared" si="2"/>
        <v>Mon</v>
      </c>
      <c r="EJ4" s="2" t="str">
        <f t="shared" si="2"/>
        <v>Tue</v>
      </c>
      <c r="EK4" s="2" t="str">
        <f t="shared" si="2"/>
        <v>Wed</v>
      </c>
      <c r="EL4" s="2" t="str">
        <f t="shared" si="2"/>
        <v>Thu</v>
      </c>
      <c r="EM4" s="2" t="str">
        <f t="shared" si="2"/>
        <v>Fri</v>
      </c>
      <c r="EN4" s="2" t="str">
        <f t="shared" si="2"/>
        <v>Sat</v>
      </c>
      <c r="EO4" s="2" t="str">
        <f t="shared" si="2"/>
        <v>Sun</v>
      </c>
      <c r="EP4" s="2" t="str">
        <f t="shared" si="2"/>
        <v>Mon</v>
      </c>
      <c r="EQ4" s="2" t="str">
        <f t="shared" si="2"/>
        <v>Tue</v>
      </c>
      <c r="ER4" s="2" t="str">
        <f t="shared" si="2"/>
        <v>Wed</v>
      </c>
      <c r="ES4" s="2" t="str">
        <f t="shared" si="2"/>
        <v>Thu</v>
      </c>
      <c r="ET4" s="2" t="str">
        <f t="shared" si="2"/>
        <v>Fri</v>
      </c>
      <c r="EU4" s="2" t="str">
        <f t="shared" si="2"/>
        <v>Sat</v>
      </c>
      <c r="EV4" s="2" t="str">
        <f t="shared" si="2"/>
        <v>Sun</v>
      </c>
      <c r="EW4" s="2" t="str">
        <f t="shared" si="2"/>
        <v>Mon</v>
      </c>
      <c r="EX4" s="2" t="str">
        <f t="shared" si="2"/>
        <v>Tue</v>
      </c>
      <c r="EY4" s="2" t="str">
        <f t="shared" si="2"/>
        <v>Wed</v>
      </c>
      <c r="EZ4" s="2" t="str">
        <f t="shared" si="2"/>
        <v>Thu</v>
      </c>
      <c r="FA4" s="2" t="str">
        <f t="shared" si="2"/>
        <v>Fri</v>
      </c>
      <c r="FB4" s="2" t="str">
        <f t="shared" si="2"/>
        <v>Sat</v>
      </c>
      <c r="FC4" s="2" t="str">
        <f t="shared" si="2"/>
        <v>Sun</v>
      </c>
      <c r="FD4" s="2" t="str">
        <f t="shared" si="2"/>
        <v>Mon</v>
      </c>
      <c r="FE4" s="2" t="str">
        <f t="shared" si="2"/>
        <v>Tue</v>
      </c>
      <c r="FF4" s="2" t="str">
        <f t="shared" si="2"/>
        <v>Wed</v>
      </c>
      <c r="FG4" s="2" t="str">
        <f t="shared" si="2"/>
        <v>Thu</v>
      </c>
      <c r="FH4" s="2" t="str">
        <f t="shared" si="2"/>
        <v>Fri</v>
      </c>
      <c r="FI4" s="2" t="str">
        <f t="shared" si="2"/>
        <v>Sat</v>
      </c>
      <c r="FJ4" s="2" t="str">
        <f t="shared" si="2"/>
        <v>Sun</v>
      </c>
      <c r="FK4" s="2" t="str">
        <f t="shared" si="2"/>
        <v>Mon</v>
      </c>
      <c r="FL4" s="2" t="str">
        <f t="shared" si="2"/>
        <v>Tue</v>
      </c>
      <c r="FM4" s="2" t="str">
        <f t="shared" si="2"/>
        <v>Wed</v>
      </c>
      <c r="FN4" s="2" t="str">
        <f t="shared" si="2"/>
        <v>Thu</v>
      </c>
      <c r="FO4" s="2" t="str">
        <f t="shared" si="2"/>
        <v>Fri</v>
      </c>
      <c r="FP4" s="2" t="str">
        <f t="shared" si="2"/>
        <v>Sat</v>
      </c>
      <c r="FQ4" s="2" t="str">
        <f t="shared" si="2"/>
        <v>Sun</v>
      </c>
      <c r="FR4" s="2" t="str">
        <f t="shared" si="2"/>
        <v>Mon</v>
      </c>
      <c r="FS4" s="2" t="str">
        <f t="shared" si="2"/>
        <v>Tue</v>
      </c>
      <c r="FT4" s="2" t="str">
        <f t="shared" si="2"/>
        <v>Wed</v>
      </c>
      <c r="FU4" s="2" t="str">
        <f t="shared" si="2"/>
        <v>Thu</v>
      </c>
      <c r="FV4" s="2" t="str">
        <f t="shared" si="2"/>
        <v>Fri</v>
      </c>
      <c r="FW4" s="2" t="str">
        <f t="shared" si="2"/>
        <v>Sat</v>
      </c>
      <c r="FX4" s="2" t="str">
        <f t="shared" si="2"/>
        <v>Sun</v>
      </c>
      <c r="FY4" s="2" t="str">
        <f t="shared" si="2"/>
        <v>Mon</v>
      </c>
      <c r="FZ4" s="2" t="str">
        <f t="shared" si="2"/>
        <v>Tue</v>
      </c>
      <c r="GA4" s="2" t="str">
        <f t="shared" si="2"/>
        <v>Wed</v>
      </c>
      <c r="GB4" s="2" t="str">
        <f t="shared" si="2"/>
        <v>Thu</v>
      </c>
      <c r="GC4" s="2" t="str">
        <f t="shared" si="2"/>
        <v>Fri</v>
      </c>
      <c r="GD4" s="2" t="str">
        <f t="shared" si="2"/>
        <v>Sat</v>
      </c>
      <c r="GE4" s="2" t="str">
        <f t="shared" si="2"/>
        <v>Sun</v>
      </c>
      <c r="GF4" s="2" t="str">
        <f t="shared" si="2"/>
        <v>Mon</v>
      </c>
      <c r="GG4" s="2" t="str">
        <f t="shared" si="2"/>
        <v>Tue</v>
      </c>
      <c r="GH4" s="2" t="str">
        <f t="shared" si="2"/>
        <v>Wed</v>
      </c>
      <c r="GI4" s="2" t="str">
        <f t="shared" si="2"/>
        <v>Thu</v>
      </c>
      <c r="GJ4" s="2" t="str">
        <f t="shared" si="2"/>
        <v>Fri</v>
      </c>
      <c r="GK4" s="2" t="str">
        <f t="shared" si="2"/>
        <v>Sat</v>
      </c>
      <c r="GL4" s="2" t="str">
        <f t="shared" si="2"/>
        <v>Sun</v>
      </c>
      <c r="GM4" s="2" t="str">
        <f t="shared" si="2"/>
        <v>Mon</v>
      </c>
      <c r="GN4" s="2" t="str">
        <f t="shared" si="2"/>
        <v>Tue</v>
      </c>
      <c r="GO4" s="2" t="str">
        <f t="shared" si="2"/>
        <v>Wed</v>
      </c>
      <c r="GP4" s="2" t="str">
        <f t="shared" si="2"/>
        <v>Thu</v>
      </c>
      <c r="GQ4" s="2" t="str">
        <f t="shared" ref="GQ4:JB4" si="3">TEXT(GQ5,"ddd")</f>
        <v>Fri</v>
      </c>
      <c r="GR4" s="2" t="str">
        <f t="shared" si="3"/>
        <v>Sat</v>
      </c>
      <c r="GS4" s="2" t="str">
        <f t="shared" si="3"/>
        <v>Sun</v>
      </c>
      <c r="GT4" s="2" t="str">
        <f t="shared" si="3"/>
        <v>Mon</v>
      </c>
      <c r="GU4" s="2" t="str">
        <f t="shared" si="3"/>
        <v>Tue</v>
      </c>
      <c r="GV4" s="2" t="str">
        <f t="shared" si="3"/>
        <v>Wed</v>
      </c>
      <c r="GW4" s="2" t="str">
        <f t="shared" si="3"/>
        <v>Thu</v>
      </c>
      <c r="GX4" s="2" t="str">
        <f t="shared" si="3"/>
        <v>Fri</v>
      </c>
      <c r="GY4" s="2" t="str">
        <f t="shared" si="3"/>
        <v>Sat</v>
      </c>
      <c r="GZ4" s="2" t="str">
        <f t="shared" si="3"/>
        <v>Sun</v>
      </c>
      <c r="HA4" s="2" t="str">
        <f t="shared" si="3"/>
        <v>Mon</v>
      </c>
      <c r="HB4" s="2" t="str">
        <f t="shared" si="3"/>
        <v>Tue</v>
      </c>
      <c r="HC4" s="2" t="str">
        <f t="shared" si="3"/>
        <v>Wed</v>
      </c>
      <c r="HD4" s="2" t="str">
        <f t="shared" si="3"/>
        <v>Thu</v>
      </c>
      <c r="HE4" s="2" t="str">
        <f t="shared" si="3"/>
        <v>Fri</v>
      </c>
      <c r="HF4" s="2" t="str">
        <f t="shared" si="3"/>
        <v>Sat</v>
      </c>
      <c r="HG4" s="2" t="str">
        <f t="shared" si="3"/>
        <v>Sun</v>
      </c>
      <c r="HH4" s="2" t="str">
        <f t="shared" si="3"/>
        <v>Mon</v>
      </c>
      <c r="HI4" s="2" t="str">
        <f t="shared" si="3"/>
        <v>Tue</v>
      </c>
      <c r="HJ4" s="2" t="str">
        <f t="shared" si="3"/>
        <v>Wed</v>
      </c>
      <c r="HK4" s="2" t="str">
        <f t="shared" si="3"/>
        <v>Thu</v>
      </c>
      <c r="HL4" s="2" t="str">
        <f t="shared" si="3"/>
        <v>Fri</v>
      </c>
      <c r="HM4" s="2" t="str">
        <f t="shared" si="3"/>
        <v>Sat</v>
      </c>
      <c r="HN4" s="2" t="str">
        <f t="shared" si="3"/>
        <v>Sun</v>
      </c>
      <c r="HO4" s="2" t="str">
        <f t="shared" si="3"/>
        <v>Mon</v>
      </c>
      <c r="HP4" s="2" t="str">
        <f t="shared" si="3"/>
        <v>Tue</v>
      </c>
      <c r="HQ4" s="2" t="str">
        <f t="shared" si="3"/>
        <v>Wed</v>
      </c>
      <c r="HR4" s="2" t="str">
        <f t="shared" si="3"/>
        <v>Thu</v>
      </c>
      <c r="HS4" s="2" t="str">
        <f t="shared" si="3"/>
        <v>Fri</v>
      </c>
      <c r="HT4" s="2" t="str">
        <f t="shared" si="3"/>
        <v>Sat</v>
      </c>
      <c r="HU4" s="2" t="str">
        <f t="shared" si="3"/>
        <v>Sun</v>
      </c>
      <c r="HV4" s="2" t="str">
        <f t="shared" si="3"/>
        <v>Mon</v>
      </c>
      <c r="HW4" s="2" t="str">
        <f t="shared" si="3"/>
        <v>Tue</v>
      </c>
      <c r="HX4" s="2" t="str">
        <f t="shared" si="3"/>
        <v>Wed</v>
      </c>
      <c r="HY4" s="2" t="str">
        <f t="shared" si="3"/>
        <v>Thu</v>
      </c>
      <c r="HZ4" s="2" t="str">
        <f t="shared" si="3"/>
        <v>Fri</v>
      </c>
      <c r="IA4" s="2" t="str">
        <f t="shared" si="3"/>
        <v>Sat</v>
      </c>
      <c r="IB4" s="2" t="str">
        <f t="shared" si="3"/>
        <v>Sun</v>
      </c>
      <c r="IC4" s="2" t="str">
        <f t="shared" si="3"/>
        <v>Mon</v>
      </c>
      <c r="ID4" s="2" t="str">
        <f t="shared" si="3"/>
        <v>Tue</v>
      </c>
      <c r="IE4" s="2" t="str">
        <f t="shared" si="3"/>
        <v>Wed</v>
      </c>
      <c r="IF4" s="2" t="str">
        <f t="shared" si="3"/>
        <v>Thu</v>
      </c>
      <c r="IG4" s="2" t="str">
        <f t="shared" si="3"/>
        <v>Fri</v>
      </c>
      <c r="IH4" s="2" t="str">
        <f t="shared" si="3"/>
        <v>Sat</v>
      </c>
      <c r="II4" s="2" t="str">
        <f t="shared" si="3"/>
        <v>Sun</v>
      </c>
      <c r="IJ4" s="2" t="str">
        <f t="shared" si="3"/>
        <v>Mon</v>
      </c>
      <c r="IK4" s="2" t="str">
        <f t="shared" si="3"/>
        <v>Tue</v>
      </c>
      <c r="IL4" s="2" t="str">
        <f t="shared" si="3"/>
        <v>Wed</v>
      </c>
      <c r="IM4" s="2" t="str">
        <f t="shared" si="3"/>
        <v>Thu</v>
      </c>
      <c r="IN4" s="2" t="str">
        <f t="shared" si="3"/>
        <v>Fri</v>
      </c>
      <c r="IO4" s="2" t="str">
        <f t="shared" si="3"/>
        <v>Sat</v>
      </c>
      <c r="IP4" s="2" t="str">
        <f t="shared" si="3"/>
        <v>Sun</v>
      </c>
      <c r="IQ4" s="2" t="str">
        <f t="shared" si="3"/>
        <v>Mon</v>
      </c>
      <c r="IR4" s="2" t="str">
        <f t="shared" si="3"/>
        <v>Tue</v>
      </c>
      <c r="IS4" s="2" t="str">
        <f t="shared" si="3"/>
        <v>Wed</v>
      </c>
      <c r="IT4" s="2" t="str">
        <f t="shared" si="3"/>
        <v>Thu</v>
      </c>
      <c r="IU4" s="2" t="str">
        <f t="shared" si="3"/>
        <v>Fri</v>
      </c>
      <c r="IV4" s="2" t="str">
        <f t="shared" si="3"/>
        <v>Sat</v>
      </c>
      <c r="IW4" s="2" t="str">
        <f t="shared" si="3"/>
        <v>Sun</v>
      </c>
      <c r="IX4" s="2" t="str">
        <f t="shared" si="3"/>
        <v>Mon</v>
      </c>
      <c r="IY4" s="2" t="str">
        <f t="shared" si="3"/>
        <v>Tue</v>
      </c>
      <c r="IZ4" s="2" t="str">
        <f t="shared" si="3"/>
        <v>Wed</v>
      </c>
      <c r="JA4" s="2" t="str">
        <f t="shared" si="3"/>
        <v>Thu</v>
      </c>
      <c r="JB4" s="2" t="str">
        <f t="shared" si="3"/>
        <v>Fri</v>
      </c>
      <c r="JC4" s="2" t="str">
        <f t="shared" ref="JC4:LN4" si="4">TEXT(JC5,"ddd")</f>
        <v>Sat</v>
      </c>
      <c r="JD4" s="2" t="str">
        <f t="shared" si="4"/>
        <v>Sun</v>
      </c>
      <c r="JE4" s="2" t="str">
        <f t="shared" si="4"/>
        <v>Mon</v>
      </c>
      <c r="JF4" s="2" t="str">
        <f t="shared" si="4"/>
        <v>Tue</v>
      </c>
      <c r="JG4" s="2" t="str">
        <f t="shared" si="4"/>
        <v>Wed</v>
      </c>
      <c r="JH4" s="2" t="str">
        <f t="shared" si="4"/>
        <v>Thu</v>
      </c>
      <c r="JI4" s="2" t="str">
        <f t="shared" si="4"/>
        <v>Fri</v>
      </c>
      <c r="JJ4" s="2" t="str">
        <f t="shared" si="4"/>
        <v>Sat</v>
      </c>
      <c r="JK4" s="2" t="str">
        <f t="shared" si="4"/>
        <v>Sun</v>
      </c>
      <c r="JL4" s="2" t="str">
        <f t="shared" si="4"/>
        <v>Mon</v>
      </c>
      <c r="JM4" s="2" t="str">
        <f t="shared" si="4"/>
        <v>Tue</v>
      </c>
      <c r="JN4" s="2" t="str">
        <f t="shared" si="4"/>
        <v>Wed</v>
      </c>
      <c r="JO4" s="2" t="str">
        <f t="shared" si="4"/>
        <v>Thu</v>
      </c>
      <c r="JP4" s="2" t="str">
        <f t="shared" si="4"/>
        <v>Fri</v>
      </c>
      <c r="JQ4" s="2" t="str">
        <f t="shared" si="4"/>
        <v>Sat</v>
      </c>
      <c r="JR4" s="2" t="str">
        <f t="shared" si="4"/>
        <v>Sun</v>
      </c>
      <c r="JS4" s="2" t="str">
        <f t="shared" si="4"/>
        <v>Mon</v>
      </c>
      <c r="JT4" s="2" t="str">
        <f t="shared" si="4"/>
        <v>Tue</v>
      </c>
      <c r="JU4" s="2" t="str">
        <f t="shared" si="4"/>
        <v>Wed</v>
      </c>
      <c r="JV4" s="2" t="str">
        <f t="shared" si="4"/>
        <v>Thu</v>
      </c>
      <c r="JW4" s="2" t="str">
        <f t="shared" si="4"/>
        <v>Fri</v>
      </c>
      <c r="JX4" s="2" t="str">
        <f t="shared" si="4"/>
        <v>Sat</v>
      </c>
      <c r="JY4" s="2" t="str">
        <f t="shared" si="4"/>
        <v>Sun</v>
      </c>
      <c r="JZ4" s="2" t="str">
        <f t="shared" si="4"/>
        <v>Mon</v>
      </c>
      <c r="KA4" s="2" t="str">
        <f t="shared" si="4"/>
        <v>Tue</v>
      </c>
      <c r="KB4" s="2" t="str">
        <f t="shared" si="4"/>
        <v>Wed</v>
      </c>
      <c r="KC4" s="2" t="str">
        <f t="shared" si="4"/>
        <v>Thu</v>
      </c>
      <c r="KD4" s="2" t="str">
        <f t="shared" si="4"/>
        <v>Fri</v>
      </c>
      <c r="KE4" s="2" t="str">
        <f t="shared" si="4"/>
        <v>Sat</v>
      </c>
      <c r="KF4" s="2" t="str">
        <f t="shared" si="4"/>
        <v>Sun</v>
      </c>
      <c r="KG4" s="2" t="str">
        <f t="shared" si="4"/>
        <v>Mon</v>
      </c>
      <c r="KH4" s="2" t="str">
        <f t="shared" si="4"/>
        <v>Tue</v>
      </c>
      <c r="KI4" s="2" t="str">
        <f t="shared" si="4"/>
        <v>Wed</v>
      </c>
      <c r="KJ4" s="2" t="str">
        <f t="shared" si="4"/>
        <v>Thu</v>
      </c>
      <c r="KK4" s="2" t="str">
        <f t="shared" si="4"/>
        <v>Fri</v>
      </c>
      <c r="KL4" s="2" t="str">
        <f t="shared" si="4"/>
        <v>Sat</v>
      </c>
      <c r="KM4" s="2" t="str">
        <f t="shared" si="4"/>
        <v>Sun</v>
      </c>
      <c r="KN4" s="2" t="str">
        <f t="shared" si="4"/>
        <v>Mon</v>
      </c>
      <c r="KO4" s="2" t="str">
        <f t="shared" si="4"/>
        <v>Tue</v>
      </c>
      <c r="KP4" s="2" t="str">
        <f t="shared" si="4"/>
        <v>Wed</v>
      </c>
      <c r="KQ4" s="2" t="str">
        <f t="shared" si="4"/>
        <v>Thu</v>
      </c>
      <c r="KR4" s="2" t="str">
        <f t="shared" si="4"/>
        <v>Fri</v>
      </c>
      <c r="KS4" s="2" t="str">
        <f t="shared" si="4"/>
        <v>Sat</v>
      </c>
      <c r="KT4" s="2" t="str">
        <f t="shared" si="4"/>
        <v>Sun</v>
      </c>
      <c r="KU4" s="2" t="str">
        <f t="shared" si="4"/>
        <v>Mon</v>
      </c>
      <c r="KV4" s="2" t="str">
        <f t="shared" si="4"/>
        <v>Tue</v>
      </c>
      <c r="KW4" s="2" t="str">
        <f t="shared" si="4"/>
        <v>Wed</v>
      </c>
      <c r="KX4" s="2" t="str">
        <f t="shared" si="4"/>
        <v>Thu</v>
      </c>
      <c r="KY4" s="2" t="str">
        <f t="shared" si="4"/>
        <v>Fri</v>
      </c>
      <c r="KZ4" s="2" t="str">
        <f t="shared" si="4"/>
        <v>Sat</v>
      </c>
      <c r="LA4" s="2" t="str">
        <f t="shared" si="4"/>
        <v>Sun</v>
      </c>
      <c r="LB4" s="2" t="str">
        <f t="shared" si="4"/>
        <v>Mon</v>
      </c>
      <c r="LC4" s="2" t="str">
        <f t="shared" si="4"/>
        <v>Tue</v>
      </c>
      <c r="LD4" s="2" t="str">
        <f t="shared" si="4"/>
        <v>Wed</v>
      </c>
      <c r="LE4" s="2" t="str">
        <f t="shared" si="4"/>
        <v>Thu</v>
      </c>
      <c r="LF4" s="2" t="str">
        <f t="shared" si="4"/>
        <v>Fri</v>
      </c>
      <c r="LG4" s="2" t="str">
        <f t="shared" si="4"/>
        <v>Sat</v>
      </c>
      <c r="LH4" s="2" t="str">
        <f t="shared" si="4"/>
        <v>Sun</v>
      </c>
      <c r="LI4" s="2" t="str">
        <f t="shared" si="4"/>
        <v>Mon</v>
      </c>
      <c r="LJ4" s="2" t="str">
        <f t="shared" si="4"/>
        <v>Tue</v>
      </c>
      <c r="LK4" s="2" t="str">
        <f t="shared" si="4"/>
        <v>Wed</v>
      </c>
      <c r="LL4" s="2" t="str">
        <f t="shared" si="4"/>
        <v>Thu</v>
      </c>
      <c r="LM4" s="2" t="str">
        <f t="shared" si="4"/>
        <v>Fri</v>
      </c>
      <c r="LN4" s="2" t="str">
        <f t="shared" si="4"/>
        <v>Sat</v>
      </c>
      <c r="LO4" s="2" t="str">
        <f t="shared" ref="LO4:NG4" si="5">TEXT(LO5,"ddd")</f>
        <v>Sun</v>
      </c>
      <c r="LP4" s="2" t="str">
        <f t="shared" si="5"/>
        <v>Mon</v>
      </c>
      <c r="LQ4" s="2" t="str">
        <f t="shared" si="5"/>
        <v>Tue</v>
      </c>
      <c r="LR4" s="2" t="str">
        <f t="shared" si="5"/>
        <v>Wed</v>
      </c>
      <c r="LS4" s="2" t="str">
        <f t="shared" si="5"/>
        <v>Thu</v>
      </c>
      <c r="LT4" s="2" t="str">
        <f t="shared" si="5"/>
        <v>Fri</v>
      </c>
      <c r="LU4" s="2" t="str">
        <f t="shared" si="5"/>
        <v>Sat</v>
      </c>
      <c r="LV4" s="2" t="str">
        <f t="shared" si="5"/>
        <v>Sun</v>
      </c>
      <c r="LW4" s="2" t="str">
        <f t="shared" si="5"/>
        <v>Mon</v>
      </c>
      <c r="LX4" s="2" t="str">
        <f t="shared" si="5"/>
        <v>Tue</v>
      </c>
      <c r="LY4" s="2" t="str">
        <f t="shared" si="5"/>
        <v>Wed</v>
      </c>
      <c r="LZ4" s="2" t="str">
        <f t="shared" si="5"/>
        <v>Thu</v>
      </c>
      <c r="MA4" s="2" t="str">
        <f t="shared" si="5"/>
        <v>Fri</v>
      </c>
      <c r="MB4" s="2" t="str">
        <f t="shared" si="5"/>
        <v>Sat</v>
      </c>
      <c r="MC4" s="2" t="str">
        <f t="shared" si="5"/>
        <v>Sun</v>
      </c>
      <c r="MD4" s="2" t="str">
        <f t="shared" si="5"/>
        <v>Mon</v>
      </c>
      <c r="ME4" s="2" t="str">
        <f t="shared" si="5"/>
        <v>Tue</v>
      </c>
      <c r="MF4" s="2" t="str">
        <f t="shared" si="5"/>
        <v>Wed</v>
      </c>
      <c r="MG4" s="2" t="str">
        <f t="shared" si="5"/>
        <v>Thu</v>
      </c>
      <c r="MH4" s="2" t="str">
        <f t="shared" si="5"/>
        <v>Fri</v>
      </c>
      <c r="MI4" s="2" t="str">
        <f t="shared" si="5"/>
        <v>Sat</v>
      </c>
      <c r="MJ4" s="2" t="str">
        <f t="shared" si="5"/>
        <v>Sun</v>
      </c>
      <c r="MK4" s="2" t="str">
        <f t="shared" si="5"/>
        <v>Mon</v>
      </c>
      <c r="ML4" s="2" t="str">
        <f t="shared" si="5"/>
        <v>Tue</v>
      </c>
      <c r="MM4" s="2" t="str">
        <f t="shared" si="5"/>
        <v>Wed</v>
      </c>
      <c r="MN4" s="2" t="str">
        <f t="shared" si="5"/>
        <v>Thu</v>
      </c>
      <c r="MO4" s="2" t="str">
        <f t="shared" si="5"/>
        <v>Fri</v>
      </c>
      <c r="MP4" s="2" t="str">
        <f t="shared" si="5"/>
        <v>Sat</v>
      </c>
      <c r="MQ4" s="2" t="str">
        <f t="shared" si="5"/>
        <v>Sun</v>
      </c>
      <c r="MR4" s="2" t="str">
        <f t="shared" si="5"/>
        <v>Mon</v>
      </c>
      <c r="MS4" s="2" t="str">
        <f t="shared" si="5"/>
        <v>Tue</v>
      </c>
      <c r="MT4" s="2" t="str">
        <f t="shared" si="5"/>
        <v>Wed</v>
      </c>
      <c r="MU4" s="2" t="str">
        <f t="shared" si="5"/>
        <v>Thu</v>
      </c>
      <c r="MV4" s="2" t="str">
        <f t="shared" si="5"/>
        <v>Fri</v>
      </c>
      <c r="MW4" s="2" t="str">
        <f t="shared" si="5"/>
        <v>Sat</v>
      </c>
      <c r="MX4" s="2" t="str">
        <f t="shared" si="5"/>
        <v>Sun</v>
      </c>
      <c r="MY4" s="2" t="str">
        <f t="shared" si="5"/>
        <v>Mon</v>
      </c>
      <c r="MZ4" s="2" t="str">
        <f t="shared" si="5"/>
        <v>Tue</v>
      </c>
      <c r="NA4" s="2" t="str">
        <f t="shared" si="5"/>
        <v>Wed</v>
      </c>
      <c r="NB4" s="2" t="str">
        <f t="shared" si="5"/>
        <v>Thu</v>
      </c>
      <c r="NC4" s="2" t="str">
        <f t="shared" si="5"/>
        <v>Fri</v>
      </c>
      <c r="ND4" s="2" t="str">
        <f t="shared" si="5"/>
        <v>Sat</v>
      </c>
      <c r="NE4" s="2" t="str">
        <f t="shared" si="5"/>
        <v>Sun</v>
      </c>
      <c r="NF4" s="2" t="str">
        <f t="shared" si="5"/>
        <v>Mon</v>
      </c>
      <c r="NG4" s="2" t="str">
        <f t="shared" si="5"/>
        <v>Tue</v>
      </c>
      <c r="NH4" s="114" t="s">
        <v>5</v>
      </c>
      <c r="NI4" s="114" t="s">
        <v>6</v>
      </c>
      <c r="NJ4" s="103" t="s">
        <v>46</v>
      </c>
      <c r="NK4" s="105"/>
      <c r="NL4" s="3"/>
      <c r="NM4" s="3"/>
    </row>
    <row r="5" spans="1:377" ht="39" x14ac:dyDescent="0.25">
      <c r="A5" s="107"/>
      <c r="B5" s="107"/>
      <c r="C5" s="107"/>
      <c r="D5" s="107"/>
      <c r="E5" s="107"/>
      <c r="F5" s="77">
        <v>45292</v>
      </c>
      <c r="G5" s="77">
        <v>45293</v>
      </c>
      <c r="H5" s="77">
        <v>45294</v>
      </c>
      <c r="I5" s="77">
        <v>45295</v>
      </c>
      <c r="J5" s="77">
        <v>45296</v>
      </c>
      <c r="K5" s="77">
        <v>45297</v>
      </c>
      <c r="L5" s="77">
        <v>45298</v>
      </c>
      <c r="M5" s="77">
        <v>45299</v>
      </c>
      <c r="N5" s="77">
        <v>45300</v>
      </c>
      <c r="O5" s="77">
        <v>45301</v>
      </c>
      <c r="P5" s="77">
        <v>45302</v>
      </c>
      <c r="Q5" s="77">
        <v>45303</v>
      </c>
      <c r="R5" s="77">
        <v>45304</v>
      </c>
      <c r="S5" s="77">
        <v>45305</v>
      </c>
      <c r="T5" s="77">
        <v>45306</v>
      </c>
      <c r="U5" s="77">
        <v>45307</v>
      </c>
      <c r="V5" s="77">
        <v>45308</v>
      </c>
      <c r="W5" s="77">
        <v>45309</v>
      </c>
      <c r="X5" s="77">
        <v>45310</v>
      </c>
      <c r="Y5" s="77">
        <v>45311</v>
      </c>
      <c r="Z5" s="77">
        <v>45312</v>
      </c>
      <c r="AA5" s="77">
        <v>45313</v>
      </c>
      <c r="AB5" s="77">
        <v>45314</v>
      </c>
      <c r="AC5" s="77">
        <v>45315</v>
      </c>
      <c r="AD5" s="77">
        <v>45316</v>
      </c>
      <c r="AE5" s="77">
        <v>45317</v>
      </c>
      <c r="AF5" s="77">
        <v>45318</v>
      </c>
      <c r="AG5" s="77">
        <v>45319</v>
      </c>
      <c r="AH5" s="77">
        <v>45320</v>
      </c>
      <c r="AI5" s="77">
        <v>45321</v>
      </c>
      <c r="AJ5" s="77">
        <v>45322</v>
      </c>
      <c r="AK5" s="77">
        <v>45323</v>
      </c>
      <c r="AL5" s="77">
        <v>45324</v>
      </c>
      <c r="AM5" s="77">
        <v>45325</v>
      </c>
      <c r="AN5" s="77">
        <v>45326</v>
      </c>
      <c r="AO5" s="77">
        <v>45327</v>
      </c>
      <c r="AP5" s="77">
        <v>45328</v>
      </c>
      <c r="AQ5" s="77">
        <v>45329</v>
      </c>
      <c r="AR5" s="77">
        <v>45330</v>
      </c>
      <c r="AS5" s="77">
        <v>45331</v>
      </c>
      <c r="AT5" s="77">
        <v>45332</v>
      </c>
      <c r="AU5" s="77">
        <v>45333</v>
      </c>
      <c r="AV5" s="77">
        <v>45334</v>
      </c>
      <c r="AW5" s="77">
        <v>45335</v>
      </c>
      <c r="AX5" s="77">
        <v>45336</v>
      </c>
      <c r="AY5" s="77">
        <v>45337</v>
      </c>
      <c r="AZ5" s="77">
        <v>45338</v>
      </c>
      <c r="BA5" s="77">
        <v>45339</v>
      </c>
      <c r="BB5" s="77">
        <v>45340</v>
      </c>
      <c r="BC5" s="77">
        <v>45341</v>
      </c>
      <c r="BD5" s="77">
        <v>45342</v>
      </c>
      <c r="BE5" s="77">
        <v>45343</v>
      </c>
      <c r="BF5" s="77">
        <v>45344</v>
      </c>
      <c r="BG5" s="77">
        <v>45345</v>
      </c>
      <c r="BH5" s="77">
        <v>45346</v>
      </c>
      <c r="BI5" s="77">
        <v>45347</v>
      </c>
      <c r="BJ5" s="77">
        <v>45348</v>
      </c>
      <c r="BK5" s="77">
        <v>45349</v>
      </c>
      <c r="BL5" s="77">
        <v>45350</v>
      </c>
      <c r="BM5" s="77">
        <v>45351</v>
      </c>
      <c r="BN5" s="77">
        <v>45352</v>
      </c>
      <c r="BO5" s="77">
        <v>45353</v>
      </c>
      <c r="BP5" s="77">
        <v>45354</v>
      </c>
      <c r="BQ5" s="77">
        <v>45355</v>
      </c>
      <c r="BR5" s="77">
        <v>45356</v>
      </c>
      <c r="BS5" s="77">
        <v>45357</v>
      </c>
      <c r="BT5" s="77">
        <v>45358</v>
      </c>
      <c r="BU5" s="77">
        <v>45359</v>
      </c>
      <c r="BV5" s="77">
        <v>45360</v>
      </c>
      <c r="BW5" s="77">
        <v>45361</v>
      </c>
      <c r="BX5" s="77">
        <v>45362</v>
      </c>
      <c r="BY5" s="77">
        <v>45363</v>
      </c>
      <c r="BZ5" s="77">
        <v>45364</v>
      </c>
      <c r="CA5" s="77">
        <v>45365</v>
      </c>
      <c r="CB5" s="77">
        <v>45366</v>
      </c>
      <c r="CC5" s="77">
        <v>45367</v>
      </c>
      <c r="CD5" s="77">
        <v>45368</v>
      </c>
      <c r="CE5" s="77">
        <v>45369</v>
      </c>
      <c r="CF5" s="77">
        <v>45370</v>
      </c>
      <c r="CG5" s="77">
        <v>45371</v>
      </c>
      <c r="CH5" s="77">
        <v>45372</v>
      </c>
      <c r="CI5" s="77">
        <v>45373</v>
      </c>
      <c r="CJ5" s="77">
        <v>45374</v>
      </c>
      <c r="CK5" s="77">
        <v>45375</v>
      </c>
      <c r="CL5" s="77">
        <v>45376</v>
      </c>
      <c r="CM5" s="77">
        <v>45377</v>
      </c>
      <c r="CN5" s="77">
        <v>45378</v>
      </c>
      <c r="CO5" s="77">
        <v>45379</v>
      </c>
      <c r="CP5" s="77">
        <v>45380</v>
      </c>
      <c r="CQ5" s="77">
        <v>45381</v>
      </c>
      <c r="CR5" s="77">
        <v>45382</v>
      </c>
      <c r="CS5" s="77">
        <v>45383</v>
      </c>
      <c r="CT5" s="77">
        <v>45384</v>
      </c>
      <c r="CU5" s="77">
        <v>45385</v>
      </c>
      <c r="CV5" s="77">
        <v>45386</v>
      </c>
      <c r="CW5" s="77">
        <v>45387</v>
      </c>
      <c r="CX5" s="77">
        <v>45388</v>
      </c>
      <c r="CY5" s="77">
        <v>45389</v>
      </c>
      <c r="CZ5" s="77">
        <v>45390</v>
      </c>
      <c r="DA5" s="77">
        <v>45391</v>
      </c>
      <c r="DB5" s="77">
        <v>45392</v>
      </c>
      <c r="DC5" s="77">
        <v>45393</v>
      </c>
      <c r="DD5" s="77">
        <v>45394</v>
      </c>
      <c r="DE5" s="77">
        <v>45395</v>
      </c>
      <c r="DF5" s="77">
        <v>45396</v>
      </c>
      <c r="DG5" s="77">
        <v>45397</v>
      </c>
      <c r="DH5" s="77">
        <v>45398</v>
      </c>
      <c r="DI5" s="77">
        <v>45399</v>
      </c>
      <c r="DJ5" s="77">
        <v>45400</v>
      </c>
      <c r="DK5" s="77">
        <v>45401</v>
      </c>
      <c r="DL5" s="77">
        <v>45402</v>
      </c>
      <c r="DM5" s="77">
        <v>45403</v>
      </c>
      <c r="DN5" s="77">
        <v>45404</v>
      </c>
      <c r="DO5" s="77">
        <v>45405</v>
      </c>
      <c r="DP5" s="77">
        <v>45406</v>
      </c>
      <c r="DQ5" s="77">
        <v>45407</v>
      </c>
      <c r="DR5" s="77">
        <v>45408</v>
      </c>
      <c r="DS5" s="77">
        <v>45409</v>
      </c>
      <c r="DT5" s="77">
        <v>45410</v>
      </c>
      <c r="DU5" s="77">
        <v>45411</v>
      </c>
      <c r="DV5" s="77">
        <v>45412</v>
      </c>
      <c r="DW5" s="77">
        <v>45413</v>
      </c>
      <c r="DX5" s="77">
        <v>45414</v>
      </c>
      <c r="DY5" s="77">
        <v>45415</v>
      </c>
      <c r="DZ5" s="77">
        <v>45416</v>
      </c>
      <c r="EA5" s="77">
        <v>45417</v>
      </c>
      <c r="EB5" s="77">
        <v>45418</v>
      </c>
      <c r="EC5" s="77">
        <v>45419</v>
      </c>
      <c r="ED5" s="77">
        <v>45420</v>
      </c>
      <c r="EE5" s="77">
        <v>45421</v>
      </c>
      <c r="EF5" s="77">
        <v>45422</v>
      </c>
      <c r="EG5" s="77">
        <v>45423</v>
      </c>
      <c r="EH5" s="77">
        <v>45424</v>
      </c>
      <c r="EI5" s="77">
        <v>45425</v>
      </c>
      <c r="EJ5" s="77">
        <v>45426</v>
      </c>
      <c r="EK5" s="77">
        <v>45427</v>
      </c>
      <c r="EL5" s="77">
        <v>45428</v>
      </c>
      <c r="EM5" s="77">
        <v>45429</v>
      </c>
      <c r="EN5" s="77">
        <v>45430</v>
      </c>
      <c r="EO5" s="77">
        <v>45431</v>
      </c>
      <c r="EP5" s="77">
        <v>45432</v>
      </c>
      <c r="EQ5" s="77">
        <v>45433</v>
      </c>
      <c r="ER5" s="77">
        <v>45434</v>
      </c>
      <c r="ES5" s="77">
        <v>45435</v>
      </c>
      <c r="ET5" s="77">
        <v>45436</v>
      </c>
      <c r="EU5" s="77">
        <v>45437</v>
      </c>
      <c r="EV5" s="77">
        <v>45438</v>
      </c>
      <c r="EW5" s="77">
        <v>45439</v>
      </c>
      <c r="EX5" s="77">
        <v>45440</v>
      </c>
      <c r="EY5" s="77">
        <v>45441</v>
      </c>
      <c r="EZ5" s="77">
        <v>45442</v>
      </c>
      <c r="FA5" s="77">
        <v>45443</v>
      </c>
      <c r="FB5" s="77">
        <v>45444</v>
      </c>
      <c r="FC5" s="77">
        <v>45445</v>
      </c>
      <c r="FD5" s="77">
        <v>45446</v>
      </c>
      <c r="FE5" s="77">
        <v>45447</v>
      </c>
      <c r="FF5" s="77">
        <v>45448</v>
      </c>
      <c r="FG5" s="77">
        <v>45449</v>
      </c>
      <c r="FH5" s="77">
        <v>45450</v>
      </c>
      <c r="FI5" s="77">
        <v>45451</v>
      </c>
      <c r="FJ5" s="77">
        <v>45452</v>
      </c>
      <c r="FK5" s="77">
        <v>45453</v>
      </c>
      <c r="FL5" s="77">
        <v>45454</v>
      </c>
      <c r="FM5" s="77">
        <v>45455</v>
      </c>
      <c r="FN5" s="77">
        <v>45456</v>
      </c>
      <c r="FO5" s="77">
        <v>45457</v>
      </c>
      <c r="FP5" s="77">
        <v>45458</v>
      </c>
      <c r="FQ5" s="77">
        <v>45459</v>
      </c>
      <c r="FR5" s="77">
        <v>45460</v>
      </c>
      <c r="FS5" s="77">
        <v>45461</v>
      </c>
      <c r="FT5" s="77">
        <v>45462</v>
      </c>
      <c r="FU5" s="77">
        <v>45463</v>
      </c>
      <c r="FV5" s="77">
        <v>45464</v>
      </c>
      <c r="FW5" s="77">
        <v>45465</v>
      </c>
      <c r="FX5" s="77">
        <v>45466</v>
      </c>
      <c r="FY5" s="77">
        <v>45467</v>
      </c>
      <c r="FZ5" s="77">
        <v>45468</v>
      </c>
      <c r="GA5" s="77">
        <v>45469</v>
      </c>
      <c r="GB5" s="77">
        <v>45470</v>
      </c>
      <c r="GC5" s="77">
        <v>45471</v>
      </c>
      <c r="GD5" s="77">
        <v>45472</v>
      </c>
      <c r="GE5" s="77">
        <v>45473</v>
      </c>
      <c r="GF5" s="77">
        <v>45474</v>
      </c>
      <c r="GG5" s="77">
        <v>45475</v>
      </c>
      <c r="GH5" s="77">
        <v>45476</v>
      </c>
      <c r="GI5" s="77">
        <v>45477</v>
      </c>
      <c r="GJ5" s="77">
        <v>45478</v>
      </c>
      <c r="GK5" s="77">
        <v>45479</v>
      </c>
      <c r="GL5" s="77">
        <v>45480</v>
      </c>
      <c r="GM5" s="77">
        <v>45481</v>
      </c>
      <c r="GN5" s="77">
        <v>45482</v>
      </c>
      <c r="GO5" s="77">
        <v>45483</v>
      </c>
      <c r="GP5" s="77">
        <v>45484</v>
      </c>
      <c r="GQ5" s="77">
        <v>45485</v>
      </c>
      <c r="GR5" s="77">
        <v>45486</v>
      </c>
      <c r="GS5" s="77">
        <v>45487</v>
      </c>
      <c r="GT5" s="77">
        <v>45488</v>
      </c>
      <c r="GU5" s="77">
        <v>45489</v>
      </c>
      <c r="GV5" s="77">
        <v>45490</v>
      </c>
      <c r="GW5" s="77">
        <v>45491</v>
      </c>
      <c r="GX5" s="77">
        <v>45492</v>
      </c>
      <c r="GY5" s="77">
        <v>45493</v>
      </c>
      <c r="GZ5" s="77">
        <v>45494</v>
      </c>
      <c r="HA5" s="77">
        <v>45495</v>
      </c>
      <c r="HB5" s="77">
        <v>45496</v>
      </c>
      <c r="HC5" s="77">
        <v>45497</v>
      </c>
      <c r="HD5" s="77">
        <v>45498</v>
      </c>
      <c r="HE5" s="77">
        <v>45499</v>
      </c>
      <c r="HF5" s="77">
        <v>45500</v>
      </c>
      <c r="HG5" s="77">
        <v>45501</v>
      </c>
      <c r="HH5" s="77">
        <v>45502</v>
      </c>
      <c r="HI5" s="77">
        <v>45503</v>
      </c>
      <c r="HJ5" s="77">
        <v>45504</v>
      </c>
      <c r="HK5" s="77">
        <v>45505</v>
      </c>
      <c r="HL5" s="77">
        <v>45506</v>
      </c>
      <c r="HM5" s="77">
        <v>45507</v>
      </c>
      <c r="HN5" s="77">
        <v>45508</v>
      </c>
      <c r="HO5" s="77">
        <v>45509</v>
      </c>
      <c r="HP5" s="77">
        <v>45510</v>
      </c>
      <c r="HQ5" s="77">
        <v>45511</v>
      </c>
      <c r="HR5" s="77">
        <v>45512</v>
      </c>
      <c r="HS5" s="77">
        <v>45513</v>
      </c>
      <c r="HT5" s="77">
        <v>45514</v>
      </c>
      <c r="HU5" s="77">
        <v>45515</v>
      </c>
      <c r="HV5" s="77">
        <v>45516</v>
      </c>
      <c r="HW5" s="77">
        <v>45517</v>
      </c>
      <c r="HX5" s="77">
        <v>45518</v>
      </c>
      <c r="HY5" s="77">
        <v>45519</v>
      </c>
      <c r="HZ5" s="77">
        <v>45520</v>
      </c>
      <c r="IA5" s="77">
        <v>45521</v>
      </c>
      <c r="IB5" s="77">
        <v>45522</v>
      </c>
      <c r="IC5" s="77">
        <v>45523</v>
      </c>
      <c r="ID5" s="77">
        <v>45524</v>
      </c>
      <c r="IE5" s="77">
        <v>45525</v>
      </c>
      <c r="IF5" s="77">
        <v>45526</v>
      </c>
      <c r="IG5" s="77">
        <v>45527</v>
      </c>
      <c r="IH5" s="77">
        <v>45528</v>
      </c>
      <c r="II5" s="77">
        <v>45529</v>
      </c>
      <c r="IJ5" s="77">
        <v>45530</v>
      </c>
      <c r="IK5" s="77">
        <v>45531</v>
      </c>
      <c r="IL5" s="77">
        <v>45532</v>
      </c>
      <c r="IM5" s="77">
        <v>45533</v>
      </c>
      <c r="IN5" s="77">
        <v>45534</v>
      </c>
      <c r="IO5" s="77">
        <v>45535</v>
      </c>
      <c r="IP5" s="77">
        <v>45536</v>
      </c>
      <c r="IQ5" s="77">
        <v>45537</v>
      </c>
      <c r="IR5" s="77">
        <v>45538</v>
      </c>
      <c r="IS5" s="77">
        <v>45539</v>
      </c>
      <c r="IT5" s="77">
        <v>45540</v>
      </c>
      <c r="IU5" s="77">
        <v>45541</v>
      </c>
      <c r="IV5" s="77">
        <v>45542</v>
      </c>
      <c r="IW5" s="77">
        <v>45543</v>
      </c>
      <c r="IX5" s="77">
        <v>45544</v>
      </c>
      <c r="IY5" s="77">
        <v>45545</v>
      </c>
      <c r="IZ5" s="77">
        <v>45546</v>
      </c>
      <c r="JA5" s="77">
        <v>45547</v>
      </c>
      <c r="JB5" s="77">
        <v>45548</v>
      </c>
      <c r="JC5" s="77">
        <v>45549</v>
      </c>
      <c r="JD5" s="77">
        <v>45550</v>
      </c>
      <c r="JE5" s="77">
        <v>45551</v>
      </c>
      <c r="JF5" s="77">
        <v>45552</v>
      </c>
      <c r="JG5" s="77">
        <v>45553</v>
      </c>
      <c r="JH5" s="77">
        <v>45554</v>
      </c>
      <c r="JI5" s="77">
        <v>45555</v>
      </c>
      <c r="JJ5" s="77">
        <v>45556</v>
      </c>
      <c r="JK5" s="77">
        <v>45557</v>
      </c>
      <c r="JL5" s="77">
        <v>45558</v>
      </c>
      <c r="JM5" s="77">
        <v>45559</v>
      </c>
      <c r="JN5" s="77">
        <v>45560</v>
      </c>
      <c r="JO5" s="77">
        <v>45561</v>
      </c>
      <c r="JP5" s="77">
        <v>45562</v>
      </c>
      <c r="JQ5" s="77">
        <v>45563</v>
      </c>
      <c r="JR5" s="77">
        <v>45564</v>
      </c>
      <c r="JS5" s="77">
        <v>45565</v>
      </c>
      <c r="JT5" s="77">
        <v>45566</v>
      </c>
      <c r="JU5" s="77">
        <v>45567</v>
      </c>
      <c r="JV5" s="77">
        <v>45568</v>
      </c>
      <c r="JW5" s="77">
        <v>45569</v>
      </c>
      <c r="JX5" s="77">
        <v>45570</v>
      </c>
      <c r="JY5" s="77">
        <v>45571</v>
      </c>
      <c r="JZ5" s="77">
        <v>45572</v>
      </c>
      <c r="KA5" s="77">
        <v>45573</v>
      </c>
      <c r="KB5" s="77">
        <v>45574</v>
      </c>
      <c r="KC5" s="77">
        <v>45575</v>
      </c>
      <c r="KD5" s="77">
        <v>45576</v>
      </c>
      <c r="KE5" s="77">
        <v>45577</v>
      </c>
      <c r="KF5" s="77">
        <v>45578</v>
      </c>
      <c r="KG5" s="77">
        <v>45579</v>
      </c>
      <c r="KH5" s="77">
        <v>45580</v>
      </c>
      <c r="KI5" s="77">
        <v>45581</v>
      </c>
      <c r="KJ5" s="77">
        <v>45582</v>
      </c>
      <c r="KK5" s="77">
        <v>45583</v>
      </c>
      <c r="KL5" s="77">
        <v>45584</v>
      </c>
      <c r="KM5" s="77">
        <v>45585</v>
      </c>
      <c r="KN5" s="77">
        <v>45586</v>
      </c>
      <c r="KO5" s="77">
        <v>45587</v>
      </c>
      <c r="KP5" s="77">
        <v>45588</v>
      </c>
      <c r="KQ5" s="77">
        <v>45589</v>
      </c>
      <c r="KR5" s="77">
        <v>45590</v>
      </c>
      <c r="KS5" s="77">
        <v>45591</v>
      </c>
      <c r="KT5" s="77">
        <v>45592</v>
      </c>
      <c r="KU5" s="77">
        <v>45593</v>
      </c>
      <c r="KV5" s="77">
        <v>45594</v>
      </c>
      <c r="KW5" s="77">
        <v>45595</v>
      </c>
      <c r="KX5" s="77">
        <v>45596</v>
      </c>
      <c r="KY5" s="77">
        <v>45597</v>
      </c>
      <c r="KZ5" s="77">
        <v>45598</v>
      </c>
      <c r="LA5" s="77">
        <v>45599</v>
      </c>
      <c r="LB5" s="77">
        <v>45600</v>
      </c>
      <c r="LC5" s="77">
        <v>45601</v>
      </c>
      <c r="LD5" s="77">
        <v>45602</v>
      </c>
      <c r="LE5" s="77">
        <v>45603</v>
      </c>
      <c r="LF5" s="77">
        <v>45604</v>
      </c>
      <c r="LG5" s="77">
        <v>45605</v>
      </c>
      <c r="LH5" s="77">
        <v>45606</v>
      </c>
      <c r="LI5" s="77">
        <v>45607</v>
      </c>
      <c r="LJ5" s="77">
        <v>45608</v>
      </c>
      <c r="LK5" s="77">
        <v>45609</v>
      </c>
      <c r="LL5" s="77">
        <v>45610</v>
      </c>
      <c r="LM5" s="77">
        <v>45611</v>
      </c>
      <c r="LN5" s="77">
        <v>45612</v>
      </c>
      <c r="LO5" s="77">
        <v>45613</v>
      </c>
      <c r="LP5" s="77">
        <v>45614</v>
      </c>
      <c r="LQ5" s="77">
        <v>45615</v>
      </c>
      <c r="LR5" s="77">
        <v>45616</v>
      </c>
      <c r="LS5" s="77">
        <v>45617</v>
      </c>
      <c r="LT5" s="77">
        <v>45618</v>
      </c>
      <c r="LU5" s="77">
        <v>45619</v>
      </c>
      <c r="LV5" s="77">
        <v>45620</v>
      </c>
      <c r="LW5" s="77">
        <v>45621</v>
      </c>
      <c r="LX5" s="77">
        <v>45622</v>
      </c>
      <c r="LY5" s="77">
        <v>45623</v>
      </c>
      <c r="LZ5" s="77">
        <v>45624</v>
      </c>
      <c r="MA5" s="77">
        <v>45625</v>
      </c>
      <c r="MB5" s="77">
        <v>45626</v>
      </c>
      <c r="MC5" s="77">
        <v>45627</v>
      </c>
      <c r="MD5" s="77">
        <v>45628</v>
      </c>
      <c r="ME5" s="77">
        <v>45629</v>
      </c>
      <c r="MF5" s="77">
        <v>45630</v>
      </c>
      <c r="MG5" s="77">
        <v>45631</v>
      </c>
      <c r="MH5" s="77">
        <v>45632</v>
      </c>
      <c r="MI5" s="77">
        <v>45633</v>
      </c>
      <c r="MJ5" s="77">
        <v>45634</v>
      </c>
      <c r="MK5" s="77">
        <v>45635</v>
      </c>
      <c r="ML5" s="77">
        <v>45636</v>
      </c>
      <c r="MM5" s="77">
        <v>45637</v>
      </c>
      <c r="MN5" s="77">
        <v>45638</v>
      </c>
      <c r="MO5" s="77">
        <v>45639</v>
      </c>
      <c r="MP5" s="77">
        <v>45640</v>
      </c>
      <c r="MQ5" s="77">
        <v>45641</v>
      </c>
      <c r="MR5" s="77">
        <v>45642</v>
      </c>
      <c r="MS5" s="77">
        <v>45643</v>
      </c>
      <c r="MT5" s="77">
        <v>45644</v>
      </c>
      <c r="MU5" s="77">
        <v>45645</v>
      </c>
      <c r="MV5" s="77">
        <v>45646</v>
      </c>
      <c r="MW5" s="77">
        <v>45647</v>
      </c>
      <c r="MX5" s="77">
        <v>45648</v>
      </c>
      <c r="MY5" s="77">
        <v>45649</v>
      </c>
      <c r="MZ5" s="77">
        <v>45650</v>
      </c>
      <c r="NA5" s="77">
        <v>45651</v>
      </c>
      <c r="NB5" s="77">
        <v>45652</v>
      </c>
      <c r="NC5" s="77">
        <v>45653</v>
      </c>
      <c r="ND5" s="77">
        <v>45654</v>
      </c>
      <c r="NE5" s="77">
        <v>45655</v>
      </c>
      <c r="NF5" s="77">
        <v>45656</v>
      </c>
      <c r="NG5" s="77">
        <v>45657</v>
      </c>
      <c r="NH5" s="114"/>
      <c r="NI5" s="114"/>
      <c r="NJ5" s="4" t="s">
        <v>7</v>
      </c>
      <c r="NK5" s="5">
        <v>31</v>
      </c>
      <c r="NL5" s="3"/>
      <c r="NM5" s="3"/>
    </row>
    <row r="6" spans="1:377" x14ac:dyDescent="0.25">
      <c r="A6" s="6">
        <v>1</v>
      </c>
      <c r="B6" s="7"/>
      <c r="C6" s="8"/>
      <c r="D6" s="9"/>
      <c r="E6" s="10" t="s">
        <v>31</v>
      </c>
      <c r="F6" s="11"/>
      <c r="G6" s="12"/>
      <c r="H6" s="11"/>
      <c r="I6" s="12"/>
      <c r="J6" s="12"/>
      <c r="K6" s="13"/>
      <c r="L6" s="12"/>
      <c r="M6" s="12"/>
      <c r="N6" s="11"/>
      <c r="O6" s="11"/>
      <c r="P6" s="12"/>
      <c r="Q6" s="12"/>
      <c r="R6" s="13"/>
      <c r="S6" s="13"/>
      <c r="T6" s="12"/>
      <c r="U6" s="14"/>
      <c r="V6" s="11"/>
      <c r="W6" s="12"/>
      <c r="X6" s="12"/>
      <c r="Y6" s="13"/>
      <c r="Z6" s="12"/>
      <c r="AA6" s="12"/>
      <c r="AB6" s="12"/>
      <c r="AC6" s="12"/>
      <c r="AD6" s="12"/>
      <c r="AE6" s="12"/>
      <c r="AF6" s="13"/>
      <c r="AG6" s="12"/>
      <c r="AH6" s="12"/>
      <c r="AI6" s="12"/>
      <c r="AJ6" s="12"/>
      <c r="AK6" s="15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5">
        <f>COUNTIF(F6:NG6,"P")</f>
        <v>0</v>
      </c>
      <c r="NI6" s="5">
        <f>COUNTIF(F6:NG6,"A")</f>
        <v>0</v>
      </c>
      <c r="NJ6" s="5" t="s">
        <v>9</v>
      </c>
      <c r="NK6" s="17">
        <v>26</v>
      </c>
      <c r="NL6" s="18" t="s">
        <v>10</v>
      </c>
      <c r="NM6" s="3"/>
    </row>
    <row r="7" spans="1:377" ht="20.25" customHeight="1" x14ac:dyDescent="0.25">
      <c r="A7" s="17">
        <v>2</v>
      </c>
      <c r="B7" s="19"/>
      <c r="C7" s="20"/>
      <c r="D7" s="21"/>
      <c r="E7" s="10" t="s">
        <v>31</v>
      </c>
      <c r="F7" s="11"/>
      <c r="G7" s="12"/>
      <c r="H7" s="11"/>
      <c r="I7" s="12"/>
      <c r="J7" s="12"/>
      <c r="K7" s="13"/>
      <c r="L7" s="12"/>
      <c r="M7" s="12"/>
      <c r="N7" s="11"/>
      <c r="O7" s="11"/>
      <c r="P7" s="12"/>
      <c r="Q7" s="12"/>
      <c r="R7" s="13"/>
      <c r="S7" s="13"/>
      <c r="T7" s="12"/>
      <c r="U7" s="14"/>
      <c r="V7" s="11"/>
      <c r="W7" s="12"/>
      <c r="X7" s="12"/>
      <c r="Y7" s="13"/>
      <c r="Z7" s="12"/>
      <c r="AA7" s="12"/>
      <c r="AB7" s="12"/>
      <c r="AC7" s="12"/>
      <c r="AD7" s="12"/>
      <c r="AE7" s="12"/>
      <c r="AF7" s="13"/>
      <c r="AG7" s="12"/>
      <c r="AH7" s="12"/>
      <c r="AI7" s="12"/>
      <c r="AJ7" s="12"/>
      <c r="AK7" s="15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5">
        <f t="shared" ref="NH7:NH45" si="6">COUNTIF(F7:NG7,"P")</f>
        <v>0</v>
      </c>
      <c r="NI7" s="5">
        <f t="shared" ref="NI7:NI45" si="7">COUNTIF(F7:NG7,"A")</f>
        <v>0</v>
      </c>
      <c r="NJ7" s="5" t="s">
        <v>11</v>
      </c>
      <c r="NK7" s="17">
        <v>4</v>
      </c>
      <c r="NL7" s="3"/>
      <c r="NM7" s="3"/>
    </row>
    <row r="8" spans="1:377" x14ac:dyDescent="0.25">
      <c r="A8" s="6">
        <v>3</v>
      </c>
      <c r="B8" s="19"/>
      <c r="C8" s="20"/>
      <c r="D8" s="21"/>
      <c r="E8" s="10" t="s">
        <v>31</v>
      </c>
      <c r="F8" s="11"/>
      <c r="G8" s="12"/>
      <c r="H8" s="11"/>
      <c r="I8" s="12"/>
      <c r="J8" s="12"/>
      <c r="K8" s="13"/>
      <c r="L8" s="12"/>
      <c r="M8" s="12"/>
      <c r="N8" s="11"/>
      <c r="O8" s="11"/>
      <c r="P8" s="12"/>
      <c r="Q8" s="12"/>
      <c r="R8" s="13"/>
      <c r="S8" s="13"/>
      <c r="T8" s="12"/>
      <c r="U8" s="14"/>
      <c r="V8" s="11"/>
      <c r="W8" s="12"/>
      <c r="X8" s="12"/>
      <c r="Y8" s="13"/>
      <c r="Z8" s="12"/>
      <c r="AA8" s="12"/>
      <c r="AB8" s="12"/>
      <c r="AC8" s="12"/>
      <c r="AD8" s="12"/>
      <c r="AE8" s="12"/>
      <c r="AF8" s="13"/>
      <c r="AG8" s="12"/>
      <c r="AH8" s="12"/>
      <c r="AI8" s="12"/>
      <c r="AJ8" s="12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5">
        <f t="shared" si="6"/>
        <v>0</v>
      </c>
      <c r="NI8" s="5">
        <f t="shared" si="7"/>
        <v>0</v>
      </c>
      <c r="NJ8" s="3"/>
      <c r="NK8" s="3"/>
      <c r="NL8" s="3"/>
      <c r="NM8" s="3"/>
    </row>
    <row r="9" spans="1:377" ht="15.75" x14ac:dyDescent="0.25">
      <c r="A9" s="17">
        <v>4</v>
      </c>
      <c r="B9" s="19"/>
      <c r="C9" s="20"/>
      <c r="D9" s="21"/>
      <c r="E9" s="10" t="s">
        <v>31</v>
      </c>
      <c r="F9" s="11"/>
      <c r="G9" s="12"/>
      <c r="H9" s="11"/>
      <c r="I9" s="12"/>
      <c r="J9" s="12"/>
      <c r="K9" s="13"/>
      <c r="L9" s="12"/>
      <c r="M9" s="12"/>
      <c r="N9" s="11"/>
      <c r="O9" s="11"/>
      <c r="P9" s="12"/>
      <c r="Q9" s="12"/>
      <c r="R9" s="13"/>
      <c r="S9" s="13"/>
      <c r="T9" s="12"/>
      <c r="U9" s="14"/>
      <c r="V9" s="11"/>
      <c r="W9" s="12"/>
      <c r="X9" s="12"/>
      <c r="Y9" s="13"/>
      <c r="Z9" s="12"/>
      <c r="AA9" s="12"/>
      <c r="AB9" s="12"/>
      <c r="AC9" s="12"/>
      <c r="AD9" s="12"/>
      <c r="AE9" s="12"/>
      <c r="AF9" s="13"/>
      <c r="AG9" s="12"/>
      <c r="AH9" s="12"/>
      <c r="AI9" s="12"/>
      <c r="AJ9" s="12"/>
      <c r="AK9" s="22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5">
        <f t="shared" si="6"/>
        <v>0</v>
      </c>
      <c r="NI9" s="5">
        <f t="shared" si="7"/>
        <v>0</v>
      </c>
      <c r="NJ9" s="103" t="s">
        <v>12</v>
      </c>
      <c r="NK9" s="105"/>
      <c r="NL9" s="105"/>
      <c r="NM9" s="104"/>
    </row>
    <row r="10" spans="1:377" x14ac:dyDescent="0.25">
      <c r="A10" s="6">
        <v>5</v>
      </c>
      <c r="B10" s="19"/>
      <c r="C10" s="20"/>
      <c r="D10" s="21"/>
      <c r="E10" s="10" t="s">
        <v>31</v>
      </c>
      <c r="F10" s="11"/>
      <c r="G10" s="12"/>
      <c r="H10" s="11"/>
      <c r="I10" s="12"/>
      <c r="J10" s="12"/>
      <c r="K10" s="13"/>
      <c r="L10" s="12"/>
      <c r="M10" s="12"/>
      <c r="N10" s="11"/>
      <c r="O10" s="11"/>
      <c r="P10" s="12"/>
      <c r="Q10" s="12"/>
      <c r="R10" s="13"/>
      <c r="S10" s="13"/>
      <c r="T10" s="12"/>
      <c r="U10" s="14"/>
      <c r="V10" s="11"/>
      <c r="W10" s="12"/>
      <c r="X10" s="12"/>
      <c r="Y10" s="13"/>
      <c r="Z10" s="12"/>
      <c r="AA10" s="12"/>
      <c r="AB10" s="12"/>
      <c r="AC10" s="12"/>
      <c r="AD10" s="12"/>
      <c r="AE10" s="12"/>
      <c r="AF10" s="13"/>
      <c r="AG10" s="12"/>
      <c r="AH10" s="12"/>
      <c r="AI10" s="12"/>
      <c r="AJ10" s="12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5">
        <f t="shared" si="6"/>
        <v>0</v>
      </c>
      <c r="NI10" s="5">
        <f t="shared" si="7"/>
        <v>0</v>
      </c>
      <c r="NJ10" s="5" t="s">
        <v>13</v>
      </c>
      <c r="NK10" s="5" t="s">
        <v>14</v>
      </c>
      <c r="NL10" s="5" t="s">
        <v>15</v>
      </c>
      <c r="NM10" s="5" t="s">
        <v>16</v>
      </c>
    </row>
    <row r="11" spans="1:377" x14ac:dyDescent="0.25">
      <c r="A11" s="17">
        <v>6</v>
      </c>
      <c r="B11" s="19"/>
      <c r="C11" s="20"/>
      <c r="D11" s="21"/>
      <c r="E11" s="10" t="s">
        <v>31</v>
      </c>
      <c r="F11" s="11"/>
      <c r="G11" s="12"/>
      <c r="H11" s="11"/>
      <c r="I11" s="12"/>
      <c r="J11" s="12"/>
      <c r="K11" s="13"/>
      <c r="L11" s="12"/>
      <c r="M11" s="12"/>
      <c r="N11" s="11"/>
      <c r="O11" s="11"/>
      <c r="P11" s="12"/>
      <c r="Q11" s="12"/>
      <c r="R11" s="13"/>
      <c r="S11" s="13"/>
      <c r="T11" s="12"/>
      <c r="U11" s="14"/>
      <c r="V11" s="11"/>
      <c r="W11" s="12"/>
      <c r="X11" s="12"/>
      <c r="Y11" s="13"/>
      <c r="Z11" s="12"/>
      <c r="AA11" s="12"/>
      <c r="AB11" s="12"/>
      <c r="AC11" s="12"/>
      <c r="AD11" s="12"/>
      <c r="AE11" s="12"/>
      <c r="AF11" s="13"/>
      <c r="AG11" s="12"/>
      <c r="AH11" s="12"/>
      <c r="AI11" s="12"/>
      <c r="AJ11" s="1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5">
        <f t="shared" si="6"/>
        <v>0</v>
      </c>
      <c r="NI11" s="5">
        <f t="shared" si="7"/>
        <v>0</v>
      </c>
      <c r="NJ11" s="5" t="s">
        <v>17</v>
      </c>
      <c r="NK11" s="17">
        <f>19*26</f>
        <v>494</v>
      </c>
      <c r="NL11" s="17">
        <f>21*26</f>
        <v>546</v>
      </c>
      <c r="NM11" s="17">
        <f>SUM(NK11:NL11)</f>
        <v>1040</v>
      </c>
    </row>
    <row r="12" spans="1:377" x14ac:dyDescent="0.25">
      <c r="A12" s="6">
        <v>7</v>
      </c>
      <c r="B12" s="19"/>
      <c r="C12" s="20"/>
      <c r="D12" s="21"/>
      <c r="E12" s="10" t="s">
        <v>31</v>
      </c>
      <c r="F12" s="11"/>
      <c r="G12" s="12"/>
      <c r="H12" s="11"/>
      <c r="I12" s="12"/>
      <c r="J12" s="12"/>
      <c r="K12" s="13"/>
      <c r="L12" s="12"/>
      <c r="M12" s="12"/>
      <c r="N12" s="11"/>
      <c r="O12" s="11"/>
      <c r="P12" s="12"/>
      <c r="Q12" s="12"/>
      <c r="R12" s="13"/>
      <c r="S12" s="13"/>
      <c r="T12" s="12"/>
      <c r="U12" s="14"/>
      <c r="V12" s="11"/>
      <c r="W12" s="12"/>
      <c r="X12" s="12"/>
      <c r="Y12" s="13"/>
      <c r="Z12" s="12"/>
      <c r="AA12" s="12"/>
      <c r="AB12" s="12"/>
      <c r="AC12" s="12"/>
      <c r="AD12" s="12"/>
      <c r="AE12" s="12"/>
      <c r="AF12" s="13"/>
      <c r="AG12" s="12"/>
      <c r="AH12" s="12"/>
      <c r="AI12" s="12"/>
      <c r="AJ12" s="1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5">
        <f t="shared" si="6"/>
        <v>0</v>
      </c>
      <c r="NI12" s="5">
        <f t="shared" si="7"/>
        <v>0</v>
      </c>
      <c r="NJ12" s="5" t="s">
        <v>18</v>
      </c>
      <c r="NK12" s="17">
        <f>NH7+NH8+NH9+NH12+NH13+NH14+NH16+NH20+NH21+NH22+NH23+NH24+NH25+NH26+NH27+NH29+NH30+NH32+NH43</f>
        <v>0</v>
      </c>
      <c r="NL12" s="17">
        <f>NH6+NH10+NH11+NH15+NH17+NH18+NH19+NH28+NH31+NH33+NH34+NH35+NH36+NH37+NH38+NH39+NH40+NH41+NH42+NH44+NH45</f>
        <v>0</v>
      </c>
      <c r="NM12" s="17">
        <f>NK12+NL12</f>
        <v>0</v>
      </c>
    </row>
    <row r="13" spans="1:377" x14ac:dyDescent="0.25">
      <c r="A13" s="17">
        <v>8</v>
      </c>
      <c r="B13" s="19"/>
      <c r="C13" s="20"/>
      <c r="D13" s="21"/>
      <c r="E13" s="10" t="s">
        <v>31</v>
      </c>
      <c r="F13" s="11"/>
      <c r="G13" s="12"/>
      <c r="H13" s="11"/>
      <c r="I13" s="12"/>
      <c r="J13" s="12"/>
      <c r="K13" s="13"/>
      <c r="L13" s="12"/>
      <c r="M13" s="12"/>
      <c r="N13" s="11"/>
      <c r="O13" s="11"/>
      <c r="P13" s="12"/>
      <c r="Q13" s="12"/>
      <c r="R13" s="13"/>
      <c r="S13" s="13"/>
      <c r="T13" s="12"/>
      <c r="U13" s="14"/>
      <c r="V13" s="11"/>
      <c r="W13" s="12"/>
      <c r="X13" s="12"/>
      <c r="Y13" s="13"/>
      <c r="Z13" s="12"/>
      <c r="AA13" s="12"/>
      <c r="AB13" s="12"/>
      <c r="AC13" s="12"/>
      <c r="AD13" s="12"/>
      <c r="AE13" s="12"/>
      <c r="AF13" s="13"/>
      <c r="AG13" s="12"/>
      <c r="AH13" s="12"/>
      <c r="AI13" s="12"/>
      <c r="AJ13" s="1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5">
        <f t="shared" si="6"/>
        <v>0</v>
      </c>
      <c r="NI13" s="5">
        <f t="shared" si="7"/>
        <v>0</v>
      </c>
      <c r="NJ13" s="5" t="s">
        <v>19</v>
      </c>
      <c r="NK13" s="17">
        <f>NK12/NK11</f>
        <v>0</v>
      </c>
      <c r="NL13" s="17">
        <f>NL12/NL11</f>
        <v>0</v>
      </c>
      <c r="NM13" s="17">
        <f>NM12/NM11</f>
        <v>0</v>
      </c>
    </row>
    <row r="14" spans="1:377" x14ac:dyDescent="0.25">
      <c r="A14" s="6">
        <v>9</v>
      </c>
      <c r="B14" s="19"/>
      <c r="C14" s="20"/>
      <c r="D14" s="21"/>
      <c r="E14" s="10" t="s">
        <v>31</v>
      </c>
      <c r="F14" s="11"/>
      <c r="G14" s="12"/>
      <c r="H14" s="11"/>
      <c r="I14" s="12"/>
      <c r="J14" s="12"/>
      <c r="K14" s="13"/>
      <c r="L14" s="12"/>
      <c r="M14" s="12"/>
      <c r="N14" s="11"/>
      <c r="O14" s="11"/>
      <c r="P14" s="12"/>
      <c r="Q14" s="12"/>
      <c r="R14" s="13"/>
      <c r="S14" s="13"/>
      <c r="T14" s="12"/>
      <c r="U14" s="14"/>
      <c r="V14" s="11"/>
      <c r="W14" s="12"/>
      <c r="X14" s="12"/>
      <c r="Y14" s="13"/>
      <c r="Z14" s="12"/>
      <c r="AA14" s="12"/>
      <c r="AB14" s="12"/>
      <c r="AC14" s="12"/>
      <c r="AD14" s="12"/>
      <c r="AE14" s="12"/>
      <c r="AF14" s="13"/>
      <c r="AG14" s="12"/>
      <c r="AH14" s="12"/>
      <c r="AI14" s="12"/>
      <c r="AJ14" s="12"/>
      <c r="AK14" s="23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5">
        <f t="shared" si="6"/>
        <v>0</v>
      </c>
      <c r="NI14" s="5">
        <f t="shared" si="7"/>
        <v>0</v>
      </c>
      <c r="NJ14" s="3"/>
      <c r="NK14" s="24"/>
      <c r="NL14" s="24"/>
      <c r="NM14" s="24"/>
    </row>
    <row r="15" spans="1:377" x14ac:dyDescent="0.25">
      <c r="A15" s="17">
        <v>10</v>
      </c>
      <c r="B15" s="25"/>
      <c r="C15" s="20"/>
      <c r="D15" s="21"/>
      <c r="E15" s="10" t="s">
        <v>31</v>
      </c>
      <c r="F15" s="11"/>
      <c r="G15" s="12"/>
      <c r="H15" s="11"/>
      <c r="I15" s="12"/>
      <c r="J15" s="12"/>
      <c r="K15" s="13"/>
      <c r="L15" s="12"/>
      <c r="M15" s="12"/>
      <c r="N15" s="11"/>
      <c r="O15" s="11"/>
      <c r="P15" s="12"/>
      <c r="Q15" s="12"/>
      <c r="R15" s="13"/>
      <c r="S15" s="13"/>
      <c r="T15" s="12"/>
      <c r="U15" s="14"/>
      <c r="V15" s="11"/>
      <c r="W15" s="12"/>
      <c r="X15" s="12"/>
      <c r="Y15" s="13"/>
      <c r="Z15" s="12"/>
      <c r="AA15" s="12"/>
      <c r="AB15" s="12"/>
      <c r="AC15" s="12"/>
      <c r="AD15" s="12"/>
      <c r="AE15" s="12"/>
      <c r="AF15" s="13"/>
      <c r="AG15" s="12"/>
      <c r="AH15" s="12"/>
      <c r="AI15" s="12"/>
      <c r="AJ15" s="1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5">
        <f t="shared" si="6"/>
        <v>0</v>
      </c>
      <c r="NI15" s="5">
        <f t="shared" si="7"/>
        <v>0</v>
      </c>
      <c r="NJ15" s="26"/>
      <c r="NK15" s="26"/>
      <c r="NL15" s="26"/>
      <c r="NM15" s="26"/>
    </row>
    <row r="16" spans="1:377" x14ac:dyDescent="0.25">
      <c r="A16" s="6">
        <v>11</v>
      </c>
      <c r="B16" s="19"/>
      <c r="C16" s="20"/>
      <c r="D16" s="21"/>
      <c r="E16" s="10" t="s">
        <v>31</v>
      </c>
      <c r="F16" s="11"/>
      <c r="G16" s="12"/>
      <c r="H16" s="11"/>
      <c r="I16" s="12"/>
      <c r="J16" s="12"/>
      <c r="K16" s="13"/>
      <c r="L16" s="12"/>
      <c r="M16" s="12"/>
      <c r="N16" s="11"/>
      <c r="O16" s="11"/>
      <c r="P16" s="12"/>
      <c r="Q16" s="12"/>
      <c r="R16" s="13"/>
      <c r="S16" s="13"/>
      <c r="T16" s="12"/>
      <c r="U16" s="14"/>
      <c r="V16" s="11"/>
      <c r="W16" s="12"/>
      <c r="X16" s="12"/>
      <c r="Y16" s="13"/>
      <c r="Z16" s="12"/>
      <c r="AA16" s="12"/>
      <c r="AB16" s="12"/>
      <c r="AC16" s="12"/>
      <c r="AD16" s="12"/>
      <c r="AE16" s="12"/>
      <c r="AF16" s="13"/>
      <c r="AG16" s="12"/>
      <c r="AH16" s="12"/>
      <c r="AI16" s="12"/>
      <c r="AJ16" s="1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5">
        <f t="shared" si="6"/>
        <v>0</v>
      </c>
      <c r="NI16" s="5">
        <f t="shared" si="7"/>
        <v>0</v>
      </c>
      <c r="NJ16" s="3"/>
      <c r="NK16" s="3"/>
      <c r="NL16" s="3"/>
      <c r="NM16" s="3"/>
    </row>
    <row r="17" spans="1:377" ht="15.75" x14ac:dyDescent="0.25">
      <c r="A17" s="17">
        <v>12</v>
      </c>
      <c r="B17" s="19"/>
      <c r="C17" s="20"/>
      <c r="D17" s="21"/>
      <c r="E17" s="10" t="s">
        <v>31</v>
      </c>
      <c r="F17" s="11"/>
      <c r="G17" s="12"/>
      <c r="H17" s="11"/>
      <c r="I17" s="12"/>
      <c r="J17" s="12"/>
      <c r="K17" s="13"/>
      <c r="L17" s="12"/>
      <c r="M17" s="12"/>
      <c r="N17" s="11"/>
      <c r="O17" s="11"/>
      <c r="P17" s="12"/>
      <c r="Q17" s="12"/>
      <c r="R17" s="13"/>
      <c r="S17" s="13"/>
      <c r="T17" s="12"/>
      <c r="U17" s="14"/>
      <c r="V17" s="11"/>
      <c r="W17" s="12"/>
      <c r="X17" s="12"/>
      <c r="Y17" s="13"/>
      <c r="Z17" s="12"/>
      <c r="AA17" s="12"/>
      <c r="AB17" s="12"/>
      <c r="AC17" s="12"/>
      <c r="AD17" s="12"/>
      <c r="AE17" s="12"/>
      <c r="AF17" s="13"/>
      <c r="AG17" s="12"/>
      <c r="AH17" s="12"/>
      <c r="AI17" s="12"/>
      <c r="AJ17" s="1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5">
        <f t="shared" si="6"/>
        <v>0</v>
      </c>
      <c r="NI17" s="5">
        <f t="shared" si="7"/>
        <v>0</v>
      </c>
      <c r="NJ17" s="103" t="s">
        <v>6</v>
      </c>
      <c r="NK17" s="105"/>
      <c r="NL17" s="105"/>
      <c r="NM17" s="104"/>
    </row>
    <row r="18" spans="1:377" x14ac:dyDescent="0.25">
      <c r="A18" s="6">
        <v>13</v>
      </c>
      <c r="B18" s="19"/>
      <c r="C18" s="20"/>
      <c r="D18" s="21"/>
      <c r="E18" s="10" t="s">
        <v>31</v>
      </c>
      <c r="F18" s="11"/>
      <c r="G18" s="12"/>
      <c r="H18" s="11"/>
      <c r="I18" s="12"/>
      <c r="J18" s="12"/>
      <c r="K18" s="13"/>
      <c r="L18" s="12"/>
      <c r="M18" s="12"/>
      <c r="N18" s="11"/>
      <c r="O18" s="11"/>
      <c r="P18" s="12"/>
      <c r="Q18" s="12"/>
      <c r="R18" s="13"/>
      <c r="S18" s="13"/>
      <c r="T18" s="12"/>
      <c r="U18" s="14"/>
      <c r="V18" s="11"/>
      <c r="W18" s="12"/>
      <c r="X18" s="12"/>
      <c r="Y18" s="13"/>
      <c r="Z18" s="12"/>
      <c r="AA18" s="12"/>
      <c r="AB18" s="12"/>
      <c r="AC18" s="12"/>
      <c r="AD18" s="12"/>
      <c r="AE18" s="12"/>
      <c r="AF18" s="13"/>
      <c r="AG18" s="12"/>
      <c r="AH18" s="12"/>
      <c r="AI18" s="12"/>
      <c r="AJ18" s="1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5">
        <f t="shared" si="6"/>
        <v>0</v>
      </c>
      <c r="NI18" s="5">
        <f t="shared" si="7"/>
        <v>0</v>
      </c>
      <c r="NJ18" s="5" t="s">
        <v>13</v>
      </c>
      <c r="NK18" s="5" t="s">
        <v>14</v>
      </c>
      <c r="NL18" s="5" t="s">
        <v>15</v>
      </c>
      <c r="NM18" s="5" t="s">
        <v>16</v>
      </c>
    </row>
    <row r="19" spans="1:377" x14ac:dyDescent="0.25">
      <c r="A19" s="17">
        <v>14</v>
      </c>
      <c r="B19" s="19"/>
      <c r="C19" s="20"/>
      <c r="D19" s="21"/>
      <c r="E19" s="10" t="s">
        <v>31</v>
      </c>
      <c r="F19" s="11"/>
      <c r="G19" s="12"/>
      <c r="H19" s="11"/>
      <c r="I19" s="12"/>
      <c r="J19" s="12"/>
      <c r="K19" s="13"/>
      <c r="L19" s="12"/>
      <c r="M19" s="12"/>
      <c r="N19" s="11"/>
      <c r="O19" s="11"/>
      <c r="P19" s="12"/>
      <c r="Q19" s="12"/>
      <c r="R19" s="13"/>
      <c r="S19" s="13"/>
      <c r="T19" s="12"/>
      <c r="U19" s="14"/>
      <c r="V19" s="11"/>
      <c r="W19" s="12"/>
      <c r="X19" s="12"/>
      <c r="Y19" s="13"/>
      <c r="Z19" s="12"/>
      <c r="AA19" s="12"/>
      <c r="AB19" s="12"/>
      <c r="AC19" s="12"/>
      <c r="AD19" s="12"/>
      <c r="AE19" s="12"/>
      <c r="AF19" s="13"/>
      <c r="AG19" s="12"/>
      <c r="AH19" s="12"/>
      <c r="AI19" s="12"/>
      <c r="AJ19" s="1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5">
        <f t="shared" si="6"/>
        <v>0</v>
      </c>
      <c r="NI19" s="5">
        <f t="shared" si="7"/>
        <v>0</v>
      </c>
      <c r="NJ19" s="5" t="s">
        <v>17</v>
      </c>
      <c r="NK19" s="17">
        <f>19*26</f>
        <v>494</v>
      </c>
      <c r="NL19" s="17">
        <f>21*26</f>
        <v>546</v>
      </c>
      <c r="NM19" s="17">
        <f>NK19+NL19</f>
        <v>1040</v>
      </c>
    </row>
    <row r="20" spans="1:377" x14ac:dyDescent="0.25">
      <c r="A20" s="6">
        <v>15</v>
      </c>
      <c r="B20" s="19"/>
      <c r="C20" s="20"/>
      <c r="D20" s="21"/>
      <c r="E20" s="10" t="s">
        <v>31</v>
      </c>
      <c r="F20" s="11"/>
      <c r="G20" s="12"/>
      <c r="H20" s="11"/>
      <c r="I20" s="12"/>
      <c r="J20" s="12"/>
      <c r="K20" s="13"/>
      <c r="L20" s="12"/>
      <c r="M20" s="12"/>
      <c r="N20" s="11"/>
      <c r="O20" s="11"/>
      <c r="P20" s="12"/>
      <c r="Q20" s="12"/>
      <c r="R20" s="13"/>
      <c r="S20" s="13"/>
      <c r="T20" s="12"/>
      <c r="U20" s="14"/>
      <c r="V20" s="11"/>
      <c r="W20" s="12"/>
      <c r="X20" s="12"/>
      <c r="Y20" s="13"/>
      <c r="Z20" s="12"/>
      <c r="AA20" s="12"/>
      <c r="AB20" s="12"/>
      <c r="AC20" s="12"/>
      <c r="AD20" s="12"/>
      <c r="AE20" s="12"/>
      <c r="AF20" s="13"/>
      <c r="AG20" s="12"/>
      <c r="AH20" s="12"/>
      <c r="AI20" s="12"/>
      <c r="AJ20" s="1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5">
        <f t="shared" si="6"/>
        <v>0</v>
      </c>
      <c r="NI20" s="5">
        <f t="shared" si="7"/>
        <v>0</v>
      </c>
      <c r="NJ20" s="5" t="s">
        <v>20</v>
      </c>
      <c r="NK20" s="17">
        <f>NK19-NK12</f>
        <v>494</v>
      </c>
      <c r="NL20" s="17">
        <f>NL19-NL12</f>
        <v>546</v>
      </c>
      <c r="NM20" s="17">
        <f>NK20+NL20</f>
        <v>1040</v>
      </c>
    </row>
    <row r="21" spans="1:377" x14ac:dyDescent="0.25">
      <c r="A21" s="17">
        <v>16</v>
      </c>
      <c r="B21" s="19"/>
      <c r="C21" s="20"/>
      <c r="D21" s="21"/>
      <c r="E21" s="10" t="s">
        <v>31</v>
      </c>
      <c r="F21" s="11"/>
      <c r="G21" s="12"/>
      <c r="H21" s="11"/>
      <c r="I21" s="12"/>
      <c r="J21" s="12"/>
      <c r="K21" s="13"/>
      <c r="L21" s="12"/>
      <c r="M21" s="12"/>
      <c r="N21" s="11"/>
      <c r="O21" s="11"/>
      <c r="P21" s="12"/>
      <c r="Q21" s="12"/>
      <c r="R21" s="13"/>
      <c r="S21" s="13"/>
      <c r="T21" s="12"/>
      <c r="U21" s="14"/>
      <c r="V21" s="11"/>
      <c r="W21" s="12"/>
      <c r="X21" s="12"/>
      <c r="Y21" s="13"/>
      <c r="Z21" s="12"/>
      <c r="AA21" s="12"/>
      <c r="AB21" s="12"/>
      <c r="AC21" s="12"/>
      <c r="AD21" s="12"/>
      <c r="AE21" s="12"/>
      <c r="AF21" s="13"/>
      <c r="AG21" s="12"/>
      <c r="AH21" s="12"/>
      <c r="AI21" s="12"/>
      <c r="AJ21" s="1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5">
        <f t="shared" si="6"/>
        <v>0</v>
      </c>
      <c r="NI21" s="5">
        <f t="shared" si="7"/>
        <v>0</v>
      </c>
      <c r="NJ21" s="5" t="s">
        <v>16</v>
      </c>
      <c r="NK21" s="27">
        <f>NK20/NK19</f>
        <v>1</v>
      </c>
      <c r="NL21" s="27">
        <f>NL20/NL19</f>
        <v>1</v>
      </c>
      <c r="NM21" s="27">
        <f>NM20/NM19</f>
        <v>1</v>
      </c>
    </row>
    <row r="22" spans="1:377" x14ac:dyDescent="0.25">
      <c r="A22" s="6">
        <v>17</v>
      </c>
      <c r="B22" s="19"/>
      <c r="C22" s="20"/>
      <c r="D22" s="21"/>
      <c r="E22" s="10" t="s">
        <v>31</v>
      </c>
      <c r="F22" s="11"/>
      <c r="G22" s="12"/>
      <c r="H22" s="11"/>
      <c r="I22" s="12"/>
      <c r="J22" s="12"/>
      <c r="K22" s="13"/>
      <c r="L22" s="12"/>
      <c r="M22" s="12"/>
      <c r="N22" s="11"/>
      <c r="O22" s="11"/>
      <c r="P22" s="12"/>
      <c r="Q22" s="12"/>
      <c r="R22" s="13"/>
      <c r="S22" s="13"/>
      <c r="T22" s="12"/>
      <c r="U22" s="14"/>
      <c r="V22" s="11"/>
      <c r="W22" s="12"/>
      <c r="X22" s="12"/>
      <c r="Y22" s="13"/>
      <c r="Z22" s="12"/>
      <c r="AA22" s="12"/>
      <c r="AB22" s="12"/>
      <c r="AC22" s="12"/>
      <c r="AD22" s="12"/>
      <c r="AE22" s="12"/>
      <c r="AF22" s="13"/>
      <c r="AG22" s="12"/>
      <c r="AH22" s="12"/>
      <c r="AI22" s="12"/>
      <c r="AJ22" s="1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5">
        <f t="shared" si="6"/>
        <v>0</v>
      </c>
      <c r="NI22" s="5">
        <f t="shared" si="7"/>
        <v>0</v>
      </c>
    </row>
    <row r="23" spans="1:377" x14ac:dyDescent="0.25">
      <c r="A23" s="17">
        <v>18</v>
      </c>
      <c r="B23" s="19"/>
      <c r="C23" s="20"/>
      <c r="D23" s="21"/>
      <c r="E23" s="10" t="s">
        <v>31</v>
      </c>
      <c r="F23" s="11"/>
      <c r="G23" s="12"/>
      <c r="H23" s="11"/>
      <c r="I23" s="12"/>
      <c r="J23" s="12"/>
      <c r="K23" s="13"/>
      <c r="L23" s="12"/>
      <c r="M23" s="12"/>
      <c r="N23" s="11"/>
      <c r="O23" s="11"/>
      <c r="P23" s="12"/>
      <c r="Q23" s="12"/>
      <c r="R23" s="13"/>
      <c r="S23" s="13"/>
      <c r="T23" s="12"/>
      <c r="U23" s="14"/>
      <c r="V23" s="11"/>
      <c r="W23" s="12"/>
      <c r="X23" s="12"/>
      <c r="Y23" s="13"/>
      <c r="Z23" s="12"/>
      <c r="AA23" s="12"/>
      <c r="AB23" s="12"/>
      <c r="AC23" s="12"/>
      <c r="AD23" s="12"/>
      <c r="AE23" s="12"/>
      <c r="AF23" s="13"/>
      <c r="AG23" s="12"/>
      <c r="AH23" s="12"/>
      <c r="AI23" s="12"/>
      <c r="AJ23" s="1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5">
        <f t="shared" si="6"/>
        <v>0</v>
      </c>
      <c r="NI23" s="5">
        <f t="shared" si="7"/>
        <v>0</v>
      </c>
    </row>
    <row r="24" spans="1:377" x14ac:dyDescent="0.25">
      <c r="A24" s="6">
        <v>19</v>
      </c>
      <c r="B24" s="19"/>
      <c r="C24" s="20"/>
      <c r="D24" s="21"/>
      <c r="E24" s="10" t="s">
        <v>31</v>
      </c>
      <c r="F24" s="11"/>
      <c r="G24" s="12"/>
      <c r="H24" s="11"/>
      <c r="I24" s="12"/>
      <c r="J24" s="12"/>
      <c r="K24" s="13"/>
      <c r="L24" s="12"/>
      <c r="M24" s="12"/>
      <c r="N24" s="11"/>
      <c r="O24" s="11"/>
      <c r="P24" s="12"/>
      <c r="Q24" s="12"/>
      <c r="R24" s="13"/>
      <c r="S24" s="13"/>
      <c r="T24" s="12"/>
      <c r="U24" s="14"/>
      <c r="V24" s="11"/>
      <c r="W24" s="12"/>
      <c r="X24" s="12"/>
      <c r="Y24" s="13"/>
      <c r="Z24" s="12"/>
      <c r="AA24" s="12"/>
      <c r="AB24" s="12"/>
      <c r="AC24" s="12"/>
      <c r="AD24" s="12"/>
      <c r="AE24" s="12"/>
      <c r="AF24" s="13"/>
      <c r="AG24" s="12"/>
      <c r="AH24" s="12"/>
      <c r="AI24" s="12"/>
      <c r="AJ24" s="1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5">
        <f t="shared" si="6"/>
        <v>0</v>
      </c>
      <c r="NI24" s="5">
        <f t="shared" si="7"/>
        <v>0</v>
      </c>
    </row>
    <row r="25" spans="1:377" x14ac:dyDescent="0.25">
      <c r="A25" s="17">
        <v>20</v>
      </c>
      <c r="B25" s="19"/>
      <c r="C25" s="20"/>
      <c r="D25" s="21"/>
      <c r="E25" s="10" t="s">
        <v>31</v>
      </c>
      <c r="F25" s="11"/>
      <c r="G25" s="12"/>
      <c r="H25" s="11"/>
      <c r="I25" s="12"/>
      <c r="J25" s="12"/>
      <c r="K25" s="13"/>
      <c r="L25" s="12"/>
      <c r="M25" s="12"/>
      <c r="N25" s="11"/>
      <c r="O25" s="11"/>
      <c r="P25" s="12"/>
      <c r="Q25" s="12"/>
      <c r="R25" s="13"/>
      <c r="S25" s="13"/>
      <c r="T25" s="12"/>
      <c r="U25" s="14"/>
      <c r="V25" s="11"/>
      <c r="W25" s="12"/>
      <c r="X25" s="12"/>
      <c r="Y25" s="13"/>
      <c r="Z25" s="12"/>
      <c r="AA25" s="12"/>
      <c r="AB25" s="12"/>
      <c r="AC25" s="12"/>
      <c r="AD25" s="12"/>
      <c r="AE25" s="12"/>
      <c r="AF25" s="13"/>
      <c r="AG25" s="12"/>
      <c r="AH25" s="12"/>
      <c r="AI25" s="12"/>
      <c r="AJ25" s="1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5">
        <f t="shared" si="6"/>
        <v>0</v>
      </c>
      <c r="NI25" s="5">
        <f t="shared" si="7"/>
        <v>0</v>
      </c>
    </row>
    <row r="26" spans="1:377" x14ac:dyDescent="0.25">
      <c r="A26" s="6">
        <v>21</v>
      </c>
      <c r="B26" s="19"/>
      <c r="C26" s="20"/>
      <c r="D26" s="21"/>
      <c r="E26" s="10" t="s">
        <v>31</v>
      </c>
      <c r="F26" s="11"/>
      <c r="G26" s="12"/>
      <c r="H26" s="11"/>
      <c r="I26" s="12"/>
      <c r="J26" s="12"/>
      <c r="K26" s="13"/>
      <c r="L26" s="12"/>
      <c r="M26" s="12"/>
      <c r="N26" s="11"/>
      <c r="O26" s="11"/>
      <c r="P26" s="12"/>
      <c r="Q26" s="12"/>
      <c r="R26" s="13"/>
      <c r="S26" s="13"/>
      <c r="T26" s="12"/>
      <c r="U26" s="14"/>
      <c r="V26" s="11"/>
      <c r="W26" s="12"/>
      <c r="X26" s="12"/>
      <c r="Y26" s="13"/>
      <c r="Z26" s="12"/>
      <c r="AA26" s="12"/>
      <c r="AB26" s="12"/>
      <c r="AC26" s="12"/>
      <c r="AD26" s="12"/>
      <c r="AE26" s="12"/>
      <c r="AF26" s="13"/>
      <c r="AG26" s="12"/>
      <c r="AH26" s="12"/>
      <c r="AI26" s="12"/>
      <c r="AJ26" s="1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5">
        <f t="shared" si="6"/>
        <v>0</v>
      </c>
      <c r="NI26" s="5">
        <f t="shared" si="7"/>
        <v>0</v>
      </c>
    </row>
    <row r="27" spans="1:377" x14ac:dyDescent="0.25">
      <c r="A27" s="17">
        <v>22</v>
      </c>
      <c r="B27" s="19"/>
      <c r="C27" s="20"/>
      <c r="D27" s="21"/>
      <c r="E27" s="10" t="s">
        <v>31</v>
      </c>
      <c r="F27" s="11"/>
      <c r="G27" s="12"/>
      <c r="H27" s="11"/>
      <c r="I27" s="12"/>
      <c r="J27" s="12"/>
      <c r="K27" s="13"/>
      <c r="L27" s="12"/>
      <c r="M27" s="12"/>
      <c r="N27" s="11"/>
      <c r="O27" s="11"/>
      <c r="P27" s="12"/>
      <c r="Q27" s="12"/>
      <c r="R27" s="13"/>
      <c r="S27" s="13"/>
      <c r="T27" s="12"/>
      <c r="U27" s="14"/>
      <c r="V27" s="11"/>
      <c r="W27" s="12"/>
      <c r="X27" s="12"/>
      <c r="Y27" s="13"/>
      <c r="Z27" s="12"/>
      <c r="AA27" s="12"/>
      <c r="AB27" s="12"/>
      <c r="AC27" s="12"/>
      <c r="AD27" s="12"/>
      <c r="AE27" s="12"/>
      <c r="AF27" s="13"/>
      <c r="AG27" s="12"/>
      <c r="AH27" s="12"/>
      <c r="AI27" s="12"/>
      <c r="AJ27" s="1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5">
        <f t="shared" si="6"/>
        <v>0</v>
      </c>
      <c r="NI27" s="5">
        <f t="shared" si="7"/>
        <v>0</v>
      </c>
    </row>
    <row r="28" spans="1:377" x14ac:dyDescent="0.25">
      <c r="A28" s="6">
        <v>23</v>
      </c>
      <c r="B28" s="19"/>
      <c r="C28" s="20"/>
      <c r="D28" s="21"/>
      <c r="E28" s="10" t="s">
        <v>31</v>
      </c>
      <c r="F28" s="11"/>
      <c r="G28" s="12"/>
      <c r="H28" s="11"/>
      <c r="I28" s="12"/>
      <c r="J28" s="12"/>
      <c r="K28" s="13"/>
      <c r="L28" s="12"/>
      <c r="M28" s="12"/>
      <c r="N28" s="11"/>
      <c r="O28" s="11"/>
      <c r="P28" s="12"/>
      <c r="Q28" s="12"/>
      <c r="R28" s="13"/>
      <c r="S28" s="13"/>
      <c r="T28" s="12"/>
      <c r="U28" s="14"/>
      <c r="V28" s="11"/>
      <c r="W28" s="12"/>
      <c r="X28" s="12"/>
      <c r="Y28" s="13"/>
      <c r="Z28" s="12"/>
      <c r="AA28" s="12"/>
      <c r="AB28" s="12"/>
      <c r="AC28" s="12"/>
      <c r="AD28" s="12"/>
      <c r="AE28" s="12"/>
      <c r="AF28" s="13"/>
      <c r="AG28" s="12"/>
      <c r="AH28" s="12"/>
      <c r="AI28" s="12"/>
      <c r="AJ28" s="1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5">
        <f t="shared" si="6"/>
        <v>0</v>
      </c>
      <c r="NI28" s="5">
        <f t="shared" si="7"/>
        <v>0</v>
      </c>
    </row>
    <row r="29" spans="1:377" x14ac:dyDescent="0.25">
      <c r="A29" s="17">
        <v>24</v>
      </c>
      <c r="B29" s="19"/>
      <c r="C29" s="20"/>
      <c r="D29" s="21"/>
      <c r="E29" s="10" t="s">
        <v>31</v>
      </c>
      <c r="F29" s="11"/>
      <c r="G29" s="12"/>
      <c r="H29" s="11"/>
      <c r="I29" s="12"/>
      <c r="J29" s="12"/>
      <c r="K29" s="13"/>
      <c r="L29" s="12"/>
      <c r="M29" s="12"/>
      <c r="N29" s="11"/>
      <c r="O29" s="11"/>
      <c r="P29" s="12"/>
      <c r="Q29" s="12"/>
      <c r="R29" s="13"/>
      <c r="S29" s="13"/>
      <c r="T29" s="12"/>
      <c r="U29" s="14"/>
      <c r="V29" s="11"/>
      <c r="W29" s="12"/>
      <c r="X29" s="12"/>
      <c r="Y29" s="13"/>
      <c r="Z29" s="12"/>
      <c r="AA29" s="12"/>
      <c r="AB29" s="12"/>
      <c r="AC29" s="12"/>
      <c r="AD29" s="12"/>
      <c r="AE29" s="12"/>
      <c r="AF29" s="13"/>
      <c r="AG29" s="12"/>
      <c r="AH29" s="12"/>
      <c r="AI29" s="12"/>
      <c r="AJ29" s="1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5">
        <f t="shared" si="6"/>
        <v>0</v>
      </c>
      <c r="NI29" s="5">
        <f t="shared" si="7"/>
        <v>0</v>
      </c>
    </row>
    <row r="30" spans="1:377" x14ac:dyDescent="0.25">
      <c r="A30" s="6">
        <v>25</v>
      </c>
      <c r="B30" s="19"/>
      <c r="C30" s="20"/>
      <c r="D30" s="21"/>
      <c r="E30" s="10" t="s">
        <v>31</v>
      </c>
      <c r="F30" s="11"/>
      <c r="G30" s="12"/>
      <c r="H30" s="11"/>
      <c r="I30" s="12"/>
      <c r="J30" s="12"/>
      <c r="K30" s="13"/>
      <c r="L30" s="12"/>
      <c r="M30" s="12"/>
      <c r="N30" s="11"/>
      <c r="O30" s="11"/>
      <c r="P30" s="12"/>
      <c r="Q30" s="12"/>
      <c r="R30" s="13"/>
      <c r="S30" s="13"/>
      <c r="T30" s="12"/>
      <c r="U30" s="14"/>
      <c r="V30" s="11"/>
      <c r="W30" s="12"/>
      <c r="X30" s="12"/>
      <c r="Y30" s="13"/>
      <c r="Z30" s="12"/>
      <c r="AA30" s="12"/>
      <c r="AB30" s="12"/>
      <c r="AC30" s="12"/>
      <c r="AD30" s="12"/>
      <c r="AE30" s="12"/>
      <c r="AF30" s="13"/>
      <c r="AG30" s="12"/>
      <c r="AH30" s="12"/>
      <c r="AI30" s="12"/>
      <c r="AJ30" s="1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/>
      <c r="LF30" s="16"/>
      <c r="LG30" s="16"/>
      <c r="LH30" s="16"/>
      <c r="LI30" s="16"/>
      <c r="LJ30" s="16"/>
      <c r="LK30" s="16"/>
      <c r="LL30" s="16"/>
      <c r="LM30" s="16"/>
      <c r="LN30" s="16"/>
      <c r="LO30" s="16"/>
      <c r="LP30" s="16"/>
      <c r="LQ30" s="16"/>
      <c r="LR30" s="16"/>
      <c r="LS30" s="16"/>
      <c r="LT30" s="16"/>
      <c r="LU30" s="16"/>
      <c r="LV30" s="16"/>
      <c r="LW30" s="16"/>
      <c r="LX30" s="16"/>
      <c r="LY30" s="16"/>
      <c r="LZ30" s="16"/>
      <c r="MA30" s="16"/>
      <c r="MB30" s="16"/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5">
        <f t="shared" si="6"/>
        <v>0</v>
      </c>
      <c r="NI30" s="5">
        <f t="shared" si="7"/>
        <v>0</v>
      </c>
    </row>
    <row r="31" spans="1:377" x14ac:dyDescent="0.25">
      <c r="A31" s="17">
        <v>26</v>
      </c>
      <c r="B31" s="19"/>
      <c r="C31" s="20"/>
      <c r="D31" s="21"/>
      <c r="E31" s="10" t="s">
        <v>31</v>
      </c>
      <c r="F31" s="11"/>
      <c r="G31" s="12"/>
      <c r="H31" s="11"/>
      <c r="I31" s="12"/>
      <c r="J31" s="12"/>
      <c r="K31" s="13"/>
      <c r="L31" s="12"/>
      <c r="M31" s="12"/>
      <c r="N31" s="11"/>
      <c r="O31" s="11"/>
      <c r="P31" s="12"/>
      <c r="Q31" s="12"/>
      <c r="R31" s="13"/>
      <c r="S31" s="13"/>
      <c r="T31" s="12"/>
      <c r="U31" s="14"/>
      <c r="V31" s="11"/>
      <c r="W31" s="12"/>
      <c r="X31" s="12"/>
      <c r="Y31" s="13"/>
      <c r="Z31" s="12"/>
      <c r="AA31" s="12"/>
      <c r="AB31" s="12"/>
      <c r="AC31" s="12"/>
      <c r="AD31" s="12"/>
      <c r="AE31" s="12"/>
      <c r="AF31" s="13"/>
      <c r="AG31" s="12"/>
      <c r="AH31" s="12"/>
      <c r="AI31" s="12"/>
      <c r="AJ31" s="1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6"/>
      <c r="LD31" s="16"/>
      <c r="LE31" s="16"/>
      <c r="LF31" s="16"/>
      <c r="LG31" s="16"/>
      <c r="LH31" s="16"/>
      <c r="LI31" s="16"/>
      <c r="LJ31" s="16"/>
      <c r="LK31" s="16"/>
      <c r="LL31" s="16"/>
      <c r="LM31" s="16"/>
      <c r="LN31" s="16"/>
      <c r="LO31" s="16"/>
      <c r="LP31" s="16"/>
      <c r="LQ31" s="16"/>
      <c r="LR31" s="16"/>
      <c r="LS31" s="16"/>
      <c r="LT31" s="16"/>
      <c r="LU31" s="16"/>
      <c r="LV31" s="16"/>
      <c r="LW31" s="16"/>
      <c r="LX31" s="16"/>
      <c r="LY31" s="16"/>
      <c r="LZ31" s="16"/>
      <c r="MA31" s="16"/>
      <c r="MB31" s="16"/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5">
        <f t="shared" si="6"/>
        <v>0</v>
      </c>
      <c r="NI31" s="5">
        <f t="shared" si="7"/>
        <v>0</v>
      </c>
    </row>
    <row r="32" spans="1:377" x14ac:dyDescent="0.25">
      <c r="A32" s="6">
        <v>27</v>
      </c>
      <c r="B32" s="19"/>
      <c r="C32" s="20"/>
      <c r="D32" s="21"/>
      <c r="E32" s="10" t="s">
        <v>31</v>
      </c>
      <c r="F32" s="11"/>
      <c r="G32" s="12"/>
      <c r="H32" s="11"/>
      <c r="I32" s="12"/>
      <c r="J32" s="12"/>
      <c r="K32" s="13"/>
      <c r="L32" s="12"/>
      <c r="M32" s="12"/>
      <c r="N32" s="11"/>
      <c r="O32" s="11"/>
      <c r="P32" s="12"/>
      <c r="Q32" s="12"/>
      <c r="R32" s="13"/>
      <c r="S32" s="13"/>
      <c r="T32" s="12"/>
      <c r="U32" s="14"/>
      <c r="V32" s="11"/>
      <c r="W32" s="12"/>
      <c r="X32" s="12"/>
      <c r="Y32" s="13"/>
      <c r="Z32" s="12"/>
      <c r="AA32" s="12"/>
      <c r="AB32" s="12"/>
      <c r="AC32" s="12"/>
      <c r="AD32" s="12"/>
      <c r="AE32" s="12"/>
      <c r="AF32" s="13"/>
      <c r="AG32" s="12"/>
      <c r="AH32" s="12"/>
      <c r="AI32" s="12"/>
      <c r="AJ32" s="1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/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/>
      <c r="LQ32" s="16"/>
      <c r="LR32" s="16"/>
      <c r="LS32" s="16"/>
      <c r="LT32" s="16"/>
      <c r="LU32" s="16"/>
      <c r="LV32" s="16"/>
      <c r="LW32" s="16"/>
      <c r="LX32" s="16"/>
      <c r="LY32" s="16"/>
      <c r="LZ32" s="16"/>
      <c r="MA32" s="16"/>
      <c r="MB32" s="16"/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5">
        <f t="shared" si="6"/>
        <v>0</v>
      </c>
      <c r="NI32" s="5">
        <f t="shared" si="7"/>
        <v>0</v>
      </c>
    </row>
    <row r="33" spans="1:373" x14ac:dyDescent="0.25">
      <c r="A33" s="17">
        <v>28</v>
      </c>
      <c r="B33" s="19"/>
      <c r="C33" s="20"/>
      <c r="D33" s="21"/>
      <c r="E33" s="10" t="s">
        <v>31</v>
      </c>
      <c r="F33" s="11"/>
      <c r="G33" s="12"/>
      <c r="H33" s="11"/>
      <c r="I33" s="12"/>
      <c r="J33" s="12"/>
      <c r="K33" s="13"/>
      <c r="L33" s="12"/>
      <c r="M33" s="12"/>
      <c r="N33" s="11"/>
      <c r="O33" s="11"/>
      <c r="P33" s="12"/>
      <c r="Q33" s="12"/>
      <c r="R33" s="13"/>
      <c r="S33" s="13"/>
      <c r="T33" s="12"/>
      <c r="U33" s="14"/>
      <c r="V33" s="11"/>
      <c r="W33" s="12"/>
      <c r="X33" s="12"/>
      <c r="Y33" s="13"/>
      <c r="Z33" s="12"/>
      <c r="AA33" s="12"/>
      <c r="AB33" s="12"/>
      <c r="AC33" s="12"/>
      <c r="AD33" s="12"/>
      <c r="AE33" s="12"/>
      <c r="AF33" s="13"/>
      <c r="AG33" s="12"/>
      <c r="AH33" s="12"/>
      <c r="AI33" s="12"/>
      <c r="AJ33" s="1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5">
        <f t="shared" si="6"/>
        <v>0</v>
      </c>
      <c r="NI33" s="5">
        <f t="shared" si="7"/>
        <v>0</v>
      </c>
    </row>
    <row r="34" spans="1:373" x14ac:dyDescent="0.25">
      <c r="A34" s="6">
        <v>29</v>
      </c>
      <c r="B34" s="19"/>
      <c r="C34" s="20"/>
      <c r="D34" s="21"/>
      <c r="E34" s="10" t="s">
        <v>31</v>
      </c>
      <c r="F34" s="11"/>
      <c r="G34" s="12"/>
      <c r="H34" s="11"/>
      <c r="I34" s="12"/>
      <c r="J34" s="12"/>
      <c r="K34" s="13"/>
      <c r="L34" s="12"/>
      <c r="M34" s="12"/>
      <c r="N34" s="11"/>
      <c r="O34" s="11"/>
      <c r="P34" s="12"/>
      <c r="Q34" s="12"/>
      <c r="R34" s="13"/>
      <c r="S34" s="13"/>
      <c r="T34" s="12"/>
      <c r="U34" s="14"/>
      <c r="V34" s="11"/>
      <c r="W34" s="12"/>
      <c r="X34" s="12"/>
      <c r="Y34" s="13"/>
      <c r="Z34" s="12"/>
      <c r="AA34" s="12"/>
      <c r="AB34" s="12"/>
      <c r="AC34" s="12"/>
      <c r="AD34" s="12"/>
      <c r="AE34" s="12"/>
      <c r="AF34" s="13"/>
      <c r="AG34" s="12"/>
      <c r="AH34" s="12"/>
      <c r="AI34" s="12"/>
      <c r="AJ34" s="1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5">
        <f t="shared" si="6"/>
        <v>0</v>
      </c>
      <c r="NI34" s="5">
        <f t="shared" si="7"/>
        <v>0</v>
      </c>
    </row>
    <row r="35" spans="1:373" x14ac:dyDescent="0.25">
      <c r="A35" s="17">
        <v>30</v>
      </c>
      <c r="B35" s="19"/>
      <c r="C35" s="20"/>
      <c r="D35" s="21"/>
      <c r="E35" s="10" t="s">
        <v>31</v>
      </c>
      <c r="F35" s="11"/>
      <c r="G35" s="12"/>
      <c r="H35" s="11"/>
      <c r="I35" s="12"/>
      <c r="J35" s="12"/>
      <c r="K35" s="13"/>
      <c r="L35" s="12"/>
      <c r="M35" s="12"/>
      <c r="N35" s="11"/>
      <c r="O35" s="11"/>
      <c r="P35" s="12"/>
      <c r="Q35" s="12"/>
      <c r="R35" s="13"/>
      <c r="S35" s="13"/>
      <c r="T35" s="12"/>
      <c r="U35" s="14"/>
      <c r="V35" s="11"/>
      <c r="W35" s="12"/>
      <c r="X35" s="12"/>
      <c r="Y35" s="13"/>
      <c r="Z35" s="12"/>
      <c r="AA35" s="12"/>
      <c r="AB35" s="12"/>
      <c r="AC35" s="12"/>
      <c r="AD35" s="12"/>
      <c r="AE35" s="12"/>
      <c r="AF35" s="13"/>
      <c r="AG35" s="12"/>
      <c r="AH35" s="12"/>
      <c r="AI35" s="12"/>
      <c r="AJ35" s="1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/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/>
      <c r="LQ35" s="16"/>
      <c r="LR35" s="16"/>
      <c r="LS35" s="16"/>
      <c r="LT35" s="16"/>
      <c r="LU35" s="16"/>
      <c r="LV35" s="16"/>
      <c r="LW35" s="16"/>
      <c r="LX35" s="16"/>
      <c r="LY35" s="16"/>
      <c r="LZ35" s="16"/>
      <c r="MA35" s="16"/>
      <c r="MB35" s="16"/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5">
        <f t="shared" si="6"/>
        <v>0</v>
      </c>
      <c r="NI35" s="5">
        <f t="shared" si="7"/>
        <v>0</v>
      </c>
    </row>
    <row r="36" spans="1:373" x14ac:dyDescent="0.25">
      <c r="A36" s="6">
        <v>31</v>
      </c>
      <c r="B36" s="19"/>
      <c r="C36" s="20"/>
      <c r="D36" s="21"/>
      <c r="E36" s="10" t="s">
        <v>31</v>
      </c>
      <c r="F36" s="11"/>
      <c r="G36" s="12"/>
      <c r="H36" s="11"/>
      <c r="I36" s="12"/>
      <c r="J36" s="12"/>
      <c r="K36" s="13"/>
      <c r="L36" s="12"/>
      <c r="M36" s="12"/>
      <c r="N36" s="11"/>
      <c r="O36" s="11"/>
      <c r="P36" s="12"/>
      <c r="Q36" s="12"/>
      <c r="R36" s="13"/>
      <c r="S36" s="13"/>
      <c r="T36" s="12"/>
      <c r="U36" s="14"/>
      <c r="V36" s="11"/>
      <c r="W36" s="12"/>
      <c r="X36" s="12"/>
      <c r="Y36" s="13"/>
      <c r="Z36" s="12"/>
      <c r="AA36" s="12"/>
      <c r="AB36" s="12"/>
      <c r="AC36" s="12"/>
      <c r="AD36" s="12"/>
      <c r="AE36" s="12"/>
      <c r="AF36" s="13"/>
      <c r="AG36" s="12"/>
      <c r="AH36" s="12"/>
      <c r="AI36" s="12"/>
      <c r="AJ36" s="12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5">
        <f t="shared" si="6"/>
        <v>0</v>
      </c>
      <c r="NI36" s="5">
        <f t="shared" si="7"/>
        <v>0</v>
      </c>
    </row>
    <row r="37" spans="1:373" x14ac:dyDescent="0.25">
      <c r="A37" s="17">
        <v>32</v>
      </c>
      <c r="B37" s="19"/>
      <c r="C37" s="20"/>
      <c r="D37" s="21"/>
      <c r="E37" s="10" t="s">
        <v>31</v>
      </c>
      <c r="F37" s="11"/>
      <c r="G37" s="12"/>
      <c r="H37" s="11"/>
      <c r="I37" s="12"/>
      <c r="J37" s="12"/>
      <c r="K37" s="13"/>
      <c r="L37" s="12"/>
      <c r="M37" s="12"/>
      <c r="N37" s="11"/>
      <c r="O37" s="11"/>
      <c r="P37" s="12"/>
      <c r="Q37" s="12"/>
      <c r="R37" s="13"/>
      <c r="S37" s="13"/>
      <c r="T37" s="12"/>
      <c r="U37" s="14"/>
      <c r="V37" s="11"/>
      <c r="W37" s="12"/>
      <c r="X37" s="12"/>
      <c r="Y37" s="13"/>
      <c r="Z37" s="12"/>
      <c r="AA37" s="12"/>
      <c r="AB37" s="12"/>
      <c r="AC37" s="12"/>
      <c r="AD37" s="12"/>
      <c r="AE37" s="12"/>
      <c r="AF37" s="13"/>
      <c r="AG37" s="12"/>
      <c r="AH37" s="12"/>
      <c r="AI37" s="12"/>
      <c r="AJ37" s="12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  <c r="IY37" s="16"/>
      <c r="IZ37" s="16"/>
      <c r="JA37" s="16"/>
      <c r="JB37" s="16"/>
      <c r="JC37" s="16"/>
      <c r="JD37" s="16"/>
      <c r="JE37" s="16"/>
      <c r="JF37" s="16"/>
      <c r="JG37" s="16"/>
      <c r="JH37" s="16"/>
      <c r="JI37" s="16"/>
      <c r="JJ37" s="16"/>
      <c r="JK37" s="16"/>
      <c r="JL37" s="16"/>
      <c r="JM37" s="16"/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6"/>
      <c r="KC37" s="16"/>
      <c r="KD37" s="16"/>
      <c r="KE37" s="16"/>
      <c r="KF37" s="16"/>
      <c r="KG37" s="16"/>
      <c r="KH37" s="16"/>
      <c r="KI37" s="16"/>
      <c r="KJ37" s="16"/>
      <c r="KK37" s="16"/>
      <c r="KL37" s="16"/>
      <c r="KM37" s="16"/>
      <c r="KN37" s="16"/>
      <c r="KO37" s="16"/>
      <c r="KP37" s="16"/>
      <c r="KQ37" s="16"/>
      <c r="KR37" s="16"/>
      <c r="KS37" s="16"/>
      <c r="KT37" s="16"/>
      <c r="KU37" s="16"/>
      <c r="KV37" s="16"/>
      <c r="KW37" s="16"/>
      <c r="KX37" s="16"/>
      <c r="KY37" s="16"/>
      <c r="KZ37" s="16"/>
      <c r="LA37" s="16"/>
      <c r="LB37" s="16"/>
      <c r="LC37" s="16"/>
      <c r="LD37" s="16"/>
      <c r="LE37" s="16"/>
      <c r="LF37" s="16"/>
      <c r="LG37" s="16"/>
      <c r="LH37" s="16"/>
      <c r="LI37" s="16"/>
      <c r="LJ37" s="16"/>
      <c r="LK37" s="16"/>
      <c r="LL37" s="16"/>
      <c r="LM37" s="16"/>
      <c r="LN37" s="16"/>
      <c r="LO37" s="16"/>
      <c r="LP37" s="16"/>
      <c r="LQ37" s="16"/>
      <c r="LR37" s="16"/>
      <c r="LS37" s="16"/>
      <c r="LT37" s="16"/>
      <c r="LU37" s="16"/>
      <c r="LV37" s="16"/>
      <c r="LW37" s="16"/>
      <c r="LX37" s="16"/>
      <c r="LY37" s="16"/>
      <c r="LZ37" s="16"/>
      <c r="MA37" s="16"/>
      <c r="MB37" s="16"/>
      <c r="MC37" s="16"/>
      <c r="MD37" s="16"/>
      <c r="ME37" s="16"/>
      <c r="MF37" s="16"/>
      <c r="MG37" s="16"/>
      <c r="MH37" s="16"/>
      <c r="MI37" s="16"/>
      <c r="MJ37" s="16"/>
      <c r="MK37" s="16"/>
      <c r="ML37" s="16"/>
      <c r="MM37" s="16"/>
      <c r="MN37" s="16"/>
      <c r="MO37" s="16"/>
      <c r="MP37" s="16"/>
      <c r="MQ37" s="16"/>
      <c r="MR37" s="16"/>
      <c r="MS37" s="16"/>
      <c r="MT37" s="16"/>
      <c r="MU37" s="16"/>
      <c r="MV37" s="16"/>
      <c r="MW37" s="16"/>
      <c r="MX37" s="16"/>
      <c r="MY37" s="16"/>
      <c r="MZ37" s="16"/>
      <c r="NA37" s="16"/>
      <c r="NB37" s="16"/>
      <c r="NC37" s="16"/>
      <c r="ND37" s="16"/>
      <c r="NE37" s="16"/>
      <c r="NF37" s="16"/>
      <c r="NG37" s="16"/>
      <c r="NH37" s="5">
        <f t="shared" si="6"/>
        <v>0</v>
      </c>
      <c r="NI37" s="5">
        <f t="shared" si="7"/>
        <v>0</v>
      </c>
    </row>
    <row r="38" spans="1:373" x14ac:dyDescent="0.25">
      <c r="A38" s="6">
        <v>33</v>
      </c>
      <c r="B38" s="19"/>
      <c r="C38" s="20"/>
      <c r="D38" s="21"/>
      <c r="E38" s="10" t="s">
        <v>31</v>
      </c>
      <c r="F38" s="11"/>
      <c r="G38" s="12"/>
      <c r="H38" s="11"/>
      <c r="I38" s="12"/>
      <c r="J38" s="12"/>
      <c r="K38" s="13"/>
      <c r="L38" s="12"/>
      <c r="M38" s="12"/>
      <c r="N38" s="11"/>
      <c r="O38" s="11"/>
      <c r="P38" s="12"/>
      <c r="Q38" s="12"/>
      <c r="R38" s="13"/>
      <c r="S38" s="13"/>
      <c r="T38" s="12"/>
      <c r="U38" s="14"/>
      <c r="V38" s="11"/>
      <c r="W38" s="12"/>
      <c r="X38" s="12"/>
      <c r="Y38" s="13"/>
      <c r="Z38" s="12"/>
      <c r="AA38" s="12"/>
      <c r="AB38" s="12"/>
      <c r="AC38" s="12"/>
      <c r="AD38" s="12"/>
      <c r="AE38" s="12"/>
      <c r="AF38" s="13"/>
      <c r="AG38" s="12"/>
      <c r="AH38" s="12"/>
      <c r="AI38" s="12"/>
      <c r="AJ38" s="12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5">
        <f t="shared" si="6"/>
        <v>0</v>
      </c>
      <c r="NI38" s="5">
        <f t="shared" si="7"/>
        <v>0</v>
      </c>
    </row>
    <row r="39" spans="1:373" x14ac:dyDescent="0.25">
      <c r="A39" s="17">
        <v>34</v>
      </c>
      <c r="B39" s="19"/>
      <c r="C39" s="20"/>
      <c r="D39" s="21"/>
      <c r="E39" s="10" t="s">
        <v>31</v>
      </c>
      <c r="F39" s="11"/>
      <c r="G39" s="12"/>
      <c r="H39" s="11"/>
      <c r="I39" s="12"/>
      <c r="J39" s="12"/>
      <c r="K39" s="13"/>
      <c r="L39" s="12"/>
      <c r="M39" s="12"/>
      <c r="N39" s="11"/>
      <c r="O39" s="11"/>
      <c r="P39" s="12"/>
      <c r="Q39" s="12"/>
      <c r="R39" s="13"/>
      <c r="S39" s="13"/>
      <c r="T39" s="12"/>
      <c r="U39" s="14"/>
      <c r="V39" s="11"/>
      <c r="W39" s="12"/>
      <c r="X39" s="12"/>
      <c r="Y39" s="13"/>
      <c r="Z39" s="12"/>
      <c r="AA39" s="12"/>
      <c r="AB39" s="12"/>
      <c r="AC39" s="12"/>
      <c r="AD39" s="12"/>
      <c r="AE39" s="12"/>
      <c r="AF39" s="13"/>
      <c r="AG39" s="12"/>
      <c r="AH39" s="12"/>
      <c r="AI39" s="12"/>
      <c r="AJ39" s="12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5">
        <f t="shared" si="6"/>
        <v>0</v>
      </c>
      <c r="NI39" s="5">
        <f t="shared" si="7"/>
        <v>0</v>
      </c>
    </row>
    <row r="40" spans="1:373" x14ac:dyDescent="0.25">
      <c r="A40" s="6">
        <v>35</v>
      </c>
      <c r="B40" s="19"/>
      <c r="C40" s="20"/>
      <c r="D40" s="21"/>
      <c r="E40" s="10" t="s">
        <v>31</v>
      </c>
      <c r="F40" s="11"/>
      <c r="G40" s="12"/>
      <c r="H40" s="11"/>
      <c r="I40" s="12"/>
      <c r="J40" s="12"/>
      <c r="K40" s="13"/>
      <c r="L40" s="12"/>
      <c r="M40" s="12"/>
      <c r="N40" s="11"/>
      <c r="O40" s="11"/>
      <c r="P40" s="12"/>
      <c r="Q40" s="12"/>
      <c r="R40" s="13"/>
      <c r="S40" s="13"/>
      <c r="T40" s="12"/>
      <c r="U40" s="14"/>
      <c r="V40" s="11"/>
      <c r="W40" s="12"/>
      <c r="X40" s="12"/>
      <c r="Y40" s="13"/>
      <c r="Z40" s="12"/>
      <c r="AA40" s="12"/>
      <c r="AB40" s="12"/>
      <c r="AC40" s="12"/>
      <c r="AD40" s="12"/>
      <c r="AE40" s="12"/>
      <c r="AF40" s="13"/>
      <c r="AG40" s="12"/>
      <c r="AH40" s="12"/>
      <c r="AI40" s="12"/>
      <c r="AJ40" s="12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5">
        <f t="shared" si="6"/>
        <v>0</v>
      </c>
      <c r="NI40" s="5">
        <f t="shared" si="7"/>
        <v>0</v>
      </c>
    </row>
    <row r="41" spans="1:373" x14ac:dyDescent="0.25">
      <c r="A41" s="17">
        <v>36</v>
      </c>
      <c r="B41" s="19"/>
      <c r="C41" s="20"/>
      <c r="D41" s="21"/>
      <c r="E41" s="10" t="s">
        <v>31</v>
      </c>
      <c r="F41" s="11"/>
      <c r="G41" s="12"/>
      <c r="H41" s="11"/>
      <c r="I41" s="12"/>
      <c r="J41" s="12"/>
      <c r="K41" s="13"/>
      <c r="L41" s="12"/>
      <c r="M41" s="12"/>
      <c r="N41" s="11"/>
      <c r="O41" s="11"/>
      <c r="P41" s="12"/>
      <c r="Q41" s="12"/>
      <c r="R41" s="13"/>
      <c r="S41" s="13"/>
      <c r="T41" s="12"/>
      <c r="U41" s="14"/>
      <c r="V41" s="11"/>
      <c r="W41" s="12"/>
      <c r="X41" s="12"/>
      <c r="Y41" s="13"/>
      <c r="Z41" s="12"/>
      <c r="AA41" s="12"/>
      <c r="AB41" s="12"/>
      <c r="AC41" s="12"/>
      <c r="AD41" s="12"/>
      <c r="AE41" s="12"/>
      <c r="AF41" s="13"/>
      <c r="AG41" s="12"/>
      <c r="AH41" s="12"/>
      <c r="AI41" s="12"/>
      <c r="AJ41" s="12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KY41" s="16"/>
      <c r="KZ41" s="16"/>
      <c r="LA41" s="16"/>
      <c r="LB41" s="16"/>
      <c r="LC41" s="16"/>
      <c r="LD41" s="16"/>
      <c r="LE41" s="16"/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/>
      <c r="LQ41" s="16"/>
      <c r="LR41" s="16"/>
      <c r="LS41" s="16"/>
      <c r="LT41" s="16"/>
      <c r="LU41" s="16"/>
      <c r="LV41" s="16"/>
      <c r="LW41" s="16"/>
      <c r="LX41" s="16"/>
      <c r="LY41" s="16"/>
      <c r="LZ41" s="16"/>
      <c r="MA41" s="16"/>
      <c r="MB41" s="16"/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5">
        <f t="shared" si="6"/>
        <v>0</v>
      </c>
      <c r="NI41" s="5">
        <f t="shared" si="7"/>
        <v>0</v>
      </c>
    </row>
    <row r="42" spans="1:373" x14ac:dyDescent="0.25">
      <c r="A42" s="6">
        <v>37</v>
      </c>
      <c r="B42" s="19"/>
      <c r="C42" s="20"/>
      <c r="D42" s="21"/>
      <c r="E42" s="10" t="s">
        <v>31</v>
      </c>
      <c r="F42" s="11"/>
      <c r="G42" s="12"/>
      <c r="H42" s="11"/>
      <c r="I42" s="12"/>
      <c r="J42" s="12"/>
      <c r="K42" s="13"/>
      <c r="L42" s="12"/>
      <c r="M42" s="12"/>
      <c r="N42" s="11"/>
      <c r="O42" s="11"/>
      <c r="P42" s="12"/>
      <c r="Q42" s="12"/>
      <c r="R42" s="13"/>
      <c r="S42" s="13"/>
      <c r="T42" s="12"/>
      <c r="U42" s="14"/>
      <c r="V42" s="11"/>
      <c r="W42" s="12"/>
      <c r="X42" s="12"/>
      <c r="Y42" s="13"/>
      <c r="Z42" s="12"/>
      <c r="AA42" s="12"/>
      <c r="AB42" s="12"/>
      <c r="AC42" s="12"/>
      <c r="AD42" s="12"/>
      <c r="AE42" s="12"/>
      <c r="AF42" s="13"/>
      <c r="AG42" s="12"/>
      <c r="AH42" s="12"/>
      <c r="AI42" s="12"/>
      <c r="AJ42" s="12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5">
        <f t="shared" si="6"/>
        <v>0</v>
      </c>
      <c r="NI42" s="5">
        <f t="shared" si="7"/>
        <v>0</v>
      </c>
    </row>
    <row r="43" spans="1:373" x14ac:dyDescent="0.25">
      <c r="A43" s="17">
        <v>38</v>
      </c>
      <c r="B43" s="19"/>
      <c r="C43" s="20"/>
      <c r="D43" s="21"/>
      <c r="E43" s="10" t="s">
        <v>31</v>
      </c>
      <c r="F43" s="11"/>
      <c r="G43" s="12"/>
      <c r="H43" s="11"/>
      <c r="I43" s="12"/>
      <c r="J43" s="12"/>
      <c r="K43" s="13"/>
      <c r="L43" s="12"/>
      <c r="M43" s="12"/>
      <c r="N43" s="11"/>
      <c r="O43" s="11"/>
      <c r="P43" s="12"/>
      <c r="Q43" s="12"/>
      <c r="R43" s="13"/>
      <c r="S43" s="13"/>
      <c r="T43" s="12"/>
      <c r="U43" s="14"/>
      <c r="V43" s="11"/>
      <c r="W43" s="12"/>
      <c r="X43" s="12"/>
      <c r="Y43" s="13"/>
      <c r="Z43" s="12"/>
      <c r="AA43" s="12"/>
      <c r="AB43" s="12"/>
      <c r="AC43" s="12"/>
      <c r="AD43" s="12"/>
      <c r="AE43" s="12"/>
      <c r="AF43" s="13"/>
      <c r="AG43" s="12"/>
      <c r="AH43" s="12"/>
      <c r="AI43" s="12"/>
      <c r="AJ43" s="12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KY43" s="16"/>
      <c r="KZ43" s="16"/>
      <c r="LA43" s="16"/>
      <c r="LB43" s="16"/>
      <c r="LC43" s="16"/>
      <c r="LD43" s="16"/>
      <c r="LE43" s="16"/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/>
      <c r="LQ43" s="16"/>
      <c r="LR43" s="16"/>
      <c r="LS43" s="16"/>
      <c r="LT43" s="16"/>
      <c r="LU43" s="16"/>
      <c r="LV43" s="16"/>
      <c r="LW43" s="16"/>
      <c r="LX43" s="16"/>
      <c r="LY43" s="16"/>
      <c r="LZ43" s="16"/>
      <c r="MA43" s="16"/>
      <c r="MB43" s="16"/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5">
        <f t="shared" si="6"/>
        <v>0</v>
      </c>
      <c r="NI43" s="5">
        <f t="shared" si="7"/>
        <v>0</v>
      </c>
    </row>
    <row r="44" spans="1:373" x14ac:dyDescent="0.25">
      <c r="A44" s="28">
        <v>39</v>
      </c>
      <c r="B44" s="19"/>
      <c r="C44" s="20"/>
      <c r="D44" s="21"/>
      <c r="E44" s="10" t="s">
        <v>31</v>
      </c>
      <c r="F44" s="11"/>
      <c r="G44" s="12"/>
      <c r="H44" s="11"/>
      <c r="I44" s="12"/>
      <c r="J44" s="12"/>
      <c r="K44" s="29"/>
      <c r="L44" s="12"/>
      <c r="M44" s="12"/>
      <c r="N44" s="11"/>
      <c r="O44" s="11"/>
      <c r="P44" s="12"/>
      <c r="Q44" s="12"/>
      <c r="R44" s="13"/>
      <c r="S44" s="13"/>
      <c r="T44" s="12"/>
      <c r="U44" s="14"/>
      <c r="V44" s="11"/>
      <c r="W44" s="12"/>
      <c r="X44" s="12"/>
      <c r="Y44" s="29"/>
      <c r="Z44" s="12"/>
      <c r="AA44" s="12"/>
      <c r="AB44" s="12"/>
      <c r="AC44" s="12"/>
      <c r="AD44" s="12"/>
      <c r="AE44" s="12"/>
      <c r="AF44" s="29"/>
      <c r="AG44" s="12"/>
      <c r="AH44" s="12"/>
      <c r="AI44" s="12"/>
      <c r="AJ44" s="12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6"/>
      <c r="LD44" s="16"/>
      <c r="LE44" s="16"/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/>
      <c r="LQ44" s="16"/>
      <c r="LR44" s="16"/>
      <c r="LS44" s="16"/>
      <c r="LT44" s="16"/>
      <c r="LU44" s="16"/>
      <c r="LV44" s="16"/>
      <c r="LW44" s="16"/>
      <c r="LX44" s="16"/>
      <c r="LY44" s="16"/>
      <c r="LZ44" s="16"/>
      <c r="MA44" s="16"/>
      <c r="MB44" s="16"/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5">
        <f t="shared" si="6"/>
        <v>0</v>
      </c>
      <c r="NI44" s="5">
        <f t="shared" si="7"/>
        <v>0</v>
      </c>
    </row>
    <row r="45" spans="1:373" x14ac:dyDescent="0.25">
      <c r="A45" s="17">
        <v>40</v>
      </c>
      <c r="B45" s="19"/>
      <c r="C45" s="20"/>
      <c r="D45" s="21"/>
      <c r="E45" s="10" t="s">
        <v>31</v>
      </c>
      <c r="F45" s="16"/>
      <c r="G45" s="16"/>
      <c r="H45" s="16"/>
      <c r="I45" s="16"/>
      <c r="J45" s="16"/>
      <c r="K45" s="12"/>
      <c r="L45" s="12"/>
      <c r="M45" s="11"/>
      <c r="N45" s="11"/>
      <c r="O45" s="12"/>
      <c r="P45" s="12"/>
      <c r="Q45" s="12"/>
      <c r="R45" s="13"/>
      <c r="S45" s="13"/>
      <c r="T45" s="12"/>
      <c r="U45" s="12"/>
      <c r="V45" s="12"/>
      <c r="W45" s="12"/>
      <c r="X45" s="12"/>
      <c r="Y45" s="16"/>
      <c r="Z45" s="12"/>
      <c r="AA45" s="12"/>
      <c r="AB45" s="12"/>
      <c r="AC45" s="12"/>
      <c r="AD45" s="12"/>
      <c r="AE45" s="12"/>
      <c r="AF45" s="16"/>
      <c r="AG45" s="12"/>
      <c r="AH45" s="12"/>
      <c r="AI45" s="12"/>
      <c r="AJ45" s="12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5">
        <f t="shared" si="6"/>
        <v>0</v>
      </c>
      <c r="NI45" s="5">
        <f t="shared" si="7"/>
        <v>0</v>
      </c>
    </row>
    <row r="46" spans="1:373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0"/>
      <c r="IR46" s="30"/>
      <c r="IS46" s="30"/>
      <c r="IT46" s="30"/>
      <c r="IU46" s="30"/>
      <c r="IV46" s="30"/>
      <c r="IW46" s="30"/>
      <c r="IX46" s="30"/>
      <c r="IY46" s="30"/>
      <c r="IZ46" s="30"/>
      <c r="JA46" s="30"/>
      <c r="JB46" s="30"/>
      <c r="JC46" s="30"/>
      <c r="JD46" s="30"/>
      <c r="JE46" s="30"/>
      <c r="JF46" s="30"/>
      <c r="JG46" s="30"/>
      <c r="JH46" s="30"/>
      <c r="JI46" s="30"/>
      <c r="JJ46" s="30"/>
      <c r="JK46" s="30"/>
      <c r="JL46" s="30"/>
      <c r="JM46" s="30"/>
      <c r="JN46" s="30"/>
      <c r="JO46" s="30"/>
      <c r="JP46" s="30"/>
      <c r="JQ46" s="30"/>
      <c r="JR46" s="30"/>
      <c r="JS46" s="30"/>
      <c r="JT46" s="30"/>
      <c r="JU46" s="30"/>
      <c r="JV46" s="30"/>
      <c r="JW46" s="30"/>
      <c r="JX46" s="30"/>
      <c r="JY46" s="30"/>
      <c r="JZ46" s="30"/>
      <c r="KA46" s="30"/>
      <c r="KB46" s="30"/>
      <c r="KC46" s="30"/>
      <c r="KD46" s="30"/>
      <c r="KE46" s="30"/>
      <c r="KF46" s="30"/>
      <c r="KG46" s="30"/>
      <c r="KH46" s="30"/>
      <c r="KI46" s="30"/>
      <c r="KJ46" s="30"/>
      <c r="KK46" s="30"/>
      <c r="KL46" s="30"/>
      <c r="KM46" s="30"/>
      <c r="KN46" s="30"/>
      <c r="KO46" s="30"/>
      <c r="KP46" s="30"/>
      <c r="KQ46" s="30"/>
      <c r="KR46" s="30"/>
      <c r="KS46" s="30"/>
      <c r="KT46" s="30"/>
      <c r="KU46" s="30"/>
      <c r="KV46" s="30"/>
      <c r="KW46" s="30"/>
      <c r="KX46" s="30"/>
      <c r="KY46" s="30"/>
      <c r="KZ46" s="30"/>
      <c r="LA46" s="30"/>
      <c r="LB46" s="30"/>
      <c r="LC46" s="30"/>
      <c r="LD46" s="30"/>
      <c r="LE46" s="30"/>
      <c r="LF46" s="30"/>
      <c r="LG46" s="30"/>
      <c r="LH46" s="30"/>
      <c r="LI46" s="30"/>
      <c r="LJ46" s="30"/>
      <c r="LK46" s="30"/>
      <c r="LL46" s="30"/>
      <c r="LM46" s="30"/>
      <c r="LN46" s="30"/>
      <c r="LO46" s="30"/>
      <c r="LP46" s="30"/>
      <c r="LQ46" s="30"/>
      <c r="LR46" s="30"/>
      <c r="LS46" s="30"/>
      <c r="LT46" s="30"/>
      <c r="LU46" s="30"/>
      <c r="LV46" s="30"/>
      <c r="LW46" s="30"/>
      <c r="LX46" s="30"/>
      <c r="LY46" s="30"/>
      <c r="LZ46" s="30"/>
      <c r="MA46" s="30"/>
      <c r="MB46" s="30"/>
      <c r="MC46" s="30"/>
      <c r="MD46" s="30"/>
      <c r="ME46" s="30"/>
      <c r="MF46" s="30"/>
      <c r="MG46" s="30"/>
      <c r="MH46" s="30"/>
      <c r="MI46" s="30"/>
      <c r="MJ46" s="30"/>
      <c r="MK46" s="30"/>
      <c r="ML46" s="30"/>
      <c r="MM46" s="30"/>
      <c r="MN46" s="30"/>
      <c r="MO46" s="30"/>
      <c r="MP46" s="30"/>
      <c r="MQ46" s="30"/>
      <c r="MR46" s="30"/>
      <c r="MS46" s="30"/>
      <c r="MT46" s="30"/>
      <c r="MU46" s="30"/>
      <c r="MV46" s="30"/>
      <c r="MW46" s="30"/>
      <c r="MX46" s="30"/>
      <c r="MY46" s="30"/>
      <c r="MZ46" s="30"/>
      <c r="NA46" s="30"/>
      <c r="NB46" s="30"/>
      <c r="NC46" s="30"/>
      <c r="ND46" s="30"/>
      <c r="NE46" s="30"/>
      <c r="NF46" s="30"/>
      <c r="NG46" s="30"/>
      <c r="NH46" s="33">
        <f>SUM(NH6:NH45)</f>
        <v>0</v>
      </c>
      <c r="NI46" s="33">
        <f>SUM(NI6:NI45)</f>
        <v>0</v>
      </c>
    </row>
  </sheetData>
  <mergeCells count="13">
    <mergeCell ref="NH4:NH5"/>
    <mergeCell ref="NI4:NI5"/>
    <mergeCell ref="NJ4:NK4"/>
    <mergeCell ref="NJ9:NM9"/>
    <mergeCell ref="NJ17:NM17"/>
    <mergeCell ref="A1:AJ1"/>
    <mergeCell ref="A2:AJ2"/>
    <mergeCell ref="A3:AJ3"/>
    <mergeCell ref="A4:A5"/>
    <mergeCell ref="B4:B5"/>
    <mergeCell ref="C4:C5"/>
    <mergeCell ref="D4:D5"/>
    <mergeCell ref="E4:E5"/>
  </mergeCells>
  <conditionalFormatting sqref="F4:NG45 NJ5:NK5">
    <cfRule type="expression" dxfId="51" priority="12">
      <formula>F$4="Sun"</formula>
    </cfRule>
  </conditionalFormatting>
  <conditionalFormatting sqref="F5:NG45">
    <cfRule type="expression" dxfId="50" priority="11">
      <formula>IF(F$5=TODAY(),TRUE,FALSE)</formula>
    </cfRule>
  </conditionalFormatting>
  <conditionalFormatting sqref="NH4:NI4 NH6:NI46">
    <cfRule type="expression" dxfId="49" priority="13">
      <formula>#REF!="Sun"</formula>
    </cfRule>
  </conditionalFormatting>
  <conditionalFormatting sqref="NJ6:NJ7">
    <cfRule type="expression" dxfId="48" priority="9">
      <formula>NJ$4="Sun"</formula>
    </cfRule>
  </conditionalFormatting>
  <conditionalFormatting sqref="NJ10:NJ13">
    <cfRule type="expression" dxfId="47" priority="3">
      <formula>NJ$4="Sun"</formula>
    </cfRule>
  </conditionalFormatting>
  <conditionalFormatting sqref="NJ18:NJ21">
    <cfRule type="expression" dxfId="46" priority="2">
      <formula>NJ$4="Sun"</formula>
    </cfRule>
  </conditionalFormatting>
  <conditionalFormatting sqref="NK10:NM10">
    <cfRule type="expression" dxfId="45" priority="4">
      <formula>NK$4="Sun"</formula>
    </cfRule>
  </conditionalFormatting>
  <conditionalFormatting sqref="NK18:NM18">
    <cfRule type="expression" dxfId="44" priority="1">
      <formula>NK$4="Sun"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AFB1-4EAF-481A-9EA0-48313CFFEF0F}">
  <dimension ref="A1:NM46"/>
  <sheetViews>
    <sheetView workbookViewId="0">
      <selection activeCell="L10" sqref="L1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bestFit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bestFit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6" width="4.7109375" style="1" bestFit="1" customWidth="1"/>
    <col min="37" max="37" width="3.85546875" style="1" bestFit="1" customWidth="1"/>
    <col min="38" max="39" width="3.7109375" style="1" bestFit="1" customWidth="1"/>
    <col min="40" max="40" width="3.85546875" style="1" bestFit="1" customWidth="1"/>
    <col min="41" max="41" width="4.5703125" style="1" bestFit="1" customWidth="1"/>
    <col min="42" max="42" width="3.85546875" style="1" bestFit="1" customWidth="1"/>
    <col min="43" max="43" width="4.7109375" style="1" bestFit="1" customWidth="1"/>
    <col min="44" max="44" width="3.85546875" style="1" bestFit="1" customWidth="1"/>
    <col min="45" max="46" width="3.7109375" style="1" bestFit="1" customWidth="1"/>
    <col min="47" max="47" width="3.85546875" style="1" bestFit="1" customWidth="1"/>
    <col min="48" max="48" width="4.5703125" style="1" bestFit="1" customWidth="1"/>
    <col min="49" max="49" width="3.85546875" style="1" bestFit="1" customWidth="1"/>
    <col min="50" max="50" width="4.7109375" style="1" bestFit="1" customWidth="1"/>
    <col min="51" max="51" width="3.85546875" style="1" bestFit="1" customWidth="1"/>
    <col min="52" max="53" width="3.7109375" style="1" bestFit="1" customWidth="1"/>
    <col min="54" max="54" width="3.85546875" style="1" bestFit="1" customWidth="1"/>
    <col min="55" max="55" width="4.5703125" style="1" bestFit="1" customWidth="1"/>
    <col min="56" max="56" width="3.85546875" style="1" bestFit="1" customWidth="1"/>
    <col min="57" max="57" width="4.7109375" style="1" bestFit="1" customWidth="1"/>
    <col min="58" max="58" width="3.85546875" style="1" bestFit="1" customWidth="1"/>
    <col min="59" max="60" width="3.7109375" style="1" bestFit="1" customWidth="1"/>
    <col min="61" max="61" width="3.85546875" style="1" bestFit="1" customWidth="1"/>
    <col min="62" max="62" width="4.5703125" style="1" bestFit="1" customWidth="1"/>
    <col min="63" max="63" width="3.85546875" style="1" bestFit="1" customWidth="1"/>
    <col min="64" max="64" width="4.7109375" style="1" bestFit="1" customWidth="1"/>
    <col min="65" max="65" width="3.85546875" style="1" bestFit="1" customWidth="1"/>
    <col min="66" max="67" width="3.7109375" style="1" bestFit="1" customWidth="1"/>
    <col min="68" max="68" width="3.85546875" style="1" bestFit="1" customWidth="1"/>
    <col min="69" max="69" width="4.5703125" style="1" bestFit="1" customWidth="1"/>
    <col min="70" max="70" width="3.85546875" style="1" bestFit="1" customWidth="1"/>
    <col min="71" max="71" width="4.7109375" style="1" bestFit="1" customWidth="1"/>
    <col min="72" max="72" width="3.85546875" style="1" bestFit="1" customWidth="1"/>
    <col min="73" max="74" width="3.7109375" style="1" bestFit="1" customWidth="1"/>
    <col min="75" max="75" width="3.85546875" style="1" bestFit="1" customWidth="1"/>
    <col min="76" max="76" width="4.5703125" style="1" bestFit="1" customWidth="1"/>
    <col min="77" max="77" width="3.85546875" style="1" bestFit="1" customWidth="1"/>
    <col min="78" max="78" width="4.7109375" style="1" bestFit="1" customWidth="1"/>
    <col min="79" max="79" width="3.85546875" style="1" bestFit="1" customWidth="1"/>
    <col min="80" max="81" width="3.7109375" style="1" bestFit="1" customWidth="1"/>
    <col min="82" max="82" width="3.85546875" style="1" bestFit="1" customWidth="1"/>
    <col min="83" max="83" width="4.5703125" style="1" bestFit="1" customWidth="1"/>
    <col min="84" max="84" width="3.85546875" style="1" bestFit="1" customWidth="1"/>
    <col min="85" max="85" width="4.7109375" style="1" bestFit="1" customWidth="1"/>
    <col min="86" max="86" width="3.85546875" style="1" bestFit="1" customWidth="1"/>
    <col min="87" max="88" width="3.7109375" style="1" bestFit="1" customWidth="1"/>
    <col min="89" max="89" width="3.85546875" style="1" bestFit="1" customWidth="1"/>
    <col min="90" max="90" width="4.5703125" style="1" bestFit="1" customWidth="1"/>
    <col min="91" max="91" width="3.85546875" style="1" bestFit="1" customWidth="1"/>
    <col min="92" max="92" width="4.7109375" style="1" bestFit="1" customWidth="1"/>
    <col min="93" max="93" width="3.85546875" style="1" bestFit="1" customWidth="1"/>
    <col min="94" max="95" width="3.7109375" style="1" bestFit="1" customWidth="1"/>
    <col min="96" max="96" width="3.85546875" style="1" bestFit="1" customWidth="1"/>
    <col min="97" max="97" width="4.5703125" style="1" bestFit="1" customWidth="1"/>
    <col min="98" max="98" width="3.85546875" style="1" bestFit="1" customWidth="1"/>
    <col min="99" max="99" width="4.7109375" style="1" bestFit="1" customWidth="1"/>
    <col min="100" max="100" width="3.85546875" style="1" bestFit="1" customWidth="1"/>
    <col min="101" max="102" width="3.7109375" style="1" bestFit="1" customWidth="1"/>
    <col min="103" max="103" width="3.85546875" style="1" bestFit="1" customWidth="1"/>
    <col min="104" max="104" width="4.5703125" style="1" bestFit="1" customWidth="1"/>
    <col min="105" max="105" width="3.85546875" style="1" bestFit="1" customWidth="1"/>
    <col min="106" max="106" width="4.7109375" style="1" bestFit="1" customWidth="1"/>
    <col min="107" max="107" width="3.85546875" style="1" bestFit="1" customWidth="1"/>
    <col min="108" max="109" width="3.7109375" style="1" bestFit="1" customWidth="1"/>
    <col min="110" max="110" width="3.85546875" style="1" bestFit="1" customWidth="1"/>
    <col min="111" max="111" width="4.5703125" style="1" bestFit="1" customWidth="1"/>
    <col min="112" max="112" width="3.85546875" style="1" bestFit="1" customWidth="1"/>
    <col min="113" max="113" width="4.7109375" style="1" bestFit="1" customWidth="1"/>
    <col min="114" max="114" width="3.85546875" style="1" bestFit="1" customWidth="1"/>
    <col min="115" max="116" width="3.7109375" style="1" bestFit="1" customWidth="1"/>
    <col min="117" max="117" width="3.85546875" style="1" bestFit="1" customWidth="1"/>
    <col min="118" max="118" width="4.5703125" style="1" bestFit="1" customWidth="1"/>
    <col min="119" max="119" width="3.85546875" style="1" bestFit="1" customWidth="1"/>
    <col min="120" max="120" width="4.7109375" style="1" bestFit="1" customWidth="1"/>
    <col min="121" max="121" width="3.85546875" style="1" bestFit="1" customWidth="1"/>
    <col min="122" max="123" width="3.7109375" style="1" bestFit="1" customWidth="1"/>
    <col min="124" max="124" width="3.85546875" style="1" bestFit="1" customWidth="1"/>
    <col min="125" max="125" width="4.5703125" style="1" bestFit="1" customWidth="1"/>
    <col min="126" max="126" width="3.85546875" style="1" bestFit="1" customWidth="1"/>
    <col min="127" max="127" width="4.7109375" style="1" bestFit="1" customWidth="1"/>
    <col min="128" max="128" width="3.85546875" style="1" bestFit="1" customWidth="1"/>
    <col min="129" max="130" width="3.7109375" style="1" bestFit="1" customWidth="1"/>
    <col min="131" max="131" width="3.85546875" style="1" bestFit="1" customWidth="1"/>
    <col min="132" max="132" width="4.5703125" style="1" bestFit="1" customWidth="1"/>
    <col min="133" max="133" width="3.85546875" style="1" bestFit="1" customWidth="1"/>
    <col min="134" max="134" width="4.7109375" style="1" bestFit="1" customWidth="1"/>
    <col min="135" max="135" width="3.85546875" style="1" bestFit="1" customWidth="1"/>
    <col min="136" max="137" width="3.7109375" style="1" bestFit="1" customWidth="1"/>
    <col min="138" max="138" width="3.85546875" style="1" bestFit="1" customWidth="1"/>
    <col min="139" max="139" width="4.5703125" style="1" bestFit="1" customWidth="1"/>
    <col min="140" max="140" width="3.85546875" style="1" bestFit="1" customWidth="1"/>
    <col min="141" max="141" width="4.7109375" style="1" bestFit="1" customWidth="1"/>
    <col min="142" max="142" width="3.85546875" style="1" bestFit="1" customWidth="1"/>
    <col min="143" max="144" width="3.7109375" style="1" bestFit="1" customWidth="1"/>
    <col min="145" max="145" width="3.85546875" style="1" bestFit="1" customWidth="1"/>
    <col min="146" max="146" width="4.5703125" style="1" bestFit="1" customWidth="1"/>
    <col min="147" max="147" width="3.85546875" style="1" bestFit="1" customWidth="1"/>
    <col min="148" max="148" width="4.7109375" style="1" bestFit="1" customWidth="1"/>
    <col min="149" max="149" width="3.85546875" style="1" bestFit="1" customWidth="1"/>
    <col min="150" max="151" width="3.7109375" style="1" bestFit="1" customWidth="1"/>
    <col min="152" max="152" width="3.85546875" style="1" bestFit="1" customWidth="1"/>
    <col min="153" max="153" width="4.5703125" style="1" bestFit="1" customWidth="1"/>
    <col min="154" max="154" width="3.85546875" style="1" bestFit="1" customWidth="1"/>
    <col min="155" max="155" width="4.7109375" style="1" bestFit="1" customWidth="1"/>
    <col min="156" max="156" width="3.85546875" style="1" bestFit="1" customWidth="1"/>
    <col min="157" max="158" width="3.7109375" style="1" bestFit="1" customWidth="1"/>
    <col min="159" max="159" width="3.85546875" style="1" bestFit="1" customWidth="1"/>
    <col min="160" max="160" width="4.5703125" style="1" bestFit="1" customWidth="1"/>
    <col min="161" max="161" width="3.85546875" style="1" bestFit="1" customWidth="1"/>
    <col min="162" max="162" width="4.7109375" style="1" bestFit="1" customWidth="1"/>
    <col min="163" max="163" width="3.85546875" style="1" bestFit="1" customWidth="1"/>
    <col min="164" max="165" width="3.7109375" style="1" bestFit="1" customWidth="1"/>
    <col min="166" max="166" width="3.85546875" style="1" bestFit="1" customWidth="1"/>
    <col min="167" max="167" width="4.5703125" style="1" bestFit="1" customWidth="1"/>
    <col min="168" max="168" width="3.85546875" style="1" bestFit="1" customWidth="1"/>
    <col min="169" max="169" width="4.7109375" style="1" bestFit="1" customWidth="1"/>
    <col min="170" max="170" width="3.85546875" style="1" bestFit="1" customWidth="1"/>
    <col min="171" max="172" width="3.7109375" style="1" bestFit="1" customWidth="1"/>
    <col min="173" max="173" width="3.85546875" style="1" bestFit="1" customWidth="1"/>
    <col min="174" max="174" width="4.5703125" style="1" bestFit="1" customWidth="1"/>
    <col min="175" max="175" width="3.85546875" style="1" bestFit="1" customWidth="1"/>
    <col min="176" max="176" width="4.7109375" style="1" bestFit="1" customWidth="1"/>
    <col min="177" max="177" width="3.85546875" style="1" bestFit="1" customWidth="1"/>
    <col min="178" max="179" width="3.7109375" style="1" bestFit="1" customWidth="1"/>
    <col min="180" max="180" width="3.85546875" style="1" bestFit="1" customWidth="1"/>
    <col min="181" max="181" width="4.5703125" style="1" bestFit="1" customWidth="1"/>
    <col min="182" max="182" width="3.85546875" style="1" bestFit="1" customWidth="1"/>
    <col min="183" max="183" width="4.7109375" style="1" bestFit="1" customWidth="1"/>
    <col min="184" max="184" width="3.85546875" style="1" bestFit="1" customWidth="1"/>
    <col min="185" max="186" width="3.7109375" style="1" bestFit="1" customWidth="1"/>
    <col min="187" max="187" width="3.85546875" style="1" bestFit="1" customWidth="1"/>
    <col min="188" max="188" width="4.5703125" style="1" bestFit="1" customWidth="1"/>
    <col min="189" max="189" width="3.85546875" style="1" bestFit="1" customWidth="1"/>
    <col min="190" max="190" width="4.7109375" style="1" bestFit="1" customWidth="1"/>
    <col min="191" max="191" width="3.85546875" style="1" bestFit="1" customWidth="1"/>
    <col min="192" max="193" width="3.7109375" style="1" bestFit="1" customWidth="1"/>
    <col min="194" max="194" width="3.85546875" style="1" bestFit="1" customWidth="1"/>
    <col min="195" max="195" width="4.5703125" style="1" bestFit="1" customWidth="1"/>
    <col min="196" max="196" width="3.85546875" style="1" bestFit="1" customWidth="1"/>
    <col min="197" max="197" width="4.7109375" style="1" bestFit="1" customWidth="1"/>
    <col min="198" max="198" width="3.85546875" style="1" bestFit="1" customWidth="1"/>
    <col min="199" max="200" width="3.7109375" style="1" bestFit="1" customWidth="1"/>
    <col min="201" max="201" width="3.85546875" style="1" bestFit="1" customWidth="1"/>
    <col min="202" max="202" width="4.5703125" style="1" bestFit="1" customWidth="1"/>
    <col min="203" max="203" width="3.85546875" style="1" bestFit="1" customWidth="1"/>
    <col min="204" max="204" width="4.7109375" style="1" bestFit="1" customWidth="1"/>
    <col min="205" max="205" width="3.85546875" style="1" bestFit="1" customWidth="1"/>
    <col min="206" max="207" width="3.7109375" style="1" bestFit="1" customWidth="1"/>
    <col min="208" max="208" width="3.85546875" style="1" bestFit="1" customWidth="1"/>
    <col min="209" max="209" width="4.5703125" style="1" bestFit="1" customWidth="1"/>
    <col min="210" max="210" width="3.85546875" style="1" bestFit="1" customWidth="1"/>
    <col min="211" max="211" width="4.7109375" style="1" bestFit="1" customWidth="1"/>
    <col min="212" max="212" width="3.85546875" style="1" bestFit="1" customWidth="1"/>
    <col min="213" max="214" width="3.7109375" style="1" bestFit="1" customWidth="1"/>
    <col min="215" max="215" width="3.85546875" style="1" bestFit="1" customWidth="1"/>
    <col min="216" max="216" width="4.5703125" style="1" bestFit="1" customWidth="1"/>
    <col min="217" max="217" width="3.85546875" style="1" bestFit="1" customWidth="1"/>
    <col min="218" max="218" width="4.7109375" style="1" bestFit="1" customWidth="1"/>
    <col min="219" max="219" width="3.85546875" style="1" bestFit="1" customWidth="1"/>
    <col min="220" max="221" width="3.7109375" style="1" bestFit="1" customWidth="1"/>
    <col min="222" max="222" width="3.85546875" style="1" bestFit="1" customWidth="1"/>
    <col min="223" max="223" width="4.5703125" style="1" bestFit="1" customWidth="1"/>
    <col min="224" max="224" width="3.85546875" style="1" bestFit="1" customWidth="1"/>
    <col min="225" max="225" width="4.7109375" style="1" bestFit="1" customWidth="1"/>
    <col min="226" max="226" width="3.85546875" style="1" bestFit="1" customWidth="1"/>
    <col min="227" max="228" width="3.7109375" style="1" bestFit="1" customWidth="1"/>
    <col min="229" max="229" width="3.85546875" style="1" bestFit="1" customWidth="1"/>
    <col min="230" max="230" width="4.5703125" style="1" bestFit="1" customWidth="1"/>
    <col min="231" max="231" width="3.85546875" style="1" bestFit="1" customWidth="1"/>
    <col min="232" max="232" width="4.7109375" style="1" bestFit="1" customWidth="1"/>
    <col min="233" max="233" width="3.85546875" style="1" bestFit="1" customWidth="1"/>
    <col min="234" max="235" width="3.7109375" style="1" bestFit="1" customWidth="1"/>
    <col min="236" max="236" width="3.85546875" style="1" bestFit="1" customWidth="1"/>
    <col min="237" max="237" width="4.5703125" style="1" bestFit="1" customWidth="1"/>
    <col min="238" max="238" width="3.85546875" style="1" bestFit="1" customWidth="1"/>
    <col min="239" max="239" width="4.7109375" style="1" bestFit="1" customWidth="1"/>
    <col min="240" max="240" width="3.85546875" style="1" bestFit="1" customWidth="1"/>
    <col min="241" max="242" width="3.7109375" style="1" bestFit="1" customWidth="1"/>
    <col min="243" max="243" width="3.85546875" style="1" bestFit="1" customWidth="1"/>
    <col min="244" max="244" width="4.5703125" style="1" bestFit="1" customWidth="1"/>
    <col min="245" max="245" width="3.85546875" style="1" bestFit="1" customWidth="1"/>
    <col min="246" max="246" width="4.7109375" style="1" bestFit="1" customWidth="1"/>
    <col min="247" max="247" width="3.85546875" style="1" bestFit="1" customWidth="1"/>
    <col min="248" max="249" width="3.7109375" style="1" bestFit="1" customWidth="1"/>
    <col min="250" max="250" width="3.85546875" style="1" bestFit="1" customWidth="1"/>
    <col min="251" max="251" width="4.5703125" style="1" bestFit="1" customWidth="1"/>
    <col min="252" max="252" width="3.85546875" style="1" bestFit="1" customWidth="1"/>
    <col min="253" max="253" width="4.7109375" style="1" bestFit="1" customWidth="1"/>
    <col min="254" max="254" width="3.85546875" style="1" bestFit="1" customWidth="1"/>
    <col min="255" max="256" width="3.7109375" style="1" bestFit="1" customWidth="1"/>
    <col min="257" max="257" width="3.85546875" style="1" bestFit="1" customWidth="1"/>
    <col min="258" max="258" width="4.5703125" style="1" bestFit="1" customWidth="1"/>
    <col min="259" max="259" width="3.85546875" style="1" bestFit="1" customWidth="1"/>
    <col min="260" max="260" width="4.7109375" style="1" bestFit="1" customWidth="1"/>
    <col min="261" max="261" width="3.85546875" style="1" bestFit="1" customWidth="1"/>
    <col min="262" max="263" width="3.7109375" style="1" bestFit="1" customWidth="1"/>
    <col min="264" max="264" width="3.85546875" style="1" bestFit="1" customWidth="1"/>
    <col min="265" max="265" width="4.5703125" style="1" bestFit="1" customWidth="1"/>
    <col min="266" max="266" width="3.85546875" style="1" bestFit="1" customWidth="1"/>
    <col min="267" max="267" width="4.7109375" style="1" bestFit="1" customWidth="1"/>
    <col min="268" max="268" width="3.85546875" style="1" bestFit="1" customWidth="1"/>
    <col min="269" max="270" width="3.7109375" style="1" bestFit="1" customWidth="1"/>
    <col min="271" max="271" width="3.85546875" style="1" bestFit="1" customWidth="1"/>
    <col min="272" max="272" width="4.5703125" style="1" bestFit="1" customWidth="1"/>
    <col min="273" max="273" width="3.85546875" style="1" bestFit="1" customWidth="1"/>
    <col min="274" max="274" width="4.7109375" style="1" bestFit="1" customWidth="1"/>
    <col min="275" max="275" width="3.85546875" style="1" bestFit="1" customWidth="1"/>
    <col min="276" max="277" width="3.7109375" style="1" bestFit="1" customWidth="1"/>
    <col min="278" max="278" width="3.85546875" style="1" bestFit="1" customWidth="1"/>
    <col min="279" max="279" width="4.5703125" style="1" bestFit="1" customWidth="1"/>
    <col min="280" max="280" width="3.85546875" style="1" bestFit="1" customWidth="1"/>
    <col min="281" max="281" width="4.7109375" style="1" bestFit="1" customWidth="1"/>
    <col min="282" max="282" width="3.85546875" style="1" bestFit="1" customWidth="1"/>
    <col min="283" max="284" width="3.7109375" style="1" bestFit="1" customWidth="1"/>
    <col min="285" max="285" width="3.85546875" style="1" bestFit="1" customWidth="1"/>
    <col min="286" max="286" width="4.5703125" style="1" bestFit="1" customWidth="1"/>
    <col min="287" max="287" width="3.85546875" style="1" bestFit="1" customWidth="1"/>
    <col min="288" max="288" width="4.7109375" style="1" bestFit="1" customWidth="1"/>
    <col min="289" max="289" width="3.85546875" style="1" bestFit="1" customWidth="1"/>
    <col min="290" max="291" width="3.7109375" style="1" bestFit="1" customWidth="1"/>
    <col min="292" max="292" width="3.85546875" style="1" bestFit="1" customWidth="1"/>
    <col min="293" max="293" width="4.5703125" style="1" bestFit="1" customWidth="1"/>
    <col min="294" max="294" width="3.85546875" style="1" bestFit="1" customWidth="1"/>
    <col min="295" max="295" width="4.7109375" style="1" bestFit="1" customWidth="1"/>
    <col min="296" max="296" width="3.85546875" style="1" bestFit="1" customWidth="1"/>
    <col min="297" max="298" width="3.7109375" style="1" bestFit="1" customWidth="1"/>
    <col min="299" max="299" width="3.85546875" style="1" bestFit="1" customWidth="1"/>
    <col min="300" max="300" width="4.5703125" style="1" bestFit="1" customWidth="1"/>
    <col min="301" max="301" width="3.85546875" style="1" bestFit="1" customWidth="1"/>
    <col min="302" max="302" width="4.7109375" style="1" bestFit="1" customWidth="1"/>
    <col min="303" max="303" width="3.85546875" style="1" bestFit="1" customWidth="1"/>
    <col min="304" max="305" width="3.7109375" style="1" bestFit="1" customWidth="1"/>
    <col min="306" max="306" width="3.85546875" style="1" bestFit="1" customWidth="1"/>
    <col min="307" max="307" width="4.5703125" style="1" bestFit="1" customWidth="1"/>
    <col min="308" max="308" width="3.85546875" style="1" bestFit="1" customWidth="1"/>
    <col min="309" max="309" width="4.7109375" style="1" bestFit="1" customWidth="1"/>
    <col min="310" max="310" width="3.85546875" style="1" bestFit="1" customWidth="1"/>
    <col min="311" max="312" width="3.7109375" style="1" bestFit="1" customWidth="1"/>
    <col min="313" max="313" width="3.85546875" style="1" bestFit="1" customWidth="1"/>
    <col min="314" max="314" width="4.5703125" style="1" bestFit="1" customWidth="1"/>
    <col min="315" max="315" width="3.85546875" style="1" bestFit="1" customWidth="1"/>
    <col min="316" max="316" width="4.7109375" style="1" bestFit="1" customWidth="1"/>
    <col min="317" max="317" width="3.85546875" style="1" bestFit="1" customWidth="1"/>
    <col min="318" max="319" width="3.7109375" style="1" bestFit="1" customWidth="1"/>
    <col min="320" max="320" width="3.85546875" style="1" bestFit="1" customWidth="1"/>
    <col min="321" max="321" width="4.5703125" style="1" bestFit="1" customWidth="1"/>
    <col min="322" max="322" width="3.85546875" style="1" bestFit="1" customWidth="1"/>
    <col min="323" max="323" width="4.7109375" style="1" bestFit="1" customWidth="1"/>
    <col min="324" max="324" width="3.85546875" style="1" bestFit="1" customWidth="1"/>
    <col min="325" max="326" width="3.7109375" style="1" bestFit="1" customWidth="1"/>
    <col min="327" max="327" width="3.85546875" style="1" bestFit="1" customWidth="1"/>
    <col min="328" max="328" width="4.5703125" style="1" bestFit="1" customWidth="1"/>
    <col min="329" max="329" width="3.85546875" style="1" bestFit="1" customWidth="1"/>
    <col min="330" max="330" width="4.7109375" style="1" bestFit="1" customWidth="1"/>
    <col min="331" max="331" width="3.85546875" style="1" bestFit="1" customWidth="1"/>
    <col min="332" max="333" width="3.7109375" style="1" bestFit="1" customWidth="1"/>
    <col min="334" max="334" width="3.85546875" style="1" bestFit="1" customWidth="1"/>
    <col min="335" max="335" width="4.5703125" style="1" bestFit="1" customWidth="1"/>
    <col min="336" max="336" width="3.85546875" style="1" bestFit="1" customWidth="1"/>
    <col min="337" max="337" width="4.7109375" style="1" bestFit="1" customWidth="1"/>
    <col min="338" max="338" width="3.85546875" style="1" bestFit="1" customWidth="1"/>
    <col min="339" max="340" width="3.7109375" style="1" bestFit="1" customWidth="1"/>
    <col min="341" max="341" width="3.85546875" style="1" bestFit="1" customWidth="1"/>
    <col min="342" max="342" width="4.5703125" style="1" bestFit="1" customWidth="1"/>
    <col min="343" max="343" width="3.85546875" style="1" bestFit="1" customWidth="1"/>
    <col min="344" max="344" width="4.7109375" style="1" bestFit="1" customWidth="1"/>
    <col min="345" max="345" width="3.85546875" style="1" bestFit="1" customWidth="1"/>
    <col min="346" max="347" width="3.7109375" style="1" bestFit="1" customWidth="1"/>
    <col min="348" max="348" width="3.85546875" style="1" bestFit="1" customWidth="1"/>
    <col min="349" max="349" width="4.5703125" style="1" bestFit="1" customWidth="1"/>
    <col min="350" max="350" width="3.85546875" style="1" bestFit="1" customWidth="1"/>
    <col min="351" max="351" width="4.7109375" style="1" bestFit="1" customWidth="1"/>
    <col min="352" max="352" width="3.85546875" style="1" bestFit="1" customWidth="1"/>
    <col min="353" max="354" width="3.7109375" style="1" bestFit="1" customWidth="1"/>
    <col min="355" max="355" width="3.85546875" style="1" bestFit="1" customWidth="1"/>
    <col min="356" max="356" width="4.5703125" style="1" bestFit="1" customWidth="1"/>
    <col min="357" max="357" width="3.85546875" style="1" bestFit="1" customWidth="1"/>
    <col min="358" max="358" width="4.7109375" style="1" bestFit="1" customWidth="1"/>
    <col min="359" max="359" width="3.85546875" style="1" bestFit="1" customWidth="1"/>
    <col min="360" max="361" width="3.7109375" style="1" bestFit="1" customWidth="1"/>
    <col min="362" max="362" width="3.85546875" style="1" bestFit="1" customWidth="1"/>
    <col min="363" max="363" width="4.5703125" style="1" bestFit="1" customWidth="1"/>
    <col min="364" max="364" width="3.85546875" style="1" bestFit="1" customWidth="1"/>
    <col min="365" max="365" width="4.7109375" style="1" bestFit="1" customWidth="1"/>
    <col min="366" max="366" width="3.85546875" style="1" bestFit="1" customWidth="1"/>
    <col min="367" max="368" width="3.7109375" style="1" bestFit="1" customWidth="1"/>
    <col min="369" max="369" width="3.85546875" style="1" bestFit="1" customWidth="1"/>
    <col min="370" max="370" width="4.5703125" style="1" bestFit="1" customWidth="1"/>
    <col min="371" max="371" width="3.85546875" style="1" bestFit="1" customWidth="1"/>
    <col min="372" max="373" width="6.7109375" style="1" bestFit="1" customWidth="1"/>
    <col min="374" max="374" width="18.5703125" style="1" bestFit="1" customWidth="1"/>
    <col min="375" max="375" width="5.85546875" style="1" bestFit="1" customWidth="1"/>
    <col min="376" max="376" width="14.28515625" style="1" bestFit="1" customWidth="1"/>
    <col min="377" max="377" width="6.7109375" style="1" bestFit="1" customWidth="1"/>
    <col min="378" max="16384" width="3.85546875" style="1"/>
  </cols>
  <sheetData>
    <row r="1" spans="1:377" ht="17.25" x14ac:dyDescent="0.3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</row>
    <row r="2" spans="1:377" ht="17.25" x14ac:dyDescent="0.25">
      <c r="A2" s="101" t="s">
        <v>48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</row>
    <row r="3" spans="1:377" ht="17.25" x14ac:dyDescent="0.3">
      <c r="A3" s="100" t="s">
        <v>47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</row>
    <row r="4" spans="1:377" ht="15.75" customHeight="1" x14ac:dyDescent="0.25">
      <c r="A4" s="106" t="s">
        <v>0</v>
      </c>
      <c r="B4" s="106" t="s">
        <v>1</v>
      </c>
      <c r="C4" s="106" t="s">
        <v>2</v>
      </c>
      <c r="D4" s="106" t="s">
        <v>3</v>
      </c>
      <c r="E4" s="106" t="s">
        <v>4</v>
      </c>
      <c r="F4" s="2" t="str">
        <f>TEXT(F5,"ddd")</f>
        <v>Mon</v>
      </c>
      <c r="G4" s="2" t="str">
        <f t="shared" ref="G4:BR4" si="0">TEXT(G5,"ddd")</f>
        <v>Tue</v>
      </c>
      <c r="H4" s="2" t="str">
        <f t="shared" si="0"/>
        <v>Wed</v>
      </c>
      <c r="I4" s="2" t="str">
        <f t="shared" si="0"/>
        <v>Thu</v>
      </c>
      <c r="J4" s="2" t="str">
        <f t="shared" si="0"/>
        <v>Fri</v>
      </c>
      <c r="K4" s="2" t="str">
        <f t="shared" si="0"/>
        <v>Sat</v>
      </c>
      <c r="L4" s="2" t="str">
        <f t="shared" si="0"/>
        <v>Sun</v>
      </c>
      <c r="M4" s="2" t="str">
        <f t="shared" si="0"/>
        <v>Mon</v>
      </c>
      <c r="N4" s="2" t="str">
        <f t="shared" si="0"/>
        <v>Tue</v>
      </c>
      <c r="O4" s="2" t="str">
        <f t="shared" si="0"/>
        <v>Wed</v>
      </c>
      <c r="P4" s="2" t="str">
        <f t="shared" si="0"/>
        <v>Thu</v>
      </c>
      <c r="Q4" s="2" t="str">
        <f t="shared" si="0"/>
        <v>Fri</v>
      </c>
      <c r="R4" s="2" t="str">
        <f t="shared" si="0"/>
        <v>Sat</v>
      </c>
      <c r="S4" s="2" t="str">
        <f t="shared" si="0"/>
        <v>Sun</v>
      </c>
      <c r="T4" s="2" t="str">
        <f t="shared" si="0"/>
        <v>Mon</v>
      </c>
      <c r="U4" s="2" t="str">
        <f t="shared" si="0"/>
        <v>Tue</v>
      </c>
      <c r="V4" s="2" t="str">
        <f t="shared" si="0"/>
        <v>Wed</v>
      </c>
      <c r="W4" s="2" t="str">
        <f t="shared" si="0"/>
        <v>Thu</v>
      </c>
      <c r="X4" s="2" t="str">
        <f t="shared" si="0"/>
        <v>Fri</v>
      </c>
      <c r="Y4" s="2" t="str">
        <f t="shared" si="0"/>
        <v>Sat</v>
      </c>
      <c r="Z4" s="2" t="str">
        <f t="shared" si="0"/>
        <v>Sun</v>
      </c>
      <c r="AA4" s="2" t="str">
        <f t="shared" si="0"/>
        <v>Mon</v>
      </c>
      <c r="AB4" s="2" t="str">
        <f t="shared" si="0"/>
        <v>Tue</v>
      </c>
      <c r="AC4" s="2" t="str">
        <f t="shared" si="0"/>
        <v>Wed</v>
      </c>
      <c r="AD4" s="2" t="str">
        <f t="shared" si="0"/>
        <v>Thu</v>
      </c>
      <c r="AE4" s="2" t="str">
        <f t="shared" si="0"/>
        <v>Fri</v>
      </c>
      <c r="AF4" s="2" t="str">
        <f t="shared" si="0"/>
        <v>Sat</v>
      </c>
      <c r="AG4" s="2" t="str">
        <f t="shared" si="0"/>
        <v>Sun</v>
      </c>
      <c r="AH4" s="2" t="str">
        <f t="shared" si="0"/>
        <v>Mon</v>
      </c>
      <c r="AI4" s="2" t="str">
        <f t="shared" si="0"/>
        <v>Tue</v>
      </c>
      <c r="AJ4" s="2" t="str">
        <f t="shared" si="0"/>
        <v>Wed</v>
      </c>
      <c r="AK4" s="2" t="str">
        <f t="shared" si="0"/>
        <v>Thu</v>
      </c>
      <c r="AL4" s="2" t="str">
        <f t="shared" si="0"/>
        <v>Fri</v>
      </c>
      <c r="AM4" s="2" t="str">
        <f t="shared" si="0"/>
        <v>Sat</v>
      </c>
      <c r="AN4" s="2" t="str">
        <f t="shared" si="0"/>
        <v>Sun</v>
      </c>
      <c r="AO4" s="2" t="str">
        <f t="shared" si="0"/>
        <v>Mon</v>
      </c>
      <c r="AP4" s="2" t="str">
        <f t="shared" si="0"/>
        <v>Tue</v>
      </c>
      <c r="AQ4" s="2" t="str">
        <f t="shared" si="0"/>
        <v>Wed</v>
      </c>
      <c r="AR4" s="2" t="str">
        <f t="shared" si="0"/>
        <v>Thu</v>
      </c>
      <c r="AS4" s="2" t="str">
        <f t="shared" si="0"/>
        <v>Fri</v>
      </c>
      <c r="AT4" s="2" t="str">
        <f t="shared" si="0"/>
        <v>Sat</v>
      </c>
      <c r="AU4" s="2" t="str">
        <f t="shared" si="0"/>
        <v>Sun</v>
      </c>
      <c r="AV4" s="2" t="str">
        <f t="shared" si="0"/>
        <v>Mon</v>
      </c>
      <c r="AW4" s="2" t="str">
        <f t="shared" si="0"/>
        <v>Tue</v>
      </c>
      <c r="AX4" s="2" t="str">
        <f t="shared" si="0"/>
        <v>Wed</v>
      </c>
      <c r="AY4" s="2" t="str">
        <f t="shared" si="0"/>
        <v>Thu</v>
      </c>
      <c r="AZ4" s="2" t="str">
        <f t="shared" si="0"/>
        <v>Fri</v>
      </c>
      <c r="BA4" s="2" t="str">
        <f t="shared" si="0"/>
        <v>Sat</v>
      </c>
      <c r="BB4" s="2" t="str">
        <f t="shared" si="0"/>
        <v>Sun</v>
      </c>
      <c r="BC4" s="2" t="str">
        <f t="shared" si="0"/>
        <v>Mon</v>
      </c>
      <c r="BD4" s="2" t="str">
        <f t="shared" si="0"/>
        <v>Tue</v>
      </c>
      <c r="BE4" s="2" t="str">
        <f t="shared" si="0"/>
        <v>Wed</v>
      </c>
      <c r="BF4" s="2" t="str">
        <f t="shared" si="0"/>
        <v>Thu</v>
      </c>
      <c r="BG4" s="2" t="str">
        <f t="shared" si="0"/>
        <v>Fri</v>
      </c>
      <c r="BH4" s="2" t="str">
        <f t="shared" si="0"/>
        <v>Sat</v>
      </c>
      <c r="BI4" s="2" t="str">
        <f t="shared" si="0"/>
        <v>Sun</v>
      </c>
      <c r="BJ4" s="2" t="str">
        <f t="shared" si="0"/>
        <v>Mon</v>
      </c>
      <c r="BK4" s="2" t="str">
        <f t="shared" si="0"/>
        <v>Tue</v>
      </c>
      <c r="BL4" s="2" t="str">
        <f t="shared" si="0"/>
        <v>Wed</v>
      </c>
      <c r="BM4" s="2" t="str">
        <f t="shared" si="0"/>
        <v>Thu</v>
      </c>
      <c r="BN4" s="2" t="str">
        <f t="shared" si="0"/>
        <v>Fri</v>
      </c>
      <c r="BO4" s="2" t="str">
        <f t="shared" si="0"/>
        <v>Sat</v>
      </c>
      <c r="BP4" s="2" t="str">
        <f t="shared" si="0"/>
        <v>Sun</v>
      </c>
      <c r="BQ4" s="2" t="str">
        <f t="shared" si="0"/>
        <v>Mon</v>
      </c>
      <c r="BR4" s="2" t="str">
        <f t="shared" si="0"/>
        <v>Tue</v>
      </c>
      <c r="BS4" s="2" t="str">
        <f t="shared" ref="BS4:ED4" si="1">TEXT(BS5,"ddd")</f>
        <v>Wed</v>
      </c>
      <c r="BT4" s="2" t="str">
        <f t="shared" si="1"/>
        <v>Thu</v>
      </c>
      <c r="BU4" s="2" t="str">
        <f t="shared" si="1"/>
        <v>Fri</v>
      </c>
      <c r="BV4" s="2" t="str">
        <f t="shared" si="1"/>
        <v>Sat</v>
      </c>
      <c r="BW4" s="2" t="str">
        <f t="shared" si="1"/>
        <v>Sun</v>
      </c>
      <c r="BX4" s="2" t="str">
        <f t="shared" si="1"/>
        <v>Mon</v>
      </c>
      <c r="BY4" s="2" t="str">
        <f t="shared" si="1"/>
        <v>Tue</v>
      </c>
      <c r="BZ4" s="2" t="str">
        <f t="shared" si="1"/>
        <v>Wed</v>
      </c>
      <c r="CA4" s="2" t="str">
        <f t="shared" si="1"/>
        <v>Thu</v>
      </c>
      <c r="CB4" s="2" t="str">
        <f t="shared" si="1"/>
        <v>Fri</v>
      </c>
      <c r="CC4" s="2" t="str">
        <f t="shared" si="1"/>
        <v>Sat</v>
      </c>
      <c r="CD4" s="2" t="str">
        <f t="shared" si="1"/>
        <v>Sun</v>
      </c>
      <c r="CE4" s="2" t="str">
        <f t="shared" si="1"/>
        <v>Mon</v>
      </c>
      <c r="CF4" s="2" t="str">
        <f t="shared" si="1"/>
        <v>Tue</v>
      </c>
      <c r="CG4" s="2" t="str">
        <f t="shared" si="1"/>
        <v>Wed</v>
      </c>
      <c r="CH4" s="2" t="str">
        <f t="shared" si="1"/>
        <v>Thu</v>
      </c>
      <c r="CI4" s="2" t="str">
        <f t="shared" si="1"/>
        <v>Fri</v>
      </c>
      <c r="CJ4" s="2" t="str">
        <f t="shared" si="1"/>
        <v>Sat</v>
      </c>
      <c r="CK4" s="2" t="str">
        <f t="shared" si="1"/>
        <v>Sun</v>
      </c>
      <c r="CL4" s="2" t="str">
        <f t="shared" si="1"/>
        <v>Mon</v>
      </c>
      <c r="CM4" s="2" t="str">
        <f t="shared" si="1"/>
        <v>Tue</v>
      </c>
      <c r="CN4" s="2" t="str">
        <f t="shared" si="1"/>
        <v>Wed</v>
      </c>
      <c r="CO4" s="2" t="str">
        <f t="shared" si="1"/>
        <v>Thu</v>
      </c>
      <c r="CP4" s="2" t="str">
        <f t="shared" si="1"/>
        <v>Fri</v>
      </c>
      <c r="CQ4" s="2" t="str">
        <f t="shared" si="1"/>
        <v>Sat</v>
      </c>
      <c r="CR4" s="2" t="str">
        <f t="shared" si="1"/>
        <v>Sun</v>
      </c>
      <c r="CS4" s="2" t="str">
        <f t="shared" si="1"/>
        <v>Mon</v>
      </c>
      <c r="CT4" s="2" t="str">
        <f t="shared" si="1"/>
        <v>Tue</v>
      </c>
      <c r="CU4" s="2" t="str">
        <f t="shared" si="1"/>
        <v>Wed</v>
      </c>
      <c r="CV4" s="2" t="str">
        <f t="shared" si="1"/>
        <v>Thu</v>
      </c>
      <c r="CW4" s="2" t="str">
        <f t="shared" si="1"/>
        <v>Fri</v>
      </c>
      <c r="CX4" s="2" t="str">
        <f t="shared" si="1"/>
        <v>Sat</v>
      </c>
      <c r="CY4" s="2" t="str">
        <f t="shared" si="1"/>
        <v>Sun</v>
      </c>
      <c r="CZ4" s="2" t="str">
        <f t="shared" si="1"/>
        <v>Mon</v>
      </c>
      <c r="DA4" s="2" t="str">
        <f t="shared" si="1"/>
        <v>Tue</v>
      </c>
      <c r="DB4" s="2" t="str">
        <f t="shared" si="1"/>
        <v>Wed</v>
      </c>
      <c r="DC4" s="2" t="str">
        <f t="shared" si="1"/>
        <v>Thu</v>
      </c>
      <c r="DD4" s="2" t="str">
        <f t="shared" si="1"/>
        <v>Fri</v>
      </c>
      <c r="DE4" s="2" t="str">
        <f t="shared" si="1"/>
        <v>Sat</v>
      </c>
      <c r="DF4" s="2" t="str">
        <f t="shared" si="1"/>
        <v>Sun</v>
      </c>
      <c r="DG4" s="2" t="str">
        <f t="shared" si="1"/>
        <v>Mon</v>
      </c>
      <c r="DH4" s="2" t="str">
        <f t="shared" si="1"/>
        <v>Tue</v>
      </c>
      <c r="DI4" s="2" t="str">
        <f t="shared" si="1"/>
        <v>Wed</v>
      </c>
      <c r="DJ4" s="2" t="str">
        <f t="shared" si="1"/>
        <v>Thu</v>
      </c>
      <c r="DK4" s="2" t="str">
        <f t="shared" si="1"/>
        <v>Fri</v>
      </c>
      <c r="DL4" s="2" t="str">
        <f t="shared" si="1"/>
        <v>Sat</v>
      </c>
      <c r="DM4" s="2" t="str">
        <f t="shared" si="1"/>
        <v>Sun</v>
      </c>
      <c r="DN4" s="2" t="str">
        <f t="shared" si="1"/>
        <v>Mon</v>
      </c>
      <c r="DO4" s="2" t="str">
        <f t="shared" si="1"/>
        <v>Tue</v>
      </c>
      <c r="DP4" s="2" t="str">
        <f t="shared" si="1"/>
        <v>Wed</v>
      </c>
      <c r="DQ4" s="2" t="str">
        <f t="shared" si="1"/>
        <v>Thu</v>
      </c>
      <c r="DR4" s="2" t="str">
        <f t="shared" si="1"/>
        <v>Fri</v>
      </c>
      <c r="DS4" s="2" t="str">
        <f t="shared" si="1"/>
        <v>Sat</v>
      </c>
      <c r="DT4" s="2" t="str">
        <f t="shared" si="1"/>
        <v>Sun</v>
      </c>
      <c r="DU4" s="2" t="str">
        <f t="shared" si="1"/>
        <v>Mon</v>
      </c>
      <c r="DV4" s="2" t="str">
        <f t="shared" si="1"/>
        <v>Tue</v>
      </c>
      <c r="DW4" s="2" t="str">
        <f t="shared" si="1"/>
        <v>Wed</v>
      </c>
      <c r="DX4" s="2" t="str">
        <f t="shared" si="1"/>
        <v>Thu</v>
      </c>
      <c r="DY4" s="2" t="str">
        <f t="shared" si="1"/>
        <v>Fri</v>
      </c>
      <c r="DZ4" s="2" t="str">
        <f t="shared" si="1"/>
        <v>Sat</v>
      </c>
      <c r="EA4" s="2" t="str">
        <f t="shared" si="1"/>
        <v>Sun</v>
      </c>
      <c r="EB4" s="2" t="str">
        <f t="shared" si="1"/>
        <v>Mon</v>
      </c>
      <c r="EC4" s="2" t="str">
        <f t="shared" si="1"/>
        <v>Tue</v>
      </c>
      <c r="ED4" s="2" t="str">
        <f t="shared" si="1"/>
        <v>Wed</v>
      </c>
      <c r="EE4" s="2" t="str">
        <f t="shared" ref="EE4:GP4" si="2">TEXT(EE5,"ddd")</f>
        <v>Thu</v>
      </c>
      <c r="EF4" s="2" t="str">
        <f t="shared" si="2"/>
        <v>Fri</v>
      </c>
      <c r="EG4" s="2" t="str">
        <f t="shared" si="2"/>
        <v>Sat</v>
      </c>
      <c r="EH4" s="2" t="str">
        <f t="shared" si="2"/>
        <v>Sun</v>
      </c>
      <c r="EI4" s="2" t="str">
        <f t="shared" si="2"/>
        <v>Mon</v>
      </c>
      <c r="EJ4" s="2" t="str">
        <f t="shared" si="2"/>
        <v>Tue</v>
      </c>
      <c r="EK4" s="2" t="str">
        <f t="shared" si="2"/>
        <v>Wed</v>
      </c>
      <c r="EL4" s="2" t="str">
        <f t="shared" si="2"/>
        <v>Thu</v>
      </c>
      <c r="EM4" s="2" t="str">
        <f t="shared" si="2"/>
        <v>Fri</v>
      </c>
      <c r="EN4" s="2" t="str">
        <f t="shared" si="2"/>
        <v>Sat</v>
      </c>
      <c r="EO4" s="2" t="str">
        <f t="shared" si="2"/>
        <v>Sun</v>
      </c>
      <c r="EP4" s="2" t="str">
        <f t="shared" si="2"/>
        <v>Mon</v>
      </c>
      <c r="EQ4" s="2" t="str">
        <f t="shared" si="2"/>
        <v>Tue</v>
      </c>
      <c r="ER4" s="2" t="str">
        <f t="shared" si="2"/>
        <v>Wed</v>
      </c>
      <c r="ES4" s="2" t="str">
        <f t="shared" si="2"/>
        <v>Thu</v>
      </c>
      <c r="ET4" s="2" t="str">
        <f t="shared" si="2"/>
        <v>Fri</v>
      </c>
      <c r="EU4" s="2" t="str">
        <f t="shared" si="2"/>
        <v>Sat</v>
      </c>
      <c r="EV4" s="2" t="str">
        <f t="shared" si="2"/>
        <v>Sun</v>
      </c>
      <c r="EW4" s="2" t="str">
        <f t="shared" si="2"/>
        <v>Mon</v>
      </c>
      <c r="EX4" s="2" t="str">
        <f t="shared" si="2"/>
        <v>Tue</v>
      </c>
      <c r="EY4" s="2" t="str">
        <f t="shared" si="2"/>
        <v>Wed</v>
      </c>
      <c r="EZ4" s="2" t="str">
        <f t="shared" si="2"/>
        <v>Thu</v>
      </c>
      <c r="FA4" s="2" t="str">
        <f t="shared" si="2"/>
        <v>Fri</v>
      </c>
      <c r="FB4" s="2" t="str">
        <f t="shared" si="2"/>
        <v>Sat</v>
      </c>
      <c r="FC4" s="2" t="str">
        <f t="shared" si="2"/>
        <v>Sun</v>
      </c>
      <c r="FD4" s="2" t="str">
        <f t="shared" si="2"/>
        <v>Mon</v>
      </c>
      <c r="FE4" s="2" t="str">
        <f t="shared" si="2"/>
        <v>Tue</v>
      </c>
      <c r="FF4" s="2" t="str">
        <f t="shared" si="2"/>
        <v>Wed</v>
      </c>
      <c r="FG4" s="2" t="str">
        <f t="shared" si="2"/>
        <v>Thu</v>
      </c>
      <c r="FH4" s="2" t="str">
        <f t="shared" si="2"/>
        <v>Fri</v>
      </c>
      <c r="FI4" s="2" t="str">
        <f t="shared" si="2"/>
        <v>Sat</v>
      </c>
      <c r="FJ4" s="2" t="str">
        <f t="shared" si="2"/>
        <v>Sun</v>
      </c>
      <c r="FK4" s="2" t="str">
        <f t="shared" si="2"/>
        <v>Mon</v>
      </c>
      <c r="FL4" s="2" t="str">
        <f t="shared" si="2"/>
        <v>Tue</v>
      </c>
      <c r="FM4" s="2" t="str">
        <f t="shared" si="2"/>
        <v>Wed</v>
      </c>
      <c r="FN4" s="2" t="str">
        <f t="shared" si="2"/>
        <v>Thu</v>
      </c>
      <c r="FO4" s="2" t="str">
        <f t="shared" si="2"/>
        <v>Fri</v>
      </c>
      <c r="FP4" s="2" t="str">
        <f t="shared" si="2"/>
        <v>Sat</v>
      </c>
      <c r="FQ4" s="2" t="str">
        <f t="shared" si="2"/>
        <v>Sun</v>
      </c>
      <c r="FR4" s="2" t="str">
        <f t="shared" si="2"/>
        <v>Mon</v>
      </c>
      <c r="FS4" s="2" t="str">
        <f t="shared" si="2"/>
        <v>Tue</v>
      </c>
      <c r="FT4" s="2" t="str">
        <f t="shared" si="2"/>
        <v>Wed</v>
      </c>
      <c r="FU4" s="2" t="str">
        <f t="shared" si="2"/>
        <v>Thu</v>
      </c>
      <c r="FV4" s="2" t="str">
        <f t="shared" si="2"/>
        <v>Fri</v>
      </c>
      <c r="FW4" s="2" t="str">
        <f t="shared" si="2"/>
        <v>Sat</v>
      </c>
      <c r="FX4" s="2" t="str">
        <f t="shared" si="2"/>
        <v>Sun</v>
      </c>
      <c r="FY4" s="2" t="str">
        <f t="shared" si="2"/>
        <v>Mon</v>
      </c>
      <c r="FZ4" s="2" t="str">
        <f t="shared" si="2"/>
        <v>Tue</v>
      </c>
      <c r="GA4" s="2" t="str">
        <f t="shared" si="2"/>
        <v>Wed</v>
      </c>
      <c r="GB4" s="2" t="str">
        <f t="shared" si="2"/>
        <v>Thu</v>
      </c>
      <c r="GC4" s="2" t="str">
        <f t="shared" si="2"/>
        <v>Fri</v>
      </c>
      <c r="GD4" s="2" t="str">
        <f t="shared" si="2"/>
        <v>Sat</v>
      </c>
      <c r="GE4" s="2" t="str">
        <f t="shared" si="2"/>
        <v>Sun</v>
      </c>
      <c r="GF4" s="2" t="str">
        <f t="shared" si="2"/>
        <v>Mon</v>
      </c>
      <c r="GG4" s="2" t="str">
        <f t="shared" si="2"/>
        <v>Tue</v>
      </c>
      <c r="GH4" s="2" t="str">
        <f t="shared" si="2"/>
        <v>Wed</v>
      </c>
      <c r="GI4" s="2" t="str">
        <f t="shared" si="2"/>
        <v>Thu</v>
      </c>
      <c r="GJ4" s="2" t="str">
        <f t="shared" si="2"/>
        <v>Fri</v>
      </c>
      <c r="GK4" s="2" t="str">
        <f t="shared" si="2"/>
        <v>Sat</v>
      </c>
      <c r="GL4" s="2" t="str">
        <f t="shared" si="2"/>
        <v>Sun</v>
      </c>
      <c r="GM4" s="2" t="str">
        <f t="shared" si="2"/>
        <v>Mon</v>
      </c>
      <c r="GN4" s="2" t="str">
        <f t="shared" si="2"/>
        <v>Tue</v>
      </c>
      <c r="GO4" s="2" t="str">
        <f t="shared" si="2"/>
        <v>Wed</v>
      </c>
      <c r="GP4" s="2" t="str">
        <f t="shared" si="2"/>
        <v>Thu</v>
      </c>
      <c r="GQ4" s="2" t="str">
        <f t="shared" ref="GQ4:JB4" si="3">TEXT(GQ5,"ddd")</f>
        <v>Fri</v>
      </c>
      <c r="GR4" s="2" t="str">
        <f t="shared" si="3"/>
        <v>Sat</v>
      </c>
      <c r="GS4" s="2" t="str">
        <f t="shared" si="3"/>
        <v>Sun</v>
      </c>
      <c r="GT4" s="2" t="str">
        <f t="shared" si="3"/>
        <v>Mon</v>
      </c>
      <c r="GU4" s="2" t="str">
        <f t="shared" si="3"/>
        <v>Tue</v>
      </c>
      <c r="GV4" s="2" t="str">
        <f t="shared" si="3"/>
        <v>Wed</v>
      </c>
      <c r="GW4" s="2" t="str">
        <f t="shared" si="3"/>
        <v>Thu</v>
      </c>
      <c r="GX4" s="2" t="str">
        <f t="shared" si="3"/>
        <v>Fri</v>
      </c>
      <c r="GY4" s="2" t="str">
        <f t="shared" si="3"/>
        <v>Sat</v>
      </c>
      <c r="GZ4" s="2" t="str">
        <f t="shared" si="3"/>
        <v>Sun</v>
      </c>
      <c r="HA4" s="2" t="str">
        <f t="shared" si="3"/>
        <v>Mon</v>
      </c>
      <c r="HB4" s="2" t="str">
        <f t="shared" si="3"/>
        <v>Tue</v>
      </c>
      <c r="HC4" s="2" t="str">
        <f t="shared" si="3"/>
        <v>Wed</v>
      </c>
      <c r="HD4" s="2" t="str">
        <f t="shared" si="3"/>
        <v>Thu</v>
      </c>
      <c r="HE4" s="2" t="str">
        <f t="shared" si="3"/>
        <v>Fri</v>
      </c>
      <c r="HF4" s="2" t="str">
        <f t="shared" si="3"/>
        <v>Sat</v>
      </c>
      <c r="HG4" s="2" t="str">
        <f t="shared" si="3"/>
        <v>Sun</v>
      </c>
      <c r="HH4" s="2" t="str">
        <f t="shared" si="3"/>
        <v>Mon</v>
      </c>
      <c r="HI4" s="2" t="str">
        <f t="shared" si="3"/>
        <v>Tue</v>
      </c>
      <c r="HJ4" s="2" t="str">
        <f t="shared" si="3"/>
        <v>Wed</v>
      </c>
      <c r="HK4" s="2" t="str">
        <f t="shared" si="3"/>
        <v>Thu</v>
      </c>
      <c r="HL4" s="2" t="str">
        <f t="shared" si="3"/>
        <v>Fri</v>
      </c>
      <c r="HM4" s="2" t="str">
        <f t="shared" si="3"/>
        <v>Sat</v>
      </c>
      <c r="HN4" s="2" t="str">
        <f t="shared" si="3"/>
        <v>Sun</v>
      </c>
      <c r="HO4" s="2" t="str">
        <f t="shared" si="3"/>
        <v>Mon</v>
      </c>
      <c r="HP4" s="2" t="str">
        <f t="shared" si="3"/>
        <v>Tue</v>
      </c>
      <c r="HQ4" s="2" t="str">
        <f t="shared" si="3"/>
        <v>Wed</v>
      </c>
      <c r="HR4" s="2" t="str">
        <f t="shared" si="3"/>
        <v>Thu</v>
      </c>
      <c r="HS4" s="2" t="str">
        <f t="shared" si="3"/>
        <v>Fri</v>
      </c>
      <c r="HT4" s="2" t="str">
        <f t="shared" si="3"/>
        <v>Sat</v>
      </c>
      <c r="HU4" s="2" t="str">
        <f t="shared" si="3"/>
        <v>Sun</v>
      </c>
      <c r="HV4" s="2" t="str">
        <f t="shared" si="3"/>
        <v>Mon</v>
      </c>
      <c r="HW4" s="2" t="str">
        <f t="shared" si="3"/>
        <v>Tue</v>
      </c>
      <c r="HX4" s="2" t="str">
        <f t="shared" si="3"/>
        <v>Wed</v>
      </c>
      <c r="HY4" s="2" t="str">
        <f t="shared" si="3"/>
        <v>Thu</v>
      </c>
      <c r="HZ4" s="2" t="str">
        <f t="shared" si="3"/>
        <v>Fri</v>
      </c>
      <c r="IA4" s="2" t="str">
        <f t="shared" si="3"/>
        <v>Sat</v>
      </c>
      <c r="IB4" s="2" t="str">
        <f t="shared" si="3"/>
        <v>Sun</v>
      </c>
      <c r="IC4" s="2" t="str">
        <f t="shared" si="3"/>
        <v>Mon</v>
      </c>
      <c r="ID4" s="2" t="str">
        <f t="shared" si="3"/>
        <v>Tue</v>
      </c>
      <c r="IE4" s="2" t="str">
        <f t="shared" si="3"/>
        <v>Wed</v>
      </c>
      <c r="IF4" s="2" t="str">
        <f t="shared" si="3"/>
        <v>Thu</v>
      </c>
      <c r="IG4" s="2" t="str">
        <f t="shared" si="3"/>
        <v>Fri</v>
      </c>
      <c r="IH4" s="2" t="str">
        <f t="shared" si="3"/>
        <v>Sat</v>
      </c>
      <c r="II4" s="2" t="str">
        <f t="shared" si="3"/>
        <v>Sun</v>
      </c>
      <c r="IJ4" s="2" t="str">
        <f t="shared" si="3"/>
        <v>Mon</v>
      </c>
      <c r="IK4" s="2" t="str">
        <f t="shared" si="3"/>
        <v>Tue</v>
      </c>
      <c r="IL4" s="2" t="str">
        <f t="shared" si="3"/>
        <v>Wed</v>
      </c>
      <c r="IM4" s="2" t="str">
        <f t="shared" si="3"/>
        <v>Thu</v>
      </c>
      <c r="IN4" s="2" t="str">
        <f t="shared" si="3"/>
        <v>Fri</v>
      </c>
      <c r="IO4" s="2" t="str">
        <f t="shared" si="3"/>
        <v>Sat</v>
      </c>
      <c r="IP4" s="2" t="str">
        <f t="shared" si="3"/>
        <v>Sun</v>
      </c>
      <c r="IQ4" s="2" t="str">
        <f t="shared" si="3"/>
        <v>Mon</v>
      </c>
      <c r="IR4" s="2" t="str">
        <f t="shared" si="3"/>
        <v>Tue</v>
      </c>
      <c r="IS4" s="2" t="str">
        <f t="shared" si="3"/>
        <v>Wed</v>
      </c>
      <c r="IT4" s="2" t="str">
        <f t="shared" si="3"/>
        <v>Thu</v>
      </c>
      <c r="IU4" s="2" t="str">
        <f t="shared" si="3"/>
        <v>Fri</v>
      </c>
      <c r="IV4" s="2" t="str">
        <f t="shared" si="3"/>
        <v>Sat</v>
      </c>
      <c r="IW4" s="2" t="str">
        <f t="shared" si="3"/>
        <v>Sun</v>
      </c>
      <c r="IX4" s="2" t="str">
        <f t="shared" si="3"/>
        <v>Mon</v>
      </c>
      <c r="IY4" s="2" t="str">
        <f t="shared" si="3"/>
        <v>Tue</v>
      </c>
      <c r="IZ4" s="2" t="str">
        <f t="shared" si="3"/>
        <v>Wed</v>
      </c>
      <c r="JA4" s="2" t="str">
        <f t="shared" si="3"/>
        <v>Thu</v>
      </c>
      <c r="JB4" s="2" t="str">
        <f t="shared" si="3"/>
        <v>Fri</v>
      </c>
      <c r="JC4" s="2" t="str">
        <f t="shared" ref="JC4:LN4" si="4">TEXT(JC5,"ddd")</f>
        <v>Sat</v>
      </c>
      <c r="JD4" s="2" t="str">
        <f t="shared" si="4"/>
        <v>Sun</v>
      </c>
      <c r="JE4" s="2" t="str">
        <f t="shared" si="4"/>
        <v>Mon</v>
      </c>
      <c r="JF4" s="2" t="str">
        <f t="shared" si="4"/>
        <v>Tue</v>
      </c>
      <c r="JG4" s="2" t="str">
        <f t="shared" si="4"/>
        <v>Wed</v>
      </c>
      <c r="JH4" s="2" t="str">
        <f t="shared" si="4"/>
        <v>Thu</v>
      </c>
      <c r="JI4" s="2" t="str">
        <f t="shared" si="4"/>
        <v>Fri</v>
      </c>
      <c r="JJ4" s="2" t="str">
        <f t="shared" si="4"/>
        <v>Sat</v>
      </c>
      <c r="JK4" s="2" t="str">
        <f t="shared" si="4"/>
        <v>Sun</v>
      </c>
      <c r="JL4" s="2" t="str">
        <f t="shared" si="4"/>
        <v>Mon</v>
      </c>
      <c r="JM4" s="2" t="str">
        <f t="shared" si="4"/>
        <v>Tue</v>
      </c>
      <c r="JN4" s="2" t="str">
        <f t="shared" si="4"/>
        <v>Wed</v>
      </c>
      <c r="JO4" s="2" t="str">
        <f t="shared" si="4"/>
        <v>Thu</v>
      </c>
      <c r="JP4" s="2" t="str">
        <f t="shared" si="4"/>
        <v>Fri</v>
      </c>
      <c r="JQ4" s="2" t="str">
        <f t="shared" si="4"/>
        <v>Sat</v>
      </c>
      <c r="JR4" s="2" t="str">
        <f t="shared" si="4"/>
        <v>Sun</v>
      </c>
      <c r="JS4" s="2" t="str">
        <f t="shared" si="4"/>
        <v>Mon</v>
      </c>
      <c r="JT4" s="2" t="str">
        <f t="shared" si="4"/>
        <v>Tue</v>
      </c>
      <c r="JU4" s="2" t="str">
        <f t="shared" si="4"/>
        <v>Wed</v>
      </c>
      <c r="JV4" s="2" t="str">
        <f t="shared" si="4"/>
        <v>Thu</v>
      </c>
      <c r="JW4" s="2" t="str">
        <f t="shared" si="4"/>
        <v>Fri</v>
      </c>
      <c r="JX4" s="2" t="str">
        <f t="shared" si="4"/>
        <v>Sat</v>
      </c>
      <c r="JY4" s="2" t="str">
        <f t="shared" si="4"/>
        <v>Sun</v>
      </c>
      <c r="JZ4" s="2" t="str">
        <f t="shared" si="4"/>
        <v>Mon</v>
      </c>
      <c r="KA4" s="2" t="str">
        <f t="shared" si="4"/>
        <v>Tue</v>
      </c>
      <c r="KB4" s="2" t="str">
        <f t="shared" si="4"/>
        <v>Wed</v>
      </c>
      <c r="KC4" s="2" t="str">
        <f t="shared" si="4"/>
        <v>Thu</v>
      </c>
      <c r="KD4" s="2" t="str">
        <f t="shared" si="4"/>
        <v>Fri</v>
      </c>
      <c r="KE4" s="2" t="str">
        <f t="shared" si="4"/>
        <v>Sat</v>
      </c>
      <c r="KF4" s="2" t="str">
        <f t="shared" si="4"/>
        <v>Sun</v>
      </c>
      <c r="KG4" s="2" t="str">
        <f t="shared" si="4"/>
        <v>Mon</v>
      </c>
      <c r="KH4" s="2" t="str">
        <f t="shared" si="4"/>
        <v>Tue</v>
      </c>
      <c r="KI4" s="2" t="str">
        <f t="shared" si="4"/>
        <v>Wed</v>
      </c>
      <c r="KJ4" s="2" t="str">
        <f t="shared" si="4"/>
        <v>Thu</v>
      </c>
      <c r="KK4" s="2" t="str">
        <f t="shared" si="4"/>
        <v>Fri</v>
      </c>
      <c r="KL4" s="2" t="str">
        <f t="shared" si="4"/>
        <v>Sat</v>
      </c>
      <c r="KM4" s="2" t="str">
        <f t="shared" si="4"/>
        <v>Sun</v>
      </c>
      <c r="KN4" s="2" t="str">
        <f t="shared" si="4"/>
        <v>Mon</v>
      </c>
      <c r="KO4" s="2" t="str">
        <f t="shared" si="4"/>
        <v>Tue</v>
      </c>
      <c r="KP4" s="2" t="str">
        <f t="shared" si="4"/>
        <v>Wed</v>
      </c>
      <c r="KQ4" s="2" t="str">
        <f t="shared" si="4"/>
        <v>Thu</v>
      </c>
      <c r="KR4" s="2" t="str">
        <f t="shared" si="4"/>
        <v>Fri</v>
      </c>
      <c r="KS4" s="2" t="str">
        <f t="shared" si="4"/>
        <v>Sat</v>
      </c>
      <c r="KT4" s="2" t="str">
        <f t="shared" si="4"/>
        <v>Sun</v>
      </c>
      <c r="KU4" s="2" t="str">
        <f t="shared" si="4"/>
        <v>Mon</v>
      </c>
      <c r="KV4" s="2" t="str">
        <f t="shared" si="4"/>
        <v>Tue</v>
      </c>
      <c r="KW4" s="2" t="str">
        <f t="shared" si="4"/>
        <v>Wed</v>
      </c>
      <c r="KX4" s="2" t="str">
        <f t="shared" si="4"/>
        <v>Thu</v>
      </c>
      <c r="KY4" s="2" t="str">
        <f t="shared" si="4"/>
        <v>Fri</v>
      </c>
      <c r="KZ4" s="2" t="str">
        <f t="shared" si="4"/>
        <v>Sat</v>
      </c>
      <c r="LA4" s="2" t="str">
        <f t="shared" si="4"/>
        <v>Sun</v>
      </c>
      <c r="LB4" s="2" t="str">
        <f t="shared" si="4"/>
        <v>Mon</v>
      </c>
      <c r="LC4" s="2" t="str">
        <f t="shared" si="4"/>
        <v>Tue</v>
      </c>
      <c r="LD4" s="2" t="str">
        <f t="shared" si="4"/>
        <v>Wed</v>
      </c>
      <c r="LE4" s="2" t="str">
        <f t="shared" si="4"/>
        <v>Thu</v>
      </c>
      <c r="LF4" s="2" t="str">
        <f t="shared" si="4"/>
        <v>Fri</v>
      </c>
      <c r="LG4" s="2" t="str">
        <f t="shared" si="4"/>
        <v>Sat</v>
      </c>
      <c r="LH4" s="2" t="str">
        <f t="shared" si="4"/>
        <v>Sun</v>
      </c>
      <c r="LI4" s="2" t="str">
        <f t="shared" si="4"/>
        <v>Mon</v>
      </c>
      <c r="LJ4" s="2" t="str">
        <f t="shared" si="4"/>
        <v>Tue</v>
      </c>
      <c r="LK4" s="2" t="str">
        <f t="shared" si="4"/>
        <v>Wed</v>
      </c>
      <c r="LL4" s="2" t="str">
        <f t="shared" si="4"/>
        <v>Thu</v>
      </c>
      <c r="LM4" s="2" t="str">
        <f t="shared" si="4"/>
        <v>Fri</v>
      </c>
      <c r="LN4" s="2" t="str">
        <f t="shared" si="4"/>
        <v>Sat</v>
      </c>
      <c r="LO4" s="2" t="str">
        <f t="shared" ref="LO4:NG4" si="5">TEXT(LO5,"ddd")</f>
        <v>Sun</v>
      </c>
      <c r="LP4" s="2" t="str">
        <f t="shared" si="5"/>
        <v>Mon</v>
      </c>
      <c r="LQ4" s="2" t="str">
        <f t="shared" si="5"/>
        <v>Tue</v>
      </c>
      <c r="LR4" s="2" t="str">
        <f t="shared" si="5"/>
        <v>Wed</v>
      </c>
      <c r="LS4" s="2" t="str">
        <f t="shared" si="5"/>
        <v>Thu</v>
      </c>
      <c r="LT4" s="2" t="str">
        <f t="shared" si="5"/>
        <v>Fri</v>
      </c>
      <c r="LU4" s="2" t="str">
        <f t="shared" si="5"/>
        <v>Sat</v>
      </c>
      <c r="LV4" s="2" t="str">
        <f t="shared" si="5"/>
        <v>Sun</v>
      </c>
      <c r="LW4" s="2" t="str">
        <f t="shared" si="5"/>
        <v>Mon</v>
      </c>
      <c r="LX4" s="2" t="str">
        <f t="shared" si="5"/>
        <v>Tue</v>
      </c>
      <c r="LY4" s="2" t="str">
        <f t="shared" si="5"/>
        <v>Wed</v>
      </c>
      <c r="LZ4" s="2" t="str">
        <f t="shared" si="5"/>
        <v>Thu</v>
      </c>
      <c r="MA4" s="2" t="str">
        <f t="shared" si="5"/>
        <v>Fri</v>
      </c>
      <c r="MB4" s="2" t="str">
        <f t="shared" si="5"/>
        <v>Sat</v>
      </c>
      <c r="MC4" s="2" t="str">
        <f t="shared" si="5"/>
        <v>Sun</v>
      </c>
      <c r="MD4" s="2" t="str">
        <f t="shared" si="5"/>
        <v>Mon</v>
      </c>
      <c r="ME4" s="2" t="str">
        <f t="shared" si="5"/>
        <v>Tue</v>
      </c>
      <c r="MF4" s="2" t="str">
        <f t="shared" si="5"/>
        <v>Wed</v>
      </c>
      <c r="MG4" s="2" t="str">
        <f t="shared" si="5"/>
        <v>Thu</v>
      </c>
      <c r="MH4" s="2" t="str">
        <f t="shared" si="5"/>
        <v>Fri</v>
      </c>
      <c r="MI4" s="2" t="str">
        <f t="shared" si="5"/>
        <v>Sat</v>
      </c>
      <c r="MJ4" s="2" t="str">
        <f t="shared" si="5"/>
        <v>Sun</v>
      </c>
      <c r="MK4" s="2" t="str">
        <f t="shared" si="5"/>
        <v>Mon</v>
      </c>
      <c r="ML4" s="2" t="str">
        <f t="shared" si="5"/>
        <v>Tue</v>
      </c>
      <c r="MM4" s="2" t="str">
        <f t="shared" si="5"/>
        <v>Wed</v>
      </c>
      <c r="MN4" s="2" t="str">
        <f t="shared" si="5"/>
        <v>Thu</v>
      </c>
      <c r="MO4" s="2" t="str">
        <f t="shared" si="5"/>
        <v>Fri</v>
      </c>
      <c r="MP4" s="2" t="str">
        <f t="shared" si="5"/>
        <v>Sat</v>
      </c>
      <c r="MQ4" s="2" t="str">
        <f t="shared" si="5"/>
        <v>Sun</v>
      </c>
      <c r="MR4" s="2" t="str">
        <f t="shared" si="5"/>
        <v>Mon</v>
      </c>
      <c r="MS4" s="2" t="str">
        <f t="shared" si="5"/>
        <v>Tue</v>
      </c>
      <c r="MT4" s="2" t="str">
        <f t="shared" si="5"/>
        <v>Wed</v>
      </c>
      <c r="MU4" s="2" t="str">
        <f t="shared" si="5"/>
        <v>Thu</v>
      </c>
      <c r="MV4" s="2" t="str">
        <f t="shared" si="5"/>
        <v>Fri</v>
      </c>
      <c r="MW4" s="2" t="str">
        <f t="shared" si="5"/>
        <v>Sat</v>
      </c>
      <c r="MX4" s="2" t="str">
        <f t="shared" si="5"/>
        <v>Sun</v>
      </c>
      <c r="MY4" s="2" t="str">
        <f t="shared" si="5"/>
        <v>Mon</v>
      </c>
      <c r="MZ4" s="2" t="str">
        <f t="shared" si="5"/>
        <v>Tue</v>
      </c>
      <c r="NA4" s="2" t="str">
        <f t="shared" si="5"/>
        <v>Wed</v>
      </c>
      <c r="NB4" s="2" t="str">
        <f t="shared" si="5"/>
        <v>Thu</v>
      </c>
      <c r="NC4" s="2" t="str">
        <f t="shared" si="5"/>
        <v>Fri</v>
      </c>
      <c r="ND4" s="2" t="str">
        <f t="shared" si="5"/>
        <v>Sat</v>
      </c>
      <c r="NE4" s="2" t="str">
        <f t="shared" si="5"/>
        <v>Sun</v>
      </c>
      <c r="NF4" s="2" t="str">
        <f t="shared" si="5"/>
        <v>Mon</v>
      </c>
      <c r="NG4" s="2" t="str">
        <f t="shared" si="5"/>
        <v>Tue</v>
      </c>
      <c r="NH4" s="114" t="s">
        <v>5</v>
      </c>
      <c r="NI4" s="114" t="s">
        <v>6</v>
      </c>
      <c r="NJ4" s="103" t="s">
        <v>46</v>
      </c>
      <c r="NK4" s="105"/>
      <c r="NL4" s="3"/>
      <c r="NM4" s="3"/>
    </row>
    <row r="5" spans="1:377" ht="39" x14ac:dyDescent="0.25">
      <c r="A5" s="107"/>
      <c r="B5" s="107"/>
      <c r="C5" s="107"/>
      <c r="D5" s="107"/>
      <c r="E5" s="107"/>
      <c r="F5" s="77">
        <v>45292</v>
      </c>
      <c r="G5" s="77">
        <v>45293</v>
      </c>
      <c r="H5" s="77">
        <v>45294</v>
      </c>
      <c r="I5" s="77">
        <v>45295</v>
      </c>
      <c r="J5" s="77">
        <v>45296</v>
      </c>
      <c r="K5" s="77">
        <v>45297</v>
      </c>
      <c r="L5" s="77">
        <v>45298</v>
      </c>
      <c r="M5" s="77">
        <v>45299</v>
      </c>
      <c r="N5" s="77">
        <v>45300</v>
      </c>
      <c r="O5" s="77">
        <v>45301</v>
      </c>
      <c r="P5" s="77">
        <v>45302</v>
      </c>
      <c r="Q5" s="77">
        <v>45303</v>
      </c>
      <c r="R5" s="77">
        <v>45304</v>
      </c>
      <c r="S5" s="77">
        <v>45305</v>
      </c>
      <c r="T5" s="77">
        <v>45306</v>
      </c>
      <c r="U5" s="77">
        <v>45307</v>
      </c>
      <c r="V5" s="77">
        <v>45308</v>
      </c>
      <c r="W5" s="77">
        <v>45309</v>
      </c>
      <c r="X5" s="77">
        <v>45310</v>
      </c>
      <c r="Y5" s="77">
        <v>45311</v>
      </c>
      <c r="Z5" s="77">
        <v>45312</v>
      </c>
      <c r="AA5" s="77">
        <v>45313</v>
      </c>
      <c r="AB5" s="77">
        <v>45314</v>
      </c>
      <c r="AC5" s="77">
        <v>45315</v>
      </c>
      <c r="AD5" s="77">
        <v>45316</v>
      </c>
      <c r="AE5" s="77">
        <v>45317</v>
      </c>
      <c r="AF5" s="77">
        <v>45318</v>
      </c>
      <c r="AG5" s="77">
        <v>45319</v>
      </c>
      <c r="AH5" s="77">
        <v>45320</v>
      </c>
      <c r="AI5" s="77">
        <v>45321</v>
      </c>
      <c r="AJ5" s="77">
        <v>45322</v>
      </c>
      <c r="AK5" s="77">
        <v>45323</v>
      </c>
      <c r="AL5" s="77">
        <v>45324</v>
      </c>
      <c r="AM5" s="77">
        <v>45325</v>
      </c>
      <c r="AN5" s="77">
        <v>45326</v>
      </c>
      <c r="AO5" s="77">
        <v>45327</v>
      </c>
      <c r="AP5" s="77">
        <v>45328</v>
      </c>
      <c r="AQ5" s="77">
        <v>45329</v>
      </c>
      <c r="AR5" s="77">
        <v>45330</v>
      </c>
      <c r="AS5" s="77">
        <v>45331</v>
      </c>
      <c r="AT5" s="77">
        <v>45332</v>
      </c>
      <c r="AU5" s="77">
        <v>45333</v>
      </c>
      <c r="AV5" s="77">
        <v>45334</v>
      </c>
      <c r="AW5" s="77">
        <v>45335</v>
      </c>
      <c r="AX5" s="77">
        <v>45336</v>
      </c>
      <c r="AY5" s="77">
        <v>45337</v>
      </c>
      <c r="AZ5" s="77">
        <v>45338</v>
      </c>
      <c r="BA5" s="77">
        <v>45339</v>
      </c>
      <c r="BB5" s="77">
        <v>45340</v>
      </c>
      <c r="BC5" s="77">
        <v>45341</v>
      </c>
      <c r="BD5" s="77">
        <v>45342</v>
      </c>
      <c r="BE5" s="77">
        <v>45343</v>
      </c>
      <c r="BF5" s="77">
        <v>45344</v>
      </c>
      <c r="BG5" s="77">
        <v>45345</v>
      </c>
      <c r="BH5" s="77">
        <v>45346</v>
      </c>
      <c r="BI5" s="77">
        <v>45347</v>
      </c>
      <c r="BJ5" s="77">
        <v>45348</v>
      </c>
      <c r="BK5" s="77">
        <v>45349</v>
      </c>
      <c r="BL5" s="77">
        <v>45350</v>
      </c>
      <c r="BM5" s="77">
        <v>45351</v>
      </c>
      <c r="BN5" s="77">
        <v>45352</v>
      </c>
      <c r="BO5" s="77">
        <v>45353</v>
      </c>
      <c r="BP5" s="77">
        <v>45354</v>
      </c>
      <c r="BQ5" s="77">
        <v>45355</v>
      </c>
      <c r="BR5" s="77">
        <v>45356</v>
      </c>
      <c r="BS5" s="77">
        <v>45357</v>
      </c>
      <c r="BT5" s="77">
        <v>45358</v>
      </c>
      <c r="BU5" s="77">
        <v>45359</v>
      </c>
      <c r="BV5" s="77">
        <v>45360</v>
      </c>
      <c r="BW5" s="77">
        <v>45361</v>
      </c>
      <c r="BX5" s="77">
        <v>45362</v>
      </c>
      <c r="BY5" s="77">
        <v>45363</v>
      </c>
      <c r="BZ5" s="77">
        <v>45364</v>
      </c>
      <c r="CA5" s="77">
        <v>45365</v>
      </c>
      <c r="CB5" s="77">
        <v>45366</v>
      </c>
      <c r="CC5" s="77">
        <v>45367</v>
      </c>
      <c r="CD5" s="77">
        <v>45368</v>
      </c>
      <c r="CE5" s="77">
        <v>45369</v>
      </c>
      <c r="CF5" s="77">
        <v>45370</v>
      </c>
      <c r="CG5" s="77">
        <v>45371</v>
      </c>
      <c r="CH5" s="77">
        <v>45372</v>
      </c>
      <c r="CI5" s="77">
        <v>45373</v>
      </c>
      <c r="CJ5" s="77">
        <v>45374</v>
      </c>
      <c r="CK5" s="77">
        <v>45375</v>
      </c>
      <c r="CL5" s="77">
        <v>45376</v>
      </c>
      <c r="CM5" s="77">
        <v>45377</v>
      </c>
      <c r="CN5" s="77">
        <v>45378</v>
      </c>
      <c r="CO5" s="77">
        <v>45379</v>
      </c>
      <c r="CP5" s="77">
        <v>45380</v>
      </c>
      <c r="CQ5" s="77">
        <v>45381</v>
      </c>
      <c r="CR5" s="77">
        <v>45382</v>
      </c>
      <c r="CS5" s="77">
        <v>45383</v>
      </c>
      <c r="CT5" s="77">
        <v>45384</v>
      </c>
      <c r="CU5" s="77">
        <v>45385</v>
      </c>
      <c r="CV5" s="77">
        <v>45386</v>
      </c>
      <c r="CW5" s="77">
        <v>45387</v>
      </c>
      <c r="CX5" s="77">
        <v>45388</v>
      </c>
      <c r="CY5" s="77">
        <v>45389</v>
      </c>
      <c r="CZ5" s="77">
        <v>45390</v>
      </c>
      <c r="DA5" s="77">
        <v>45391</v>
      </c>
      <c r="DB5" s="77">
        <v>45392</v>
      </c>
      <c r="DC5" s="77">
        <v>45393</v>
      </c>
      <c r="DD5" s="77">
        <v>45394</v>
      </c>
      <c r="DE5" s="77">
        <v>45395</v>
      </c>
      <c r="DF5" s="77">
        <v>45396</v>
      </c>
      <c r="DG5" s="77">
        <v>45397</v>
      </c>
      <c r="DH5" s="77">
        <v>45398</v>
      </c>
      <c r="DI5" s="77">
        <v>45399</v>
      </c>
      <c r="DJ5" s="77">
        <v>45400</v>
      </c>
      <c r="DK5" s="77">
        <v>45401</v>
      </c>
      <c r="DL5" s="77">
        <v>45402</v>
      </c>
      <c r="DM5" s="77">
        <v>45403</v>
      </c>
      <c r="DN5" s="77">
        <v>45404</v>
      </c>
      <c r="DO5" s="77">
        <v>45405</v>
      </c>
      <c r="DP5" s="77">
        <v>45406</v>
      </c>
      <c r="DQ5" s="77">
        <v>45407</v>
      </c>
      <c r="DR5" s="77">
        <v>45408</v>
      </c>
      <c r="DS5" s="77">
        <v>45409</v>
      </c>
      <c r="DT5" s="77">
        <v>45410</v>
      </c>
      <c r="DU5" s="77">
        <v>45411</v>
      </c>
      <c r="DV5" s="77">
        <v>45412</v>
      </c>
      <c r="DW5" s="77">
        <v>45413</v>
      </c>
      <c r="DX5" s="77">
        <v>45414</v>
      </c>
      <c r="DY5" s="77">
        <v>45415</v>
      </c>
      <c r="DZ5" s="77">
        <v>45416</v>
      </c>
      <c r="EA5" s="77">
        <v>45417</v>
      </c>
      <c r="EB5" s="77">
        <v>45418</v>
      </c>
      <c r="EC5" s="77">
        <v>45419</v>
      </c>
      <c r="ED5" s="77">
        <v>45420</v>
      </c>
      <c r="EE5" s="77">
        <v>45421</v>
      </c>
      <c r="EF5" s="77">
        <v>45422</v>
      </c>
      <c r="EG5" s="77">
        <v>45423</v>
      </c>
      <c r="EH5" s="77">
        <v>45424</v>
      </c>
      <c r="EI5" s="77">
        <v>45425</v>
      </c>
      <c r="EJ5" s="77">
        <v>45426</v>
      </c>
      <c r="EK5" s="77">
        <v>45427</v>
      </c>
      <c r="EL5" s="77">
        <v>45428</v>
      </c>
      <c r="EM5" s="77">
        <v>45429</v>
      </c>
      <c r="EN5" s="77">
        <v>45430</v>
      </c>
      <c r="EO5" s="77">
        <v>45431</v>
      </c>
      <c r="EP5" s="77">
        <v>45432</v>
      </c>
      <c r="EQ5" s="77">
        <v>45433</v>
      </c>
      <c r="ER5" s="77">
        <v>45434</v>
      </c>
      <c r="ES5" s="77">
        <v>45435</v>
      </c>
      <c r="ET5" s="77">
        <v>45436</v>
      </c>
      <c r="EU5" s="77">
        <v>45437</v>
      </c>
      <c r="EV5" s="77">
        <v>45438</v>
      </c>
      <c r="EW5" s="77">
        <v>45439</v>
      </c>
      <c r="EX5" s="77">
        <v>45440</v>
      </c>
      <c r="EY5" s="77">
        <v>45441</v>
      </c>
      <c r="EZ5" s="77">
        <v>45442</v>
      </c>
      <c r="FA5" s="77">
        <v>45443</v>
      </c>
      <c r="FB5" s="77">
        <v>45444</v>
      </c>
      <c r="FC5" s="77">
        <v>45445</v>
      </c>
      <c r="FD5" s="77">
        <v>45446</v>
      </c>
      <c r="FE5" s="77">
        <v>45447</v>
      </c>
      <c r="FF5" s="77">
        <v>45448</v>
      </c>
      <c r="FG5" s="77">
        <v>45449</v>
      </c>
      <c r="FH5" s="77">
        <v>45450</v>
      </c>
      <c r="FI5" s="77">
        <v>45451</v>
      </c>
      <c r="FJ5" s="77">
        <v>45452</v>
      </c>
      <c r="FK5" s="77">
        <v>45453</v>
      </c>
      <c r="FL5" s="77">
        <v>45454</v>
      </c>
      <c r="FM5" s="77">
        <v>45455</v>
      </c>
      <c r="FN5" s="77">
        <v>45456</v>
      </c>
      <c r="FO5" s="77">
        <v>45457</v>
      </c>
      <c r="FP5" s="77">
        <v>45458</v>
      </c>
      <c r="FQ5" s="77">
        <v>45459</v>
      </c>
      <c r="FR5" s="77">
        <v>45460</v>
      </c>
      <c r="FS5" s="77">
        <v>45461</v>
      </c>
      <c r="FT5" s="77">
        <v>45462</v>
      </c>
      <c r="FU5" s="77">
        <v>45463</v>
      </c>
      <c r="FV5" s="77">
        <v>45464</v>
      </c>
      <c r="FW5" s="77">
        <v>45465</v>
      </c>
      <c r="FX5" s="77">
        <v>45466</v>
      </c>
      <c r="FY5" s="77">
        <v>45467</v>
      </c>
      <c r="FZ5" s="77">
        <v>45468</v>
      </c>
      <c r="GA5" s="77">
        <v>45469</v>
      </c>
      <c r="GB5" s="77">
        <v>45470</v>
      </c>
      <c r="GC5" s="77">
        <v>45471</v>
      </c>
      <c r="GD5" s="77">
        <v>45472</v>
      </c>
      <c r="GE5" s="77">
        <v>45473</v>
      </c>
      <c r="GF5" s="77">
        <v>45474</v>
      </c>
      <c r="GG5" s="77">
        <v>45475</v>
      </c>
      <c r="GH5" s="77">
        <v>45476</v>
      </c>
      <c r="GI5" s="77">
        <v>45477</v>
      </c>
      <c r="GJ5" s="77">
        <v>45478</v>
      </c>
      <c r="GK5" s="77">
        <v>45479</v>
      </c>
      <c r="GL5" s="77">
        <v>45480</v>
      </c>
      <c r="GM5" s="77">
        <v>45481</v>
      </c>
      <c r="GN5" s="77">
        <v>45482</v>
      </c>
      <c r="GO5" s="77">
        <v>45483</v>
      </c>
      <c r="GP5" s="77">
        <v>45484</v>
      </c>
      <c r="GQ5" s="77">
        <v>45485</v>
      </c>
      <c r="GR5" s="77">
        <v>45486</v>
      </c>
      <c r="GS5" s="77">
        <v>45487</v>
      </c>
      <c r="GT5" s="77">
        <v>45488</v>
      </c>
      <c r="GU5" s="77">
        <v>45489</v>
      </c>
      <c r="GV5" s="77">
        <v>45490</v>
      </c>
      <c r="GW5" s="77">
        <v>45491</v>
      </c>
      <c r="GX5" s="77">
        <v>45492</v>
      </c>
      <c r="GY5" s="77">
        <v>45493</v>
      </c>
      <c r="GZ5" s="77">
        <v>45494</v>
      </c>
      <c r="HA5" s="77">
        <v>45495</v>
      </c>
      <c r="HB5" s="77">
        <v>45496</v>
      </c>
      <c r="HC5" s="77">
        <v>45497</v>
      </c>
      <c r="HD5" s="77">
        <v>45498</v>
      </c>
      <c r="HE5" s="77">
        <v>45499</v>
      </c>
      <c r="HF5" s="77">
        <v>45500</v>
      </c>
      <c r="HG5" s="77">
        <v>45501</v>
      </c>
      <c r="HH5" s="77">
        <v>45502</v>
      </c>
      <c r="HI5" s="77">
        <v>45503</v>
      </c>
      <c r="HJ5" s="77">
        <v>45504</v>
      </c>
      <c r="HK5" s="77">
        <v>45505</v>
      </c>
      <c r="HL5" s="77">
        <v>45506</v>
      </c>
      <c r="HM5" s="77">
        <v>45507</v>
      </c>
      <c r="HN5" s="77">
        <v>45508</v>
      </c>
      <c r="HO5" s="77">
        <v>45509</v>
      </c>
      <c r="HP5" s="77">
        <v>45510</v>
      </c>
      <c r="HQ5" s="77">
        <v>45511</v>
      </c>
      <c r="HR5" s="77">
        <v>45512</v>
      </c>
      <c r="HS5" s="77">
        <v>45513</v>
      </c>
      <c r="HT5" s="77">
        <v>45514</v>
      </c>
      <c r="HU5" s="77">
        <v>45515</v>
      </c>
      <c r="HV5" s="77">
        <v>45516</v>
      </c>
      <c r="HW5" s="77">
        <v>45517</v>
      </c>
      <c r="HX5" s="77">
        <v>45518</v>
      </c>
      <c r="HY5" s="77">
        <v>45519</v>
      </c>
      <c r="HZ5" s="77">
        <v>45520</v>
      </c>
      <c r="IA5" s="77">
        <v>45521</v>
      </c>
      <c r="IB5" s="77">
        <v>45522</v>
      </c>
      <c r="IC5" s="77">
        <v>45523</v>
      </c>
      <c r="ID5" s="77">
        <v>45524</v>
      </c>
      <c r="IE5" s="77">
        <v>45525</v>
      </c>
      <c r="IF5" s="77">
        <v>45526</v>
      </c>
      <c r="IG5" s="77">
        <v>45527</v>
      </c>
      <c r="IH5" s="77">
        <v>45528</v>
      </c>
      <c r="II5" s="77">
        <v>45529</v>
      </c>
      <c r="IJ5" s="77">
        <v>45530</v>
      </c>
      <c r="IK5" s="77">
        <v>45531</v>
      </c>
      <c r="IL5" s="77">
        <v>45532</v>
      </c>
      <c r="IM5" s="77">
        <v>45533</v>
      </c>
      <c r="IN5" s="77">
        <v>45534</v>
      </c>
      <c r="IO5" s="77">
        <v>45535</v>
      </c>
      <c r="IP5" s="77">
        <v>45536</v>
      </c>
      <c r="IQ5" s="77">
        <v>45537</v>
      </c>
      <c r="IR5" s="77">
        <v>45538</v>
      </c>
      <c r="IS5" s="77">
        <v>45539</v>
      </c>
      <c r="IT5" s="77">
        <v>45540</v>
      </c>
      <c r="IU5" s="77">
        <v>45541</v>
      </c>
      <c r="IV5" s="77">
        <v>45542</v>
      </c>
      <c r="IW5" s="77">
        <v>45543</v>
      </c>
      <c r="IX5" s="77">
        <v>45544</v>
      </c>
      <c r="IY5" s="77">
        <v>45545</v>
      </c>
      <c r="IZ5" s="77">
        <v>45546</v>
      </c>
      <c r="JA5" s="77">
        <v>45547</v>
      </c>
      <c r="JB5" s="77">
        <v>45548</v>
      </c>
      <c r="JC5" s="77">
        <v>45549</v>
      </c>
      <c r="JD5" s="77">
        <v>45550</v>
      </c>
      <c r="JE5" s="77">
        <v>45551</v>
      </c>
      <c r="JF5" s="77">
        <v>45552</v>
      </c>
      <c r="JG5" s="77">
        <v>45553</v>
      </c>
      <c r="JH5" s="77">
        <v>45554</v>
      </c>
      <c r="JI5" s="77">
        <v>45555</v>
      </c>
      <c r="JJ5" s="77">
        <v>45556</v>
      </c>
      <c r="JK5" s="77">
        <v>45557</v>
      </c>
      <c r="JL5" s="77">
        <v>45558</v>
      </c>
      <c r="JM5" s="77">
        <v>45559</v>
      </c>
      <c r="JN5" s="77">
        <v>45560</v>
      </c>
      <c r="JO5" s="77">
        <v>45561</v>
      </c>
      <c r="JP5" s="77">
        <v>45562</v>
      </c>
      <c r="JQ5" s="77">
        <v>45563</v>
      </c>
      <c r="JR5" s="77">
        <v>45564</v>
      </c>
      <c r="JS5" s="77">
        <v>45565</v>
      </c>
      <c r="JT5" s="77">
        <v>45566</v>
      </c>
      <c r="JU5" s="77">
        <v>45567</v>
      </c>
      <c r="JV5" s="77">
        <v>45568</v>
      </c>
      <c r="JW5" s="77">
        <v>45569</v>
      </c>
      <c r="JX5" s="77">
        <v>45570</v>
      </c>
      <c r="JY5" s="77">
        <v>45571</v>
      </c>
      <c r="JZ5" s="77">
        <v>45572</v>
      </c>
      <c r="KA5" s="77">
        <v>45573</v>
      </c>
      <c r="KB5" s="77">
        <v>45574</v>
      </c>
      <c r="KC5" s="77">
        <v>45575</v>
      </c>
      <c r="KD5" s="77">
        <v>45576</v>
      </c>
      <c r="KE5" s="77">
        <v>45577</v>
      </c>
      <c r="KF5" s="77">
        <v>45578</v>
      </c>
      <c r="KG5" s="77">
        <v>45579</v>
      </c>
      <c r="KH5" s="77">
        <v>45580</v>
      </c>
      <c r="KI5" s="77">
        <v>45581</v>
      </c>
      <c r="KJ5" s="77">
        <v>45582</v>
      </c>
      <c r="KK5" s="77">
        <v>45583</v>
      </c>
      <c r="KL5" s="77">
        <v>45584</v>
      </c>
      <c r="KM5" s="77">
        <v>45585</v>
      </c>
      <c r="KN5" s="77">
        <v>45586</v>
      </c>
      <c r="KO5" s="77">
        <v>45587</v>
      </c>
      <c r="KP5" s="77">
        <v>45588</v>
      </c>
      <c r="KQ5" s="77">
        <v>45589</v>
      </c>
      <c r="KR5" s="77">
        <v>45590</v>
      </c>
      <c r="KS5" s="77">
        <v>45591</v>
      </c>
      <c r="KT5" s="77">
        <v>45592</v>
      </c>
      <c r="KU5" s="77">
        <v>45593</v>
      </c>
      <c r="KV5" s="77">
        <v>45594</v>
      </c>
      <c r="KW5" s="77">
        <v>45595</v>
      </c>
      <c r="KX5" s="77">
        <v>45596</v>
      </c>
      <c r="KY5" s="77">
        <v>45597</v>
      </c>
      <c r="KZ5" s="77">
        <v>45598</v>
      </c>
      <c r="LA5" s="77">
        <v>45599</v>
      </c>
      <c r="LB5" s="77">
        <v>45600</v>
      </c>
      <c r="LC5" s="77">
        <v>45601</v>
      </c>
      <c r="LD5" s="77">
        <v>45602</v>
      </c>
      <c r="LE5" s="77">
        <v>45603</v>
      </c>
      <c r="LF5" s="77">
        <v>45604</v>
      </c>
      <c r="LG5" s="77">
        <v>45605</v>
      </c>
      <c r="LH5" s="77">
        <v>45606</v>
      </c>
      <c r="LI5" s="77">
        <v>45607</v>
      </c>
      <c r="LJ5" s="77">
        <v>45608</v>
      </c>
      <c r="LK5" s="77">
        <v>45609</v>
      </c>
      <c r="LL5" s="77">
        <v>45610</v>
      </c>
      <c r="LM5" s="77">
        <v>45611</v>
      </c>
      <c r="LN5" s="77">
        <v>45612</v>
      </c>
      <c r="LO5" s="77">
        <v>45613</v>
      </c>
      <c r="LP5" s="77">
        <v>45614</v>
      </c>
      <c r="LQ5" s="77">
        <v>45615</v>
      </c>
      <c r="LR5" s="77">
        <v>45616</v>
      </c>
      <c r="LS5" s="77">
        <v>45617</v>
      </c>
      <c r="LT5" s="77">
        <v>45618</v>
      </c>
      <c r="LU5" s="77">
        <v>45619</v>
      </c>
      <c r="LV5" s="77">
        <v>45620</v>
      </c>
      <c r="LW5" s="77">
        <v>45621</v>
      </c>
      <c r="LX5" s="77">
        <v>45622</v>
      </c>
      <c r="LY5" s="77">
        <v>45623</v>
      </c>
      <c r="LZ5" s="77">
        <v>45624</v>
      </c>
      <c r="MA5" s="77">
        <v>45625</v>
      </c>
      <c r="MB5" s="77">
        <v>45626</v>
      </c>
      <c r="MC5" s="77">
        <v>45627</v>
      </c>
      <c r="MD5" s="77">
        <v>45628</v>
      </c>
      <c r="ME5" s="77">
        <v>45629</v>
      </c>
      <c r="MF5" s="77">
        <v>45630</v>
      </c>
      <c r="MG5" s="77">
        <v>45631</v>
      </c>
      <c r="MH5" s="77">
        <v>45632</v>
      </c>
      <c r="MI5" s="77">
        <v>45633</v>
      </c>
      <c r="MJ5" s="77">
        <v>45634</v>
      </c>
      <c r="MK5" s="77">
        <v>45635</v>
      </c>
      <c r="ML5" s="77">
        <v>45636</v>
      </c>
      <c r="MM5" s="77">
        <v>45637</v>
      </c>
      <c r="MN5" s="77">
        <v>45638</v>
      </c>
      <c r="MO5" s="77">
        <v>45639</v>
      </c>
      <c r="MP5" s="77">
        <v>45640</v>
      </c>
      <c r="MQ5" s="77">
        <v>45641</v>
      </c>
      <c r="MR5" s="77">
        <v>45642</v>
      </c>
      <c r="MS5" s="77">
        <v>45643</v>
      </c>
      <c r="MT5" s="77">
        <v>45644</v>
      </c>
      <c r="MU5" s="77">
        <v>45645</v>
      </c>
      <c r="MV5" s="77">
        <v>45646</v>
      </c>
      <c r="MW5" s="77">
        <v>45647</v>
      </c>
      <c r="MX5" s="77">
        <v>45648</v>
      </c>
      <c r="MY5" s="77">
        <v>45649</v>
      </c>
      <c r="MZ5" s="77">
        <v>45650</v>
      </c>
      <c r="NA5" s="77">
        <v>45651</v>
      </c>
      <c r="NB5" s="77">
        <v>45652</v>
      </c>
      <c r="NC5" s="77">
        <v>45653</v>
      </c>
      <c r="ND5" s="77">
        <v>45654</v>
      </c>
      <c r="NE5" s="77">
        <v>45655</v>
      </c>
      <c r="NF5" s="77">
        <v>45656</v>
      </c>
      <c r="NG5" s="77">
        <v>45657</v>
      </c>
      <c r="NH5" s="114"/>
      <c r="NI5" s="114"/>
      <c r="NJ5" s="4" t="s">
        <v>7</v>
      </c>
      <c r="NK5" s="5">
        <v>31</v>
      </c>
      <c r="NL5" s="3"/>
      <c r="NM5" s="3"/>
    </row>
    <row r="6" spans="1:377" x14ac:dyDescent="0.25">
      <c r="A6" s="6">
        <v>1</v>
      </c>
      <c r="B6" s="7"/>
      <c r="C6" s="8"/>
      <c r="D6" s="9"/>
      <c r="E6" s="10" t="s">
        <v>32</v>
      </c>
      <c r="F6" s="11"/>
      <c r="G6" s="12"/>
      <c r="H6" s="11"/>
      <c r="I6" s="12"/>
      <c r="J6" s="12"/>
      <c r="K6" s="13"/>
      <c r="L6" s="12"/>
      <c r="M6" s="12"/>
      <c r="N6" s="11"/>
      <c r="O6" s="11"/>
      <c r="P6" s="12"/>
      <c r="Q6" s="12"/>
      <c r="R6" s="13"/>
      <c r="S6" s="13"/>
      <c r="T6" s="12"/>
      <c r="U6" s="14"/>
      <c r="V6" s="11"/>
      <c r="W6" s="12"/>
      <c r="X6" s="12"/>
      <c r="Y6" s="13"/>
      <c r="Z6" s="12"/>
      <c r="AA6" s="12"/>
      <c r="AB6" s="12"/>
      <c r="AC6" s="12"/>
      <c r="AD6" s="12"/>
      <c r="AE6" s="12"/>
      <c r="AF6" s="13"/>
      <c r="AG6" s="12"/>
      <c r="AH6" s="12"/>
      <c r="AI6" s="12"/>
      <c r="AJ6" s="12"/>
      <c r="AK6" s="15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5">
        <f>COUNTIF(F6:NG6,"P")</f>
        <v>0</v>
      </c>
      <c r="NI6" s="5">
        <f>COUNTIF(F6:NG6,"A")</f>
        <v>0</v>
      </c>
      <c r="NJ6" s="5" t="s">
        <v>9</v>
      </c>
      <c r="NK6" s="17">
        <v>26</v>
      </c>
      <c r="NL6" s="18" t="s">
        <v>10</v>
      </c>
      <c r="NM6" s="3"/>
    </row>
    <row r="7" spans="1:377" ht="20.25" customHeight="1" x14ac:dyDescent="0.25">
      <c r="A7" s="17">
        <v>2</v>
      </c>
      <c r="B7" s="19"/>
      <c r="C7" s="20"/>
      <c r="D7" s="21"/>
      <c r="E7" s="10" t="s">
        <v>32</v>
      </c>
      <c r="F7" s="11"/>
      <c r="G7" s="12"/>
      <c r="H7" s="11"/>
      <c r="I7" s="12"/>
      <c r="J7" s="12"/>
      <c r="K7" s="13"/>
      <c r="L7" s="12"/>
      <c r="M7" s="12"/>
      <c r="N7" s="11"/>
      <c r="O7" s="11"/>
      <c r="P7" s="12"/>
      <c r="Q7" s="12"/>
      <c r="R7" s="13"/>
      <c r="S7" s="13"/>
      <c r="T7" s="12"/>
      <c r="U7" s="14"/>
      <c r="V7" s="11"/>
      <c r="W7" s="12"/>
      <c r="X7" s="12"/>
      <c r="Y7" s="13"/>
      <c r="Z7" s="12"/>
      <c r="AA7" s="12"/>
      <c r="AB7" s="12"/>
      <c r="AC7" s="12"/>
      <c r="AD7" s="12"/>
      <c r="AE7" s="12"/>
      <c r="AF7" s="13"/>
      <c r="AG7" s="12"/>
      <c r="AH7" s="12"/>
      <c r="AI7" s="12"/>
      <c r="AJ7" s="12"/>
      <c r="AK7" s="15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5">
        <f t="shared" ref="NH7:NH45" si="6">COUNTIF(F7:NG7,"P")</f>
        <v>0</v>
      </c>
      <c r="NI7" s="5">
        <f t="shared" ref="NI7:NI45" si="7">COUNTIF(F7:NG7,"A")</f>
        <v>0</v>
      </c>
      <c r="NJ7" s="5" t="s">
        <v>11</v>
      </c>
      <c r="NK7" s="17">
        <v>4</v>
      </c>
      <c r="NL7" s="3"/>
      <c r="NM7" s="3"/>
    </row>
    <row r="8" spans="1:377" x14ac:dyDescent="0.25">
      <c r="A8" s="6">
        <v>3</v>
      </c>
      <c r="B8" s="19"/>
      <c r="C8" s="20"/>
      <c r="D8" s="21"/>
      <c r="E8" s="10" t="s">
        <v>32</v>
      </c>
      <c r="F8" s="11"/>
      <c r="G8" s="12"/>
      <c r="H8" s="11"/>
      <c r="I8" s="12"/>
      <c r="J8" s="12"/>
      <c r="K8" s="13"/>
      <c r="L8" s="12"/>
      <c r="M8" s="12"/>
      <c r="N8" s="11"/>
      <c r="O8" s="11"/>
      <c r="P8" s="12"/>
      <c r="Q8" s="12"/>
      <c r="R8" s="13"/>
      <c r="S8" s="13"/>
      <c r="T8" s="12"/>
      <c r="U8" s="14"/>
      <c r="V8" s="11"/>
      <c r="W8" s="12"/>
      <c r="X8" s="12"/>
      <c r="Y8" s="13"/>
      <c r="Z8" s="12"/>
      <c r="AA8" s="12"/>
      <c r="AB8" s="12"/>
      <c r="AC8" s="12"/>
      <c r="AD8" s="12"/>
      <c r="AE8" s="12"/>
      <c r="AF8" s="13"/>
      <c r="AG8" s="12"/>
      <c r="AH8" s="12"/>
      <c r="AI8" s="12"/>
      <c r="AJ8" s="12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5">
        <f t="shared" si="6"/>
        <v>0</v>
      </c>
      <c r="NI8" s="5">
        <f t="shared" si="7"/>
        <v>0</v>
      </c>
      <c r="NJ8" s="3"/>
      <c r="NK8" s="3"/>
      <c r="NL8" s="3"/>
      <c r="NM8" s="3"/>
    </row>
    <row r="9" spans="1:377" ht="15.75" x14ac:dyDescent="0.25">
      <c r="A9" s="17">
        <v>4</v>
      </c>
      <c r="B9" s="19"/>
      <c r="C9" s="20"/>
      <c r="D9" s="21"/>
      <c r="E9" s="10" t="s">
        <v>32</v>
      </c>
      <c r="F9" s="11"/>
      <c r="G9" s="12"/>
      <c r="H9" s="11"/>
      <c r="I9" s="12"/>
      <c r="J9" s="12"/>
      <c r="K9" s="13"/>
      <c r="L9" s="12"/>
      <c r="M9" s="12"/>
      <c r="N9" s="11"/>
      <c r="O9" s="11"/>
      <c r="P9" s="12"/>
      <c r="Q9" s="12"/>
      <c r="R9" s="13"/>
      <c r="S9" s="13"/>
      <c r="T9" s="12"/>
      <c r="U9" s="14"/>
      <c r="V9" s="11"/>
      <c r="W9" s="12"/>
      <c r="X9" s="12"/>
      <c r="Y9" s="13"/>
      <c r="Z9" s="12"/>
      <c r="AA9" s="12"/>
      <c r="AB9" s="12"/>
      <c r="AC9" s="12"/>
      <c r="AD9" s="12"/>
      <c r="AE9" s="12"/>
      <c r="AF9" s="13"/>
      <c r="AG9" s="12"/>
      <c r="AH9" s="12"/>
      <c r="AI9" s="12"/>
      <c r="AJ9" s="12"/>
      <c r="AK9" s="22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5">
        <f t="shared" si="6"/>
        <v>0</v>
      </c>
      <c r="NI9" s="5">
        <f t="shared" si="7"/>
        <v>0</v>
      </c>
      <c r="NJ9" s="103" t="s">
        <v>12</v>
      </c>
      <c r="NK9" s="105"/>
      <c r="NL9" s="105"/>
      <c r="NM9" s="104"/>
    </row>
    <row r="10" spans="1:377" x14ac:dyDescent="0.25">
      <c r="A10" s="6">
        <v>5</v>
      </c>
      <c r="B10" s="19"/>
      <c r="C10" s="20"/>
      <c r="D10" s="21"/>
      <c r="E10" s="10" t="s">
        <v>32</v>
      </c>
      <c r="F10" s="11"/>
      <c r="G10" s="12"/>
      <c r="H10" s="11"/>
      <c r="I10" s="12"/>
      <c r="J10" s="12"/>
      <c r="K10" s="13"/>
      <c r="L10" s="12"/>
      <c r="M10" s="12"/>
      <c r="N10" s="11"/>
      <c r="O10" s="11"/>
      <c r="P10" s="12"/>
      <c r="Q10" s="12"/>
      <c r="R10" s="13"/>
      <c r="S10" s="13"/>
      <c r="T10" s="12"/>
      <c r="U10" s="14"/>
      <c r="V10" s="11"/>
      <c r="W10" s="12"/>
      <c r="X10" s="12"/>
      <c r="Y10" s="13"/>
      <c r="Z10" s="12"/>
      <c r="AA10" s="12"/>
      <c r="AB10" s="12"/>
      <c r="AC10" s="12"/>
      <c r="AD10" s="12"/>
      <c r="AE10" s="12"/>
      <c r="AF10" s="13"/>
      <c r="AG10" s="12"/>
      <c r="AH10" s="12"/>
      <c r="AI10" s="12"/>
      <c r="AJ10" s="12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5">
        <f t="shared" si="6"/>
        <v>0</v>
      </c>
      <c r="NI10" s="5">
        <f t="shared" si="7"/>
        <v>0</v>
      </c>
      <c r="NJ10" s="5" t="s">
        <v>13</v>
      </c>
      <c r="NK10" s="5" t="s">
        <v>14</v>
      </c>
      <c r="NL10" s="5" t="s">
        <v>15</v>
      </c>
      <c r="NM10" s="5" t="s">
        <v>16</v>
      </c>
    </row>
    <row r="11" spans="1:377" x14ac:dyDescent="0.25">
      <c r="A11" s="17">
        <v>6</v>
      </c>
      <c r="B11" s="19"/>
      <c r="C11" s="20"/>
      <c r="D11" s="21"/>
      <c r="E11" s="10" t="s">
        <v>32</v>
      </c>
      <c r="F11" s="11"/>
      <c r="G11" s="12"/>
      <c r="H11" s="11"/>
      <c r="I11" s="12"/>
      <c r="J11" s="12"/>
      <c r="K11" s="13"/>
      <c r="L11" s="12"/>
      <c r="M11" s="12"/>
      <c r="N11" s="11"/>
      <c r="O11" s="11"/>
      <c r="P11" s="12"/>
      <c r="Q11" s="12"/>
      <c r="R11" s="13"/>
      <c r="S11" s="13"/>
      <c r="T11" s="12"/>
      <c r="U11" s="14"/>
      <c r="V11" s="11"/>
      <c r="W11" s="12"/>
      <c r="X11" s="12"/>
      <c r="Y11" s="13"/>
      <c r="Z11" s="12"/>
      <c r="AA11" s="12"/>
      <c r="AB11" s="12"/>
      <c r="AC11" s="12"/>
      <c r="AD11" s="12"/>
      <c r="AE11" s="12"/>
      <c r="AF11" s="13"/>
      <c r="AG11" s="12"/>
      <c r="AH11" s="12"/>
      <c r="AI11" s="12"/>
      <c r="AJ11" s="1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5">
        <f t="shared" si="6"/>
        <v>0</v>
      </c>
      <c r="NI11" s="5">
        <f t="shared" si="7"/>
        <v>0</v>
      </c>
      <c r="NJ11" s="5" t="s">
        <v>17</v>
      </c>
      <c r="NK11" s="17">
        <f>19*26</f>
        <v>494</v>
      </c>
      <c r="NL11" s="17">
        <f>21*26</f>
        <v>546</v>
      </c>
      <c r="NM11" s="17">
        <f>SUM(NK11:NL11)</f>
        <v>1040</v>
      </c>
    </row>
    <row r="12" spans="1:377" x14ac:dyDescent="0.25">
      <c r="A12" s="6">
        <v>7</v>
      </c>
      <c r="B12" s="19"/>
      <c r="C12" s="20"/>
      <c r="D12" s="21"/>
      <c r="E12" s="10" t="s">
        <v>32</v>
      </c>
      <c r="F12" s="11"/>
      <c r="G12" s="12"/>
      <c r="H12" s="11"/>
      <c r="I12" s="12"/>
      <c r="J12" s="12"/>
      <c r="K12" s="13"/>
      <c r="L12" s="12"/>
      <c r="M12" s="12"/>
      <c r="N12" s="11"/>
      <c r="O12" s="11"/>
      <c r="P12" s="12"/>
      <c r="Q12" s="12"/>
      <c r="R12" s="13"/>
      <c r="S12" s="13"/>
      <c r="T12" s="12"/>
      <c r="U12" s="14"/>
      <c r="V12" s="11"/>
      <c r="W12" s="12"/>
      <c r="X12" s="12"/>
      <c r="Y12" s="13"/>
      <c r="Z12" s="12"/>
      <c r="AA12" s="12"/>
      <c r="AB12" s="12"/>
      <c r="AC12" s="12"/>
      <c r="AD12" s="12"/>
      <c r="AE12" s="12"/>
      <c r="AF12" s="13"/>
      <c r="AG12" s="12"/>
      <c r="AH12" s="12"/>
      <c r="AI12" s="12"/>
      <c r="AJ12" s="1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5">
        <f t="shared" si="6"/>
        <v>0</v>
      </c>
      <c r="NI12" s="5">
        <f t="shared" si="7"/>
        <v>0</v>
      </c>
      <c r="NJ12" s="5" t="s">
        <v>18</v>
      </c>
      <c r="NK12" s="17">
        <f>NH7+NH8+NH9+NH12+NH13+NH14+NH16+NH20+NH21+NH22+NH23+NH24+NH25+NH26+NH27+NH29+NH30+NH32+NH43</f>
        <v>0</v>
      </c>
      <c r="NL12" s="17">
        <f>NH6+NH10+NH11+NH15+NH17+NH18+NH19+NH28+NH31+NH33+NH34+NH35+NH36+NH37+NH38+NH39+NH40+NH41+NH42+NH44+NH45</f>
        <v>0</v>
      </c>
      <c r="NM12" s="17">
        <f>NK12+NL12</f>
        <v>0</v>
      </c>
    </row>
    <row r="13" spans="1:377" x14ac:dyDescent="0.25">
      <c r="A13" s="17">
        <v>8</v>
      </c>
      <c r="B13" s="19"/>
      <c r="C13" s="20"/>
      <c r="D13" s="21"/>
      <c r="E13" s="10" t="s">
        <v>32</v>
      </c>
      <c r="F13" s="11"/>
      <c r="G13" s="12"/>
      <c r="H13" s="11"/>
      <c r="I13" s="12"/>
      <c r="J13" s="12"/>
      <c r="K13" s="13"/>
      <c r="L13" s="12"/>
      <c r="M13" s="12"/>
      <c r="N13" s="11"/>
      <c r="O13" s="11"/>
      <c r="P13" s="12"/>
      <c r="Q13" s="12"/>
      <c r="R13" s="13"/>
      <c r="S13" s="13"/>
      <c r="T13" s="12"/>
      <c r="U13" s="14"/>
      <c r="V13" s="11"/>
      <c r="W13" s="12"/>
      <c r="X13" s="12"/>
      <c r="Y13" s="13"/>
      <c r="Z13" s="12"/>
      <c r="AA13" s="12"/>
      <c r="AB13" s="12"/>
      <c r="AC13" s="12"/>
      <c r="AD13" s="12"/>
      <c r="AE13" s="12"/>
      <c r="AF13" s="13"/>
      <c r="AG13" s="12"/>
      <c r="AH13" s="12"/>
      <c r="AI13" s="12"/>
      <c r="AJ13" s="1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5">
        <f t="shared" si="6"/>
        <v>0</v>
      </c>
      <c r="NI13" s="5">
        <f t="shared" si="7"/>
        <v>0</v>
      </c>
      <c r="NJ13" s="5" t="s">
        <v>19</v>
      </c>
      <c r="NK13" s="17">
        <f>NK12/NK11</f>
        <v>0</v>
      </c>
      <c r="NL13" s="17">
        <f>NL12/NL11</f>
        <v>0</v>
      </c>
      <c r="NM13" s="17">
        <f>NM12/NM11</f>
        <v>0</v>
      </c>
    </row>
    <row r="14" spans="1:377" x14ac:dyDescent="0.25">
      <c r="A14" s="6">
        <v>9</v>
      </c>
      <c r="B14" s="19"/>
      <c r="C14" s="20"/>
      <c r="D14" s="21"/>
      <c r="E14" s="10" t="s">
        <v>32</v>
      </c>
      <c r="F14" s="11"/>
      <c r="G14" s="12"/>
      <c r="H14" s="11"/>
      <c r="I14" s="12"/>
      <c r="J14" s="12"/>
      <c r="K14" s="13"/>
      <c r="L14" s="12"/>
      <c r="M14" s="12"/>
      <c r="N14" s="11"/>
      <c r="O14" s="11"/>
      <c r="P14" s="12"/>
      <c r="Q14" s="12"/>
      <c r="R14" s="13"/>
      <c r="S14" s="13"/>
      <c r="T14" s="12"/>
      <c r="U14" s="14"/>
      <c r="V14" s="11"/>
      <c r="W14" s="12"/>
      <c r="X14" s="12"/>
      <c r="Y14" s="13"/>
      <c r="Z14" s="12"/>
      <c r="AA14" s="12"/>
      <c r="AB14" s="12"/>
      <c r="AC14" s="12"/>
      <c r="AD14" s="12"/>
      <c r="AE14" s="12"/>
      <c r="AF14" s="13"/>
      <c r="AG14" s="12"/>
      <c r="AH14" s="12"/>
      <c r="AI14" s="12"/>
      <c r="AJ14" s="12"/>
      <c r="AK14" s="23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5">
        <f t="shared" si="6"/>
        <v>0</v>
      </c>
      <c r="NI14" s="5">
        <f t="shared" si="7"/>
        <v>0</v>
      </c>
      <c r="NJ14" s="3"/>
      <c r="NK14" s="24"/>
      <c r="NL14" s="24"/>
      <c r="NM14" s="24"/>
    </row>
    <row r="15" spans="1:377" x14ac:dyDescent="0.25">
      <c r="A15" s="17">
        <v>10</v>
      </c>
      <c r="B15" s="25"/>
      <c r="C15" s="20"/>
      <c r="D15" s="21"/>
      <c r="E15" s="10" t="s">
        <v>32</v>
      </c>
      <c r="F15" s="11"/>
      <c r="G15" s="12"/>
      <c r="H15" s="11"/>
      <c r="I15" s="12"/>
      <c r="J15" s="12"/>
      <c r="K15" s="13"/>
      <c r="L15" s="12"/>
      <c r="M15" s="12"/>
      <c r="N15" s="11"/>
      <c r="O15" s="11"/>
      <c r="P15" s="12"/>
      <c r="Q15" s="12"/>
      <c r="R15" s="13"/>
      <c r="S15" s="13"/>
      <c r="T15" s="12"/>
      <c r="U15" s="14"/>
      <c r="V15" s="11"/>
      <c r="W15" s="12"/>
      <c r="X15" s="12"/>
      <c r="Y15" s="13"/>
      <c r="Z15" s="12"/>
      <c r="AA15" s="12"/>
      <c r="AB15" s="12"/>
      <c r="AC15" s="12"/>
      <c r="AD15" s="12"/>
      <c r="AE15" s="12"/>
      <c r="AF15" s="13"/>
      <c r="AG15" s="12"/>
      <c r="AH15" s="12"/>
      <c r="AI15" s="12"/>
      <c r="AJ15" s="1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5">
        <f t="shared" si="6"/>
        <v>0</v>
      </c>
      <c r="NI15" s="5">
        <f t="shared" si="7"/>
        <v>0</v>
      </c>
      <c r="NJ15" s="26"/>
      <c r="NK15" s="26"/>
      <c r="NL15" s="26"/>
      <c r="NM15" s="26"/>
    </row>
    <row r="16" spans="1:377" x14ac:dyDescent="0.25">
      <c r="A16" s="6">
        <v>11</v>
      </c>
      <c r="B16" s="19"/>
      <c r="C16" s="20"/>
      <c r="D16" s="21"/>
      <c r="E16" s="10" t="s">
        <v>32</v>
      </c>
      <c r="F16" s="11"/>
      <c r="G16" s="12"/>
      <c r="H16" s="11"/>
      <c r="I16" s="12"/>
      <c r="J16" s="12"/>
      <c r="K16" s="13"/>
      <c r="L16" s="12"/>
      <c r="M16" s="12"/>
      <c r="N16" s="11"/>
      <c r="O16" s="11"/>
      <c r="P16" s="12"/>
      <c r="Q16" s="12"/>
      <c r="R16" s="13"/>
      <c r="S16" s="13"/>
      <c r="T16" s="12"/>
      <c r="U16" s="14"/>
      <c r="V16" s="11"/>
      <c r="W16" s="12"/>
      <c r="X16" s="12"/>
      <c r="Y16" s="13"/>
      <c r="Z16" s="12"/>
      <c r="AA16" s="12"/>
      <c r="AB16" s="12"/>
      <c r="AC16" s="12"/>
      <c r="AD16" s="12"/>
      <c r="AE16" s="12"/>
      <c r="AF16" s="13"/>
      <c r="AG16" s="12"/>
      <c r="AH16" s="12"/>
      <c r="AI16" s="12"/>
      <c r="AJ16" s="1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5">
        <f t="shared" si="6"/>
        <v>0</v>
      </c>
      <c r="NI16" s="5">
        <f t="shared" si="7"/>
        <v>0</v>
      </c>
      <c r="NJ16" s="3"/>
      <c r="NK16" s="3"/>
      <c r="NL16" s="3"/>
      <c r="NM16" s="3"/>
    </row>
    <row r="17" spans="1:377" ht="15.75" x14ac:dyDescent="0.25">
      <c r="A17" s="17">
        <v>12</v>
      </c>
      <c r="B17" s="19"/>
      <c r="C17" s="20"/>
      <c r="D17" s="21"/>
      <c r="E17" s="10" t="s">
        <v>32</v>
      </c>
      <c r="F17" s="11"/>
      <c r="G17" s="12"/>
      <c r="H17" s="11"/>
      <c r="I17" s="12"/>
      <c r="J17" s="12"/>
      <c r="K17" s="13"/>
      <c r="L17" s="12"/>
      <c r="M17" s="12"/>
      <c r="N17" s="11"/>
      <c r="O17" s="11"/>
      <c r="P17" s="12"/>
      <c r="Q17" s="12"/>
      <c r="R17" s="13"/>
      <c r="S17" s="13"/>
      <c r="T17" s="12"/>
      <c r="U17" s="14"/>
      <c r="V17" s="11"/>
      <c r="W17" s="12"/>
      <c r="X17" s="12"/>
      <c r="Y17" s="13"/>
      <c r="Z17" s="12"/>
      <c r="AA17" s="12"/>
      <c r="AB17" s="12"/>
      <c r="AC17" s="12"/>
      <c r="AD17" s="12"/>
      <c r="AE17" s="12"/>
      <c r="AF17" s="13"/>
      <c r="AG17" s="12"/>
      <c r="AH17" s="12"/>
      <c r="AI17" s="12"/>
      <c r="AJ17" s="1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5">
        <f t="shared" si="6"/>
        <v>0</v>
      </c>
      <c r="NI17" s="5">
        <f t="shared" si="7"/>
        <v>0</v>
      </c>
      <c r="NJ17" s="103" t="s">
        <v>6</v>
      </c>
      <c r="NK17" s="105"/>
      <c r="NL17" s="105"/>
      <c r="NM17" s="104"/>
    </row>
    <row r="18" spans="1:377" x14ac:dyDescent="0.25">
      <c r="A18" s="6">
        <v>13</v>
      </c>
      <c r="B18" s="19"/>
      <c r="C18" s="20"/>
      <c r="D18" s="21"/>
      <c r="E18" s="10" t="s">
        <v>32</v>
      </c>
      <c r="F18" s="11"/>
      <c r="G18" s="12"/>
      <c r="H18" s="11"/>
      <c r="I18" s="12"/>
      <c r="J18" s="12"/>
      <c r="K18" s="13"/>
      <c r="L18" s="12"/>
      <c r="M18" s="12"/>
      <c r="N18" s="11"/>
      <c r="O18" s="11"/>
      <c r="P18" s="12"/>
      <c r="Q18" s="12"/>
      <c r="R18" s="13"/>
      <c r="S18" s="13"/>
      <c r="T18" s="12"/>
      <c r="U18" s="14"/>
      <c r="V18" s="11"/>
      <c r="W18" s="12"/>
      <c r="X18" s="12"/>
      <c r="Y18" s="13"/>
      <c r="Z18" s="12"/>
      <c r="AA18" s="12"/>
      <c r="AB18" s="12"/>
      <c r="AC18" s="12"/>
      <c r="AD18" s="12"/>
      <c r="AE18" s="12"/>
      <c r="AF18" s="13"/>
      <c r="AG18" s="12"/>
      <c r="AH18" s="12"/>
      <c r="AI18" s="12"/>
      <c r="AJ18" s="1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5">
        <f t="shared" si="6"/>
        <v>0</v>
      </c>
      <c r="NI18" s="5">
        <f t="shared" si="7"/>
        <v>0</v>
      </c>
      <c r="NJ18" s="5" t="s">
        <v>13</v>
      </c>
      <c r="NK18" s="5" t="s">
        <v>14</v>
      </c>
      <c r="NL18" s="5" t="s">
        <v>15</v>
      </c>
      <c r="NM18" s="5" t="s">
        <v>16</v>
      </c>
    </row>
    <row r="19" spans="1:377" x14ac:dyDescent="0.25">
      <c r="A19" s="17">
        <v>14</v>
      </c>
      <c r="B19" s="19"/>
      <c r="C19" s="20"/>
      <c r="D19" s="21"/>
      <c r="E19" s="10" t="s">
        <v>32</v>
      </c>
      <c r="F19" s="11"/>
      <c r="G19" s="12"/>
      <c r="H19" s="11"/>
      <c r="I19" s="12"/>
      <c r="J19" s="12"/>
      <c r="K19" s="13"/>
      <c r="L19" s="12"/>
      <c r="M19" s="12"/>
      <c r="N19" s="11"/>
      <c r="O19" s="11"/>
      <c r="P19" s="12"/>
      <c r="Q19" s="12"/>
      <c r="R19" s="13"/>
      <c r="S19" s="13"/>
      <c r="T19" s="12"/>
      <c r="U19" s="14"/>
      <c r="V19" s="11"/>
      <c r="W19" s="12"/>
      <c r="X19" s="12"/>
      <c r="Y19" s="13"/>
      <c r="Z19" s="12"/>
      <c r="AA19" s="12"/>
      <c r="AB19" s="12"/>
      <c r="AC19" s="12"/>
      <c r="AD19" s="12"/>
      <c r="AE19" s="12"/>
      <c r="AF19" s="13"/>
      <c r="AG19" s="12"/>
      <c r="AH19" s="12"/>
      <c r="AI19" s="12"/>
      <c r="AJ19" s="1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5">
        <f t="shared" si="6"/>
        <v>0</v>
      </c>
      <c r="NI19" s="5">
        <f t="shared" si="7"/>
        <v>0</v>
      </c>
      <c r="NJ19" s="5" t="s">
        <v>17</v>
      </c>
      <c r="NK19" s="17">
        <f>19*26</f>
        <v>494</v>
      </c>
      <c r="NL19" s="17">
        <f>21*26</f>
        <v>546</v>
      </c>
      <c r="NM19" s="17">
        <f>NK19+NL19</f>
        <v>1040</v>
      </c>
    </row>
    <row r="20" spans="1:377" x14ac:dyDescent="0.25">
      <c r="A20" s="6">
        <v>15</v>
      </c>
      <c r="B20" s="19"/>
      <c r="C20" s="20"/>
      <c r="D20" s="21"/>
      <c r="E20" s="10" t="s">
        <v>32</v>
      </c>
      <c r="F20" s="11"/>
      <c r="G20" s="12"/>
      <c r="H20" s="11"/>
      <c r="I20" s="12"/>
      <c r="J20" s="12"/>
      <c r="K20" s="13"/>
      <c r="L20" s="12"/>
      <c r="M20" s="12"/>
      <c r="N20" s="11"/>
      <c r="O20" s="11"/>
      <c r="P20" s="12"/>
      <c r="Q20" s="12"/>
      <c r="R20" s="13"/>
      <c r="S20" s="13"/>
      <c r="T20" s="12"/>
      <c r="U20" s="14"/>
      <c r="V20" s="11"/>
      <c r="W20" s="12"/>
      <c r="X20" s="12"/>
      <c r="Y20" s="13"/>
      <c r="Z20" s="12"/>
      <c r="AA20" s="12"/>
      <c r="AB20" s="12"/>
      <c r="AC20" s="12"/>
      <c r="AD20" s="12"/>
      <c r="AE20" s="12"/>
      <c r="AF20" s="13"/>
      <c r="AG20" s="12"/>
      <c r="AH20" s="12"/>
      <c r="AI20" s="12"/>
      <c r="AJ20" s="1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5">
        <f t="shared" si="6"/>
        <v>0</v>
      </c>
      <c r="NI20" s="5">
        <f t="shared" si="7"/>
        <v>0</v>
      </c>
      <c r="NJ20" s="5" t="s">
        <v>20</v>
      </c>
      <c r="NK20" s="17">
        <f>NK19-NK12</f>
        <v>494</v>
      </c>
      <c r="NL20" s="17">
        <f>NL19-NL12</f>
        <v>546</v>
      </c>
      <c r="NM20" s="17">
        <f>NK20+NL20</f>
        <v>1040</v>
      </c>
    </row>
    <row r="21" spans="1:377" x14ac:dyDescent="0.25">
      <c r="A21" s="17">
        <v>16</v>
      </c>
      <c r="B21" s="19"/>
      <c r="C21" s="20"/>
      <c r="D21" s="21"/>
      <c r="E21" s="10" t="s">
        <v>32</v>
      </c>
      <c r="F21" s="11"/>
      <c r="G21" s="12"/>
      <c r="H21" s="11"/>
      <c r="I21" s="12"/>
      <c r="J21" s="12"/>
      <c r="K21" s="13"/>
      <c r="L21" s="12"/>
      <c r="M21" s="12"/>
      <c r="N21" s="11"/>
      <c r="O21" s="11"/>
      <c r="P21" s="12"/>
      <c r="Q21" s="12"/>
      <c r="R21" s="13"/>
      <c r="S21" s="13"/>
      <c r="T21" s="12"/>
      <c r="U21" s="14"/>
      <c r="V21" s="11"/>
      <c r="W21" s="12"/>
      <c r="X21" s="12"/>
      <c r="Y21" s="13"/>
      <c r="Z21" s="12"/>
      <c r="AA21" s="12"/>
      <c r="AB21" s="12"/>
      <c r="AC21" s="12"/>
      <c r="AD21" s="12"/>
      <c r="AE21" s="12"/>
      <c r="AF21" s="13"/>
      <c r="AG21" s="12"/>
      <c r="AH21" s="12"/>
      <c r="AI21" s="12"/>
      <c r="AJ21" s="1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5">
        <f t="shared" si="6"/>
        <v>0</v>
      </c>
      <c r="NI21" s="5">
        <f t="shared" si="7"/>
        <v>0</v>
      </c>
      <c r="NJ21" s="5" t="s">
        <v>16</v>
      </c>
      <c r="NK21" s="27">
        <f>NK20/NK19</f>
        <v>1</v>
      </c>
      <c r="NL21" s="27">
        <f>NL20/NL19</f>
        <v>1</v>
      </c>
      <c r="NM21" s="27">
        <f>NM20/NM19</f>
        <v>1</v>
      </c>
    </row>
    <row r="22" spans="1:377" x14ac:dyDescent="0.25">
      <c r="A22" s="6">
        <v>17</v>
      </c>
      <c r="B22" s="19"/>
      <c r="C22" s="20"/>
      <c r="D22" s="21"/>
      <c r="E22" s="10" t="s">
        <v>32</v>
      </c>
      <c r="F22" s="11"/>
      <c r="G22" s="12"/>
      <c r="H22" s="11"/>
      <c r="I22" s="12"/>
      <c r="J22" s="12"/>
      <c r="K22" s="13"/>
      <c r="L22" s="12"/>
      <c r="M22" s="12"/>
      <c r="N22" s="11"/>
      <c r="O22" s="11"/>
      <c r="P22" s="12"/>
      <c r="Q22" s="12"/>
      <c r="R22" s="13"/>
      <c r="S22" s="13"/>
      <c r="T22" s="12"/>
      <c r="U22" s="14"/>
      <c r="V22" s="11"/>
      <c r="W22" s="12"/>
      <c r="X22" s="12"/>
      <c r="Y22" s="13"/>
      <c r="Z22" s="12"/>
      <c r="AA22" s="12"/>
      <c r="AB22" s="12"/>
      <c r="AC22" s="12"/>
      <c r="AD22" s="12"/>
      <c r="AE22" s="12"/>
      <c r="AF22" s="13"/>
      <c r="AG22" s="12"/>
      <c r="AH22" s="12"/>
      <c r="AI22" s="12"/>
      <c r="AJ22" s="1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5">
        <f t="shared" si="6"/>
        <v>0</v>
      </c>
      <c r="NI22" s="5">
        <f t="shared" si="7"/>
        <v>0</v>
      </c>
    </row>
    <row r="23" spans="1:377" x14ac:dyDescent="0.25">
      <c r="A23" s="17">
        <v>18</v>
      </c>
      <c r="B23" s="19"/>
      <c r="C23" s="20"/>
      <c r="D23" s="21"/>
      <c r="E23" s="10" t="s">
        <v>32</v>
      </c>
      <c r="F23" s="11"/>
      <c r="G23" s="12"/>
      <c r="H23" s="11"/>
      <c r="I23" s="12"/>
      <c r="J23" s="12"/>
      <c r="K23" s="13"/>
      <c r="L23" s="12"/>
      <c r="M23" s="12"/>
      <c r="N23" s="11"/>
      <c r="O23" s="11"/>
      <c r="P23" s="12"/>
      <c r="Q23" s="12"/>
      <c r="R23" s="13"/>
      <c r="S23" s="13"/>
      <c r="T23" s="12"/>
      <c r="U23" s="14"/>
      <c r="V23" s="11"/>
      <c r="W23" s="12"/>
      <c r="X23" s="12"/>
      <c r="Y23" s="13"/>
      <c r="Z23" s="12"/>
      <c r="AA23" s="12"/>
      <c r="AB23" s="12"/>
      <c r="AC23" s="12"/>
      <c r="AD23" s="12"/>
      <c r="AE23" s="12"/>
      <c r="AF23" s="13"/>
      <c r="AG23" s="12"/>
      <c r="AH23" s="12"/>
      <c r="AI23" s="12"/>
      <c r="AJ23" s="1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5">
        <f t="shared" si="6"/>
        <v>0</v>
      </c>
      <c r="NI23" s="5">
        <f t="shared" si="7"/>
        <v>0</v>
      </c>
    </row>
    <row r="24" spans="1:377" x14ac:dyDescent="0.25">
      <c r="A24" s="6">
        <v>19</v>
      </c>
      <c r="B24" s="19"/>
      <c r="C24" s="20"/>
      <c r="D24" s="21"/>
      <c r="E24" s="10" t="s">
        <v>32</v>
      </c>
      <c r="F24" s="11"/>
      <c r="G24" s="12"/>
      <c r="H24" s="11"/>
      <c r="I24" s="12"/>
      <c r="J24" s="12"/>
      <c r="K24" s="13"/>
      <c r="L24" s="12"/>
      <c r="M24" s="12"/>
      <c r="N24" s="11"/>
      <c r="O24" s="11"/>
      <c r="P24" s="12"/>
      <c r="Q24" s="12"/>
      <c r="R24" s="13"/>
      <c r="S24" s="13"/>
      <c r="T24" s="12"/>
      <c r="U24" s="14"/>
      <c r="V24" s="11"/>
      <c r="W24" s="12"/>
      <c r="X24" s="12"/>
      <c r="Y24" s="13"/>
      <c r="Z24" s="12"/>
      <c r="AA24" s="12"/>
      <c r="AB24" s="12"/>
      <c r="AC24" s="12"/>
      <c r="AD24" s="12"/>
      <c r="AE24" s="12"/>
      <c r="AF24" s="13"/>
      <c r="AG24" s="12"/>
      <c r="AH24" s="12"/>
      <c r="AI24" s="12"/>
      <c r="AJ24" s="1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5">
        <f t="shared" si="6"/>
        <v>0</v>
      </c>
      <c r="NI24" s="5">
        <f t="shared" si="7"/>
        <v>0</v>
      </c>
    </row>
    <row r="25" spans="1:377" x14ac:dyDescent="0.25">
      <c r="A25" s="17">
        <v>20</v>
      </c>
      <c r="B25" s="19"/>
      <c r="C25" s="20"/>
      <c r="D25" s="21"/>
      <c r="E25" s="10" t="s">
        <v>32</v>
      </c>
      <c r="F25" s="11"/>
      <c r="G25" s="12"/>
      <c r="H25" s="11"/>
      <c r="I25" s="12"/>
      <c r="J25" s="12"/>
      <c r="K25" s="13"/>
      <c r="L25" s="12"/>
      <c r="M25" s="12"/>
      <c r="N25" s="11"/>
      <c r="O25" s="11"/>
      <c r="P25" s="12"/>
      <c r="Q25" s="12"/>
      <c r="R25" s="13"/>
      <c r="S25" s="13"/>
      <c r="T25" s="12"/>
      <c r="U25" s="14"/>
      <c r="V25" s="11"/>
      <c r="W25" s="12"/>
      <c r="X25" s="12"/>
      <c r="Y25" s="13"/>
      <c r="Z25" s="12"/>
      <c r="AA25" s="12"/>
      <c r="AB25" s="12"/>
      <c r="AC25" s="12"/>
      <c r="AD25" s="12"/>
      <c r="AE25" s="12"/>
      <c r="AF25" s="13"/>
      <c r="AG25" s="12"/>
      <c r="AH25" s="12"/>
      <c r="AI25" s="12"/>
      <c r="AJ25" s="1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5">
        <f t="shared" si="6"/>
        <v>0</v>
      </c>
      <c r="NI25" s="5">
        <f t="shared" si="7"/>
        <v>0</v>
      </c>
    </row>
    <row r="26" spans="1:377" x14ac:dyDescent="0.25">
      <c r="A26" s="6">
        <v>21</v>
      </c>
      <c r="B26" s="19"/>
      <c r="C26" s="20"/>
      <c r="D26" s="21"/>
      <c r="E26" s="10" t="s">
        <v>32</v>
      </c>
      <c r="F26" s="11"/>
      <c r="G26" s="12"/>
      <c r="H26" s="11"/>
      <c r="I26" s="12"/>
      <c r="J26" s="12"/>
      <c r="K26" s="13"/>
      <c r="L26" s="12"/>
      <c r="M26" s="12"/>
      <c r="N26" s="11"/>
      <c r="O26" s="11"/>
      <c r="P26" s="12"/>
      <c r="Q26" s="12"/>
      <c r="R26" s="13"/>
      <c r="S26" s="13"/>
      <c r="T26" s="12"/>
      <c r="U26" s="14"/>
      <c r="V26" s="11"/>
      <c r="W26" s="12"/>
      <c r="X26" s="12"/>
      <c r="Y26" s="13"/>
      <c r="Z26" s="12"/>
      <c r="AA26" s="12"/>
      <c r="AB26" s="12"/>
      <c r="AC26" s="12"/>
      <c r="AD26" s="12"/>
      <c r="AE26" s="12"/>
      <c r="AF26" s="13"/>
      <c r="AG26" s="12"/>
      <c r="AH26" s="12"/>
      <c r="AI26" s="12"/>
      <c r="AJ26" s="1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5">
        <f t="shared" si="6"/>
        <v>0</v>
      </c>
      <c r="NI26" s="5">
        <f t="shared" si="7"/>
        <v>0</v>
      </c>
    </row>
    <row r="27" spans="1:377" x14ac:dyDescent="0.25">
      <c r="A27" s="17">
        <v>22</v>
      </c>
      <c r="B27" s="19"/>
      <c r="C27" s="20"/>
      <c r="D27" s="21"/>
      <c r="E27" s="10" t="s">
        <v>32</v>
      </c>
      <c r="F27" s="11"/>
      <c r="G27" s="12"/>
      <c r="H27" s="11"/>
      <c r="I27" s="12"/>
      <c r="J27" s="12"/>
      <c r="K27" s="13"/>
      <c r="L27" s="12"/>
      <c r="M27" s="12"/>
      <c r="N27" s="11"/>
      <c r="O27" s="11"/>
      <c r="P27" s="12"/>
      <c r="Q27" s="12"/>
      <c r="R27" s="13"/>
      <c r="S27" s="13"/>
      <c r="T27" s="12"/>
      <c r="U27" s="14"/>
      <c r="V27" s="11"/>
      <c r="W27" s="12"/>
      <c r="X27" s="12"/>
      <c r="Y27" s="13"/>
      <c r="Z27" s="12"/>
      <c r="AA27" s="12"/>
      <c r="AB27" s="12"/>
      <c r="AC27" s="12"/>
      <c r="AD27" s="12"/>
      <c r="AE27" s="12"/>
      <c r="AF27" s="13"/>
      <c r="AG27" s="12"/>
      <c r="AH27" s="12"/>
      <c r="AI27" s="12"/>
      <c r="AJ27" s="1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5">
        <f t="shared" si="6"/>
        <v>0</v>
      </c>
      <c r="NI27" s="5">
        <f t="shared" si="7"/>
        <v>0</v>
      </c>
    </row>
    <row r="28" spans="1:377" x14ac:dyDescent="0.25">
      <c r="A28" s="6">
        <v>23</v>
      </c>
      <c r="B28" s="19"/>
      <c r="C28" s="20"/>
      <c r="D28" s="21"/>
      <c r="E28" s="10" t="s">
        <v>32</v>
      </c>
      <c r="F28" s="11"/>
      <c r="G28" s="12"/>
      <c r="H28" s="11"/>
      <c r="I28" s="12"/>
      <c r="J28" s="12"/>
      <c r="K28" s="13"/>
      <c r="L28" s="12"/>
      <c r="M28" s="12"/>
      <c r="N28" s="11"/>
      <c r="O28" s="11"/>
      <c r="P28" s="12"/>
      <c r="Q28" s="12"/>
      <c r="R28" s="13"/>
      <c r="S28" s="13"/>
      <c r="T28" s="12"/>
      <c r="U28" s="14"/>
      <c r="V28" s="11"/>
      <c r="W28" s="12"/>
      <c r="X28" s="12"/>
      <c r="Y28" s="13"/>
      <c r="Z28" s="12"/>
      <c r="AA28" s="12"/>
      <c r="AB28" s="12"/>
      <c r="AC28" s="12"/>
      <c r="AD28" s="12"/>
      <c r="AE28" s="12"/>
      <c r="AF28" s="13"/>
      <c r="AG28" s="12"/>
      <c r="AH28" s="12"/>
      <c r="AI28" s="12"/>
      <c r="AJ28" s="1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5">
        <f t="shared" si="6"/>
        <v>0</v>
      </c>
      <c r="NI28" s="5">
        <f t="shared" si="7"/>
        <v>0</v>
      </c>
    </row>
    <row r="29" spans="1:377" x14ac:dyDescent="0.25">
      <c r="A29" s="17">
        <v>24</v>
      </c>
      <c r="B29" s="19"/>
      <c r="C29" s="20"/>
      <c r="D29" s="21"/>
      <c r="E29" s="10" t="s">
        <v>32</v>
      </c>
      <c r="F29" s="11"/>
      <c r="G29" s="12"/>
      <c r="H29" s="11"/>
      <c r="I29" s="12"/>
      <c r="J29" s="12"/>
      <c r="K29" s="13"/>
      <c r="L29" s="12"/>
      <c r="M29" s="12"/>
      <c r="N29" s="11"/>
      <c r="O29" s="11"/>
      <c r="P29" s="12"/>
      <c r="Q29" s="12"/>
      <c r="R29" s="13"/>
      <c r="S29" s="13"/>
      <c r="T29" s="12"/>
      <c r="U29" s="14"/>
      <c r="V29" s="11"/>
      <c r="W29" s="12"/>
      <c r="X29" s="12"/>
      <c r="Y29" s="13"/>
      <c r="Z29" s="12"/>
      <c r="AA29" s="12"/>
      <c r="AB29" s="12"/>
      <c r="AC29" s="12"/>
      <c r="AD29" s="12"/>
      <c r="AE29" s="12"/>
      <c r="AF29" s="13"/>
      <c r="AG29" s="12"/>
      <c r="AH29" s="12"/>
      <c r="AI29" s="12"/>
      <c r="AJ29" s="1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5">
        <f t="shared" si="6"/>
        <v>0</v>
      </c>
      <c r="NI29" s="5">
        <f t="shared" si="7"/>
        <v>0</v>
      </c>
    </row>
    <row r="30" spans="1:377" x14ac:dyDescent="0.25">
      <c r="A30" s="6">
        <v>25</v>
      </c>
      <c r="B30" s="19"/>
      <c r="C30" s="20"/>
      <c r="D30" s="21"/>
      <c r="E30" s="10" t="s">
        <v>32</v>
      </c>
      <c r="F30" s="11"/>
      <c r="G30" s="12"/>
      <c r="H30" s="11"/>
      <c r="I30" s="12"/>
      <c r="J30" s="12"/>
      <c r="K30" s="13"/>
      <c r="L30" s="12"/>
      <c r="M30" s="12"/>
      <c r="N30" s="11"/>
      <c r="O30" s="11"/>
      <c r="P30" s="12"/>
      <c r="Q30" s="12"/>
      <c r="R30" s="13"/>
      <c r="S30" s="13"/>
      <c r="T30" s="12"/>
      <c r="U30" s="14"/>
      <c r="V30" s="11"/>
      <c r="W30" s="12"/>
      <c r="X30" s="12"/>
      <c r="Y30" s="13"/>
      <c r="Z30" s="12"/>
      <c r="AA30" s="12"/>
      <c r="AB30" s="12"/>
      <c r="AC30" s="12"/>
      <c r="AD30" s="12"/>
      <c r="AE30" s="12"/>
      <c r="AF30" s="13"/>
      <c r="AG30" s="12"/>
      <c r="AH30" s="12"/>
      <c r="AI30" s="12"/>
      <c r="AJ30" s="1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/>
      <c r="LF30" s="16"/>
      <c r="LG30" s="16"/>
      <c r="LH30" s="16"/>
      <c r="LI30" s="16"/>
      <c r="LJ30" s="16"/>
      <c r="LK30" s="16"/>
      <c r="LL30" s="16"/>
      <c r="LM30" s="16"/>
      <c r="LN30" s="16"/>
      <c r="LO30" s="16"/>
      <c r="LP30" s="16"/>
      <c r="LQ30" s="16"/>
      <c r="LR30" s="16"/>
      <c r="LS30" s="16"/>
      <c r="LT30" s="16"/>
      <c r="LU30" s="16"/>
      <c r="LV30" s="16"/>
      <c r="LW30" s="16"/>
      <c r="LX30" s="16"/>
      <c r="LY30" s="16"/>
      <c r="LZ30" s="16"/>
      <c r="MA30" s="16"/>
      <c r="MB30" s="16"/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5">
        <f t="shared" si="6"/>
        <v>0</v>
      </c>
      <c r="NI30" s="5">
        <f t="shared" si="7"/>
        <v>0</v>
      </c>
    </row>
    <row r="31" spans="1:377" x14ac:dyDescent="0.25">
      <c r="A31" s="17">
        <v>26</v>
      </c>
      <c r="B31" s="19"/>
      <c r="C31" s="20"/>
      <c r="D31" s="21"/>
      <c r="E31" s="10" t="s">
        <v>32</v>
      </c>
      <c r="F31" s="11"/>
      <c r="G31" s="12"/>
      <c r="H31" s="11"/>
      <c r="I31" s="12"/>
      <c r="J31" s="12"/>
      <c r="K31" s="13"/>
      <c r="L31" s="12"/>
      <c r="M31" s="12"/>
      <c r="N31" s="11"/>
      <c r="O31" s="11"/>
      <c r="P31" s="12"/>
      <c r="Q31" s="12"/>
      <c r="R31" s="13"/>
      <c r="S31" s="13"/>
      <c r="T31" s="12"/>
      <c r="U31" s="14"/>
      <c r="V31" s="11"/>
      <c r="W31" s="12"/>
      <c r="X31" s="12"/>
      <c r="Y31" s="13"/>
      <c r="Z31" s="12"/>
      <c r="AA31" s="12"/>
      <c r="AB31" s="12"/>
      <c r="AC31" s="12"/>
      <c r="AD31" s="12"/>
      <c r="AE31" s="12"/>
      <c r="AF31" s="13"/>
      <c r="AG31" s="12"/>
      <c r="AH31" s="12"/>
      <c r="AI31" s="12"/>
      <c r="AJ31" s="1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6"/>
      <c r="LD31" s="16"/>
      <c r="LE31" s="16"/>
      <c r="LF31" s="16"/>
      <c r="LG31" s="16"/>
      <c r="LH31" s="16"/>
      <c r="LI31" s="16"/>
      <c r="LJ31" s="16"/>
      <c r="LK31" s="16"/>
      <c r="LL31" s="16"/>
      <c r="LM31" s="16"/>
      <c r="LN31" s="16"/>
      <c r="LO31" s="16"/>
      <c r="LP31" s="16"/>
      <c r="LQ31" s="16"/>
      <c r="LR31" s="16"/>
      <c r="LS31" s="16"/>
      <c r="LT31" s="16"/>
      <c r="LU31" s="16"/>
      <c r="LV31" s="16"/>
      <c r="LW31" s="16"/>
      <c r="LX31" s="16"/>
      <c r="LY31" s="16"/>
      <c r="LZ31" s="16"/>
      <c r="MA31" s="16"/>
      <c r="MB31" s="16"/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5">
        <f t="shared" si="6"/>
        <v>0</v>
      </c>
      <c r="NI31" s="5">
        <f t="shared" si="7"/>
        <v>0</v>
      </c>
    </row>
    <row r="32" spans="1:377" x14ac:dyDescent="0.25">
      <c r="A32" s="6">
        <v>27</v>
      </c>
      <c r="B32" s="19"/>
      <c r="C32" s="20"/>
      <c r="D32" s="21"/>
      <c r="E32" s="10" t="s">
        <v>32</v>
      </c>
      <c r="F32" s="11"/>
      <c r="G32" s="12"/>
      <c r="H32" s="11"/>
      <c r="I32" s="12"/>
      <c r="J32" s="12"/>
      <c r="K32" s="13"/>
      <c r="L32" s="12"/>
      <c r="M32" s="12"/>
      <c r="N32" s="11"/>
      <c r="O32" s="11"/>
      <c r="P32" s="12"/>
      <c r="Q32" s="12"/>
      <c r="R32" s="13"/>
      <c r="S32" s="13"/>
      <c r="T32" s="12"/>
      <c r="U32" s="14"/>
      <c r="V32" s="11"/>
      <c r="W32" s="12"/>
      <c r="X32" s="12"/>
      <c r="Y32" s="13"/>
      <c r="Z32" s="12"/>
      <c r="AA32" s="12"/>
      <c r="AB32" s="12"/>
      <c r="AC32" s="12"/>
      <c r="AD32" s="12"/>
      <c r="AE32" s="12"/>
      <c r="AF32" s="13"/>
      <c r="AG32" s="12"/>
      <c r="AH32" s="12"/>
      <c r="AI32" s="12"/>
      <c r="AJ32" s="1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/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/>
      <c r="LQ32" s="16"/>
      <c r="LR32" s="16"/>
      <c r="LS32" s="16"/>
      <c r="LT32" s="16"/>
      <c r="LU32" s="16"/>
      <c r="LV32" s="16"/>
      <c r="LW32" s="16"/>
      <c r="LX32" s="16"/>
      <c r="LY32" s="16"/>
      <c r="LZ32" s="16"/>
      <c r="MA32" s="16"/>
      <c r="MB32" s="16"/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5">
        <f t="shared" si="6"/>
        <v>0</v>
      </c>
      <c r="NI32" s="5">
        <f t="shared" si="7"/>
        <v>0</v>
      </c>
    </row>
    <row r="33" spans="1:373" x14ac:dyDescent="0.25">
      <c r="A33" s="17">
        <v>28</v>
      </c>
      <c r="B33" s="19"/>
      <c r="C33" s="20"/>
      <c r="D33" s="21"/>
      <c r="E33" s="10" t="s">
        <v>32</v>
      </c>
      <c r="F33" s="11"/>
      <c r="G33" s="12"/>
      <c r="H33" s="11"/>
      <c r="I33" s="12"/>
      <c r="J33" s="12"/>
      <c r="K33" s="13"/>
      <c r="L33" s="12"/>
      <c r="M33" s="12"/>
      <c r="N33" s="11"/>
      <c r="O33" s="11"/>
      <c r="P33" s="12"/>
      <c r="Q33" s="12"/>
      <c r="R33" s="13"/>
      <c r="S33" s="13"/>
      <c r="T33" s="12"/>
      <c r="U33" s="14"/>
      <c r="V33" s="11"/>
      <c r="W33" s="12"/>
      <c r="X33" s="12"/>
      <c r="Y33" s="13"/>
      <c r="Z33" s="12"/>
      <c r="AA33" s="12"/>
      <c r="AB33" s="12"/>
      <c r="AC33" s="12"/>
      <c r="AD33" s="12"/>
      <c r="AE33" s="12"/>
      <c r="AF33" s="13"/>
      <c r="AG33" s="12"/>
      <c r="AH33" s="12"/>
      <c r="AI33" s="12"/>
      <c r="AJ33" s="1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5">
        <f t="shared" si="6"/>
        <v>0</v>
      </c>
      <c r="NI33" s="5">
        <f t="shared" si="7"/>
        <v>0</v>
      </c>
    </row>
    <row r="34" spans="1:373" x14ac:dyDescent="0.25">
      <c r="A34" s="6">
        <v>29</v>
      </c>
      <c r="B34" s="19"/>
      <c r="C34" s="20"/>
      <c r="D34" s="21"/>
      <c r="E34" s="10" t="s">
        <v>32</v>
      </c>
      <c r="F34" s="11"/>
      <c r="G34" s="12"/>
      <c r="H34" s="11"/>
      <c r="I34" s="12"/>
      <c r="J34" s="12"/>
      <c r="K34" s="13"/>
      <c r="L34" s="12"/>
      <c r="M34" s="12"/>
      <c r="N34" s="11"/>
      <c r="O34" s="11"/>
      <c r="P34" s="12"/>
      <c r="Q34" s="12"/>
      <c r="R34" s="13"/>
      <c r="S34" s="13"/>
      <c r="T34" s="12"/>
      <c r="U34" s="14"/>
      <c r="V34" s="11"/>
      <c r="W34" s="12"/>
      <c r="X34" s="12"/>
      <c r="Y34" s="13"/>
      <c r="Z34" s="12"/>
      <c r="AA34" s="12"/>
      <c r="AB34" s="12"/>
      <c r="AC34" s="12"/>
      <c r="AD34" s="12"/>
      <c r="AE34" s="12"/>
      <c r="AF34" s="13"/>
      <c r="AG34" s="12"/>
      <c r="AH34" s="12"/>
      <c r="AI34" s="12"/>
      <c r="AJ34" s="1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5">
        <f t="shared" si="6"/>
        <v>0</v>
      </c>
      <c r="NI34" s="5">
        <f t="shared" si="7"/>
        <v>0</v>
      </c>
    </row>
    <row r="35" spans="1:373" x14ac:dyDescent="0.25">
      <c r="A35" s="17">
        <v>30</v>
      </c>
      <c r="B35" s="19"/>
      <c r="C35" s="20"/>
      <c r="D35" s="21"/>
      <c r="E35" s="10" t="s">
        <v>32</v>
      </c>
      <c r="F35" s="11"/>
      <c r="G35" s="12"/>
      <c r="H35" s="11"/>
      <c r="I35" s="12"/>
      <c r="J35" s="12"/>
      <c r="K35" s="13"/>
      <c r="L35" s="12"/>
      <c r="M35" s="12"/>
      <c r="N35" s="11"/>
      <c r="O35" s="11"/>
      <c r="P35" s="12"/>
      <c r="Q35" s="12"/>
      <c r="R35" s="13"/>
      <c r="S35" s="13"/>
      <c r="T35" s="12"/>
      <c r="U35" s="14"/>
      <c r="V35" s="11"/>
      <c r="W35" s="12"/>
      <c r="X35" s="12"/>
      <c r="Y35" s="13"/>
      <c r="Z35" s="12"/>
      <c r="AA35" s="12"/>
      <c r="AB35" s="12"/>
      <c r="AC35" s="12"/>
      <c r="AD35" s="12"/>
      <c r="AE35" s="12"/>
      <c r="AF35" s="13"/>
      <c r="AG35" s="12"/>
      <c r="AH35" s="12"/>
      <c r="AI35" s="12"/>
      <c r="AJ35" s="1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/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/>
      <c r="LQ35" s="16"/>
      <c r="LR35" s="16"/>
      <c r="LS35" s="16"/>
      <c r="LT35" s="16"/>
      <c r="LU35" s="16"/>
      <c r="LV35" s="16"/>
      <c r="LW35" s="16"/>
      <c r="LX35" s="16"/>
      <c r="LY35" s="16"/>
      <c r="LZ35" s="16"/>
      <c r="MA35" s="16"/>
      <c r="MB35" s="16"/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5">
        <f t="shared" si="6"/>
        <v>0</v>
      </c>
      <c r="NI35" s="5">
        <f t="shared" si="7"/>
        <v>0</v>
      </c>
    </row>
    <row r="36" spans="1:373" x14ac:dyDescent="0.25">
      <c r="A36" s="6">
        <v>31</v>
      </c>
      <c r="B36" s="19"/>
      <c r="C36" s="20"/>
      <c r="D36" s="21"/>
      <c r="E36" s="10" t="s">
        <v>32</v>
      </c>
      <c r="F36" s="11"/>
      <c r="G36" s="12"/>
      <c r="H36" s="11"/>
      <c r="I36" s="12"/>
      <c r="J36" s="12"/>
      <c r="K36" s="13"/>
      <c r="L36" s="12"/>
      <c r="M36" s="12"/>
      <c r="N36" s="11"/>
      <c r="O36" s="11"/>
      <c r="P36" s="12"/>
      <c r="Q36" s="12"/>
      <c r="R36" s="13"/>
      <c r="S36" s="13"/>
      <c r="T36" s="12"/>
      <c r="U36" s="14"/>
      <c r="V36" s="11"/>
      <c r="W36" s="12"/>
      <c r="X36" s="12"/>
      <c r="Y36" s="13"/>
      <c r="Z36" s="12"/>
      <c r="AA36" s="12"/>
      <c r="AB36" s="12"/>
      <c r="AC36" s="12"/>
      <c r="AD36" s="12"/>
      <c r="AE36" s="12"/>
      <c r="AF36" s="13"/>
      <c r="AG36" s="12"/>
      <c r="AH36" s="12"/>
      <c r="AI36" s="12"/>
      <c r="AJ36" s="12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5">
        <f t="shared" si="6"/>
        <v>0</v>
      </c>
      <c r="NI36" s="5">
        <f t="shared" si="7"/>
        <v>0</v>
      </c>
    </row>
    <row r="37" spans="1:373" x14ac:dyDescent="0.25">
      <c r="A37" s="17">
        <v>32</v>
      </c>
      <c r="B37" s="19"/>
      <c r="C37" s="20"/>
      <c r="D37" s="21"/>
      <c r="E37" s="10" t="s">
        <v>32</v>
      </c>
      <c r="F37" s="11"/>
      <c r="G37" s="12"/>
      <c r="H37" s="11"/>
      <c r="I37" s="12"/>
      <c r="J37" s="12"/>
      <c r="K37" s="13"/>
      <c r="L37" s="12"/>
      <c r="M37" s="12"/>
      <c r="N37" s="11"/>
      <c r="O37" s="11"/>
      <c r="P37" s="12"/>
      <c r="Q37" s="12"/>
      <c r="R37" s="13"/>
      <c r="S37" s="13"/>
      <c r="T37" s="12"/>
      <c r="U37" s="14"/>
      <c r="V37" s="11"/>
      <c r="W37" s="12"/>
      <c r="X37" s="12"/>
      <c r="Y37" s="13"/>
      <c r="Z37" s="12"/>
      <c r="AA37" s="12"/>
      <c r="AB37" s="12"/>
      <c r="AC37" s="12"/>
      <c r="AD37" s="12"/>
      <c r="AE37" s="12"/>
      <c r="AF37" s="13"/>
      <c r="AG37" s="12"/>
      <c r="AH37" s="12"/>
      <c r="AI37" s="12"/>
      <c r="AJ37" s="12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  <c r="IY37" s="16"/>
      <c r="IZ37" s="16"/>
      <c r="JA37" s="16"/>
      <c r="JB37" s="16"/>
      <c r="JC37" s="16"/>
      <c r="JD37" s="16"/>
      <c r="JE37" s="16"/>
      <c r="JF37" s="16"/>
      <c r="JG37" s="16"/>
      <c r="JH37" s="16"/>
      <c r="JI37" s="16"/>
      <c r="JJ37" s="16"/>
      <c r="JK37" s="16"/>
      <c r="JL37" s="16"/>
      <c r="JM37" s="16"/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6"/>
      <c r="KC37" s="16"/>
      <c r="KD37" s="16"/>
      <c r="KE37" s="16"/>
      <c r="KF37" s="16"/>
      <c r="KG37" s="16"/>
      <c r="KH37" s="16"/>
      <c r="KI37" s="16"/>
      <c r="KJ37" s="16"/>
      <c r="KK37" s="16"/>
      <c r="KL37" s="16"/>
      <c r="KM37" s="16"/>
      <c r="KN37" s="16"/>
      <c r="KO37" s="16"/>
      <c r="KP37" s="16"/>
      <c r="KQ37" s="16"/>
      <c r="KR37" s="16"/>
      <c r="KS37" s="16"/>
      <c r="KT37" s="16"/>
      <c r="KU37" s="16"/>
      <c r="KV37" s="16"/>
      <c r="KW37" s="16"/>
      <c r="KX37" s="16"/>
      <c r="KY37" s="16"/>
      <c r="KZ37" s="16"/>
      <c r="LA37" s="16"/>
      <c r="LB37" s="16"/>
      <c r="LC37" s="16"/>
      <c r="LD37" s="16"/>
      <c r="LE37" s="16"/>
      <c r="LF37" s="16"/>
      <c r="LG37" s="16"/>
      <c r="LH37" s="16"/>
      <c r="LI37" s="16"/>
      <c r="LJ37" s="16"/>
      <c r="LK37" s="16"/>
      <c r="LL37" s="16"/>
      <c r="LM37" s="16"/>
      <c r="LN37" s="16"/>
      <c r="LO37" s="16"/>
      <c r="LP37" s="16"/>
      <c r="LQ37" s="16"/>
      <c r="LR37" s="16"/>
      <c r="LS37" s="16"/>
      <c r="LT37" s="16"/>
      <c r="LU37" s="16"/>
      <c r="LV37" s="16"/>
      <c r="LW37" s="16"/>
      <c r="LX37" s="16"/>
      <c r="LY37" s="16"/>
      <c r="LZ37" s="16"/>
      <c r="MA37" s="16"/>
      <c r="MB37" s="16"/>
      <c r="MC37" s="16"/>
      <c r="MD37" s="16"/>
      <c r="ME37" s="16"/>
      <c r="MF37" s="16"/>
      <c r="MG37" s="16"/>
      <c r="MH37" s="16"/>
      <c r="MI37" s="16"/>
      <c r="MJ37" s="16"/>
      <c r="MK37" s="16"/>
      <c r="ML37" s="16"/>
      <c r="MM37" s="16"/>
      <c r="MN37" s="16"/>
      <c r="MO37" s="16"/>
      <c r="MP37" s="16"/>
      <c r="MQ37" s="16"/>
      <c r="MR37" s="16"/>
      <c r="MS37" s="16"/>
      <c r="MT37" s="16"/>
      <c r="MU37" s="16"/>
      <c r="MV37" s="16"/>
      <c r="MW37" s="16"/>
      <c r="MX37" s="16"/>
      <c r="MY37" s="16"/>
      <c r="MZ37" s="16"/>
      <c r="NA37" s="16"/>
      <c r="NB37" s="16"/>
      <c r="NC37" s="16"/>
      <c r="ND37" s="16"/>
      <c r="NE37" s="16"/>
      <c r="NF37" s="16"/>
      <c r="NG37" s="16"/>
      <c r="NH37" s="5">
        <f t="shared" si="6"/>
        <v>0</v>
      </c>
      <c r="NI37" s="5">
        <f t="shared" si="7"/>
        <v>0</v>
      </c>
    </row>
    <row r="38" spans="1:373" x14ac:dyDescent="0.25">
      <c r="A38" s="6">
        <v>33</v>
      </c>
      <c r="B38" s="19"/>
      <c r="C38" s="20"/>
      <c r="D38" s="21"/>
      <c r="E38" s="10" t="s">
        <v>32</v>
      </c>
      <c r="F38" s="11"/>
      <c r="G38" s="12"/>
      <c r="H38" s="11"/>
      <c r="I38" s="12"/>
      <c r="J38" s="12"/>
      <c r="K38" s="13"/>
      <c r="L38" s="12"/>
      <c r="M38" s="12"/>
      <c r="N38" s="11"/>
      <c r="O38" s="11"/>
      <c r="P38" s="12"/>
      <c r="Q38" s="12"/>
      <c r="R38" s="13"/>
      <c r="S38" s="13"/>
      <c r="T38" s="12"/>
      <c r="U38" s="14"/>
      <c r="V38" s="11"/>
      <c r="W38" s="12"/>
      <c r="X38" s="12"/>
      <c r="Y38" s="13"/>
      <c r="Z38" s="12"/>
      <c r="AA38" s="12"/>
      <c r="AB38" s="12"/>
      <c r="AC38" s="12"/>
      <c r="AD38" s="12"/>
      <c r="AE38" s="12"/>
      <c r="AF38" s="13"/>
      <c r="AG38" s="12"/>
      <c r="AH38" s="12"/>
      <c r="AI38" s="12"/>
      <c r="AJ38" s="12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5">
        <f t="shared" si="6"/>
        <v>0</v>
      </c>
      <c r="NI38" s="5">
        <f t="shared" si="7"/>
        <v>0</v>
      </c>
    </row>
    <row r="39" spans="1:373" x14ac:dyDescent="0.25">
      <c r="A39" s="17">
        <v>34</v>
      </c>
      <c r="B39" s="19"/>
      <c r="C39" s="20"/>
      <c r="D39" s="21"/>
      <c r="E39" s="10" t="s">
        <v>32</v>
      </c>
      <c r="F39" s="11"/>
      <c r="G39" s="12"/>
      <c r="H39" s="11"/>
      <c r="I39" s="12"/>
      <c r="J39" s="12"/>
      <c r="K39" s="13"/>
      <c r="L39" s="12"/>
      <c r="M39" s="12"/>
      <c r="N39" s="11"/>
      <c r="O39" s="11"/>
      <c r="P39" s="12"/>
      <c r="Q39" s="12"/>
      <c r="R39" s="13"/>
      <c r="S39" s="13"/>
      <c r="T39" s="12"/>
      <c r="U39" s="14"/>
      <c r="V39" s="11"/>
      <c r="W39" s="12"/>
      <c r="X39" s="12"/>
      <c r="Y39" s="13"/>
      <c r="Z39" s="12"/>
      <c r="AA39" s="12"/>
      <c r="AB39" s="12"/>
      <c r="AC39" s="12"/>
      <c r="AD39" s="12"/>
      <c r="AE39" s="12"/>
      <c r="AF39" s="13"/>
      <c r="AG39" s="12"/>
      <c r="AH39" s="12"/>
      <c r="AI39" s="12"/>
      <c r="AJ39" s="12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5">
        <f t="shared" si="6"/>
        <v>0</v>
      </c>
      <c r="NI39" s="5">
        <f t="shared" si="7"/>
        <v>0</v>
      </c>
    </row>
    <row r="40" spans="1:373" x14ac:dyDescent="0.25">
      <c r="A40" s="6">
        <v>35</v>
      </c>
      <c r="B40" s="19"/>
      <c r="C40" s="20"/>
      <c r="D40" s="21"/>
      <c r="E40" s="10" t="s">
        <v>32</v>
      </c>
      <c r="F40" s="11"/>
      <c r="G40" s="12"/>
      <c r="H40" s="11"/>
      <c r="I40" s="12"/>
      <c r="J40" s="12"/>
      <c r="K40" s="13"/>
      <c r="L40" s="12"/>
      <c r="M40" s="12"/>
      <c r="N40" s="11"/>
      <c r="O40" s="11"/>
      <c r="P40" s="12"/>
      <c r="Q40" s="12"/>
      <c r="R40" s="13"/>
      <c r="S40" s="13"/>
      <c r="T40" s="12"/>
      <c r="U40" s="14"/>
      <c r="V40" s="11"/>
      <c r="W40" s="12"/>
      <c r="X40" s="12"/>
      <c r="Y40" s="13"/>
      <c r="Z40" s="12"/>
      <c r="AA40" s="12"/>
      <c r="AB40" s="12"/>
      <c r="AC40" s="12"/>
      <c r="AD40" s="12"/>
      <c r="AE40" s="12"/>
      <c r="AF40" s="13"/>
      <c r="AG40" s="12"/>
      <c r="AH40" s="12"/>
      <c r="AI40" s="12"/>
      <c r="AJ40" s="12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5">
        <f t="shared" si="6"/>
        <v>0</v>
      </c>
      <c r="NI40" s="5">
        <f t="shared" si="7"/>
        <v>0</v>
      </c>
    </row>
    <row r="41" spans="1:373" x14ac:dyDescent="0.25">
      <c r="A41" s="17">
        <v>36</v>
      </c>
      <c r="B41" s="19"/>
      <c r="C41" s="20"/>
      <c r="D41" s="21"/>
      <c r="E41" s="10" t="s">
        <v>32</v>
      </c>
      <c r="F41" s="11"/>
      <c r="G41" s="12"/>
      <c r="H41" s="11"/>
      <c r="I41" s="12"/>
      <c r="J41" s="12"/>
      <c r="K41" s="13"/>
      <c r="L41" s="12"/>
      <c r="M41" s="12"/>
      <c r="N41" s="11"/>
      <c r="O41" s="11"/>
      <c r="P41" s="12"/>
      <c r="Q41" s="12"/>
      <c r="R41" s="13"/>
      <c r="S41" s="13"/>
      <c r="T41" s="12"/>
      <c r="U41" s="14"/>
      <c r="V41" s="11"/>
      <c r="W41" s="12"/>
      <c r="X41" s="12"/>
      <c r="Y41" s="13"/>
      <c r="Z41" s="12"/>
      <c r="AA41" s="12"/>
      <c r="AB41" s="12"/>
      <c r="AC41" s="12"/>
      <c r="AD41" s="12"/>
      <c r="AE41" s="12"/>
      <c r="AF41" s="13"/>
      <c r="AG41" s="12"/>
      <c r="AH41" s="12"/>
      <c r="AI41" s="12"/>
      <c r="AJ41" s="12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KY41" s="16"/>
      <c r="KZ41" s="16"/>
      <c r="LA41" s="16"/>
      <c r="LB41" s="16"/>
      <c r="LC41" s="16"/>
      <c r="LD41" s="16"/>
      <c r="LE41" s="16"/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/>
      <c r="LQ41" s="16"/>
      <c r="LR41" s="16"/>
      <c r="LS41" s="16"/>
      <c r="LT41" s="16"/>
      <c r="LU41" s="16"/>
      <c r="LV41" s="16"/>
      <c r="LW41" s="16"/>
      <c r="LX41" s="16"/>
      <c r="LY41" s="16"/>
      <c r="LZ41" s="16"/>
      <c r="MA41" s="16"/>
      <c r="MB41" s="16"/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5">
        <f t="shared" si="6"/>
        <v>0</v>
      </c>
      <c r="NI41" s="5">
        <f t="shared" si="7"/>
        <v>0</v>
      </c>
    </row>
    <row r="42" spans="1:373" x14ac:dyDescent="0.25">
      <c r="A42" s="6">
        <v>37</v>
      </c>
      <c r="B42" s="19"/>
      <c r="C42" s="20"/>
      <c r="D42" s="21"/>
      <c r="E42" s="10" t="s">
        <v>32</v>
      </c>
      <c r="F42" s="11"/>
      <c r="G42" s="12"/>
      <c r="H42" s="11"/>
      <c r="I42" s="12"/>
      <c r="J42" s="12"/>
      <c r="K42" s="13"/>
      <c r="L42" s="12"/>
      <c r="M42" s="12"/>
      <c r="N42" s="11"/>
      <c r="O42" s="11"/>
      <c r="P42" s="12"/>
      <c r="Q42" s="12"/>
      <c r="R42" s="13"/>
      <c r="S42" s="13"/>
      <c r="T42" s="12"/>
      <c r="U42" s="14"/>
      <c r="V42" s="11"/>
      <c r="W42" s="12"/>
      <c r="X42" s="12"/>
      <c r="Y42" s="13"/>
      <c r="Z42" s="12"/>
      <c r="AA42" s="12"/>
      <c r="AB42" s="12"/>
      <c r="AC42" s="12"/>
      <c r="AD42" s="12"/>
      <c r="AE42" s="12"/>
      <c r="AF42" s="13"/>
      <c r="AG42" s="12"/>
      <c r="AH42" s="12"/>
      <c r="AI42" s="12"/>
      <c r="AJ42" s="12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5">
        <f t="shared" si="6"/>
        <v>0</v>
      </c>
      <c r="NI42" s="5">
        <f t="shared" si="7"/>
        <v>0</v>
      </c>
    </row>
    <row r="43" spans="1:373" x14ac:dyDescent="0.25">
      <c r="A43" s="17">
        <v>38</v>
      </c>
      <c r="B43" s="19"/>
      <c r="C43" s="20"/>
      <c r="D43" s="21"/>
      <c r="E43" s="10" t="s">
        <v>32</v>
      </c>
      <c r="F43" s="11"/>
      <c r="G43" s="12"/>
      <c r="H43" s="11"/>
      <c r="I43" s="12"/>
      <c r="J43" s="12"/>
      <c r="K43" s="13"/>
      <c r="L43" s="12"/>
      <c r="M43" s="12"/>
      <c r="N43" s="11"/>
      <c r="O43" s="11"/>
      <c r="P43" s="12"/>
      <c r="Q43" s="12"/>
      <c r="R43" s="13"/>
      <c r="S43" s="13"/>
      <c r="T43" s="12"/>
      <c r="U43" s="14"/>
      <c r="V43" s="11"/>
      <c r="W43" s="12"/>
      <c r="X43" s="12"/>
      <c r="Y43" s="13"/>
      <c r="Z43" s="12"/>
      <c r="AA43" s="12"/>
      <c r="AB43" s="12"/>
      <c r="AC43" s="12"/>
      <c r="AD43" s="12"/>
      <c r="AE43" s="12"/>
      <c r="AF43" s="13"/>
      <c r="AG43" s="12"/>
      <c r="AH43" s="12"/>
      <c r="AI43" s="12"/>
      <c r="AJ43" s="12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KY43" s="16"/>
      <c r="KZ43" s="16"/>
      <c r="LA43" s="16"/>
      <c r="LB43" s="16"/>
      <c r="LC43" s="16"/>
      <c r="LD43" s="16"/>
      <c r="LE43" s="16"/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/>
      <c r="LQ43" s="16"/>
      <c r="LR43" s="16"/>
      <c r="LS43" s="16"/>
      <c r="LT43" s="16"/>
      <c r="LU43" s="16"/>
      <c r="LV43" s="16"/>
      <c r="LW43" s="16"/>
      <c r="LX43" s="16"/>
      <c r="LY43" s="16"/>
      <c r="LZ43" s="16"/>
      <c r="MA43" s="16"/>
      <c r="MB43" s="16"/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5">
        <f t="shared" si="6"/>
        <v>0</v>
      </c>
      <c r="NI43" s="5">
        <f t="shared" si="7"/>
        <v>0</v>
      </c>
    </row>
    <row r="44" spans="1:373" x14ac:dyDescent="0.25">
      <c r="A44" s="28">
        <v>39</v>
      </c>
      <c r="B44" s="19"/>
      <c r="C44" s="20"/>
      <c r="D44" s="21"/>
      <c r="E44" s="10" t="s">
        <v>32</v>
      </c>
      <c r="F44" s="11"/>
      <c r="G44" s="12"/>
      <c r="H44" s="11"/>
      <c r="I44" s="12"/>
      <c r="J44" s="12"/>
      <c r="K44" s="29"/>
      <c r="L44" s="12"/>
      <c r="M44" s="12"/>
      <c r="N44" s="11"/>
      <c r="O44" s="11"/>
      <c r="P44" s="12"/>
      <c r="Q44" s="12"/>
      <c r="R44" s="13"/>
      <c r="S44" s="13"/>
      <c r="T44" s="12"/>
      <c r="U44" s="14"/>
      <c r="V44" s="11"/>
      <c r="W44" s="12"/>
      <c r="X44" s="12"/>
      <c r="Y44" s="29"/>
      <c r="Z44" s="12"/>
      <c r="AA44" s="12"/>
      <c r="AB44" s="12"/>
      <c r="AC44" s="12"/>
      <c r="AD44" s="12"/>
      <c r="AE44" s="12"/>
      <c r="AF44" s="29"/>
      <c r="AG44" s="12"/>
      <c r="AH44" s="12"/>
      <c r="AI44" s="12"/>
      <c r="AJ44" s="12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6"/>
      <c r="LD44" s="16"/>
      <c r="LE44" s="16"/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/>
      <c r="LQ44" s="16"/>
      <c r="LR44" s="16"/>
      <c r="LS44" s="16"/>
      <c r="LT44" s="16"/>
      <c r="LU44" s="16"/>
      <c r="LV44" s="16"/>
      <c r="LW44" s="16"/>
      <c r="LX44" s="16"/>
      <c r="LY44" s="16"/>
      <c r="LZ44" s="16"/>
      <c r="MA44" s="16"/>
      <c r="MB44" s="16"/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5">
        <f t="shared" si="6"/>
        <v>0</v>
      </c>
      <c r="NI44" s="5">
        <f t="shared" si="7"/>
        <v>0</v>
      </c>
    </row>
    <row r="45" spans="1:373" x14ac:dyDescent="0.25">
      <c r="A45" s="17">
        <v>40</v>
      </c>
      <c r="B45" s="19"/>
      <c r="C45" s="20"/>
      <c r="D45" s="21"/>
      <c r="E45" s="10" t="s">
        <v>32</v>
      </c>
      <c r="F45" s="16"/>
      <c r="G45" s="16"/>
      <c r="H45" s="16"/>
      <c r="I45" s="16"/>
      <c r="J45" s="16"/>
      <c r="K45" s="12"/>
      <c r="L45" s="12"/>
      <c r="M45" s="11"/>
      <c r="N45" s="11"/>
      <c r="O45" s="12"/>
      <c r="P45" s="12"/>
      <c r="Q45" s="12"/>
      <c r="R45" s="13"/>
      <c r="S45" s="13"/>
      <c r="T45" s="12"/>
      <c r="U45" s="12"/>
      <c r="V45" s="12"/>
      <c r="W45" s="12"/>
      <c r="X45" s="12"/>
      <c r="Y45" s="16"/>
      <c r="Z45" s="12"/>
      <c r="AA45" s="12"/>
      <c r="AB45" s="12"/>
      <c r="AC45" s="12"/>
      <c r="AD45" s="12"/>
      <c r="AE45" s="12"/>
      <c r="AF45" s="16"/>
      <c r="AG45" s="12"/>
      <c r="AH45" s="12"/>
      <c r="AI45" s="12"/>
      <c r="AJ45" s="12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5">
        <f t="shared" si="6"/>
        <v>0</v>
      </c>
      <c r="NI45" s="5">
        <f t="shared" si="7"/>
        <v>0</v>
      </c>
    </row>
    <row r="46" spans="1:373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0"/>
      <c r="IR46" s="30"/>
      <c r="IS46" s="30"/>
      <c r="IT46" s="30"/>
      <c r="IU46" s="30"/>
      <c r="IV46" s="30"/>
      <c r="IW46" s="30"/>
      <c r="IX46" s="30"/>
      <c r="IY46" s="30"/>
      <c r="IZ46" s="30"/>
      <c r="JA46" s="30"/>
      <c r="JB46" s="30"/>
      <c r="JC46" s="30"/>
      <c r="JD46" s="30"/>
      <c r="JE46" s="30"/>
      <c r="JF46" s="30"/>
      <c r="JG46" s="30"/>
      <c r="JH46" s="30"/>
      <c r="JI46" s="30"/>
      <c r="JJ46" s="30"/>
      <c r="JK46" s="30"/>
      <c r="JL46" s="30"/>
      <c r="JM46" s="30"/>
      <c r="JN46" s="30"/>
      <c r="JO46" s="30"/>
      <c r="JP46" s="30"/>
      <c r="JQ46" s="30"/>
      <c r="JR46" s="30"/>
      <c r="JS46" s="30"/>
      <c r="JT46" s="30"/>
      <c r="JU46" s="30"/>
      <c r="JV46" s="30"/>
      <c r="JW46" s="30"/>
      <c r="JX46" s="30"/>
      <c r="JY46" s="30"/>
      <c r="JZ46" s="30"/>
      <c r="KA46" s="30"/>
      <c r="KB46" s="30"/>
      <c r="KC46" s="30"/>
      <c r="KD46" s="30"/>
      <c r="KE46" s="30"/>
      <c r="KF46" s="30"/>
      <c r="KG46" s="30"/>
      <c r="KH46" s="30"/>
      <c r="KI46" s="30"/>
      <c r="KJ46" s="30"/>
      <c r="KK46" s="30"/>
      <c r="KL46" s="30"/>
      <c r="KM46" s="30"/>
      <c r="KN46" s="30"/>
      <c r="KO46" s="30"/>
      <c r="KP46" s="30"/>
      <c r="KQ46" s="30"/>
      <c r="KR46" s="30"/>
      <c r="KS46" s="30"/>
      <c r="KT46" s="30"/>
      <c r="KU46" s="30"/>
      <c r="KV46" s="30"/>
      <c r="KW46" s="30"/>
      <c r="KX46" s="30"/>
      <c r="KY46" s="30"/>
      <c r="KZ46" s="30"/>
      <c r="LA46" s="30"/>
      <c r="LB46" s="30"/>
      <c r="LC46" s="30"/>
      <c r="LD46" s="30"/>
      <c r="LE46" s="30"/>
      <c r="LF46" s="30"/>
      <c r="LG46" s="30"/>
      <c r="LH46" s="30"/>
      <c r="LI46" s="30"/>
      <c r="LJ46" s="30"/>
      <c r="LK46" s="30"/>
      <c r="LL46" s="30"/>
      <c r="LM46" s="30"/>
      <c r="LN46" s="30"/>
      <c r="LO46" s="30"/>
      <c r="LP46" s="30"/>
      <c r="LQ46" s="30"/>
      <c r="LR46" s="30"/>
      <c r="LS46" s="30"/>
      <c r="LT46" s="30"/>
      <c r="LU46" s="30"/>
      <c r="LV46" s="30"/>
      <c r="LW46" s="30"/>
      <c r="LX46" s="30"/>
      <c r="LY46" s="30"/>
      <c r="LZ46" s="30"/>
      <c r="MA46" s="30"/>
      <c r="MB46" s="30"/>
      <c r="MC46" s="30"/>
      <c r="MD46" s="30"/>
      <c r="ME46" s="30"/>
      <c r="MF46" s="30"/>
      <c r="MG46" s="30"/>
      <c r="MH46" s="30"/>
      <c r="MI46" s="30"/>
      <c r="MJ46" s="30"/>
      <c r="MK46" s="30"/>
      <c r="ML46" s="30"/>
      <c r="MM46" s="30"/>
      <c r="MN46" s="30"/>
      <c r="MO46" s="30"/>
      <c r="MP46" s="30"/>
      <c r="MQ46" s="30"/>
      <c r="MR46" s="30"/>
      <c r="MS46" s="30"/>
      <c r="MT46" s="30"/>
      <c r="MU46" s="30"/>
      <c r="MV46" s="30"/>
      <c r="MW46" s="30"/>
      <c r="MX46" s="30"/>
      <c r="MY46" s="30"/>
      <c r="MZ46" s="30"/>
      <c r="NA46" s="30"/>
      <c r="NB46" s="30"/>
      <c r="NC46" s="30"/>
      <c r="ND46" s="30"/>
      <c r="NE46" s="30"/>
      <c r="NF46" s="30"/>
      <c r="NG46" s="30"/>
      <c r="NH46" s="33">
        <f>SUM(NH6:NH45)</f>
        <v>0</v>
      </c>
      <c r="NI46" s="33">
        <f>SUM(NI6:NI45)</f>
        <v>0</v>
      </c>
    </row>
  </sheetData>
  <mergeCells count="13">
    <mergeCell ref="NH4:NH5"/>
    <mergeCell ref="NI4:NI5"/>
    <mergeCell ref="NJ4:NK4"/>
    <mergeCell ref="NJ9:NM9"/>
    <mergeCell ref="NJ17:NM17"/>
    <mergeCell ref="A1:AJ1"/>
    <mergeCell ref="A2:AJ2"/>
    <mergeCell ref="A3:AJ3"/>
    <mergeCell ref="A4:A5"/>
    <mergeCell ref="B4:B5"/>
    <mergeCell ref="C4:C5"/>
    <mergeCell ref="D4:D5"/>
    <mergeCell ref="E4:E5"/>
  </mergeCells>
  <conditionalFormatting sqref="F4:NG45 NJ5:NK5">
    <cfRule type="expression" dxfId="43" priority="12">
      <formula>F$4="Sun"</formula>
    </cfRule>
  </conditionalFormatting>
  <conditionalFormatting sqref="F5:NG45">
    <cfRule type="expression" dxfId="42" priority="11">
      <formula>IF(F$5=TODAY(),TRUE,FALSE)</formula>
    </cfRule>
  </conditionalFormatting>
  <conditionalFormatting sqref="NH4:NI4 NH6:NI46">
    <cfRule type="expression" dxfId="41" priority="13">
      <formula>#REF!="Sun"</formula>
    </cfRule>
  </conditionalFormatting>
  <conditionalFormatting sqref="NJ6:NJ7">
    <cfRule type="expression" dxfId="40" priority="9">
      <formula>NJ$4="Sun"</formula>
    </cfRule>
  </conditionalFormatting>
  <conditionalFormatting sqref="NJ10:NJ13">
    <cfRule type="expression" dxfId="39" priority="3">
      <formula>NJ$4="Sun"</formula>
    </cfRule>
  </conditionalFormatting>
  <conditionalFormatting sqref="NJ18:NJ21">
    <cfRule type="expression" dxfId="38" priority="2">
      <formula>NJ$4="Sun"</formula>
    </cfRule>
  </conditionalFormatting>
  <conditionalFormatting sqref="NK10:NM10">
    <cfRule type="expression" dxfId="37" priority="4">
      <formula>NK$4="Sun"</formula>
    </cfRule>
  </conditionalFormatting>
  <conditionalFormatting sqref="NK18:NM18">
    <cfRule type="expression" dxfId="36" priority="1">
      <formula>NK$4="Sun"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3FC3-9575-4A33-87D9-0F738557560D}">
  <dimension ref="A1:NM46"/>
  <sheetViews>
    <sheetView workbookViewId="0">
      <selection activeCell="I10" sqref="I1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bestFit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bestFit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6" width="4.7109375" style="1" bestFit="1" customWidth="1"/>
    <col min="37" max="37" width="3.85546875" style="1" bestFit="1" customWidth="1"/>
    <col min="38" max="39" width="3.7109375" style="1" bestFit="1" customWidth="1"/>
    <col min="40" max="40" width="3.85546875" style="1" bestFit="1" customWidth="1"/>
    <col min="41" max="41" width="4.5703125" style="1" bestFit="1" customWidth="1"/>
    <col min="42" max="42" width="3.85546875" style="1" bestFit="1" customWidth="1"/>
    <col min="43" max="43" width="4.7109375" style="1" bestFit="1" customWidth="1"/>
    <col min="44" max="44" width="3.85546875" style="1" bestFit="1" customWidth="1"/>
    <col min="45" max="46" width="3.7109375" style="1" bestFit="1" customWidth="1"/>
    <col min="47" max="47" width="3.85546875" style="1" bestFit="1" customWidth="1"/>
    <col min="48" max="48" width="4.5703125" style="1" bestFit="1" customWidth="1"/>
    <col min="49" max="49" width="3.85546875" style="1" bestFit="1" customWidth="1"/>
    <col min="50" max="50" width="4.7109375" style="1" bestFit="1" customWidth="1"/>
    <col min="51" max="51" width="3.85546875" style="1" bestFit="1" customWidth="1"/>
    <col min="52" max="53" width="3.7109375" style="1" bestFit="1" customWidth="1"/>
    <col min="54" max="54" width="3.85546875" style="1" bestFit="1" customWidth="1"/>
    <col min="55" max="55" width="4.5703125" style="1" bestFit="1" customWidth="1"/>
    <col min="56" max="56" width="3.85546875" style="1" bestFit="1" customWidth="1"/>
    <col min="57" max="57" width="4.7109375" style="1" bestFit="1" customWidth="1"/>
    <col min="58" max="58" width="3.85546875" style="1" bestFit="1" customWidth="1"/>
    <col min="59" max="60" width="3.7109375" style="1" bestFit="1" customWidth="1"/>
    <col min="61" max="61" width="3.85546875" style="1" bestFit="1" customWidth="1"/>
    <col min="62" max="62" width="4.5703125" style="1" bestFit="1" customWidth="1"/>
    <col min="63" max="63" width="3.85546875" style="1" bestFit="1" customWidth="1"/>
    <col min="64" max="64" width="4.7109375" style="1" bestFit="1" customWidth="1"/>
    <col min="65" max="65" width="3.85546875" style="1" bestFit="1" customWidth="1"/>
    <col min="66" max="67" width="3.7109375" style="1" bestFit="1" customWidth="1"/>
    <col min="68" max="68" width="3.85546875" style="1" bestFit="1" customWidth="1"/>
    <col min="69" max="69" width="4.5703125" style="1" bestFit="1" customWidth="1"/>
    <col min="70" max="70" width="3.85546875" style="1" bestFit="1" customWidth="1"/>
    <col min="71" max="71" width="4.7109375" style="1" bestFit="1" customWidth="1"/>
    <col min="72" max="72" width="3.85546875" style="1" bestFit="1" customWidth="1"/>
    <col min="73" max="74" width="3.7109375" style="1" bestFit="1" customWidth="1"/>
    <col min="75" max="75" width="3.85546875" style="1" bestFit="1" customWidth="1"/>
    <col min="76" max="76" width="4.5703125" style="1" bestFit="1" customWidth="1"/>
    <col min="77" max="77" width="3.85546875" style="1" bestFit="1" customWidth="1"/>
    <col min="78" max="78" width="4.7109375" style="1" bestFit="1" customWidth="1"/>
    <col min="79" max="79" width="3.85546875" style="1" bestFit="1" customWidth="1"/>
    <col min="80" max="81" width="3.7109375" style="1" bestFit="1" customWidth="1"/>
    <col min="82" max="82" width="3.85546875" style="1" bestFit="1" customWidth="1"/>
    <col min="83" max="83" width="4.5703125" style="1" bestFit="1" customWidth="1"/>
    <col min="84" max="84" width="3.85546875" style="1" bestFit="1" customWidth="1"/>
    <col min="85" max="85" width="4.7109375" style="1" bestFit="1" customWidth="1"/>
    <col min="86" max="86" width="3.85546875" style="1" bestFit="1" customWidth="1"/>
    <col min="87" max="88" width="3.7109375" style="1" bestFit="1" customWidth="1"/>
    <col min="89" max="89" width="3.85546875" style="1" bestFit="1" customWidth="1"/>
    <col min="90" max="90" width="4.5703125" style="1" bestFit="1" customWidth="1"/>
    <col min="91" max="91" width="3.85546875" style="1" bestFit="1" customWidth="1"/>
    <col min="92" max="92" width="4.7109375" style="1" bestFit="1" customWidth="1"/>
    <col min="93" max="93" width="3.85546875" style="1" bestFit="1" customWidth="1"/>
    <col min="94" max="95" width="3.7109375" style="1" bestFit="1" customWidth="1"/>
    <col min="96" max="96" width="3.85546875" style="1" bestFit="1" customWidth="1"/>
    <col min="97" max="97" width="4.5703125" style="1" bestFit="1" customWidth="1"/>
    <col min="98" max="98" width="3.85546875" style="1" bestFit="1" customWidth="1"/>
    <col min="99" max="99" width="4.7109375" style="1" bestFit="1" customWidth="1"/>
    <col min="100" max="100" width="3.85546875" style="1" bestFit="1" customWidth="1"/>
    <col min="101" max="102" width="3.7109375" style="1" bestFit="1" customWidth="1"/>
    <col min="103" max="103" width="3.85546875" style="1" bestFit="1" customWidth="1"/>
    <col min="104" max="104" width="4.5703125" style="1" bestFit="1" customWidth="1"/>
    <col min="105" max="105" width="3.85546875" style="1" bestFit="1" customWidth="1"/>
    <col min="106" max="106" width="4.7109375" style="1" bestFit="1" customWidth="1"/>
    <col min="107" max="107" width="3.85546875" style="1" bestFit="1" customWidth="1"/>
    <col min="108" max="109" width="3.7109375" style="1" bestFit="1" customWidth="1"/>
    <col min="110" max="110" width="3.85546875" style="1" bestFit="1" customWidth="1"/>
    <col min="111" max="111" width="4.5703125" style="1" bestFit="1" customWidth="1"/>
    <col min="112" max="112" width="3.85546875" style="1" bestFit="1" customWidth="1"/>
    <col min="113" max="113" width="4.7109375" style="1" bestFit="1" customWidth="1"/>
    <col min="114" max="114" width="3.85546875" style="1" bestFit="1" customWidth="1"/>
    <col min="115" max="116" width="3.7109375" style="1" bestFit="1" customWidth="1"/>
    <col min="117" max="117" width="3.85546875" style="1" bestFit="1" customWidth="1"/>
    <col min="118" max="118" width="4.5703125" style="1" bestFit="1" customWidth="1"/>
    <col min="119" max="119" width="3.85546875" style="1" bestFit="1" customWidth="1"/>
    <col min="120" max="120" width="4.7109375" style="1" bestFit="1" customWidth="1"/>
    <col min="121" max="121" width="3.85546875" style="1" bestFit="1" customWidth="1"/>
    <col min="122" max="123" width="3.7109375" style="1" bestFit="1" customWidth="1"/>
    <col min="124" max="124" width="3.85546875" style="1" bestFit="1" customWidth="1"/>
    <col min="125" max="125" width="4.5703125" style="1" bestFit="1" customWidth="1"/>
    <col min="126" max="126" width="3.85546875" style="1" bestFit="1" customWidth="1"/>
    <col min="127" max="127" width="4.7109375" style="1" bestFit="1" customWidth="1"/>
    <col min="128" max="128" width="3.85546875" style="1" bestFit="1" customWidth="1"/>
    <col min="129" max="130" width="3.7109375" style="1" bestFit="1" customWidth="1"/>
    <col min="131" max="131" width="3.85546875" style="1" bestFit="1" customWidth="1"/>
    <col min="132" max="132" width="4.5703125" style="1" bestFit="1" customWidth="1"/>
    <col min="133" max="133" width="3.85546875" style="1" bestFit="1" customWidth="1"/>
    <col min="134" max="134" width="4.7109375" style="1" bestFit="1" customWidth="1"/>
    <col min="135" max="135" width="3.85546875" style="1" bestFit="1" customWidth="1"/>
    <col min="136" max="137" width="3.7109375" style="1" bestFit="1" customWidth="1"/>
    <col min="138" max="138" width="3.85546875" style="1" bestFit="1" customWidth="1"/>
    <col min="139" max="139" width="4.5703125" style="1" bestFit="1" customWidth="1"/>
    <col min="140" max="140" width="3.85546875" style="1" bestFit="1" customWidth="1"/>
    <col min="141" max="141" width="4.7109375" style="1" bestFit="1" customWidth="1"/>
    <col min="142" max="142" width="3.85546875" style="1" bestFit="1" customWidth="1"/>
    <col min="143" max="144" width="3.7109375" style="1" bestFit="1" customWidth="1"/>
    <col min="145" max="145" width="3.85546875" style="1" bestFit="1" customWidth="1"/>
    <col min="146" max="146" width="4.5703125" style="1" bestFit="1" customWidth="1"/>
    <col min="147" max="147" width="3.85546875" style="1" bestFit="1" customWidth="1"/>
    <col min="148" max="148" width="4.7109375" style="1" bestFit="1" customWidth="1"/>
    <col min="149" max="149" width="3.85546875" style="1" bestFit="1" customWidth="1"/>
    <col min="150" max="151" width="3.7109375" style="1" bestFit="1" customWidth="1"/>
    <col min="152" max="152" width="3.85546875" style="1" bestFit="1" customWidth="1"/>
    <col min="153" max="153" width="4.5703125" style="1" bestFit="1" customWidth="1"/>
    <col min="154" max="154" width="3.85546875" style="1" bestFit="1" customWidth="1"/>
    <col min="155" max="155" width="4.7109375" style="1" bestFit="1" customWidth="1"/>
    <col min="156" max="156" width="3.85546875" style="1" bestFit="1" customWidth="1"/>
    <col min="157" max="158" width="3.7109375" style="1" bestFit="1" customWidth="1"/>
    <col min="159" max="159" width="3.85546875" style="1" bestFit="1" customWidth="1"/>
    <col min="160" max="160" width="4.5703125" style="1" bestFit="1" customWidth="1"/>
    <col min="161" max="161" width="3.85546875" style="1" bestFit="1" customWidth="1"/>
    <col min="162" max="162" width="4.7109375" style="1" bestFit="1" customWidth="1"/>
    <col min="163" max="163" width="3.85546875" style="1" bestFit="1" customWidth="1"/>
    <col min="164" max="165" width="3.7109375" style="1" bestFit="1" customWidth="1"/>
    <col min="166" max="166" width="3.85546875" style="1" bestFit="1" customWidth="1"/>
    <col min="167" max="167" width="4.5703125" style="1" bestFit="1" customWidth="1"/>
    <col min="168" max="168" width="3.85546875" style="1" bestFit="1" customWidth="1"/>
    <col min="169" max="169" width="4.7109375" style="1" bestFit="1" customWidth="1"/>
    <col min="170" max="170" width="3.85546875" style="1" bestFit="1" customWidth="1"/>
    <col min="171" max="172" width="3.7109375" style="1" bestFit="1" customWidth="1"/>
    <col min="173" max="173" width="3.85546875" style="1" bestFit="1" customWidth="1"/>
    <col min="174" max="174" width="4.5703125" style="1" bestFit="1" customWidth="1"/>
    <col min="175" max="175" width="3.85546875" style="1" bestFit="1" customWidth="1"/>
    <col min="176" max="176" width="4.7109375" style="1" bestFit="1" customWidth="1"/>
    <col min="177" max="177" width="3.85546875" style="1" bestFit="1" customWidth="1"/>
    <col min="178" max="179" width="3.7109375" style="1" bestFit="1" customWidth="1"/>
    <col min="180" max="180" width="3.85546875" style="1" bestFit="1" customWidth="1"/>
    <col min="181" max="181" width="4.5703125" style="1" bestFit="1" customWidth="1"/>
    <col min="182" max="182" width="3.85546875" style="1" bestFit="1" customWidth="1"/>
    <col min="183" max="183" width="4.7109375" style="1" bestFit="1" customWidth="1"/>
    <col min="184" max="184" width="3.85546875" style="1" bestFit="1" customWidth="1"/>
    <col min="185" max="186" width="3.7109375" style="1" bestFit="1" customWidth="1"/>
    <col min="187" max="187" width="3.85546875" style="1" bestFit="1" customWidth="1"/>
    <col min="188" max="188" width="4.5703125" style="1" bestFit="1" customWidth="1"/>
    <col min="189" max="189" width="3.85546875" style="1" bestFit="1" customWidth="1"/>
    <col min="190" max="190" width="4.7109375" style="1" bestFit="1" customWidth="1"/>
    <col min="191" max="191" width="3.85546875" style="1" bestFit="1" customWidth="1"/>
    <col min="192" max="193" width="3.7109375" style="1" bestFit="1" customWidth="1"/>
    <col min="194" max="194" width="3.85546875" style="1" bestFit="1" customWidth="1"/>
    <col min="195" max="195" width="4.5703125" style="1" bestFit="1" customWidth="1"/>
    <col min="196" max="196" width="3.85546875" style="1" bestFit="1" customWidth="1"/>
    <col min="197" max="197" width="4.7109375" style="1" bestFit="1" customWidth="1"/>
    <col min="198" max="198" width="3.85546875" style="1" bestFit="1" customWidth="1"/>
    <col min="199" max="200" width="3.7109375" style="1" bestFit="1" customWidth="1"/>
    <col min="201" max="201" width="3.85546875" style="1" bestFit="1" customWidth="1"/>
    <col min="202" max="202" width="4.5703125" style="1" bestFit="1" customWidth="1"/>
    <col min="203" max="203" width="3.85546875" style="1" bestFit="1" customWidth="1"/>
    <col min="204" max="204" width="4.7109375" style="1" bestFit="1" customWidth="1"/>
    <col min="205" max="205" width="3.85546875" style="1" bestFit="1" customWidth="1"/>
    <col min="206" max="207" width="3.7109375" style="1" bestFit="1" customWidth="1"/>
    <col min="208" max="208" width="3.85546875" style="1" bestFit="1" customWidth="1"/>
    <col min="209" max="209" width="4.5703125" style="1" bestFit="1" customWidth="1"/>
    <col min="210" max="210" width="3.85546875" style="1" bestFit="1" customWidth="1"/>
    <col min="211" max="211" width="4.7109375" style="1" bestFit="1" customWidth="1"/>
    <col min="212" max="212" width="3.85546875" style="1" bestFit="1" customWidth="1"/>
    <col min="213" max="214" width="3.7109375" style="1" bestFit="1" customWidth="1"/>
    <col min="215" max="215" width="3.85546875" style="1" bestFit="1" customWidth="1"/>
    <col min="216" max="216" width="4.5703125" style="1" bestFit="1" customWidth="1"/>
    <col min="217" max="217" width="3.85546875" style="1" bestFit="1" customWidth="1"/>
    <col min="218" max="218" width="4.7109375" style="1" bestFit="1" customWidth="1"/>
    <col min="219" max="219" width="3.85546875" style="1" bestFit="1" customWidth="1"/>
    <col min="220" max="221" width="3.7109375" style="1" bestFit="1" customWidth="1"/>
    <col min="222" max="222" width="3.85546875" style="1" bestFit="1" customWidth="1"/>
    <col min="223" max="223" width="4.5703125" style="1" bestFit="1" customWidth="1"/>
    <col min="224" max="224" width="3.85546875" style="1" bestFit="1" customWidth="1"/>
    <col min="225" max="225" width="4.7109375" style="1" bestFit="1" customWidth="1"/>
    <col min="226" max="226" width="3.85546875" style="1" bestFit="1" customWidth="1"/>
    <col min="227" max="228" width="3.7109375" style="1" bestFit="1" customWidth="1"/>
    <col min="229" max="229" width="3.85546875" style="1" bestFit="1" customWidth="1"/>
    <col min="230" max="230" width="4.5703125" style="1" bestFit="1" customWidth="1"/>
    <col min="231" max="231" width="3.85546875" style="1" bestFit="1" customWidth="1"/>
    <col min="232" max="232" width="4.7109375" style="1" bestFit="1" customWidth="1"/>
    <col min="233" max="233" width="3.85546875" style="1" bestFit="1" customWidth="1"/>
    <col min="234" max="235" width="3.7109375" style="1" bestFit="1" customWidth="1"/>
    <col min="236" max="236" width="3.85546875" style="1" bestFit="1" customWidth="1"/>
    <col min="237" max="237" width="4.5703125" style="1" bestFit="1" customWidth="1"/>
    <col min="238" max="238" width="3.85546875" style="1" bestFit="1" customWidth="1"/>
    <col min="239" max="239" width="4.7109375" style="1" bestFit="1" customWidth="1"/>
    <col min="240" max="240" width="3.85546875" style="1" bestFit="1" customWidth="1"/>
    <col min="241" max="242" width="3.7109375" style="1" bestFit="1" customWidth="1"/>
    <col min="243" max="243" width="3.85546875" style="1" bestFit="1" customWidth="1"/>
    <col min="244" max="244" width="4.5703125" style="1" bestFit="1" customWidth="1"/>
    <col min="245" max="245" width="3.85546875" style="1" bestFit="1" customWidth="1"/>
    <col min="246" max="246" width="4.7109375" style="1" bestFit="1" customWidth="1"/>
    <col min="247" max="247" width="3.85546875" style="1" bestFit="1" customWidth="1"/>
    <col min="248" max="249" width="3.7109375" style="1" bestFit="1" customWidth="1"/>
    <col min="250" max="250" width="3.85546875" style="1" bestFit="1" customWidth="1"/>
    <col min="251" max="251" width="4.5703125" style="1" bestFit="1" customWidth="1"/>
    <col min="252" max="252" width="3.85546875" style="1" bestFit="1" customWidth="1"/>
    <col min="253" max="253" width="4.7109375" style="1" bestFit="1" customWidth="1"/>
    <col min="254" max="254" width="3.85546875" style="1" bestFit="1" customWidth="1"/>
    <col min="255" max="256" width="3.7109375" style="1" bestFit="1" customWidth="1"/>
    <col min="257" max="257" width="3.85546875" style="1" bestFit="1" customWidth="1"/>
    <col min="258" max="258" width="4.5703125" style="1" bestFit="1" customWidth="1"/>
    <col min="259" max="259" width="3.85546875" style="1" bestFit="1" customWidth="1"/>
    <col min="260" max="260" width="4.7109375" style="1" bestFit="1" customWidth="1"/>
    <col min="261" max="261" width="3.85546875" style="1" bestFit="1" customWidth="1"/>
    <col min="262" max="263" width="3.7109375" style="1" bestFit="1" customWidth="1"/>
    <col min="264" max="264" width="3.85546875" style="1" bestFit="1" customWidth="1"/>
    <col min="265" max="265" width="4.5703125" style="1" bestFit="1" customWidth="1"/>
    <col min="266" max="266" width="3.85546875" style="1" bestFit="1" customWidth="1"/>
    <col min="267" max="267" width="4.7109375" style="1" bestFit="1" customWidth="1"/>
    <col min="268" max="268" width="3.85546875" style="1" bestFit="1" customWidth="1"/>
    <col min="269" max="270" width="3.7109375" style="1" bestFit="1" customWidth="1"/>
    <col min="271" max="271" width="3.85546875" style="1" bestFit="1" customWidth="1"/>
    <col min="272" max="272" width="4.5703125" style="1" bestFit="1" customWidth="1"/>
    <col min="273" max="273" width="3.85546875" style="1" bestFit="1" customWidth="1"/>
    <col min="274" max="274" width="4.7109375" style="1" bestFit="1" customWidth="1"/>
    <col min="275" max="275" width="3.85546875" style="1" bestFit="1" customWidth="1"/>
    <col min="276" max="277" width="3.7109375" style="1" bestFit="1" customWidth="1"/>
    <col min="278" max="278" width="3.85546875" style="1" bestFit="1" customWidth="1"/>
    <col min="279" max="279" width="4.5703125" style="1" bestFit="1" customWidth="1"/>
    <col min="280" max="280" width="3.85546875" style="1" bestFit="1" customWidth="1"/>
    <col min="281" max="281" width="4.7109375" style="1" bestFit="1" customWidth="1"/>
    <col min="282" max="282" width="3.85546875" style="1" bestFit="1" customWidth="1"/>
    <col min="283" max="284" width="3.7109375" style="1" bestFit="1" customWidth="1"/>
    <col min="285" max="285" width="3.85546875" style="1" bestFit="1" customWidth="1"/>
    <col min="286" max="286" width="4.5703125" style="1" bestFit="1" customWidth="1"/>
    <col min="287" max="287" width="3.85546875" style="1" bestFit="1" customWidth="1"/>
    <col min="288" max="288" width="4.7109375" style="1" bestFit="1" customWidth="1"/>
    <col min="289" max="289" width="3.85546875" style="1" bestFit="1" customWidth="1"/>
    <col min="290" max="291" width="3.7109375" style="1" bestFit="1" customWidth="1"/>
    <col min="292" max="292" width="3.85546875" style="1" bestFit="1" customWidth="1"/>
    <col min="293" max="293" width="4.5703125" style="1" bestFit="1" customWidth="1"/>
    <col min="294" max="294" width="3.85546875" style="1" bestFit="1" customWidth="1"/>
    <col min="295" max="295" width="4.7109375" style="1" bestFit="1" customWidth="1"/>
    <col min="296" max="296" width="3.85546875" style="1" bestFit="1" customWidth="1"/>
    <col min="297" max="298" width="3.7109375" style="1" bestFit="1" customWidth="1"/>
    <col min="299" max="299" width="3.85546875" style="1" bestFit="1" customWidth="1"/>
    <col min="300" max="300" width="4.5703125" style="1" bestFit="1" customWidth="1"/>
    <col min="301" max="301" width="3.85546875" style="1" bestFit="1" customWidth="1"/>
    <col min="302" max="302" width="4.7109375" style="1" bestFit="1" customWidth="1"/>
    <col min="303" max="303" width="3.85546875" style="1" bestFit="1" customWidth="1"/>
    <col min="304" max="305" width="3.7109375" style="1" bestFit="1" customWidth="1"/>
    <col min="306" max="306" width="3.85546875" style="1" bestFit="1" customWidth="1"/>
    <col min="307" max="307" width="4.5703125" style="1" bestFit="1" customWidth="1"/>
    <col min="308" max="308" width="3.85546875" style="1" bestFit="1" customWidth="1"/>
    <col min="309" max="309" width="4.7109375" style="1" bestFit="1" customWidth="1"/>
    <col min="310" max="310" width="3.85546875" style="1" bestFit="1" customWidth="1"/>
    <col min="311" max="312" width="3.7109375" style="1" bestFit="1" customWidth="1"/>
    <col min="313" max="313" width="3.85546875" style="1" bestFit="1" customWidth="1"/>
    <col min="314" max="314" width="4.5703125" style="1" bestFit="1" customWidth="1"/>
    <col min="315" max="315" width="3.85546875" style="1" bestFit="1" customWidth="1"/>
    <col min="316" max="316" width="4.7109375" style="1" bestFit="1" customWidth="1"/>
    <col min="317" max="317" width="3.85546875" style="1" bestFit="1" customWidth="1"/>
    <col min="318" max="319" width="3.7109375" style="1" bestFit="1" customWidth="1"/>
    <col min="320" max="320" width="3.85546875" style="1" bestFit="1" customWidth="1"/>
    <col min="321" max="321" width="4.5703125" style="1" bestFit="1" customWidth="1"/>
    <col min="322" max="322" width="3.85546875" style="1" bestFit="1" customWidth="1"/>
    <col min="323" max="323" width="4.7109375" style="1" bestFit="1" customWidth="1"/>
    <col min="324" max="324" width="3.85546875" style="1" bestFit="1" customWidth="1"/>
    <col min="325" max="326" width="3.7109375" style="1" bestFit="1" customWidth="1"/>
    <col min="327" max="327" width="3.85546875" style="1" bestFit="1" customWidth="1"/>
    <col min="328" max="328" width="4.5703125" style="1" bestFit="1" customWidth="1"/>
    <col min="329" max="329" width="3.85546875" style="1" bestFit="1" customWidth="1"/>
    <col min="330" max="330" width="4.7109375" style="1" bestFit="1" customWidth="1"/>
    <col min="331" max="331" width="3.85546875" style="1" bestFit="1" customWidth="1"/>
    <col min="332" max="333" width="3.7109375" style="1" bestFit="1" customWidth="1"/>
    <col min="334" max="334" width="3.85546875" style="1" bestFit="1" customWidth="1"/>
    <col min="335" max="335" width="4.5703125" style="1" bestFit="1" customWidth="1"/>
    <col min="336" max="336" width="3.85546875" style="1" bestFit="1" customWidth="1"/>
    <col min="337" max="337" width="4.7109375" style="1" bestFit="1" customWidth="1"/>
    <col min="338" max="338" width="3.85546875" style="1" bestFit="1" customWidth="1"/>
    <col min="339" max="340" width="3.7109375" style="1" bestFit="1" customWidth="1"/>
    <col min="341" max="341" width="3.85546875" style="1" bestFit="1" customWidth="1"/>
    <col min="342" max="342" width="4.5703125" style="1" bestFit="1" customWidth="1"/>
    <col min="343" max="343" width="3.85546875" style="1" bestFit="1" customWidth="1"/>
    <col min="344" max="344" width="4.7109375" style="1" bestFit="1" customWidth="1"/>
    <col min="345" max="345" width="3.85546875" style="1" bestFit="1" customWidth="1"/>
    <col min="346" max="347" width="3.7109375" style="1" bestFit="1" customWidth="1"/>
    <col min="348" max="348" width="3.85546875" style="1" bestFit="1" customWidth="1"/>
    <col min="349" max="349" width="4.5703125" style="1" bestFit="1" customWidth="1"/>
    <col min="350" max="350" width="3.85546875" style="1" bestFit="1" customWidth="1"/>
    <col min="351" max="351" width="4.7109375" style="1" bestFit="1" customWidth="1"/>
    <col min="352" max="352" width="3.85546875" style="1" bestFit="1" customWidth="1"/>
    <col min="353" max="354" width="3.7109375" style="1" bestFit="1" customWidth="1"/>
    <col min="355" max="355" width="3.85546875" style="1" bestFit="1" customWidth="1"/>
    <col min="356" max="356" width="4.5703125" style="1" bestFit="1" customWidth="1"/>
    <col min="357" max="357" width="3.85546875" style="1" bestFit="1" customWidth="1"/>
    <col min="358" max="358" width="4.7109375" style="1" bestFit="1" customWidth="1"/>
    <col min="359" max="359" width="3.85546875" style="1" bestFit="1" customWidth="1"/>
    <col min="360" max="361" width="3.7109375" style="1" bestFit="1" customWidth="1"/>
    <col min="362" max="362" width="3.85546875" style="1" bestFit="1" customWidth="1"/>
    <col min="363" max="363" width="4.5703125" style="1" bestFit="1" customWidth="1"/>
    <col min="364" max="364" width="3.85546875" style="1" bestFit="1" customWidth="1"/>
    <col min="365" max="365" width="4.7109375" style="1" bestFit="1" customWidth="1"/>
    <col min="366" max="366" width="3.85546875" style="1" bestFit="1" customWidth="1"/>
    <col min="367" max="368" width="3.7109375" style="1" bestFit="1" customWidth="1"/>
    <col min="369" max="369" width="3.85546875" style="1" bestFit="1" customWidth="1"/>
    <col min="370" max="370" width="4.5703125" style="1" bestFit="1" customWidth="1"/>
    <col min="371" max="371" width="3.85546875" style="1" bestFit="1" customWidth="1"/>
    <col min="372" max="373" width="6.7109375" style="1" bestFit="1" customWidth="1"/>
    <col min="374" max="374" width="18.5703125" style="1" bestFit="1" customWidth="1"/>
    <col min="375" max="375" width="5.85546875" style="1" bestFit="1" customWidth="1"/>
    <col min="376" max="376" width="14.28515625" style="1" bestFit="1" customWidth="1"/>
    <col min="377" max="377" width="6.7109375" style="1" bestFit="1" customWidth="1"/>
    <col min="378" max="16384" width="3.85546875" style="1"/>
  </cols>
  <sheetData>
    <row r="1" spans="1:377" ht="17.25" x14ac:dyDescent="0.3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</row>
    <row r="2" spans="1:377" ht="17.25" x14ac:dyDescent="0.25">
      <c r="A2" s="101" t="s">
        <v>48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</row>
    <row r="3" spans="1:377" ht="17.25" x14ac:dyDescent="0.3">
      <c r="A3" s="100" t="s">
        <v>47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</row>
    <row r="4" spans="1:377" ht="15.75" x14ac:dyDescent="0.25">
      <c r="A4" s="106" t="s">
        <v>0</v>
      </c>
      <c r="B4" s="106" t="s">
        <v>1</v>
      </c>
      <c r="C4" s="106" t="s">
        <v>2</v>
      </c>
      <c r="D4" s="106" t="s">
        <v>3</v>
      </c>
      <c r="E4" s="106" t="s">
        <v>4</v>
      </c>
      <c r="F4" s="2" t="str">
        <f>TEXT(F5,"ddd")</f>
        <v>Mon</v>
      </c>
      <c r="G4" s="2" t="str">
        <f t="shared" ref="G4:BR4" si="0">TEXT(G5,"ddd")</f>
        <v>Tue</v>
      </c>
      <c r="H4" s="2" t="str">
        <f t="shared" si="0"/>
        <v>Wed</v>
      </c>
      <c r="I4" s="2" t="str">
        <f t="shared" si="0"/>
        <v>Thu</v>
      </c>
      <c r="J4" s="2" t="str">
        <f t="shared" si="0"/>
        <v>Fri</v>
      </c>
      <c r="K4" s="2" t="str">
        <f t="shared" si="0"/>
        <v>Sat</v>
      </c>
      <c r="L4" s="2" t="str">
        <f t="shared" si="0"/>
        <v>Sun</v>
      </c>
      <c r="M4" s="2" t="str">
        <f t="shared" si="0"/>
        <v>Mon</v>
      </c>
      <c r="N4" s="2" t="str">
        <f t="shared" si="0"/>
        <v>Tue</v>
      </c>
      <c r="O4" s="2" t="str">
        <f t="shared" si="0"/>
        <v>Wed</v>
      </c>
      <c r="P4" s="2" t="str">
        <f t="shared" si="0"/>
        <v>Thu</v>
      </c>
      <c r="Q4" s="2" t="str">
        <f t="shared" si="0"/>
        <v>Fri</v>
      </c>
      <c r="R4" s="2" t="str">
        <f t="shared" si="0"/>
        <v>Sat</v>
      </c>
      <c r="S4" s="2" t="str">
        <f t="shared" si="0"/>
        <v>Sun</v>
      </c>
      <c r="T4" s="2" t="str">
        <f t="shared" si="0"/>
        <v>Mon</v>
      </c>
      <c r="U4" s="2" t="str">
        <f t="shared" si="0"/>
        <v>Tue</v>
      </c>
      <c r="V4" s="2" t="str">
        <f t="shared" si="0"/>
        <v>Wed</v>
      </c>
      <c r="W4" s="2" t="str">
        <f t="shared" si="0"/>
        <v>Thu</v>
      </c>
      <c r="X4" s="2" t="str">
        <f t="shared" si="0"/>
        <v>Fri</v>
      </c>
      <c r="Y4" s="2" t="str">
        <f t="shared" si="0"/>
        <v>Sat</v>
      </c>
      <c r="Z4" s="2" t="str">
        <f t="shared" si="0"/>
        <v>Sun</v>
      </c>
      <c r="AA4" s="2" t="str">
        <f t="shared" si="0"/>
        <v>Mon</v>
      </c>
      <c r="AB4" s="2" t="str">
        <f t="shared" si="0"/>
        <v>Tue</v>
      </c>
      <c r="AC4" s="2" t="str">
        <f t="shared" si="0"/>
        <v>Wed</v>
      </c>
      <c r="AD4" s="2" t="str">
        <f t="shared" si="0"/>
        <v>Thu</v>
      </c>
      <c r="AE4" s="2" t="str">
        <f t="shared" si="0"/>
        <v>Fri</v>
      </c>
      <c r="AF4" s="2" t="str">
        <f t="shared" si="0"/>
        <v>Sat</v>
      </c>
      <c r="AG4" s="2" t="str">
        <f t="shared" si="0"/>
        <v>Sun</v>
      </c>
      <c r="AH4" s="2" t="str">
        <f t="shared" si="0"/>
        <v>Mon</v>
      </c>
      <c r="AI4" s="2" t="str">
        <f t="shared" si="0"/>
        <v>Tue</v>
      </c>
      <c r="AJ4" s="2" t="str">
        <f t="shared" si="0"/>
        <v>Wed</v>
      </c>
      <c r="AK4" s="2" t="str">
        <f t="shared" si="0"/>
        <v>Thu</v>
      </c>
      <c r="AL4" s="2" t="str">
        <f t="shared" si="0"/>
        <v>Fri</v>
      </c>
      <c r="AM4" s="2" t="str">
        <f t="shared" si="0"/>
        <v>Sat</v>
      </c>
      <c r="AN4" s="2" t="str">
        <f t="shared" si="0"/>
        <v>Sun</v>
      </c>
      <c r="AO4" s="2" t="str">
        <f t="shared" si="0"/>
        <v>Mon</v>
      </c>
      <c r="AP4" s="2" t="str">
        <f t="shared" si="0"/>
        <v>Tue</v>
      </c>
      <c r="AQ4" s="2" t="str">
        <f t="shared" si="0"/>
        <v>Wed</v>
      </c>
      <c r="AR4" s="2" t="str">
        <f t="shared" si="0"/>
        <v>Thu</v>
      </c>
      <c r="AS4" s="2" t="str">
        <f t="shared" si="0"/>
        <v>Fri</v>
      </c>
      <c r="AT4" s="2" t="str">
        <f t="shared" si="0"/>
        <v>Sat</v>
      </c>
      <c r="AU4" s="2" t="str">
        <f t="shared" si="0"/>
        <v>Sun</v>
      </c>
      <c r="AV4" s="2" t="str">
        <f t="shared" si="0"/>
        <v>Mon</v>
      </c>
      <c r="AW4" s="2" t="str">
        <f t="shared" si="0"/>
        <v>Tue</v>
      </c>
      <c r="AX4" s="2" t="str">
        <f t="shared" si="0"/>
        <v>Wed</v>
      </c>
      <c r="AY4" s="2" t="str">
        <f t="shared" si="0"/>
        <v>Thu</v>
      </c>
      <c r="AZ4" s="2" t="str">
        <f t="shared" si="0"/>
        <v>Fri</v>
      </c>
      <c r="BA4" s="2" t="str">
        <f t="shared" si="0"/>
        <v>Sat</v>
      </c>
      <c r="BB4" s="2" t="str">
        <f t="shared" si="0"/>
        <v>Sun</v>
      </c>
      <c r="BC4" s="2" t="str">
        <f t="shared" si="0"/>
        <v>Mon</v>
      </c>
      <c r="BD4" s="2" t="str">
        <f t="shared" si="0"/>
        <v>Tue</v>
      </c>
      <c r="BE4" s="2" t="str">
        <f t="shared" si="0"/>
        <v>Wed</v>
      </c>
      <c r="BF4" s="2" t="str">
        <f t="shared" si="0"/>
        <v>Thu</v>
      </c>
      <c r="BG4" s="2" t="str">
        <f t="shared" si="0"/>
        <v>Fri</v>
      </c>
      <c r="BH4" s="2" t="str">
        <f t="shared" si="0"/>
        <v>Sat</v>
      </c>
      <c r="BI4" s="2" t="str">
        <f t="shared" si="0"/>
        <v>Sun</v>
      </c>
      <c r="BJ4" s="2" t="str">
        <f t="shared" si="0"/>
        <v>Mon</v>
      </c>
      <c r="BK4" s="2" t="str">
        <f t="shared" si="0"/>
        <v>Tue</v>
      </c>
      <c r="BL4" s="2" t="str">
        <f t="shared" si="0"/>
        <v>Wed</v>
      </c>
      <c r="BM4" s="2" t="str">
        <f t="shared" si="0"/>
        <v>Thu</v>
      </c>
      <c r="BN4" s="2" t="str">
        <f t="shared" si="0"/>
        <v>Fri</v>
      </c>
      <c r="BO4" s="2" t="str">
        <f t="shared" si="0"/>
        <v>Sat</v>
      </c>
      <c r="BP4" s="2" t="str">
        <f t="shared" si="0"/>
        <v>Sun</v>
      </c>
      <c r="BQ4" s="2" t="str">
        <f t="shared" si="0"/>
        <v>Mon</v>
      </c>
      <c r="BR4" s="2" t="str">
        <f t="shared" si="0"/>
        <v>Tue</v>
      </c>
      <c r="BS4" s="2" t="str">
        <f t="shared" ref="BS4:ED4" si="1">TEXT(BS5,"ddd")</f>
        <v>Wed</v>
      </c>
      <c r="BT4" s="2" t="str">
        <f t="shared" si="1"/>
        <v>Thu</v>
      </c>
      <c r="BU4" s="2" t="str">
        <f t="shared" si="1"/>
        <v>Fri</v>
      </c>
      <c r="BV4" s="2" t="str">
        <f t="shared" si="1"/>
        <v>Sat</v>
      </c>
      <c r="BW4" s="2" t="str">
        <f t="shared" si="1"/>
        <v>Sun</v>
      </c>
      <c r="BX4" s="2" t="str">
        <f t="shared" si="1"/>
        <v>Mon</v>
      </c>
      <c r="BY4" s="2" t="str">
        <f t="shared" si="1"/>
        <v>Tue</v>
      </c>
      <c r="BZ4" s="2" t="str">
        <f t="shared" si="1"/>
        <v>Wed</v>
      </c>
      <c r="CA4" s="2" t="str">
        <f t="shared" si="1"/>
        <v>Thu</v>
      </c>
      <c r="CB4" s="2" t="str">
        <f t="shared" si="1"/>
        <v>Fri</v>
      </c>
      <c r="CC4" s="2" t="str">
        <f t="shared" si="1"/>
        <v>Sat</v>
      </c>
      <c r="CD4" s="2" t="str">
        <f t="shared" si="1"/>
        <v>Sun</v>
      </c>
      <c r="CE4" s="2" t="str">
        <f t="shared" si="1"/>
        <v>Mon</v>
      </c>
      <c r="CF4" s="2" t="str">
        <f t="shared" si="1"/>
        <v>Tue</v>
      </c>
      <c r="CG4" s="2" t="str">
        <f t="shared" si="1"/>
        <v>Wed</v>
      </c>
      <c r="CH4" s="2" t="str">
        <f t="shared" si="1"/>
        <v>Thu</v>
      </c>
      <c r="CI4" s="2" t="str">
        <f t="shared" si="1"/>
        <v>Fri</v>
      </c>
      <c r="CJ4" s="2" t="str">
        <f t="shared" si="1"/>
        <v>Sat</v>
      </c>
      <c r="CK4" s="2" t="str">
        <f t="shared" si="1"/>
        <v>Sun</v>
      </c>
      <c r="CL4" s="2" t="str">
        <f t="shared" si="1"/>
        <v>Mon</v>
      </c>
      <c r="CM4" s="2" t="str">
        <f t="shared" si="1"/>
        <v>Tue</v>
      </c>
      <c r="CN4" s="2" t="str">
        <f t="shared" si="1"/>
        <v>Wed</v>
      </c>
      <c r="CO4" s="2" t="str">
        <f t="shared" si="1"/>
        <v>Thu</v>
      </c>
      <c r="CP4" s="2" t="str">
        <f t="shared" si="1"/>
        <v>Fri</v>
      </c>
      <c r="CQ4" s="2" t="str">
        <f t="shared" si="1"/>
        <v>Sat</v>
      </c>
      <c r="CR4" s="2" t="str">
        <f t="shared" si="1"/>
        <v>Sun</v>
      </c>
      <c r="CS4" s="2" t="str">
        <f t="shared" si="1"/>
        <v>Mon</v>
      </c>
      <c r="CT4" s="2" t="str">
        <f t="shared" si="1"/>
        <v>Tue</v>
      </c>
      <c r="CU4" s="2" t="str">
        <f t="shared" si="1"/>
        <v>Wed</v>
      </c>
      <c r="CV4" s="2" t="str">
        <f t="shared" si="1"/>
        <v>Thu</v>
      </c>
      <c r="CW4" s="2" t="str">
        <f t="shared" si="1"/>
        <v>Fri</v>
      </c>
      <c r="CX4" s="2" t="str">
        <f t="shared" si="1"/>
        <v>Sat</v>
      </c>
      <c r="CY4" s="2" t="str">
        <f t="shared" si="1"/>
        <v>Sun</v>
      </c>
      <c r="CZ4" s="2" t="str">
        <f t="shared" si="1"/>
        <v>Mon</v>
      </c>
      <c r="DA4" s="2" t="str">
        <f t="shared" si="1"/>
        <v>Tue</v>
      </c>
      <c r="DB4" s="2" t="str">
        <f t="shared" si="1"/>
        <v>Wed</v>
      </c>
      <c r="DC4" s="2" t="str">
        <f t="shared" si="1"/>
        <v>Thu</v>
      </c>
      <c r="DD4" s="2" t="str">
        <f t="shared" si="1"/>
        <v>Fri</v>
      </c>
      <c r="DE4" s="2" t="str">
        <f t="shared" si="1"/>
        <v>Sat</v>
      </c>
      <c r="DF4" s="2" t="str">
        <f t="shared" si="1"/>
        <v>Sun</v>
      </c>
      <c r="DG4" s="2" t="str">
        <f t="shared" si="1"/>
        <v>Mon</v>
      </c>
      <c r="DH4" s="2" t="str">
        <f t="shared" si="1"/>
        <v>Tue</v>
      </c>
      <c r="DI4" s="2" t="str">
        <f t="shared" si="1"/>
        <v>Wed</v>
      </c>
      <c r="DJ4" s="2" t="str">
        <f t="shared" si="1"/>
        <v>Thu</v>
      </c>
      <c r="DK4" s="2" t="str">
        <f t="shared" si="1"/>
        <v>Fri</v>
      </c>
      <c r="DL4" s="2" t="str">
        <f t="shared" si="1"/>
        <v>Sat</v>
      </c>
      <c r="DM4" s="2" t="str">
        <f t="shared" si="1"/>
        <v>Sun</v>
      </c>
      <c r="DN4" s="2" t="str">
        <f t="shared" si="1"/>
        <v>Mon</v>
      </c>
      <c r="DO4" s="2" t="str">
        <f t="shared" si="1"/>
        <v>Tue</v>
      </c>
      <c r="DP4" s="2" t="str">
        <f t="shared" si="1"/>
        <v>Wed</v>
      </c>
      <c r="DQ4" s="2" t="str">
        <f t="shared" si="1"/>
        <v>Thu</v>
      </c>
      <c r="DR4" s="2" t="str">
        <f t="shared" si="1"/>
        <v>Fri</v>
      </c>
      <c r="DS4" s="2" t="str">
        <f t="shared" si="1"/>
        <v>Sat</v>
      </c>
      <c r="DT4" s="2" t="str">
        <f t="shared" si="1"/>
        <v>Sun</v>
      </c>
      <c r="DU4" s="2" t="str">
        <f t="shared" si="1"/>
        <v>Mon</v>
      </c>
      <c r="DV4" s="2" t="str">
        <f t="shared" si="1"/>
        <v>Tue</v>
      </c>
      <c r="DW4" s="2" t="str">
        <f t="shared" si="1"/>
        <v>Wed</v>
      </c>
      <c r="DX4" s="2" t="str">
        <f t="shared" si="1"/>
        <v>Thu</v>
      </c>
      <c r="DY4" s="2" t="str">
        <f t="shared" si="1"/>
        <v>Fri</v>
      </c>
      <c r="DZ4" s="2" t="str">
        <f t="shared" si="1"/>
        <v>Sat</v>
      </c>
      <c r="EA4" s="2" t="str">
        <f t="shared" si="1"/>
        <v>Sun</v>
      </c>
      <c r="EB4" s="2" t="str">
        <f t="shared" si="1"/>
        <v>Mon</v>
      </c>
      <c r="EC4" s="2" t="str">
        <f t="shared" si="1"/>
        <v>Tue</v>
      </c>
      <c r="ED4" s="2" t="str">
        <f t="shared" si="1"/>
        <v>Wed</v>
      </c>
      <c r="EE4" s="2" t="str">
        <f t="shared" ref="EE4:GP4" si="2">TEXT(EE5,"ddd")</f>
        <v>Thu</v>
      </c>
      <c r="EF4" s="2" t="str">
        <f t="shared" si="2"/>
        <v>Fri</v>
      </c>
      <c r="EG4" s="2" t="str">
        <f t="shared" si="2"/>
        <v>Sat</v>
      </c>
      <c r="EH4" s="2" t="str">
        <f t="shared" si="2"/>
        <v>Sun</v>
      </c>
      <c r="EI4" s="2" t="str">
        <f t="shared" si="2"/>
        <v>Mon</v>
      </c>
      <c r="EJ4" s="2" t="str">
        <f t="shared" si="2"/>
        <v>Tue</v>
      </c>
      <c r="EK4" s="2" t="str">
        <f t="shared" si="2"/>
        <v>Wed</v>
      </c>
      <c r="EL4" s="2" t="str">
        <f t="shared" si="2"/>
        <v>Thu</v>
      </c>
      <c r="EM4" s="2" t="str">
        <f t="shared" si="2"/>
        <v>Fri</v>
      </c>
      <c r="EN4" s="2" t="str">
        <f t="shared" si="2"/>
        <v>Sat</v>
      </c>
      <c r="EO4" s="2" t="str">
        <f t="shared" si="2"/>
        <v>Sun</v>
      </c>
      <c r="EP4" s="2" t="str">
        <f t="shared" si="2"/>
        <v>Mon</v>
      </c>
      <c r="EQ4" s="2" t="str">
        <f t="shared" si="2"/>
        <v>Tue</v>
      </c>
      <c r="ER4" s="2" t="str">
        <f t="shared" si="2"/>
        <v>Wed</v>
      </c>
      <c r="ES4" s="2" t="str">
        <f t="shared" si="2"/>
        <v>Thu</v>
      </c>
      <c r="ET4" s="2" t="str">
        <f t="shared" si="2"/>
        <v>Fri</v>
      </c>
      <c r="EU4" s="2" t="str">
        <f t="shared" si="2"/>
        <v>Sat</v>
      </c>
      <c r="EV4" s="2" t="str">
        <f t="shared" si="2"/>
        <v>Sun</v>
      </c>
      <c r="EW4" s="2" t="str">
        <f t="shared" si="2"/>
        <v>Mon</v>
      </c>
      <c r="EX4" s="2" t="str">
        <f t="shared" si="2"/>
        <v>Tue</v>
      </c>
      <c r="EY4" s="2" t="str">
        <f t="shared" si="2"/>
        <v>Wed</v>
      </c>
      <c r="EZ4" s="2" t="str">
        <f t="shared" si="2"/>
        <v>Thu</v>
      </c>
      <c r="FA4" s="2" t="str">
        <f t="shared" si="2"/>
        <v>Fri</v>
      </c>
      <c r="FB4" s="2" t="str">
        <f t="shared" si="2"/>
        <v>Sat</v>
      </c>
      <c r="FC4" s="2" t="str">
        <f t="shared" si="2"/>
        <v>Sun</v>
      </c>
      <c r="FD4" s="2" t="str">
        <f t="shared" si="2"/>
        <v>Mon</v>
      </c>
      <c r="FE4" s="2" t="str">
        <f t="shared" si="2"/>
        <v>Tue</v>
      </c>
      <c r="FF4" s="2" t="str">
        <f t="shared" si="2"/>
        <v>Wed</v>
      </c>
      <c r="FG4" s="2" t="str">
        <f t="shared" si="2"/>
        <v>Thu</v>
      </c>
      <c r="FH4" s="2" t="str">
        <f t="shared" si="2"/>
        <v>Fri</v>
      </c>
      <c r="FI4" s="2" t="str">
        <f t="shared" si="2"/>
        <v>Sat</v>
      </c>
      <c r="FJ4" s="2" t="str">
        <f t="shared" si="2"/>
        <v>Sun</v>
      </c>
      <c r="FK4" s="2" t="str">
        <f t="shared" si="2"/>
        <v>Mon</v>
      </c>
      <c r="FL4" s="2" t="str">
        <f t="shared" si="2"/>
        <v>Tue</v>
      </c>
      <c r="FM4" s="2" t="str">
        <f t="shared" si="2"/>
        <v>Wed</v>
      </c>
      <c r="FN4" s="2" t="str">
        <f t="shared" si="2"/>
        <v>Thu</v>
      </c>
      <c r="FO4" s="2" t="str">
        <f t="shared" si="2"/>
        <v>Fri</v>
      </c>
      <c r="FP4" s="2" t="str">
        <f t="shared" si="2"/>
        <v>Sat</v>
      </c>
      <c r="FQ4" s="2" t="str">
        <f t="shared" si="2"/>
        <v>Sun</v>
      </c>
      <c r="FR4" s="2" t="str">
        <f t="shared" si="2"/>
        <v>Mon</v>
      </c>
      <c r="FS4" s="2" t="str">
        <f t="shared" si="2"/>
        <v>Tue</v>
      </c>
      <c r="FT4" s="2" t="str">
        <f t="shared" si="2"/>
        <v>Wed</v>
      </c>
      <c r="FU4" s="2" t="str">
        <f t="shared" si="2"/>
        <v>Thu</v>
      </c>
      <c r="FV4" s="2" t="str">
        <f t="shared" si="2"/>
        <v>Fri</v>
      </c>
      <c r="FW4" s="2" t="str">
        <f t="shared" si="2"/>
        <v>Sat</v>
      </c>
      <c r="FX4" s="2" t="str">
        <f t="shared" si="2"/>
        <v>Sun</v>
      </c>
      <c r="FY4" s="2" t="str">
        <f t="shared" si="2"/>
        <v>Mon</v>
      </c>
      <c r="FZ4" s="2" t="str">
        <f t="shared" si="2"/>
        <v>Tue</v>
      </c>
      <c r="GA4" s="2" t="str">
        <f t="shared" si="2"/>
        <v>Wed</v>
      </c>
      <c r="GB4" s="2" t="str">
        <f t="shared" si="2"/>
        <v>Thu</v>
      </c>
      <c r="GC4" s="2" t="str">
        <f t="shared" si="2"/>
        <v>Fri</v>
      </c>
      <c r="GD4" s="2" t="str">
        <f t="shared" si="2"/>
        <v>Sat</v>
      </c>
      <c r="GE4" s="2" t="str">
        <f t="shared" si="2"/>
        <v>Sun</v>
      </c>
      <c r="GF4" s="2" t="str">
        <f t="shared" si="2"/>
        <v>Mon</v>
      </c>
      <c r="GG4" s="2" t="str">
        <f t="shared" si="2"/>
        <v>Tue</v>
      </c>
      <c r="GH4" s="2" t="str">
        <f t="shared" si="2"/>
        <v>Wed</v>
      </c>
      <c r="GI4" s="2" t="str">
        <f t="shared" si="2"/>
        <v>Thu</v>
      </c>
      <c r="GJ4" s="2" t="str">
        <f t="shared" si="2"/>
        <v>Fri</v>
      </c>
      <c r="GK4" s="2" t="str">
        <f t="shared" si="2"/>
        <v>Sat</v>
      </c>
      <c r="GL4" s="2" t="str">
        <f t="shared" si="2"/>
        <v>Sun</v>
      </c>
      <c r="GM4" s="2" t="str">
        <f t="shared" si="2"/>
        <v>Mon</v>
      </c>
      <c r="GN4" s="2" t="str">
        <f t="shared" si="2"/>
        <v>Tue</v>
      </c>
      <c r="GO4" s="2" t="str">
        <f t="shared" si="2"/>
        <v>Wed</v>
      </c>
      <c r="GP4" s="2" t="str">
        <f t="shared" si="2"/>
        <v>Thu</v>
      </c>
      <c r="GQ4" s="2" t="str">
        <f t="shared" ref="GQ4:JB4" si="3">TEXT(GQ5,"ddd")</f>
        <v>Fri</v>
      </c>
      <c r="GR4" s="2" t="str">
        <f t="shared" si="3"/>
        <v>Sat</v>
      </c>
      <c r="GS4" s="2" t="str">
        <f t="shared" si="3"/>
        <v>Sun</v>
      </c>
      <c r="GT4" s="2" t="str">
        <f t="shared" si="3"/>
        <v>Mon</v>
      </c>
      <c r="GU4" s="2" t="str">
        <f t="shared" si="3"/>
        <v>Tue</v>
      </c>
      <c r="GV4" s="2" t="str">
        <f t="shared" si="3"/>
        <v>Wed</v>
      </c>
      <c r="GW4" s="2" t="str">
        <f t="shared" si="3"/>
        <v>Thu</v>
      </c>
      <c r="GX4" s="2" t="str">
        <f t="shared" si="3"/>
        <v>Fri</v>
      </c>
      <c r="GY4" s="2" t="str">
        <f t="shared" si="3"/>
        <v>Sat</v>
      </c>
      <c r="GZ4" s="2" t="str">
        <f t="shared" si="3"/>
        <v>Sun</v>
      </c>
      <c r="HA4" s="2" t="str">
        <f t="shared" si="3"/>
        <v>Mon</v>
      </c>
      <c r="HB4" s="2" t="str">
        <f t="shared" si="3"/>
        <v>Tue</v>
      </c>
      <c r="HC4" s="2" t="str">
        <f t="shared" si="3"/>
        <v>Wed</v>
      </c>
      <c r="HD4" s="2" t="str">
        <f t="shared" si="3"/>
        <v>Thu</v>
      </c>
      <c r="HE4" s="2" t="str">
        <f t="shared" si="3"/>
        <v>Fri</v>
      </c>
      <c r="HF4" s="2" t="str">
        <f t="shared" si="3"/>
        <v>Sat</v>
      </c>
      <c r="HG4" s="2" t="str">
        <f t="shared" si="3"/>
        <v>Sun</v>
      </c>
      <c r="HH4" s="2" t="str">
        <f t="shared" si="3"/>
        <v>Mon</v>
      </c>
      <c r="HI4" s="2" t="str">
        <f t="shared" si="3"/>
        <v>Tue</v>
      </c>
      <c r="HJ4" s="2" t="str">
        <f t="shared" si="3"/>
        <v>Wed</v>
      </c>
      <c r="HK4" s="2" t="str">
        <f t="shared" si="3"/>
        <v>Thu</v>
      </c>
      <c r="HL4" s="2" t="str">
        <f t="shared" si="3"/>
        <v>Fri</v>
      </c>
      <c r="HM4" s="2" t="str">
        <f t="shared" si="3"/>
        <v>Sat</v>
      </c>
      <c r="HN4" s="2" t="str">
        <f t="shared" si="3"/>
        <v>Sun</v>
      </c>
      <c r="HO4" s="2" t="str">
        <f t="shared" si="3"/>
        <v>Mon</v>
      </c>
      <c r="HP4" s="2" t="str">
        <f t="shared" si="3"/>
        <v>Tue</v>
      </c>
      <c r="HQ4" s="2" t="str">
        <f t="shared" si="3"/>
        <v>Wed</v>
      </c>
      <c r="HR4" s="2" t="str">
        <f t="shared" si="3"/>
        <v>Thu</v>
      </c>
      <c r="HS4" s="2" t="str">
        <f t="shared" si="3"/>
        <v>Fri</v>
      </c>
      <c r="HT4" s="2" t="str">
        <f t="shared" si="3"/>
        <v>Sat</v>
      </c>
      <c r="HU4" s="2" t="str">
        <f t="shared" si="3"/>
        <v>Sun</v>
      </c>
      <c r="HV4" s="2" t="str">
        <f t="shared" si="3"/>
        <v>Mon</v>
      </c>
      <c r="HW4" s="2" t="str">
        <f t="shared" si="3"/>
        <v>Tue</v>
      </c>
      <c r="HX4" s="2" t="str">
        <f t="shared" si="3"/>
        <v>Wed</v>
      </c>
      <c r="HY4" s="2" t="str">
        <f t="shared" si="3"/>
        <v>Thu</v>
      </c>
      <c r="HZ4" s="2" t="str">
        <f t="shared" si="3"/>
        <v>Fri</v>
      </c>
      <c r="IA4" s="2" t="str">
        <f t="shared" si="3"/>
        <v>Sat</v>
      </c>
      <c r="IB4" s="2" t="str">
        <f t="shared" si="3"/>
        <v>Sun</v>
      </c>
      <c r="IC4" s="2" t="str">
        <f t="shared" si="3"/>
        <v>Mon</v>
      </c>
      <c r="ID4" s="2" t="str">
        <f t="shared" si="3"/>
        <v>Tue</v>
      </c>
      <c r="IE4" s="2" t="str">
        <f t="shared" si="3"/>
        <v>Wed</v>
      </c>
      <c r="IF4" s="2" t="str">
        <f t="shared" si="3"/>
        <v>Thu</v>
      </c>
      <c r="IG4" s="2" t="str">
        <f t="shared" si="3"/>
        <v>Fri</v>
      </c>
      <c r="IH4" s="2" t="str">
        <f t="shared" si="3"/>
        <v>Sat</v>
      </c>
      <c r="II4" s="2" t="str">
        <f t="shared" si="3"/>
        <v>Sun</v>
      </c>
      <c r="IJ4" s="2" t="str">
        <f t="shared" si="3"/>
        <v>Mon</v>
      </c>
      <c r="IK4" s="2" t="str">
        <f t="shared" si="3"/>
        <v>Tue</v>
      </c>
      <c r="IL4" s="2" t="str">
        <f t="shared" si="3"/>
        <v>Wed</v>
      </c>
      <c r="IM4" s="2" t="str">
        <f t="shared" si="3"/>
        <v>Thu</v>
      </c>
      <c r="IN4" s="2" t="str">
        <f t="shared" si="3"/>
        <v>Fri</v>
      </c>
      <c r="IO4" s="2" t="str">
        <f t="shared" si="3"/>
        <v>Sat</v>
      </c>
      <c r="IP4" s="2" t="str">
        <f t="shared" si="3"/>
        <v>Sun</v>
      </c>
      <c r="IQ4" s="2" t="str">
        <f t="shared" si="3"/>
        <v>Mon</v>
      </c>
      <c r="IR4" s="2" t="str">
        <f t="shared" si="3"/>
        <v>Tue</v>
      </c>
      <c r="IS4" s="2" t="str">
        <f t="shared" si="3"/>
        <v>Wed</v>
      </c>
      <c r="IT4" s="2" t="str">
        <f t="shared" si="3"/>
        <v>Thu</v>
      </c>
      <c r="IU4" s="2" t="str">
        <f t="shared" si="3"/>
        <v>Fri</v>
      </c>
      <c r="IV4" s="2" t="str">
        <f t="shared" si="3"/>
        <v>Sat</v>
      </c>
      <c r="IW4" s="2" t="str">
        <f t="shared" si="3"/>
        <v>Sun</v>
      </c>
      <c r="IX4" s="2" t="str">
        <f t="shared" si="3"/>
        <v>Mon</v>
      </c>
      <c r="IY4" s="2" t="str">
        <f t="shared" si="3"/>
        <v>Tue</v>
      </c>
      <c r="IZ4" s="2" t="str">
        <f t="shared" si="3"/>
        <v>Wed</v>
      </c>
      <c r="JA4" s="2" t="str">
        <f t="shared" si="3"/>
        <v>Thu</v>
      </c>
      <c r="JB4" s="2" t="str">
        <f t="shared" si="3"/>
        <v>Fri</v>
      </c>
      <c r="JC4" s="2" t="str">
        <f t="shared" ref="JC4:LN4" si="4">TEXT(JC5,"ddd")</f>
        <v>Sat</v>
      </c>
      <c r="JD4" s="2" t="str">
        <f t="shared" si="4"/>
        <v>Sun</v>
      </c>
      <c r="JE4" s="2" t="str">
        <f t="shared" si="4"/>
        <v>Mon</v>
      </c>
      <c r="JF4" s="2" t="str">
        <f t="shared" si="4"/>
        <v>Tue</v>
      </c>
      <c r="JG4" s="2" t="str">
        <f t="shared" si="4"/>
        <v>Wed</v>
      </c>
      <c r="JH4" s="2" t="str">
        <f t="shared" si="4"/>
        <v>Thu</v>
      </c>
      <c r="JI4" s="2" t="str">
        <f t="shared" si="4"/>
        <v>Fri</v>
      </c>
      <c r="JJ4" s="2" t="str">
        <f t="shared" si="4"/>
        <v>Sat</v>
      </c>
      <c r="JK4" s="2" t="str">
        <f t="shared" si="4"/>
        <v>Sun</v>
      </c>
      <c r="JL4" s="2" t="str">
        <f t="shared" si="4"/>
        <v>Mon</v>
      </c>
      <c r="JM4" s="2" t="str">
        <f t="shared" si="4"/>
        <v>Tue</v>
      </c>
      <c r="JN4" s="2" t="str">
        <f t="shared" si="4"/>
        <v>Wed</v>
      </c>
      <c r="JO4" s="2" t="str">
        <f t="shared" si="4"/>
        <v>Thu</v>
      </c>
      <c r="JP4" s="2" t="str">
        <f t="shared" si="4"/>
        <v>Fri</v>
      </c>
      <c r="JQ4" s="2" t="str">
        <f t="shared" si="4"/>
        <v>Sat</v>
      </c>
      <c r="JR4" s="2" t="str">
        <f t="shared" si="4"/>
        <v>Sun</v>
      </c>
      <c r="JS4" s="2" t="str">
        <f t="shared" si="4"/>
        <v>Mon</v>
      </c>
      <c r="JT4" s="2" t="str">
        <f t="shared" si="4"/>
        <v>Tue</v>
      </c>
      <c r="JU4" s="2" t="str">
        <f t="shared" si="4"/>
        <v>Wed</v>
      </c>
      <c r="JV4" s="2" t="str">
        <f t="shared" si="4"/>
        <v>Thu</v>
      </c>
      <c r="JW4" s="2" t="str">
        <f t="shared" si="4"/>
        <v>Fri</v>
      </c>
      <c r="JX4" s="2" t="str">
        <f t="shared" si="4"/>
        <v>Sat</v>
      </c>
      <c r="JY4" s="2" t="str">
        <f t="shared" si="4"/>
        <v>Sun</v>
      </c>
      <c r="JZ4" s="2" t="str">
        <f t="shared" si="4"/>
        <v>Mon</v>
      </c>
      <c r="KA4" s="2" t="str">
        <f t="shared" si="4"/>
        <v>Tue</v>
      </c>
      <c r="KB4" s="2" t="str">
        <f t="shared" si="4"/>
        <v>Wed</v>
      </c>
      <c r="KC4" s="2" t="str">
        <f t="shared" si="4"/>
        <v>Thu</v>
      </c>
      <c r="KD4" s="2" t="str">
        <f t="shared" si="4"/>
        <v>Fri</v>
      </c>
      <c r="KE4" s="2" t="str">
        <f t="shared" si="4"/>
        <v>Sat</v>
      </c>
      <c r="KF4" s="2" t="str">
        <f t="shared" si="4"/>
        <v>Sun</v>
      </c>
      <c r="KG4" s="2" t="str">
        <f t="shared" si="4"/>
        <v>Mon</v>
      </c>
      <c r="KH4" s="2" t="str">
        <f t="shared" si="4"/>
        <v>Tue</v>
      </c>
      <c r="KI4" s="2" t="str">
        <f t="shared" si="4"/>
        <v>Wed</v>
      </c>
      <c r="KJ4" s="2" t="str">
        <f t="shared" si="4"/>
        <v>Thu</v>
      </c>
      <c r="KK4" s="2" t="str">
        <f t="shared" si="4"/>
        <v>Fri</v>
      </c>
      <c r="KL4" s="2" t="str">
        <f t="shared" si="4"/>
        <v>Sat</v>
      </c>
      <c r="KM4" s="2" t="str">
        <f t="shared" si="4"/>
        <v>Sun</v>
      </c>
      <c r="KN4" s="2" t="str">
        <f t="shared" si="4"/>
        <v>Mon</v>
      </c>
      <c r="KO4" s="2" t="str">
        <f t="shared" si="4"/>
        <v>Tue</v>
      </c>
      <c r="KP4" s="2" t="str">
        <f t="shared" si="4"/>
        <v>Wed</v>
      </c>
      <c r="KQ4" s="2" t="str">
        <f t="shared" si="4"/>
        <v>Thu</v>
      </c>
      <c r="KR4" s="2" t="str">
        <f t="shared" si="4"/>
        <v>Fri</v>
      </c>
      <c r="KS4" s="2" t="str">
        <f t="shared" si="4"/>
        <v>Sat</v>
      </c>
      <c r="KT4" s="2" t="str">
        <f t="shared" si="4"/>
        <v>Sun</v>
      </c>
      <c r="KU4" s="2" t="str">
        <f t="shared" si="4"/>
        <v>Mon</v>
      </c>
      <c r="KV4" s="2" t="str">
        <f t="shared" si="4"/>
        <v>Tue</v>
      </c>
      <c r="KW4" s="2" t="str">
        <f t="shared" si="4"/>
        <v>Wed</v>
      </c>
      <c r="KX4" s="2" t="str">
        <f t="shared" si="4"/>
        <v>Thu</v>
      </c>
      <c r="KY4" s="2" t="str">
        <f t="shared" si="4"/>
        <v>Fri</v>
      </c>
      <c r="KZ4" s="2" t="str">
        <f t="shared" si="4"/>
        <v>Sat</v>
      </c>
      <c r="LA4" s="2" t="str">
        <f t="shared" si="4"/>
        <v>Sun</v>
      </c>
      <c r="LB4" s="2" t="str">
        <f t="shared" si="4"/>
        <v>Mon</v>
      </c>
      <c r="LC4" s="2" t="str">
        <f t="shared" si="4"/>
        <v>Tue</v>
      </c>
      <c r="LD4" s="2" t="str">
        <f t="shared" si="4"/>
        <v>Wed</v>
      </c>
      <c r="LE4" s="2" t="str">
        <f t="shared" si="4"/>
        <v>Thu</v>
      </c>
      <c r="LF4" s="2" t="str">
        <f t="shared" si="4"/>
        <v>Fri</v>
      </c>
      <c r="LG4" s="2" t="str">
        <f t="shared" si="4"/>
        <v>Sat</v>
      </c>
      <c r="LH4" s="2" t="str">
        <f t="shared" si="4"/>
        <v>Sun</v>
      </c>
      <c r="LI4" s="2" t="str">
        <f t="shared" si="4"/>
        <v>Mon</v>
      </c>
      <c r="LJ4" s="2" t="str">
        <f t="shared" si="4"/>
        <v>Tue</v>
      </c>
      <c r="LK4" s="2" t="str">
        <f t="shared" si="4"/>
        <v>Wed</v>
      </c>
      <c r="LL4" s="2" t="str">
        <f t="shared" si="4"/>
        <v>Thu</v>
      </c>
      <c r="LM4" s="2" t="str">
        <f t="shared" si="4"/>
        <v>Fri</v>
      </c>
      <c r="LN4" s="2" t="str">
        <f t="shared" si="4"/>
        <v>Sat</v>
      </c>
      <c r="LO4" s="2" t="str">
        <f t="shared" ref="LO4:NG4" si="5">TEXT(LO5,"ddd")</f>
        <v>Sun</v>
      </c>
      <c r="LP4" s="2" t="str">
        <f t="shared" si="5"/>
        <v>Mon</v>
      </c>
      <c r="LQ4" s="2" t="str">
        <f t="shared" si="5"/>
        <v>Tue</v>
      </c>
      <c r="LR4" s="2" t="str">
        <f t="shared" si="5"/>
        <v>Wed</v>
      </c>
      <c r="LS4" s="2" t="str">
        <f t="shared" si="5"/>
        <v>Thu</v>
      </c>
      <c r="LT4" s="2" t="str">
        <f t="shared" si="5"/>
        <v>Fri</v>
      </c>
      <c r="LU4" s="2" t="str">
        <f t="shared" si="5"/>
        <v>Sat</v>
      </c>
      <c r="LV4" s="2" t="str">
        <f t="shared" si="5"/>
        <v>Sun</v>
      </c>
      <c r="LW4" s="2" t="str">
        <f t="shared" si="5"/>
        <v>Mon</v>
      </c>
      <c r="LX4" s="2" t="str">
        <f t="shared" si="5"/>
        <v>Tue</v>
      </c>
      <c r="LY4" s="2" t="str">
        <f t="shared" si="5"/>
        <v>Wed</v>
      </c>
      <c r="LZ4" s="2" t="str">
        <f t="shared" si="5"/>
        <v>Thu</v>
      </c>
      <c r="MA4" s="2" t="str">
        <f t="shared" si="5"/>
        <v>Fri</v>
      </c>
      <c r="MB4" s="2" t="str">
        <f t="shared" si="5"/>
        <v>Sat</v>
      </c>
      <c r="MC4" s="2" t="str">
        <f t="shared" si="5"/>
        <v>Sun</v>
      </c>
      <c r="MD4" s="2" t="str">
        <f t="shared" si="5"/>
        <v>Mon</v>
      </c>
      <c r="ME4" s="2" t="str">
        <f t="shared" si="5"/>
        <v>Tue</v>
      </c>
      <c r="MF4" s="2" t="str">
        <f t="shared" si="5"/>
        <v>Wed</v>
      </c>
      <c r="MG4" s="2" t="str">
        <f t="shared" si="5"/>
        <v>Thu</v>
      </c>
      <c r="MH4" s="2" t="str">
        <f t="shared" si="5"/>
        <v>Fri</v>
      </c>
      <c r="MI4" s="2" t="str">
        <f t="shared" si="5"/>
        <v>Sat</v>
      </c>
      <c r="MJ4" s="2" t="str">
        <f t="shared" si="5"/>
        <v>Sun</v>
      </c>
      <c r="MK4" s="2" t="str">
        <f t="shared" si="5"/>
        <v>Mon</v>
      </c>
      <c r="ML4" s="2" t="str">
        <f t="shared" si="5"/>
        <v>Tue</v>
      </c>
      <c r="MM4" s="2" t="str">
        <f t="shared" si="5"/>
        <v>Wed</v>
      </c>
      <c r="MN4" s="2" t="str">
        <f t="shared" si="5"/>
        <v>Thu</v>
      </c>
      <c r="MO4" s="2" t="str">
        <f t="shared" si="5"/>
        <v>Fri</v>
      </c>
      <c r="MP4" s="2" t="str">
        <f t="shared" si="5"/>
        <v>Sat</v>
      </c>
      <c r="MQ4" s="2" t="str">
        <f t="shared" si="5"/>
        <v>Sun</v>
      </c>
      <c r="MR4" s="2" t="str">
        <f t="shared" si="5"/>
        <v>Mon</v>
      </c>
      <c r="MS4" s="2" t="str">
        <f t="shared" si="5"/>
        <v>Tue</v>
      </c>
      <c r="MT4" s="2" t="str">
        <f t="shared" si="5"/>
        <v>Wed</v>
      </c>
      <c r="MU4" s="2" t="str">
        <f t="shared" si="5"/>
        <v>Thu</v>
      </c>
      <c r="MV4" s="2" t="str">
        <f t="shared" si="5"/>
        <v>Fri</v>
      </c>
      <c r="MW4" s="2" t="str">
        <f t="shared" si="5"/>
        <v>Sat</v>
      </c>
      <c r="MX4" s="2" t="str">
        <f t="shared" si="5"/>
        <v>Sun</v>
      </c>
      <c r="MY4" s="2" t="str">
        <f t="shared" si="5"/>
        <v>Mon</v>
      </c>
      <c r="MZ4" s="2" t="str">
        <f t="shared" si="5"/>
        <v>Tue</v>
      </c>
      <c r="NA4" s="2" t="str">
        <f t="shared" si="5"/>
        <v>Wed</v>
      </c>
      <c r="NB4" s="2" t="str">
        <f t="shared" si="5"/>
        <v>Thu</v>
      </c>
      <c r="NC4" s="2" t="str">
        <f t="shared" si="5"/>
        <v>Fri</v>
      </c>
      <c r="ND4" s="2" t="str">
        <f t="shared" si="5"/>
        <v>Sat</v>
      </c>
      <c r="NE4" s="2" t="str">
        <f t="shared" si="5"/>
        <v>Sun</v>
      </c>
      <c r="NF4" s="2" t="str">
        <f t="shared" si="5"/>
        <v>Mon</v>
      </c>
      <c r="NG4" s="2" t="str">
        <f t="shared" si="5"/>
        <v>Tue</v>
      </c>
      <c r="NH4" s="114" t="s">
        <v>5</v>
      </c>
      <c r="NI4" s="114" t="s">
        <v>6</v>
      </c>
      <c r="NJ4" s="103" t="s">
        <v>46</v>
      </c>
      <c r="NK4" s="105"/>
      <c r="NL4" s="3"/>
      <c r="NM4" s="3"/>
    </row>
    <row r="5" spans="1:377" ht="39" x14ac:dyDescent="0.25">
      <c r="A5" s="107"/>
      <c r="B5" s="107"/>
      <c r="C5" s="107"/>
      <c r="D5" s="107"/>
      <c r="E5" s="107"/>
      <c r="F5" s="77">
        <v>45292</v>
      </c>
      <c r="G5" s="77">
        <v>45293</v>
      </c>
      <c r="H5" s="77">
        <v>45294</v>
      </c>
      <c r="I5" s="77">
        <v>45295</v>
      </c>
      <c r="J5" s="77">
        <v>45296</v>
      </c>
      <c r="K5" s="77">
        <v>45297</v>
      </c>
      <c r="L5" s="77">
        <v>45298</v>
      </c>
      <c r="M5" s="77">
        <v>45299</v>
      </c>
      <c r="N5" s="77">
        <v>45300</v>
      </c>
      <c r="O5" s="77">
        <v>45301</v>
      </c>
      <c r="P5" s="77">
        <v>45302</v>
      </c>
      <c r="Q5" s="77">
        <v>45303</v>
      </c>
      <c r="R5" s="77">
        <v>45304</v>
      </c>
      <c r="S5" s="77">
        <v>45305</v>
      </c>
      <c r="T5" s="77">
        <v>45306</v>
      </c>
      <c r="U5" s="77">
        <v>45307</v>
      </c>
      <c r="V5" s="77">
        <v>45308</v>
      </c>
      <c r="W5" s="77">
        <v>45309</v>
      </c>
      <c r="X5" s="77">
        <v>45310</v>
      </c>
      <c r="Y5" s="77">
        <v>45311</v>
      </c>
      <c r="Z5" s="77">
        <v>45312</v>
      </c>
      <c r="AA5" s="77">
        <v>45313</v>
      </c>
      <c r="AB5" s="77">
        <v>45314</v>
      </c>
      <c r="AC5" s="77">
        <v>45315</v>
      </c>
      <c r="AD5" s="77">
        <v>45316</v>
      </c>
      <c r="AE5" s="77">
        <v>45317</v>
      </c>
      <c r="AF5" s="77">
        <v>45318</v>
      </c>
      <c r="AG5" s="77">
        <v>45319</v>
      </c>
      <c r="AH5" s="77">
        <v>45320</v>
      </c>
      <c r="AI5" s="77">
        <v>45321</v>
      </c>
      <c r="AJ5" s="77">
        <v>45322</v>
      </c>
      <c r="AK5" s="77">
        <v>45323</v>
      </c>
      <c r="AL5" s="77">
        <v>45324</v>
      </c>
      <c r="AM5" s="77">
        <v>45325</v>
      </c>
      <c r="AN5" s="77">
        <v>45326</v>
      </c>
      <c r="AO5" s="77">
        <v>45327</v>
      </c>
      <c r="AP5" s="77">
        <v>45328</v>
      </c>
      <c r="AQ5" s="77">
        <v>45329</v>
      </c>
      <c r="AR5" s="77">
        <v>45330</v>
      </c>
      <c r="AS5" s="77">
        <v>45331</v>
      </c>
      <c r="AT5" s="77">
        <v>45332</v>
      </c>
      <c r="AU5" s="77">
        <v>45333</v>
      </c>
      <c r="AV5" s="77">
        <v>45334</v>
      </c>
      <c r="AW5" s="77">
        <v>45335</v>
      </c>
      <c r="AX5" s="77">
        <v>45336</v>
      </c>
      <c r="AY5" s="77">
        <v>45337</v>
      </c>
      <c r="AZ5" s="77">
        <v>45338</v>
      </c>
      <c r="BA5" s="77">
        <v>45339</v>
      </c>
      <c r="BB5" s="77">
        <v>45340</v>
      </c>
      <c r="BC5" s="77">
        <v>45341</v>
      </c>
      <c r="BD5" s="77">
        <v>45342</v>
      </c>
      <c r="BE5" s="77">
        <v>45343</v>
      </c>
      <c r="BF5" s="77">
        <v>45344</v>
      </c>
      <c r="BG5" s="77">
        <v>45345</v>
      </c>
      <c r="BH5" s="77">
        <v>45346</v>
      </c>
      <c r="BI5" s="77">
        <v>45347</v>
      </c>
      <c r="BJ5" s="77">
        <v>45348</v>
      </c>
      <c r="BK5" s="77">
        <v>45349</v>
      </c>
      <c r="BL5" s="77">
        <v>45350</v>
      </c>
      <c r="BM5" s="77">
        <v>45351</v>
      </c>
      <c r="BN5" s="77">
        <v>45352</v>
      </c>
      <c r="BO5" s="77">
        <v>45353</v>
      </c>
      <c r="BP5" s="77">
        <v>45354</v>
      </c>
      <c r="BQ5" s="77">
        <v>45355</v>
      </c>
      <c r="BR5" s="77">
        <v>45356</v>
      </c>
      <c r="BS5" s="77">
        <v>45357</v>
      </c>
      <c r="BT5" s="77">
        <v>45358</v>
      </c>
      <c r="BU5" s="77">
        <v>45359</v>
      </c>
      <c r="BV5" s="77">
        <v>45360</v>
      </c>
      <c r="BW5" s="77">
        <v>45361</v>
      </c>
      <c r="BX5" s="77">
        <v>45362</v>
      </c>
      <c r="BY5" s="77">
        <v>45363</v>
      </c>
      <c r="BZ5" s="77">
        <v>45364</v>
      </c>
      <c r="CA5" s="77">
        <v>45365</v>
      </c>
      <c r="CB5" s="77">
        <v>45366</v>
      </c>
      <c r="CC5" s="77">
        <v>45367</v>
      </c>
      <c r="CD5" s="77">
        <v>45368</v>
      </c>
      <c r="CE5" s="77">
        <v>45369</v>
      </c>
      <c r="CF5" s="77">
        <v>45370</v>
      </c>
      <c r="CG5" s="77">
        <v>45371</v>
      </c>
      <c r="CH5" s="77">
        <v>45372</v>
      </c>
      <c r="CI5" s="77">
        <v>45373</v>
      </c>
      <c r="CJ5" s="77">
        <v>45374</v>
      </c>
      <c r="CK5" s="77">
        <v>45375</v>
      </c>
      <c r="CL5" s="77">
        <v>45376</v>
      </c>
      <c r="CM5" s="77">
        <v>45377</v>
      </c>
      <c r="CN5" s="77">
        <v>45378</v>
      </c>
      <c r="CO5" s="77">
        <v>45379</v>
      </c>
      <c r="CP5" s="77">
        <v>45380</v>
      </c>
      <c r="CQ5" s="77">
        <v>45381</v>
      </c>
      <c r="CR5" s="77">
        <v>45382</v>
      </c>
      <c r="CS5" s="77">
        <v>45383</v>
      </c>
      <c r="CT5" s="77">
        <v>45384</v>
      </c>
      <c r="CU5" s="77">
        <v>45385</v>
      </c>
      <c r="CV5" s="77">
        <v>45386</v>
      </c>
      <c r="CW5" s="77">
        <v>45387</v>
      </c>
      <c r="CX5" s="77">
        <v>45388</v>
      </c>
      <c r="CY5" s="77">
        <v>45389</v>
      </c>
      <c r="CZ5" s="77">
        <v>45390</v>
      </c>
      <c r="DA5" s="77">
        <v>45391</v>
      </c>
      <c r="DB5" s="77">
        <v>45392</v>
      </c>
      <c r="DC5" s="77">
        <v>45393</v>
      </c>
      <c r="DD5" s="77">
        <v>45394</v>
      </c>
      <c r="DE5" s="77">
        <v>45395</v>
      </c>
      <c r="DF5" s="77">
        <v>45396</v>
      </c>
      <c r="DG5" s="77">
        <v>45397</v>
      </c>
      <c r="DH5" s="77">
        <v>45398</v>
      </c>
      <c r="DI5" s="77">
        <v>45399</v>
      </c>
      <c r="DJ5" s="77">
        <v>45400</v>
      </c>
      <c r="DK5" s="77">
        <v>45401</v>
      </c>
      <c r="DL5" s="77">
        <v>45402</v>
      </c>
      <c r="DM5" s="77">
        <v>45403</v>
      </c>
      <c r="DN5" s="77">
        <v>45404</v>
      </c>
      <c r="DO5" s="77">
        <v>45405</v>
      </c>
      <c r="DP5" s="77">
        <v>45406</v>
      </c>
      <c r="DQ5" s="77">
        <v>45407</v>
      </c>
      <c r="DR5" s="77">
        <v>45408</v>
      </c>
      <c r="DS5" s="77">
        <v>45409</v>
      </c>
      <c r="DT5" s="77">
        <v>45410</v>
      </c>
      <c r="DU5" s="77">
        <v>45411</v>
      </c>
      <c r="DV5" s="77">
        <v>45412</v>
      </c>
      <c r="DW5" s="77">
        <v>45413</v>
      </c>
      <c r="DX5" s="77">
        <v>45414</v>
      </c>
      <c r="DY5" s="77">
        <v>45415</v>
      </c>
      <c r="DZ5" s="77">
        <v>45416</v>
      </c>
      <c r="EA5" s="77">
        <v>45417</v>
      </c>
      <c r="EB5" s="77">
        <v>45418</v>
      </c>
      <c r="EC5" s="77">
        <v>45419</v>
      </c>
      <c r="ED5" s="77">
        <v>45420</v>
      </c>
      <c r="EE5" s="77">
        <v>45421</v>
      </c>
      <c r="EF5" s="77">
        <v>45422</v>
      </c>
      <c r="EG5" s="77">
        <v>45423</v>
      </c>
      <c r="EH5" s="77">
        <v>45424</v>
      </c>
      <c r="EI5" s="77">
        <v>45425</v>
      </c>
      <c r="EJ5" s="77">
        <v>45426</v>
      </c>
      <c r="EK5" s="77">
        <v>45427</v>
      </c>
      <c r="EL5" s="77">
        <v>45428</v>
      </c>
      <c r="EM5" s="77">
        <v>45429</v>
      </c>
      <c r="EN5" s="77">
        <v>45430</v>
      </c>
      <c r="EO5" s="77">
        <v>45431</v>
      </c>
      <c r="EP5" s="77">
        <v>45432</v>
      </c>
      <c r="EQ5" s="77">
        <v>45433</v>
      </c>
      <c r="ER5" s="77">
        <v>45434</v>
      </c>
      <c r="ES5" s="77">
        <v>45435</v>
      </c>
      <c r="ET5" s="77">
        <v>45436</v>
      </c>
      <c r="EU5" s="77">
        <v>45437</v>
      </c>
      <c r="EV5" s="77">
        <v>45438</v>
      </c>
      <c r="EW5" s="77">
        <v>45439</v>
      </c>
      <c r="EX5" s="77">
        <v>45440</v>
      </c>
      <c r="EY5" s="77">
        <v>45441</v>
      </c>
      <c r="EZ5" s="77">
        <v>45442</v>
      </c>
      <c r="FA5" s="77">
        <v>45443</v>
      </c>
      <c r="FB5" s="77">
        <v>45444</v>
      </c>
      <c r="FC5" s="77">
        <v>45445</v>
      </c>
      <c r="FD5" s="77">
        <v>45446</v>
      </c>
      <c r="FE5" s="77">
        <v>45447</v>
      </c>
      <c r="FF5" s="77">
        <v>45448</v>
      </c>
      <c r="FG5" s="77">
        <v>45449</v>
      </c>
      <c r="FH5" s="77">
        <v>45450</v>
      </c>
      <c r="FI5" s="77">
        <v>45451</v>
      </c>
      <c r="FJ5" s="77">
        <v>45452</v>
      </c>
      <c r="FK5" s="77">
        <v>45453</v>
      </c>
      <c r="FL5" s="77">
        <v>45454</v>
      </c>
      <c r="FM5" s="77">
        <v>45455</v>
      </c>
      <c r="FN5" s="77">
        <v>45456</v>
      </c>
      <c r="FO5" s="77">
        <v>45457</v>
      </c>
      <c r="FP5" s="77">
        <v>45458</v>
      </c>
      <c r="FQ5" s="77">
        <v>45459</v>
      </c>
      <c r="FR5" s="77">
        <v>45460</v>
      </c>
      <c r="FS5" s="77">
        <v>45461</v>
      </c>
      <c r="FT5" s="77">
        <v>45462</v>
      </c>
      <c r="FU5" s="77">
        <v>45463</v>
      </c>
      <c r="FV5" s="77">
        <v>45464</v>
      </c>
      <c r="FW5" s="77">
        <v>45465</v>
      </c>
      <c r="FX5" s="77">
        <v>45466</v>
      </c>
      <c r="FY5" s="77">
        <v>45467</v>
      </c>
      <c r="FZ5" s="77">
        <v>45468</v>
      </c>
      <c r="GA5" s="77">
        <v>45469</v>
      </c>
      <c r="GB5" s="77">
        <v>45470</v>
      </c>
      <c r="GC5" s="77">
        <v>45471</v>
      </c>
      <c r="GD5" s="77">
        <v>45472</v>
      </c>
      <c r="GE5" s="77">
        <v>45473</v>
      </c>
      <c r="GF5" s="77">
        <v>45474</v>
      </c>
      <c r="GG5" s="77">
        <v>45475</v>
      </c>
      <c r="GH5" s="77">
        <v>45476</v>
      </c>
      <c r="GI5" s="77">
        <v>45477</v>
      </c>
      <c r="GJ5" s="77">
        <v>45478</v>
      </c>
      <c r="GK5" s="77">
        <v>45479</v>
      </c>
      <c r="GL5" s="77">
        <v>45480</v>
      </c>
      <c r="GM5" s="77">
        <v>45481</v>
      </c>
      <c r="GN5" s="77">
        <v>45482</v>
      </c>
      <c r="GO5" s="77">
        <v>45483</v>
      </c>
      <c r="GP5" s="77">
        <v>45484</v>
      </c>
      <c r="GQ5" s="77">
        <v>45485</v>
      </c>
      <c r="GR5" s="77">
        <v>45486</v>
      </c>
      <c r="GS5" s="77">
        <v>45487</v>
      </c>
      <c r="GT5" s="77">
        <v>45488</v>
      </c>
      <c r="GU5" s="77">
        <v>45489</v>
      </c>
      <c r="GV5" s="77">
        <v>45490</v>
      </c>
      <c r="GW5" s="77">
        <v>45491</v>
      </c>
      <c r="GX5" s="77">
        <v>45492</v>
      </c>
      <c r="GY5" s="77">
        <v>45493</v>
      </c>
      <c r="GZ5" s="77">
        <v>45494</v>
      </c>
      <c r="HA5" s="77">
        <v>45495</v>
      </c>
      <c r="HB5" s="77">
        <v>45496</v>
      </c>
      <c r="HC5" s="77">
        <v>45497</v>
      </c>
      <c r="HD5" s="77">
        <v>45498</v>
      </c>
      <c r="HE5" s="77">
        <v>45499</v>
      </c>
      <c r="HF5" s="77">
        <v>45500</v>
      </c>
      <c r="HG5" s="77">
        <v>45501</v>
      </c>
      <c r="HH5" s="77">
        <v>45502</v>
      </c>
      <c r="HI5" s="77">
        <v>45503</v>
      </c>
      <c r="HJ5" s="77">
        <v>45504</v>
      </c>
      <c r="HK5" s="77">
        <v>45505</v>
      </c>
      <c r="HL5" s="77">
        <v>45506</v>
      </c>
      <c r="HM5" s="77">
        <v>45507</v>
      </c>
      <c r="HN5" s="77">
        <v>45508</v>
      </c>
      <c r="HO5" s="77">
        <v>45509</v>
      </c>
      <c r="HP5" s="77">
        <v>45510</v>
      </c>
      <c r="HQ5" s="77">
        <v>45511</v>
      </c>
      <c r="HR5" s="77">
        <v>45512</v>
      </c>
      <c r="HS5" s="77">
        <v>45513</v>
      </c>
      <c r="HT5" s="77">
        <v>45514</v>
      </c>
      <c r="HU5" s="77">
        <v>45515</v>
      </c>
      <c r="HV5" s="77">
        <v>45516</v>
      </c>
      <c r="HW5" s="77">
        <v>45517</v>
      </c>
      <c r="HX5" s="77">
        <v>45518</v>
      </c>
      <c r="HY5" s="77">
        <v>45519</v>
      </c>
      <c r="HZ5" s="77">
        <v>45520</v>
      </c>
      <c r="IA5" s="77">
        <v>45521</v>
      </c>
      <c r="IB5" s="77">
        <v>45522</v>
      </c>
      <c r="IC5" s="77">
        <v>45523</v>
      </c>
      <c r="ID5" s="77">
        <v>45524</v>
      </c>
      <c r="IE5" s="77">
        <v>45525</v>
      </c>
      <c r="IF5" s="77">
        <v>45526</v>
      </c>
      <c r="IG5" s="77">
        <v>45527</v>
      </c>
      <c r="IH5" s="77">
        <v>45528</v>
      </c>
      <c r="II5" s="77">
        <v>45529</v>
      </c>
      <c r="IJ5" s="77">
        <v>45530</v>
      </c>
      <c r="IK5" s="77">
        <v>45531</v>
      </c>
      <c r="IL5" s="77">
        <v>45532</v>
      </c>
      <c r="IM5" s="77">
        <v>45533</v>
      </c>
      <c r="IN5" s="77">
        <v>45534</v>
      </c>
      <c r="IO5" s="77">
        <v>45535</v>
      </c>
      <c r="IP5" s="77">
        <v>45536</v>
      </c>
      <c r="IQ5" s="77">
        <v>45537</v>
      </c>
      <c r="IR5" s="77">
        <v>45538</v>
      </c>
      <c r="IS5" s="77">
        <v>45539</v>
      </c>
      <c r="IT5" s="77">
        <v>45540</v>
      </c>
      <c r="IU5" s="77">
        <v>45541</v>
      </c>
      <c r="IV5" s="77">
        <v>45542</v>
      </c>
      <c r="IW5" s="77">
        <v>45543</v>
      </c>
      <c r="IX5" s="77">
        <v>45544</v>
      </c>
      <c r="IY5" s="77">
        <v>45545</v>
      </c>
      <c r="IZ5" s="77">
        <v>45546</v>
      </c>
      <c r="JA5" s="77">
        <v>45547</v>
      </c>
      <c r="JB5" s="77">
        <v>45548</v>
      </c>
      <c r="JC5" s="77">
        <v>45549</v>
      </c>
      <c r="JD5" s="77">
        <v>45550</v>
      </c>
      <c r="JE5" s="77">
        <v>45551</v>
      </c>
      <c r="JF5" s="77">
        <v>45552</v>
      </c>
      <c r="JG5" s="77">
        <v>45553</v>
      </c>
      <c r="JH5" s="77">
        <v>45554</v>
      </c>
      <c r="JI5" s="77">
        <v>45555</v>
      </c>
      <c r="JJ5" s="77">
        <v>45556</v>
      </c>
      <c r="JK5" s="77">
        <v>45557</v>
      </c>
      <c r="JL5" s="77">
        <v>45558</v>
      </c>
      <c r="JM5" s="77">
        <v>45559</v>
      </c>
      <c r="JN5" s="77">
        <v>45560</v>
      </c>
      <c r="JO5" s="77">
        <v>45561</v>
      </c>
      <c r="JP5" s="77">
        <v>45562</v>
      </c>
      <c r="JQ5" s="77">
        <v>45563</v>
      </c>
      <c r="JR5" s="77">
        <v>45564</v>
      </c>
      <c r="JS5" s="77">
        <v>45565</v>
      </c>
      <c r="JT5" s="77">
        <v>45566</v>
      </c>
      <c r="JU5" s="77">
        <v>45567</v>
      </c>
      <c r="JV5" s="77">
        <v>45568</v>
      </c>
      <c r="JW5" s="77">
        <v>45569</v>
      </c>
      <c r="JX5" s="77">
        <v>45570</v>
      </c>
      <c r="JY5" s="77">
        <v>45571</v>
      </c>
      <c r="JZ5" s="77">
        <v>45572</v>
      </c>
      <c r="KA5" s="77">
        <v>45573</v>
      </c>
      <c r="KB5" s="77">
        <v>45574</v>
      </c>
      <c r="KC5" s="77">
        <v>45575</v>
      </c>
      <c r="KD5" s="77">
        <v>45576</v>
      </c>
      <c r="KE5" s="77">
        <v>45577</v>
      </c>
      <c r="KF5" s="77">
        <v>45578</v>
      </c>
      <c r="KG5" s="77">
        <v>45579</v>
      </c>
      <c r="KH5" s="77">
        <v>45580</v>
      </c>
      <c r="KI5" s="77">
        <v>45581</v>
      </c>
      <c r="KJ5" s="77">
        <v>45582</v>
      </c>
      <c r="KK5" s="77">
        <v>45583</v>
      </c>
      <c r="KL5" s="77">
        <v>45584</v>
      </c>
      <c r="KM5" s="77">
        <v>45585</v>
      </c>
      <c r="KN5" s="77">
        <v>45586</v>
      </c>
      <c r="KO5" s="77">
        <v>45587</v>
      </c>
      <c r="KP5" s="77">
        <v>45588</v>
      </c>
      <c r="KQ5" s="77">
        <v>45589</v>
      </c>
      <c r="KR5" s="77">
        <v>45590</v>
      </c>
      <c r="KS5" s="77">
        <v>45591</v>
      </c>
      <c r="KT5" s="77">
        <v>45592</v>
      </c>
      <c r="KU5" s="77">
        <v>45593</v>
      </c>
      <c r="KV5" s="77">
        <v>45594</v>
      </c>
      <c r="KW5" s="77">
        <v>45595</v>
      </c>
      <c r="KX5" s="77">
        <v>45596</v>
      </c>
      <c r="KY5" s="77">
        <v>45597</v>
      </c>
      <c r="KZ5" s="77">
        <v>45598</v>
      </c>
      <c r="LA5" s="77">
        <v>45599</v>
      </c>
      <c r="LB5" s="77">
        <v>45600</v>
      </c>
      <c r="LC5" s="77">
        <v>45601</v>
      </c>
      <c r="LD5" s="77">
        <v>45602</v>
      </c>
      <c r="LE5" s="77">
        <v>45603</v>
      </c>
      <c r="LF5" s="77">
        <v>45604</v>
      </c>
      <c r="LG5" s="77">
        <v>45605</v>
      </c>
      <c r="LH5" s="77">
        <v>45606</v>
      </c>
      <c r="LI5" s="77">
        <v>45607</v>
      </c>
      <c r="LJ5" s="77">
        <v>45608</v>
      </c>
      <c r="LK5" s="77">
        <v>45609</v>
      </c>
      <c r="LL5" s="77">
        <v>45610</v>
      </c>
      <c r="LM5" s="77">
        <v>45611</v>
      </c>
      <c r="LN5" s="77">
        <v>45612</v>
      </c>
      <c r="LO5" s="77">
        <v>45613</v>
      </c>
      <c r="LP5" s="77">
        <v>45614</v>
      </c>
      <c r="LQ5" s="77">
        <v>45615</v>
      </c>
      <c r="LR5" s="77">
        <v>45616</v>
      </c>
      <c r="LS5" s="77">
        <v>45617</v>
      </c>
      <c r="LT5" s="77">
        <v>45618</v>
      </c>
      <c r="LU5" s="77">
        <v>45619</v>
      </c>
      <c r="LV5" s="77">
        <v>45620</v>
      </c>
      <c r="LW5" s="77">
        <v>45621</v>
      </c>
      <c r="LX5" s="77">
        <v>45622</v>
      </c>
      <c r="LY5" s="77">
        <v>45623</v>
      </c>
      <c r="LZ5" s="77">
        <v>45624</v>
      </c>
      <c r="MA5" s="77">
        <v>45625</v>
      </c>
      <c r="MB5" s="77">
        <v>45626</v>
      </c>
      <c r="MC5" s="77">
        <v>45627</v>
      </c>
      <c r="MD5" s="77">
        <v>45628</v>
      </c>
      <c r="ME5" s="77">
        <v>45629</v>
      </c>
      <c r="MF5" s="77">
        <v>45630</v>
      </c>
      <c r="MG5" s="77">
        <v>45631</v>
      </c>
      <c r="MH5" s="77">
        <v>45632</v>
      </c>
      <c r="MI5" s="77">
        <v>45633</v>
      </c>
      <c r="MJ5" s="77">
        <v>45634</v>
      </c>
      <c r="MK5" s="77">
        <v>45635</v>
      </c>
      <c r="ML5" s="77">
        <v>45636</v>
      </c>
      <c r="MM5" s="77">
        <v>45637</v>
      </c>
      <c r="MN5" s="77">
        <v>45638</v>
      </c>
      <c r="MO5" s="77">
        <v>45639</v>
      </c>
      <c r="MP5" s="77">
        <v>45640</v>
      </c>
      <c r="MQ5" s="77">
        <v>45641</v>
      </c>
      <c r="MR5" s="77">
        <v>45642</v>
      </c>
      <c r="MS5" s="77">
        <v>45643</v>
      </c>
      <c r="MT5" s="77">
        <v>45644</v>
      </c>
      <c r="MU5" s="77">
        <v>45645</v>
      </c>
      <c r="MV5" s="77">
        <v>45646</v>
      </c>
      <c r="MW5" s="77">
        <v>45647</v>
      </c>
      <c r="MX5" s="77">
        <v>45648</v>
      </c>
      <c r="MY5" s="77">
        <v>45649</v>
      </c>
      <c r="MZ5" s="77">
        <v>45650</v>
      </c>
      <c r="NA5" s="77">
        <v>45651</v>
      </c>
      <c r="NB5" s="77">
        <v>45652</v>
      </c>
      <c r="NC5" s="77">
        <v>45653</v>
      </c>
      <c r="ND5" s="77">
        <v>45654</v>
      </c>
      <c r="NE5" s="77">
        <v>45655</v>
      </c>
      <c r="NF5" s="77">
        <v>45656</v>
      </c>
      <c r="NG5" s="77">
        <v>45657</v>
      </c>
      <c r="NH5" s="114"/>
      <c r="NI5" s="114"/>
      <c r="NJ5" s="4" t="s">
        <v>7</v>
      </c>
      <c r="NK5" s="5">
        <v>31</v>
      </c>
      <c r="NL5" s="3"/>
      <c r="NM5" s="3"/>
    </row>
    <row r="6" spans="1:377" x14ac:dyDescent="0.25">
      <c r="A6" s="6">
        <v>1</v>
      </c>
      <c r="B6" s="7"/>
      <c r="C6" s="8"/>
      <c r="D6" s="9"/>
      <c r="E6" s="10" t="s">
        <v>33</v>
      </c>
      <c r="F6" s="11"/>
      <c r="G6" s="12"/>
      <c r="H6" s="11"/>
      <c r="I6" s="12"/>
      <c r="J6" s="12"/>
      <c r="K6" s="13"/>
      <c r="L6" s="12"/>
      <c r="M6" s="12"/>
      <c r="N6" s="11"/>
      <c r="O6" s="11"/>
      <c r="P6" s="12"/>
      <c r="Q6" s="12"/>
      <c r="R6" s="13"/>
      <c r="S6" s="13"/>
      <c r="T6" s="12"/>
      <c r="U6" s="14"/>
      <c r="V6" s="11"/>
      <c r="W6" s="12"/>
      <c r="X6" s="12"/>
      <c r="Y6" s="13"/>
      <c r="Z6" s="12"/>
      <c r="AA6" s="12"/>
      <c r="AB6" s="12"/>
      <c r="AC6" s="12"/>
      <c r="AD6" s="12"/>
      <c r="AE6" s="12"/>
      <c r="AF6" s="13"/>
      <c r="AG6" s="12"/>
      <c r="AH6" s="12"/>
      <c r="AI6" s="12"/>
      <c r="AJ6" s="12"/>
      <c r="AK6" s="15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5">
        <f>COUNTIF(F6:NG6,"P")</f>
        <v>0</v>
      </c>
      <c r="NI6" s="5">
        <f>COUNTIF(F6:NG6,"A")</f>
        <v>0</v>
      </c>
      <c r="NJ6" s="5" t="s">
        <v>9</v>
      </c>
      <c r="NK6" s="17">
        <v>26</v>
      </c>
      <c r="NL6" s="18" t="s">
        <v>10</v>
      </c>
      <c r="NM6" s="3"/>
    </row>
    <row r="7" spans="1:377" ht="20.25" customHeight="1" x14ac:dyDescent="0.25">
      <c r="A7" s="17">
        <v>2</v>
      </c>
      <c r="B7" s="19"/>
      <c r="C7" s="20"/>
      <c r="D7" s="21"/>
      <c r="E7" s="10" t="s">
        <v>33</v>
      </c>
      <c r="F7" s="11"/>
      <c r="G7" s="12"/>
      <c r="H7" s="11"/>
      <c r="I7" s="12"/>
      <c r="J7" s="12"/>
      <c r="K7" s="13"/>
      <c r="L7" s="12"/>
      <c r="M7" s="12"/>
      <c r="N7" s="11"/>
      <c r="O7" s="11"/>
      <c r="P7" s="12"/>
      <c r="Q7" s="12"/>
      <c r="R7" s="13"/>
      <c r="S7" s="13"/>
      <c r="T7" s="12"/>
      <c r="U7" s="14"/>
      <c r="V7" s="11"/>
      <c r="W7" s="12"/>
      <c r="X7" s="12"/>
      <c r="Y7" s="13"/>
      <c r="Z7" s="12"/>
      <c r="AA7" s="12"/>
      <c r="AB7" s="12"/>
      <c r="AC7" s="12"/>
      <c r="AD7" s="12"/>
      <c r="AE7" s="12"/>
      <c r="AF7" s="13"/>
      <c r="AG7" s="12"/>
      <c r="AH7" s="12"/>
      <c r="AI7" s="12"/>
      <c r="AJ7" s="12"/>
      <c r="AK7" s="15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5">
        <f t="shared" ref="NH7:NH45" si="6">COUNTIF(F7:NG7,"P")</f>
        <v>0</v>
      </c>
      <c r="NI7" s="5">
        <f t="shared" ref="NI7:NI45" si="7">COUNTIF(F7:NG7,"A")</f>
        <v>0</v>
      </c>
      <c r="NJ7" s="5" t="s">
        <v>11</v>
      </c>
      <c r="NK7" s="17">
        <v>4</v>
      </c>
      <c r="NL7" s="3"/>
      <c r="NM7" s="3"/>
    </row>
    <row r="8" spans="1:377" x14ac:dyDescent="0.25">
      <c r="A8" s="6">
        <v>3</v>
      </c>
      <c r="B8" s="19"/>
      <c r="C8" s="20"/>
      <c r="D8" s="21"/>
      <c r="E8" s="10" t="s">
        <v>33</v>
      </c>
      <c r="F8" s="11"/>
      <c r="G8" s="12"/>
      <c r="H8" s="11"/>
      <c r="I8" s="12"/>
      <c r="J8" s="12"/>
      <c r="K8" s="13"/>
      <c r="L8" s="12"/>
      <c r="M8" s="12"/>
      <c r="N8" s="11"/>
      <c r="O8" s="11"/>
      <c r="P8" s="12"/>
      <c r="Q8" s="12"/>
      <c r="R8" s="13"/>
      <c r="S8" s="13"/>
      <c r="T8" s="12"/>
      <c r="U8" s="14"/>
      <c r="V8" s="11"/>
      <c r="W8" s="12"/>
      <c r="X8" s="12"/>
      <c r="Y8" s="13"/>
      <c r="Z8" s="12"/>
      <c r="AA8" s="12"/>
      <c r="AB8" s="12"/>
      <c r="AC8" s="12"/>
      <c r="AD8" s="12"/>
      <c r="AE8" s="12"/>
      <c r="AF8" s="13"/>
      <c r="AG8" s="12"/>
      <c r="AH8" s="12"/>
      <c r="AI8" s="12"/>
      <c r="AJ8" s="12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5">
        <f t="shared" si="6"/>
        <v>0</v>
      </c>
      <c r="NI8" s="5">
        <f t="shared" si="7"/>
        <v>0</v>
      </c>
      <c r="NJ8" s="3"/>
      <c r="NK8" s="3"/>
      <c r="NL8" s="3"/>
      <c r="NM8" s="3"/>
    </row>
    <row r="9" spans="1:377" ht="15.75" x14ac:dyDescent="0.25">
      <c r="A9" s="17">
        <v>4</v>
      </c>
      <c r="B9" s="19"/>
      <c r="C9" s="20"/>
      <c r="D9" s="21"/>
      <c r="E9" s="10" t="s">
        <v>33</v>
      </c>
      <c r="F9" s="11"/>
      <c r="G9" s="12"/>
      <c r="H9" s="11"/>
      <c r="I9" s="12"/>
      <c r="J9" s="12"/>
      <c r="K9" s="13"/>
      <c r="L9" s="12"/>
      <c r="M9" s="12"/>
      <c r="N9" s="11"/>
      <c r="O9" s="11"/>
      <c r="P9" s="12"/>
      <c r="Q9" s="12"/>
      <c r="R9" s="13"/>
      <c r="S9" s="13"/>
      <c r="T9" s="12"/>
      <c r="U9" s="14"/>
      <c r="V9" s="11"/>
      <c r="W9" s="12"/>
      <c r="X9" s="12"/>
      <c r="Y9" s="13"/>
      <c r="Z9" s="12"/>
      <c r="AA9" s="12"/>
      <c r="AB9" s="12"/>
      <c r="AC9" s="12"/>
      <c r="AD9" s="12"/>
      <c r="AE9" s="12"/>
      <c r="AF9" s="13"/>
      <c r="AG9" s="12"/>
      <c r="AH9" s="12"/>
      <c r="AI9" s="12"/>
      <c r="AJ9" s="12"/>
      <c r="AK9" s="22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5">
        <f t="shared" si="6"/>
        <v>0</v>
      </c>
      <c r="NI9" s="5">
        <f t="shared" si="7"/>
        <v>0</v>
      </c>
      <c r="NJ9" s="103" t="s">
        <v>12</v>
      </c>
      <c r="NK9" s="105"/>
      <c r="NL9" s="105"/>
      <c r="NM9" s="104"/>
    </row>
    <row r="10" spans="1:377" x14ac:dyDescent="0.25">
      <c r="A10" s="6">
        <v>5</v>
      </c>
      <c r="B10" s="19"/>
      <c r="C10" s="20"/>
      <c r="D10" s="21"/>
      <c r="E10" s="10" t="s">
        <v>33</v>
      </c>
      <c r="F10" s="11"/>
      <c r="G10" s="12"/>
      <c r="H10" s="11"/>
      <c r="I10" s="12"/>
      <c r="J10" s="12"/>
      <c r="K10" s="13"/>
      <c r="L10" s="12"/>
      <c r="M10" s="12"/>
      <c r="N10" s="11"/>
      <c r="O10" s="11"/>
      <c r="P10" s="12"/>
      <c r="Q10" s="12"/>
      <c r="R10" s="13"/>
      <c r="S10" s="13"/>
      <c r="T10" s="12"/>
      <c r="U10" s="14"/>
      <c r="V10" s="11"/>
      <c r="W10" s="12"/>
      <c r="X10" s="12"/>
      <c r="Y10" s="13"/>
      <c r="Z10" s="12"/>
      <c r="AA10" s="12"/>
      <c r="AB10" s="12"/>
      <c r="AC10" s="12"/>
      <c r="AD10" s="12"/>
      <c r="AE10" s="12"/>
      <c r="AF10" s="13"/>
      <c r="AG10" s="12"/>
      <c r="AH10" s="12"/>
      <c r="AI10" s="12"/>
      <c r="AJ10" s="12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5">
        <f t="shared" si="6"/>
        <v>0</v>
      </c>
      <c r="NI10" s="5">
        <f t="shared" si="7"/>
        <v>0</v>
      </c>
      <c r="NJ10" s="5" t="s">
        <v>13</v>
      </c>
      <c r="NK10" s="5" t="s">
        <v>14</v>
      </c>
      <c r="NL10" s="5" t="s">
        <v>15</v>
      </c>
      <c r="NM10" s="5" t="s">
        <v>16</v>
      </c>
    </row>
    <row r="11" spans="1:377" x14ac:dyDescent="0.25">
      <c r="A11" s="17">
        <v>6</v>
      </c>
      <c r="B11" s="19"/>
      <c r="C11" s="20"/>
      <c r="D11" s="21"/>
      <c r="E11" s="10" t="s">
        <v>33</v>
      </c>
      <c r="F11" s="11"/>
      <c r="G11" s="12"/>
      <c r="H11" s="11"/>
      <c r="I11" s="12"/>
      <c r="J11" s="12"/>
      <c r="K11" s="13"/>
      <c r="L11" s="12"/>
      <c r="M11" s="12"/>
      <c r="N11" s="11"/>
      <c r="O11" s="11"/>
      <c r="P11" s="12"/>
      <c r="Q11" s="12"/>
      <c r="R11" s="13"/>
      <c r="S11" s="13"/>
      <c r="T11" s="12"/>
      <c r="U11" s="14"/>
      <c r="V11" s="11"/>
      <c r="W11" s="12"/>
      <c r="X11" s="12"/>
      <c r="Y11" s="13"/>
      <c r="Z11" s="12"/>
      <c r="AA11" s="12"/>
      <c r="AB11" s="12"/>
      <c r="AC11" s="12"/>
      <c r="AD11" s="12"/>
      <c r="AE11" s="12"/>
      <c r="AF11" s="13"/>
      <c r="AG11" s="12"/>
      <c r="AH11" s="12"/>
      <c r="AI11" s="12"/>
      <c r="AJ11" s="1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5">
        <f t="shared" si="6"/>
        <v>0</v>
      </c>
      <c r="NI11" s="5">
        <f t="shared" si="7"/>
        <v>0</v>
      </c>
      <c r="NJ11" s="5" t="s">
        <v>17</v>
      </c>
      <c r="NK11" s="17">
        <f>19*26</f>
        <v>494</v>
      </c>
      <c r="NL11" s="17">
        <f>21*26</f>
        <v>546</v>
      </c>
      <c r="NM11" s="17">
        <f>SUM(NK11:NL11)</f>
        <v>1040</v>
      </c>
    </row>
    <row r="12" spans="1:377" x14ac:dyDescent="0.25">
      <c r="A12" s="6">
        <v>7</v>
      </c>
      <c r="B12" s="19"/>
      <c r="C12" s="20"/>
      <c r="D12" s="21"/>
      <c r="E12" s="10" t="s">
        <v>33</v>
      </c>
      <c r="F12" s="11"/>
      <c r="G12" s="12"/>
      <c r="H12" s="11"/>
      <c r="I12" s="12"/>
      <c r="J12" s="12"/>
      <c r="K12" s="13"/>
      <c r="L12" s="12"/>
      <c r="M12" s="12"/>
      <c r="N12" s="11"/>
      <c r="O12" s="11"/>
      <c r="P12" s="12"/>
      <c r="Q12" s="12"/>
      <c r="R12" s="13"/>
      <c r="S12" s="13"/>
      <c r="T12" s="12"/>
      <c r="U12" s="14"/>
      <c r="V12" s="11"/>
      <c r="W12" s="12"/>
      <c r="X12" s="12"/>
      <c r="Y12" s="13"/>
      <c r="Z12" s="12"/>
      <c r="AA12" s="12"/>
      <c r="AB12" s="12"/>
      <c r="AC12" s="12"/>
      <c r="AD12" s="12"/>
      <c r="AE12" s="12"/>
      <c r="AF12" s="13"/>
      <c r="AG12" s="12"/>
      <c r="AH12" s="12"/>
      <c r="AI12" s="12"/>
      <c r="AJ12" s="1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5">
        <f t="shared" si="6"/>
        <v>0</v>
      </c>
      <c r="NI12" s="5">
        <f t="shared" si="7"/>
        <v>0</v>
      </c>
      <c r="NJ12" s="5" t="s">
        <v>18</v>
      </c>
      <c r="NK12" s="17">
        <f>NH7+NH8+NH9+NH12+NH13+NH14+NH16+NH20+NH21+NH22+NH23+NH24+NH25+NH26+NH27+NH29+NH30+NH32+NH43</f>
        <v>0</v>
      </c>
      <c r="NL12" s="17">
        <f>NH6+NH10+NH11+NH15+NH17+NH18+NH19+NH28+NH31+NH33+NH34+NH35+NH36+NH37+NH38+NH39+NH40+NH41+NH42+NH44+NH45</f>
        <v>0</v>
      </c>
      <c r="NM12" s="17">
        <f>NK12+NL12</f>
        <v>0</v>
      </c>
    </row>
    <row r="13" spans="1:377" x14ac:dyDescent="0.25">
      <c r="A13" s="17">
        <v>8</v>
      </c>
      <c r="B13" s="19"/>
      <c r="C13" s="20"/>
      <c r="D13" s="21"/>
      <c r="E13" s="10" t="s">
        <v>33</v>
      </c>
      <c r="F13" s="11"/>
      <c r="G13" s="12"/>
      <c r="H13" s="11"/>
      <c r="I13" s="12"/>
      <c r="J13" s="12"/>
      <c r="K13" s="13"/>
      <c r="L13" s="12"/>
      <c r="M13" s="12"/>
      <c r="N13" s="11"/>
      <c r="O13" s="11"/>
      <c r="P13" s="12"/>
      <c r="Q13" s="12"/>
      <c r="R13" s="13"/>
      <c r="S13" s="13"/>
      <c r="T13" s="12"/>
      <c r="U13" s="14"/>
      <c r="V13" s="11"/>
      <c r="W13" s="12"/>
      <c r="X13" s="12"/>
      <c r="Y13" s="13"/>
      <c r="Z13" s="12"/>
      <c r="AA13" s="12"/>
      <c r="AB13" s="12"/>
      <c r="AC13" s="12"/>
      <c r="AD13" s="12"/>
      <c r="AE13" s="12"/>
      <c r="AF13" s="13"/>
      <c r="AG13" s="12"/>
      <c r="AH13" s="12"/>
      <c r="AI13" s="12"/>
      <c r="AJ13" s="1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5">
        <f t="shared" si="6"/>
        <v>0</v>
      </c>
      <c r="NI13" s="5">
        <f t="shared" si="7"/>
        <v>0</v>
      </c>
      <c r="NJ13" s="5" t="s">
        <v>19</v>
      </c>
      <c r="NK13" s="17">
        <f>NK12/NK11</f>
        <v>0</v>
      </c>
      <c r="NL13" s="17">
        <f>NL12/NL11</f>
        <v>0</v>
      </c>
      <c r="NM13" s="17">
        <f>NM12/NM11</f>
        <v>0</v>
      </c>
    </row>
    <row r="14" spans="1:377" x14ac:dyDescent="0.25">
      <c r="A14" s="6">
        <v>9</v>
      </c>
      <c r="B14" s="19"/>
      <c r="C14" s="20"/>
      <c r="D14" s="21"/>
      <c r="E14" s="10" t="s">
        <v>33</v>
      </c>
      <c r="F14" s="11"/>
      <c r="G14" s="12"/>
      <c r="H14" s="11"/>
      <c r="I14" s="12"/>
      <c r="J14" s="12"/>
      <c r="K14" s="13"/>
      <c r="L14" s="12"/>
      <c r="M14" s="12"/>
      <c r="N14" s="11"/>
      <c r="O14" s="11"/>
      <c r="P14" s="12"/>
      <c r="Q14" s="12"/>
      <c r="R14" s="13"/>
      <c r="S14" s="13"/>
      <c r="T14" s="12"/>
      <c r="U14" s="14"/>
      <c r="V14" s="11"/>
      <c r="W14" s="12"/>
      <c r="X14" s="12"/>
      <c r="Y14" s="13"/>
      <c r="Z14" s="12"/>
      <c r="AA14" s="12"/>
      <c r="AB14" s="12"/>
      <c r="AC14" s="12"/>
      <c r="AD14" s="12"/>
      <c r="AE14" s="12"/>
      <c r="AF14" s="13"/>
      <c r="AG14" s="12"/>
      <c r="AH14" s="12"/>
      <c r="AI14" s="12"/>
      <c r="AJ14" s="12"/>
      <c r="AK14" s="23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5">
        <f t="shared" si="6"/>
        <v>0</v>
      </c>
      <c r="NI14" s="5">
        <f t="shared" si="7"/>
        <v>0</v>
      </c>
      <c r="NJ14" s="3"/>
      <c r="NK14" s="24"/>
      <c r="NL14" s="24"/>
      <c r="NM14" s="24"/>
    </row>
    <row r="15" spans="1:377" x14ac:dyDescent="0.25">
      <c r="A15" s="17">
        <v>10</v>
      </c>
      <c r="B15" s="25"/>
      <c r="C15" s="20"/>
      <c r="D15" s="21"/>
      <c r="E15" s="10" t="s">
        <v>33</v>
      </c>
      <c r="F15" s="11"/>
      <c r="G15" s="12"/>
      <c r="H15" s="11"/>
      <c r="I15" s="12"/>
      <c r="J15" s="12"/>
      <c r="K15" s="13"/>
      <c r="L15" s="12"/>
      <c r="M15" s="12"/>
      <c r="N15" s="11"/>
      <c r="O15" s="11"/>
      <c r="P15" s="12"/>
      <c r="Q15" s="12"/>
      <c r="R15" s="13"/>
      <c r="S15" s="13"/>
      <c r="T15" s="12"/>
      <c r="U15" s="14"/>
      <c r="V15" s="11"/>
      <c r="W15" s="12"/>
      <c r="X15" s="12"/>
      <c r="Y15" s="13"/>
      <c r="Z15" s="12"/>
      <c r="AA15" s="12"/>
      <c r="AB15" s="12"/>
      <c r="AC15" s="12"/>
      <c r="AD15" s="12"/>
      <c r="AE15" s="12"/>
      <c r="AF15" s="13"/>
      <c r="AG15" s="12"/>
      <c r="AH15" s="12"/>
      <c r="AI15" s="12"/>
      <c r="AJ15" s="1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5">
        <f t="shared" si="6"/>
        <v>0</v>
      </c>
      <c r="NI15" s="5">
        <f t="shared" si="7"/>
        <v>0</v>
      </c>
      <c r="NJ15" s="26"/>
      <c r="NK15" s="26"/>
      <c r="NL15" s="26"/>
      <c r="NM15" s="26"/>
    </row>
    <row r="16" spans="1:377" x14ac:dyDescent="0.25">
      <c r="A16" s="6">
        <v>11</v>
      </c>
      <c r="B16" s="19"/>
      <c r="C16" s="20"/>
      <c r="D16" s="21"/>
      <c r="E16" s="10" t="s">
        <v>33</v>
      </c>
      <c r="F16" s="11"/>
      <c r="G16" s="12"/>
      <c r="H16" s="11"/>
      <c r="I16" s="12"/>
      <c r="J16" s="12"/>
      <c r="K16" s="13"/>
      <c r="L16" s="12"/>
      <c r="M16" s="12"/>
      <c r="N16" s="11"/>
      <c r="O16" s="11"/>
      <c r="P16" s="12"/>
      <c r="Q16" s="12"/>
      <c r="R16" s="13"/>
      <c r="S16" s="13"/>
      <c r="T16" s="12"/>
      <c r="U16" s="14"/>
      <c r="V16" s="11"/>
      <c r="W16" s="12"/>
      <c r="X16" s="12"/>
      <c r="Y16" s="13"/>
      <c r="Z16" s="12"/>
      <c r="AA16" s="12"/>
      <c r="AB16" s="12"/>
      <c r="AC16" s="12"/>
      <c r="AD16" s="12"/>
      <c r="AE16" s="12"/>
      <c r="AF16" s="13"/>
      <c r="AG16" s="12"/>
      <c r="AH16" s="12"/>
      <c r="AI16" s="12"/>
      <c r="AJ16" s="1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5">
        <f t="shared" si="6"/>
        <v>0</v>
      </c>
      <c r="NI16" s="5">
        <f t="shared" si="7"/>
        <v>0</v>
      </c>
      <c r="NJ16" s="3"/>
      <c r="NK16" s="3"/>
      <c r="NL16" s="3"/>
      <c r="NM16" s="3"/>
    </row>
    <row r="17" spans="1:377" ht="15.75" x14ac:dyDescent="0.25">
      <c r="A17" s="17">
        <v>12</v>
      </c>
      <c r="B17" s="19"/>
      <c r="C17" s="20"/>
      <c r="D17" s="21"/>
      <c r="E17" s="10" t="s">
        <v>33</v>
      </c>
      <c r="F17" s="11"/>
      <c r="G17" s="12"/>
      <c r="H17" s="11"/>
      <c r="I17" s="12"/>
      <c r="J17" s="12"/>
      <c r="K17" s="13"/>
      <c r="L17" s="12"/>
      <c r="M17" s="12"/>
      <c r="N17" s="11"/>
      <c r="O17" s="11"/>
      <c r="P17" s="12"/>
      <c r="Q17" s="12"/>
      <c r="R17" s="13"/>
      <c r="S17" s="13"/>
      <c r="T17" s="12"/>
      <c r="U17" s="14"/>
      <c r="V17" s="11"/>
      <c r="W17" s="12"/>
      <c r="X17" s="12"/>
      <c r="Y17" s="13"/>
      <c r="Z17" s="12"/>
      <c r="AA17" s="12"/>
      <c r="AB17" s="12"/>
      <c r="AC17" s="12"/>
      <c r="AD17" s="12"/>
      <c r="AE17" s="12"/>
      <c r="AF17" s="13"/>
      <c r="AG17" s="12"/>
      <c r="AH17" s="12"/>
      <c r="AI17" s="12"/>
      <c r="AJ17" s="1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5">
        <f t="shared" si="6"/>
        <v>0</v>
      </c>
      <c r="NI17" s="5">
        <f t="shared" si="7"/>
        <v>0</v>
      </c>
      <c r="NJ17" s="103" t="s">
        <v>6</v>
      </c>
      <c r="NK17" s="105"/>
      <c r="NL17" s="105"/>
      <c r="NM17" s="104"/>
    </row>
    <row r="18" spans="1:377" x14ac:dyDescent="0.25">
      <c r="A18" s="6">
        <v>13</v>
      </c>
      <c r="B18" s="19"/>
      <c r="C18" s="20"/>
      <c r="D18" s="21"/>
      <c r="E18" s="10" t="s">
        <v>33</v>
      </c>
      <c r="F18" s="11"/>
      <c r="G18" s="12"/>
      <c r="H18" s="11"/>
      <c r="I18" s="12"/>
      <c r="J18" s="12"/>
      <c r="K18" s="13"/>
      <c r="L18" s="12"/>
      <c r="M18" s="12"/>
      <c r="N18" s="11"/>
      <c r="O18" s="11"/>
      <c r="P18" s="12"/>
      <c r="Q18" s="12"/>
      <c r="R18" s="13"/>
      <c r="S18" s="13"/>
      <c r="T18" s="12"/>
      <c r="U18" s="14"/>
      <c r="V18" s="11"/>
      <c r="W18" s="12"/>
      <c r="X18" s="12"/>
      <c r="Y18" s="13"/>
      <c r="Z18" s="12"/>
      <c r="AA18" s="12"/>
      <c r="AB18" s="12"/>
      <c r="AC18" s="12"/>
      <c r="AD18" s="12"/>
      <c r="AE18" s="12"/>
      <c r="AF18" s="13"/>
      <c r="AG18" s="12"/>
      <c r="AH18" s="12"/>
      <c r="AI18" s="12"/>
      <c r="AJ18" s="1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5">
        <f t="shared" si="6"/>
        <v>0</v>
      </c>
      <c r="NI18" s="5">
        <f t="shared" si="7"/>
        <v>0</v>
      </c>
      <c r="NJ18" s="5" t="s">
        <v>13</v>
      </c>
      <c r="NK18" s="5" t="s">
        <v>14</v>
      </c>
      <c r="NL18" s="5" t="s">
        <v>15</v>
      </c>
      <c r="NM18" s="5" t="s">
        <v>16</v>
      </c>
    </row>
    <row r="19" spans="1:377" x14ac:dyDescent="0.25">
      <c r="A19" s="17">
        <v>14</v>
      </c>
      <c r="B19" s="19"/>
      <c r="C19" s="20"/>
      <c r="D19" s="21"/>
      <c r="E19" s="10" t="s">
        <v>33</v>
      </c>
      <c r="F19" s="11"/>
      <c r="G19" s="12"/>
      <c r="H19" s="11"/>
      <c r="I19" s="12"/>
      <c r="J19" s="12"/>
      <c r="K19" s="13"/>
      <c r="L19" s="12"/>
      <c r="M19" s="12"/>
      <c r="N19" s="11"/>
      <c r="O19" s="11"/>
      <c r="P19" s="12"/>
      <c r="Q19" s="12"/>
      <c r="R19" s="13"/>
      <c r="S19" s="13"/>
      <c r="T19" s="12"/>
      <c r="U19" s="14"/>
      <c r="V19" s="11"/>
      <c r="W19" s="12"/>
      <c r="X19" s="12"/>
      <c r="Y19" s="13"/>
      <c r="Z19" s="12"/>
      <c r="AA19" s="12"/>
      <c r="AB19" s="12"/>
      <c r="AC19" s="12"/>
      <c r="AD19" s="12"/>
      <c r="AE19" s="12"/>
      <c r="AF19" s="13"/>
      <c r="AG19" s="12"/>
      <c r="AH19" s="12"/>
      <c r="AI19" s="12"/>
      <c r="AJ19" s="1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5">
        <f t="shared" si="6"/>
        <v>0</v>
      </c>
      <c r="NI19" s="5">
        <f t="shared" si="7"/>
        <v>0</v>
      </c>
      <c r="NJ19" s="5" t="s">
        <v>17</v>
      </c>
      <c r="NK19" s="17">
        <f>19*26</f>
        <v>494</v>
      </c>
      <c r="NL19" s="17">
        <f>21*26</f>
        <v>546</v>
      </c>
      <c r="NM19" s="17">
        <f>NK19+NL19</f>
        <v>1040</v>
      </c>
    </row>
    <row r="20" spans="1:377" x14ac:dyDescent="0.25">
      <c r="A20" s="6">
        <v>15</v>
      </c>
      <c r="B20" s="19"/>
      <c r="C20" s="20"/>
      <c r="D20" s="21"/>
      <c r="E20" s="10" t="s">
        <v>33</v>
      </c>
      <c r="F20" s="11"/>
      <c r="G20" s="12"/>
      <c r="H20" s="11"/>
      <c r="I20" s="12"/>
      <c r="J20" s="12"/>
      <c r="K20" s="13"/>
      <c r="L20" s="12"/>
      <c r="M20" s="12"/>
      <c r="N20" s="11"/>
      <c r="O20" s="11"/>
      <c r="P20" s="12"/>
      <c r="Q20" s="12"/>
      <c r="R20" s="13"/>
      <c r="S20" s="13"/>
      <c r="T20" s="12"/>
      <c r="U20" s="14"/>
      <c r="V20" s="11"/>
      <c r="W20" s="12"/>
      <c r="X20" s="12"/>
      <c r="Y20" s="13"/>
      <c r="Z20" s="12"/>
      <c r="AA20" s="12"/>
      <c r="AB20" s="12"/>
      <c r="AC20" s="12"/>
      <c r="AD20" s="12"/>
      <c r="AE20" s="12"/>
      <c r="AF20" s="13"/>
      <c r="AG20" s="12"/>
      <c r="AH20" s="12"/>
      <c r="AI20" s="12"/>
      <c r="AJ20" s="1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5">
        <f t="shared" si="6"/>
        <v>0</v>
      </c>
      <c r="NI20" s="5">
        <f t="shared" si="7"/>
        <v>0</v>
      </c>
      <c r="NJ20" s="5" t="s">
        <v>20</v>
      </c>
      <c r="NK20" s="17">
        <f>NK19-NK12</f>
        <v>494</v>
      </c>
      <c r="NL20" s="17">
        <f>NL19-NL12</f>
        <v>546</v>
      </c>
      <c r="NM20" s="17">
        <f>NK20+NL20</f>
        <v>1040</v>
      </c>
    </row>
    <row r="21" spans="1:377" x14ac:dyDescent="0.25">
      <c r="A21" s="17">
        <v>16</v>
      </c>
      <c r="B21" s="19"/>
      <c r="C21" s="20"/>
      <c r="D21" s="21"/>
      <c r="E21" s="10" t="s">
        <v>33</v>
      </c>
      <c r="F21" s="11"/>
      <c r="G21" s="12"/>
      <c r="H21" s="11"/>
      <c r="I21" s="12"/>
      <c r="J21" s="12"/>
      <c r="K21" s="13"/>
      <c r="L21" s="12"/>
      <c r="M21" s="12"/>
      <c r="N21" s="11"/>
      <c r="O21" s="11"/>
      <c r="P21" s="12"/>
      <c r="Q21" s="12"/>
      <c r="R21" s="13"/>
      <c r="S21" s="13"/>
      <c r="T21" s="12"/>
      <c r="U21" s="14"/>
      <c r="V21" s="11"/>
      <c r="W21" s="12"/>
      <c r="X21" s="12"/>
      <c r="Y21" s="13"/>
      <c r="Z21" s="12"/>
      <c r="AA21" s="12"/>
      <c r="AB21" s="12"/>
      <c r="AC21" s="12"/>
      <c r="AD21" s="12"/>
      <c r="AE21" s="12"/>
      <c r="AF21" s="13"/>
      <c r="AG21" s="12"/>
      <c r="AH21" s="12"/>
      <c r="AI21" s="12"/>
      <c r="AJ21" s="1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5">
        <f t="shared" si="6"/>
        <v>0</v>
      </c>
      <c r="NI21" s="5">
        <f t="shared" si="7"/>
        <v>0</v>
      </c>
      <c r="NJ21" s="5" t="s">
        <v>16</v>
      </c>
      <c r="NK21" s="27">
        <f>NK20/NK19</f>
        <v>1</v>
      </c>
      <c r="NL21" s="27">
        <f>NL20/NL19</f>
        <v>1</v>
      </c>
      <c r="NM21" s="27">
        <f>NM20/NM19</f>
        <v>1</v>
      </c>
    </row>
    <row r="22" spans="1:377" x14ac:dyDescent="0.25">
      <c r="A22" s="6">
        <v>17</v>
      </c>
      <c r="B22" s="19"/>
      <c r="C22" s="20"/>
      <c r="D22" s="21"/>
      <c r="E22" s="10" t="s">
        <v>33</v>
      </c>
      <c r="F22" s="11"/>
      <c r="G22" s="12"/>
      <c r="H22" s="11"/>
      <c r="I22" s="12"/>
      <c r="J22" s="12"/>
      <c r="K22" s="13"/>
      <c r="L22" s="12"/>
      <c r="M22" s="12"/>
      <c r="N22" s="11"/>
      <c r="O22" s="11"/>
      <c r="P22" s="12"/>
      <c r="Q22" s="12"/>
      <c r="R22" s="13"/>
      <c r="S22" s="13"/>
      <c r="T22" s="12"/>
      <c r="U22" s="14"/>
      <c r="V22" s="11"/>
      <c r="W22" s="12"/>
      <c r="X22" s="12"/>
      <c r="Y22" s="13"/>
      <c r="Z22" s="12"/>
      <c r="AA22" s="12"/>
      <c r="AB22" s="12"/>
      <c r="AC22" s="12"/>
      <c r="AD22" s="12"/>
      <c r="AE22" s="12"/>
      <c r="AF22" s="13"/>
      <c r="AG22" s="12"/>
      <c r="AH22" s="12"/>
      <c r="AI22" s="12"/>
      <c r="AJ22" s="1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5">
        <f t="shared" si="6"/>
        <v>0</v>
      </c>
      <c r="NI22" s="5">
        <f t="shared" si="7"/>
        <v>0</v>
      </c>
    </row>
    <row r="23" spans="1:377" x14ac:dyDescent="0.25">
      <c r="A23" s="17">
        <v>18</v>
      </c>
      <c r="B23" s="19"/>
      <c r="C23" s="20"/>
      <c r="D23" s="21"/>
      <c r="E23" s="10" t="s">
        <v>33</v>
      </c>
      <c r="F23" s="11"/>
      <c r="G23" s="12"/>
      <c r="H23" s="11"/>
      <c r="I23" s="12"/>
      <c r="J23" s="12"/>
      <c r="K23" s="13"/>
      <c r="L23" s="12"/>
      <c r="M23" s="12"/>
      <c r="N23" s="11"/>
      <c r="O23" s="11"/>
      <c r="P23" s="12"/>
      <c r="Q23" s="12"/>
      <c r="R23" s="13"/>
      <c r="S23" s="13"/>
      <c r="T23" s="12"/>
      <c r="U23" s="14"/>
      <c r="V23" s="11"/>
      <c r="W23" s="12"/>
      <c r="X23" s="12"/>
      <c r="Y23" s="13"/>
      <c r="Z23" s="12"/>
      <c r="AA23" s="12"/>
      <c r="AB23" s="12"/>
      <c r="AC23" s="12"/>
      <c r="AD23" s="12"/>
      <c r="AE23" s="12"/>
      <c r="AF23" s="13"/>
      <c r="AG23" s="12"/>
      <c r="AH23" s="12"/>
      <c r="AI23" s="12"/>
      <c r="AJ23" s="1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5">
        <f t="shared" si="6"/>
        <v>0</v>
      </c>
      <c r="NI23" s="5">
        <f t="shared" si="7"/>
        <v>0</v>
      </c>
    </row>
    <row r="24" spans="1:377" x14ac:dyDescent="0.25">
      <c r="A24" s="6">
        <v>19</v>
      </c>
      <c r="B24" s="19"/>
      <c r="C24" s="20"/>
      <c r="D24" s="21"/>
      <c r="E24" s="10" t="s">
        <v>33</v>
      </c>
      <c r="F24" s="11"/>
      <c r="G24" s="12"/>
      <c r="H24" s="11"/>
      <c r="I24" s="12"/>
      <c r="J24" s="12"/>
      <c r="K24" s="13"/>
      <c r="L24" s="12"/>
      <c r="M24" s="12"/>
      <c r="N24" s="11"/>
      <c r="O24" s="11"/>
      <c r="P24" s="12"/>
      <c r="Q24" s="12"/>
      <c r="R24" s="13"/>
      <c r="S24" s="13"/>
      <c r="T24" s="12"/>
      <c r="U24" s="14"/>
      <c r="V24" s="11"/>
      <c r="W24" s="12"/>
      <c r="X24" s="12"/>
      <c r="Y24" s="13"/>
      <c r="Z24" s="12"/>
      <c r="AA24" s="12"/>
      <c r="AB24" s="12"/>
      <c r="AC24" s="12"/>
      <c r="AD24" s="12"/>
      <c r="AE24" s="12"/>
      <c r="AF24" s="13"/>
      <c r="AG24" s="12"/>
      <c r="AH24" s="12"/>
      <c r="AI24" s="12"/>
      <c r="AJ24" s="1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5">
        <f t="shared" si="6"/>
        <v>0</v>
      </c>
      <c r="NI24" s="5">
        <f t="shared" si="7"/>
        <v>0</v>
      </c>
    </row>
    <row r="25" spans="1:377" x14ac:dyDescent="0.25">
      <c r="A25" s="17">
        <v>20</v>
      </c>
      <c r="B25" s="19"/>
      <c r="C25" s="20"/>
      <c r="D25" s="21"/>
      <c r="E25" s="10" t="s">
        <v>33</v>
      </c>
      <c r="F25" s="11"/>
      <c r="G25" s="12"/>
      <c r="H25" s="11"/>
      <c r="I25" s="12"/>
      <c r="J25" s="12"/>
      <c r="K25" s="13"/>
      <c r="L25" s="12"/>
      <c r="M25" s="12"/>
      <c r="N25" s="11"/>
      <c r="O25" s="11"/>
      <c r="P25" s="12"/>
      <c r="Q25" s="12"/>
      <c r="R25" s="13"/>
      <c r="S25" s="13"/>
      <c r="T25" s="12"/>
      <c r="U25" s="14"/>
      <c r="V25" s="11"/>
      <c r="W25" s="12"/>
      <c r="X25" s="12"/>
      <c r="Y25" s="13"/>
      <c r="Z25" s="12"/>
      <c r="AA25" s="12"/>
      <c r="AB25" s="12"/>
      <c r="AC25" s="12"/>
      <c r="AD25" s="12"/>
      <c r="AE25" s="12"/>
      <c r="AF25" s="13"/>
      <c r="AG25" s="12"/>
      <c r="AH25" s="12"/>
      <c r="AI25" s="12"/>
      <c r="AJ25" s="1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5">
        <f t="shared" si="6"/>
        <v>0</v>
      </c>
      <c r="NI25" s="5">
        <f t="shared" si="7"/>
        <v>0</v>
      </c>
    </row>
    <row r="26" spans="1:377" x14ac:dyDescent="0.25">
      <c r="A26" s="6">
        <v>21</v>
      </c>
      <c r="B26" s="19"/>
      <c r="C26" s="20"/>
      <c r="D26" s="21"/>
      <c r="E26" s="10" t="s">
        <v>33</v>
      </c>
      <c r="F26" s="11"/>
      <c r="G26" s="12"/>
      <c r="H26" s="11"/>
      <c r="I26" s="12"/>
      <c r="J26" s="12"/>
      <c r="K26" s="13"/>
      <c r="L26" s="12"/>
      <c r="M26" s="12"/>
      <c r="N26" s="11"/>
      <c r="O26" s="11"/>
      <c r="P26" s="12"/>
      <c r="Q26" s="12"/>
      <c r="R26" s="13"/>
      <c r="S26" s="13"/>
      <c r="T26" s="12"/>
      <c r="U26" s="14"/>
      <c r="V26" s="11"/>
      <c r="W26" s="12"/>
      <c r="X26" s="12"/>
      <c r="Y26" s="13"/>
      <c r="Z26" s="12"/>
      <c r="AA26" s="12"/>
      <c r="AB26" s="12"/>
      <c r="AC26" s="12"/>
      <c r="AD26" s="12"/>
      <c r="AE26" s="12"/>
      <c r="AF26" s="13"/>
      <c r="AG26" s="12"/>
      <c r="AH26" s="12"/>
      <c r="AI26" s="12"/>
      <c r="AJ26" s="1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5">
        <f t="shared" si="6"/>
        <v>0</v>
      </c>
      <c r="NI26" s="5">
        <f t="shared" si="7"/>
        <v>0</v>
      </c>
    </row>
    <row r="27" spans="1:377" x14ac:dyDescent="0.25">
      <c r="A27" s="17">
        <v>22</v>
      </c>
      <c r="B27" s="19"/>
      <c r="C27" s="20"/>
      <c r="D27" s="21"/>
      <c r="E27" s="10" t="s">
        <v>33</v>
      </c>
      <c r="F27" s="11"/>
      <c r="G27" s="12"/>
      <c r="H27" s="11"/>
      <c r="I27" s="12"/>
      <c r="J27" s="12"/>
      <c r="K27" s="13"/>
      <c r="L27" s="12"/>
      <c r="M27" s="12"/>
      <c r="N27" s="11"/>
      <c r="O27" s="11"/>
      <c r="P27" s="12"/>
      <c r="Q27" s="12"/>
      <c r="R27" s="13"/>
      <c r="S27" s="13"/>
      <c r="T27" s="12"/>
      <c r="U27" s="14"/>
      <c r="V27" s="11"/>
      <c r="W27" s="12"/>
      <c r="X27" s="12"/>
      <c r="Y27" s="13"/>
      <c r="Z27" s="12"/>
      <c r="AA27" s="12"/>
      <c r="AB27" s="12"/>
      <c r="AC27" s="12"/>
      <c r="AD27" s="12"/>
      <c r="AE27" s="12"/>
      <c r="AF27" s="13"/>
      <c r="AG27" s="12"/>
      <c r="AH27" s="12"/>
      <c r="AI27" s="12"/>
      <c r="AJ27" s="1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5">
        <f t="shared" si="6"/>
        <v>0</v>
      </c>
      <c r="NI27" s="5">
        <f t="shared" si="7"/>
        <v>0</v>
      </c>
    </row>
    <row r="28" spans="1:377" x14ac:dyDescent="0.25">
      <c r="A28" s="6">
        <v>23</v>
      </c>
      <c r="B28" s="19"/>
      <c r="C28" s="20"/>
      <c r="D28" s="21"/>
      <c r="E28" s="10" t="s">
        <v>33</v>
      </c>
      <c r="F28" s="11"/>
      <c r="G28" s="12"/>
      <c r="H28" s="11"/>
      <c r="I28" s="12"/>
      <c r="J28" s="12"/>
      <c r="K28" s="13"/>
      <c r="L28" s="12"/>
      <c r="M28" s="12"/>
      <c r="N28" s="11"/>
      <c r="O28" s="11"/>
      <c r="P28" s="12"/>
      <c r="Q28" s="12"/>
      <c r="R28" s="13"/>
      <c r="S28" s="13"/>
      <c r="T28" s="12"/>
      <c r="U28" s="14"/>
      <c r="V28" s="11"/>
      <c r="W28" s="12"/>
      <c r="X28" s="12"/>
      <c r="Y28" s="13"/>
      <c r="Z28" s="12"/>
      <c r="AA28" s="12"/>
      <c r="AB28" s="12"/>
      <c r="AC28" s="12"/>
      <c r="AD28" s="12"/>
      <c r="AE28" s="12"/>
      <c r="AF28" s="13"/>
      <c r="AG28" s="12"/>
      <c r="AH28" s="12"/>
      <c r="AI28" s="12"/>
      <c r="AJ28" s="1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5">
        <f t="shared" si="6"/>
        <v>0</v>
      </c>
      <c r="NI28" s="5">
        <f t="shared" si="7"/>
        <v>0</v>
      </c>
    </row>
    <row r="29" spans="1:377" x14ac:dyDescent="0.25">
      <c r="A29" s="17">
        <v>24</v>
      </c>
      <c r="B29" s="19"/>
      <c r="C29" s="20"/>
      <c r="D29" s="21"/>
      <c r="E29" s="10" t="s">
        <v>33</v>
      </c>
      <c r="F29" s="11"/>
      <c r="G29" s="12"/>
      <c r="H29" s="11"/>
      <c r="I29" s="12"/>
      <c r="J29" s="12"/>
      <c r="K29" s="13"/>
      <c r="L29" s="12"/>
      <c r="M29" s="12"/>
      <c r="N29" s="11"/>
      <c r="O29" s="11"/>
      <c r="P29" s="12"/>
      <c r="Q29" s="12"/>
      <c r="R29" s="13"/>
      <c r="S29" s="13"/>
      <c r="T29" s="12"/>
      <c r="U29" s="14"/>
      <c r="V29" s="11"/>
      <c r="W29" s="12"/>
      <c r="X29" s="12"/>
      <c r="Y29" s="13"/>
      <c r="Z29" s="12"/>
      <c r="AA29" s="12"/>
      <c r="AB29" s="12"/>
      <c r="AC29" s="12"/>
      <c r="AD29" s="12"/>
      <c r="AE29" s="12"/>
      <c r="AF29" s="13"/>
      <c r="AG29" s="12"/>
      <c r="AH29" s="12"/>
      <c r="AI29" s="12"/>
      <c r="AJ29" s="1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5">
        <f t="shared" si="6"/>
        <v>0</v>
      </c>
      <c r="NI29" s="5">
        <f t="shared" si="7"/>
        <v>0</v>
      </c>
    </row>
    <row r="30" spans="1:377" x14ac:dyDescent="0.25">
      <c r="A30" s="6">
        <v>25</v>
      </c>
      <c r="B30" s="19"/>
      <c r="C30" s="20"/>
      <c r="D30" s="21"/>
      <c r="E30" s="10" t="s">
        <v>33</v>
      </c>
      <c r="F30" s="11"/>
      <c r="G30" s="12"/>
      <c r="H30" s="11"/>
      <c r="I30" s="12"/>
      <c r="J30" s="12"/>
      <c r="K30" s="13"/>
      <c r="L30" s="12"/>
      <c r="M30" s="12"/>
      <c r="N30" s="11"/>
      <c r="O30" s="11"/>
      <c r="P30" s="12"/>
      <c r="Q30" s="12"/>
      <c r="R30" s="13"/>
      <c r="S30" s="13"/>
      <c r="T30" s="12"/>
      <c r="U30" s="14"/>
      <c r="V30" s="11"/>
      <c r="W30" s="12"/>
      <c r="X30" s="12"/>
      <c r="Y30" s="13"/>
      <c r="Z30" s="12"/>
      <c r="AA30" s="12"/>
      <c r="AB30" s="12"/>
      <c r="AC30" s="12"/>
      <c r="AD30" s="12"/>
      <c r="AE30" s="12"/>
      <c r="AF30" s="13"/>
      <c r="AG30" s="12"/>
      <c r="AH30" s="12"/>
      <c r="AI30" s="12"/>
      <c r="AJ30" s="1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/>
      <c r="LF30" s="16"/>
      <c r="LG30" s="16"/>
      <c r="LH30" s="16"/>
      <c r="LI30" s="16"/>
      <c r="LJ30" s="16"/>
      <c r="LK30" s="16"/>
      <c r="LL30" s="16"/>
      <c r="LM30" s="16"/>
      <c r="LN30" s="16"/>
      <c r="LO30" s="16"/>
      <c r="LP30" s="16"/>
      <c r="LQ30" s="16"/>
      <c r="LR30" s="16"/>
      <c r="LS30" s="16"/>
      <c r="LT30" s="16"/>
      <c r="LU30" s="16"/>
      <c r="LV30" s="16"/>
      <c r="LW30" s="16"/>
      <c r="LX30" s="16"/>
      <c r="LY30" s="16"/>
      <c r="LZ30" s="16"/>
      <c r="MA30" s="16"/>
      <c r="MB30" s="16"/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5">
        <f t="shared" si="6"/>
        <v>0</v>
      </c>
      <c r="NI30" s="5">
        <f t="shared" si="7"/>
        <v>0</v>
      </c>
    </row>
    <row r="31" spans="1:377" x14ac:dyDescent="0.25">
      <c r="A31" s="17">
        <v>26</v>
      </c>
      <c r="B31" s="19"/>
      <c r="C31" s="20"/>
      <c r="D31" s="21"/>
      <c r="E31" s="10" t="s">
        <v>33</v>
      </c>
      <c r="F31" s="11"/>
      <c r="G31" s="12"/>
      <c r="H31" s="11"/>
      <c r="I31" s="12"/>
      <c r="J31" s="12"/>
      <c r="K31" s="13"/>
      <c r="L31" s="12"/>
      <c r="M31" s="12"/>
      <c r="N31" s="11"/>
      <c r="O31" s="11"/>
      <c r="P31" s="12"/>
      <c r="Q31" s="12"/>
      <c r="R31" s="13"/>
      <c r="S31" s="13"/>
      <c r="T31" s="12"/>
      <c r="U31" s="14"/>
      <c r="V31" s="11"/>
      <c r="W31" s="12"/>
      <c r="X31" s="12"/>
      <c r="Y31" s="13"/>
      <c r="Z31" s="12"/>
      <c r="AA31" s="12"/>
      <c r="AB31" s="12"/>
      <c r="AC31" s="12"/>
      <c r="AD31" s="12"/>
      <c r="AE31" s="12"/>
      <c r="AF31" s="13"/>
      <c r="AG31" s="12"/>
      <c r="AH31" s="12"/>
      <c r="AI31" s="12"/>
      <c r="AJ31" s="1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6"/>
      <c r="LD31" s="16"/>
      <c r="LE31" s="16"/>
      <c r="LF31" s="16"/>
      <c r="LG31" s="16"/>
      <c r="LH31" s="16"/>
      <c r="LI31" s="16"/>
      <c r="LJ31" s="16"/>
      <c r="LK31" s="16"/>
      <c r="LL31" s="16"/>
      <c r="LM31" s="16"/>
      <c r="LN31" s="16"/>
      <c r="LO31" s="16"/>
      <c r="LP31" s="16"/>
      <c r="LQ31" s="16"/>
      <c r="LR31" s="16"/>
      <c r="LS31" s="16"/>
      <c r="LT31" s="16"/>
      <c r="LU31" s="16"/>
      <c r="LV31" s="16"/>
      <c r="LW31" s="16"/>
      <c r="LX31" s="16"/>
      <c r="LY31" s="16"/>
      <c r="LZ31" s="16"/>
      <c r="MA31" s="16"/>
      <c r="MB31" s="16"/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5">
        <f t="shared" si="6"/>
        <v>0</v>
      </c>
      <c r="NI31" s="5">
        <f t="shared" si="7"/>
        <v>0</v>
      </c>
    </row>
    <row r="32" spans="1:377" x14ac:dyDescent="0.25">
      <c r="A32" s="6">
        <v>27</v>
      </c>
      <c r="B32" s="19"/>
      <c r="C32" s="20"/>
      <c r="D32" s="21"/>
      <c r="E32" s="10" t="s">
        <v>33</v>
      </c>
      <c r="F32" s="11"/>
      <c r="G32" s="12"/>
      <c r="H32" s="11"/>
      <c r="I32" s="12"/>
      <c r="J32" s="12"/>
      <c r="K32" s="13"/>
      <c r="L32" s="12"/>
      <c r="M32" s="12"/>
      <c r="N32" s="11"/>
      <c r="O32" s="11"/>
      <c r="P32" s="12"/>
      <c r="Q32" s="12"/>
      <c r="R32" s="13"/>
      <c r="S32" s="13"/>
      <c r="T32" s="12"/>
      <c r="U32" s="14"/>
      <c r="V32" s="11"/>
      <c r="W32" s="12"/>
      <c r="X32" s="12"/>
      <c r="Y32" s="13"/>
      <c r="Z32" s="12"/>
      <c r="AA32" s="12"/>
      <c r="AB32" s="12"/>
      <c r="AC32" s="12"/>
      <c r="AD32" s="12"/>
      <c r="AE32" s="12"/>
      <c r="AF32" s="13"/>
      <c r="AG32" s="12"/>
      <c r="AH32" s="12"/>
      <c r="AI32" s="12"/>
      <c r="AJ32" s="1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/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/>
      <c r="LQ32" s="16"/>
      <c r="LR32" s="16"/>
      <c r="LS32" s="16"/>
      <c r="LT32" s="16"/>
      <c r="LU32" s="16"/>
      <c r="LV32" s="16"/>
      <c r="LW32" s="16"/>
      <c r="LX32" s="16"/>
      <c r="LY32" s="16"/>
      <c r="LZ32" s="16"/>
      <c r="MA32" s="16"/>
      <c r="MB32" s="16"/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5">
        <f t="shared" si="6"/>
        <v>0</v>
      </c>
      <c r="NI32" s="5">
        <f t="shared" si="7"/>
        <v>0</v>
      </c>
    </row>
    <row r="33" spans="1:373" x14ac:dyDescent="0.25">
      <c r="A33" s="17">
        <v>28</v>
      </c>
      <c r="B33" s="19"/>
      <c r="C33" s="20"/>
      <c r="D33" s="21"/>
      <c r="E33" s="10" t="s">
        <v>33</v>
      </c>
      <c r="F33" s="11"/>
      <c r="G33" s="12"/>
      <c r="H33" s="11"/>
      <c r="I33" s="12"/>
      <c r="J33" s="12"/>
      <c r="K33" s="13"/>
      <c r="L33" s="12"/>
      <c r="M33" s="12"/>
      <c r="N33" s="11"/>
      <c r="O33" s="11"/>
      <c r="P33" s="12"/>
      <c r="Q33" s="12"/>
      <c r="R33" s="13"/>
      <c r="S33" s="13"/>
      <c r="T33" s="12"/>
      <c r="U33" s="14"/>
      <c r="V33" s="11"/>
      <c r="W33" s="12"/>
      <c r="X33" s="12"/>
      <c r="Y33" s="13"/>
      <c r="Z33" s="12"/>
      <c r="AA33" s="12"/>
      <c r="AB33" s="12"/>
      <c r="AC33" s="12"/>
      <c r="AD33" s="12"/>
      <c r="AE33" s="12"/>
      <c r="AF33" s="13"/>
      <c r="AG33" s="12"/>
      <c r="AH33" s="12"/>
      <c r="AI33" s="12"/>
      <c r="AJ33" s="1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5">
        <f t="shared" si="6"/>
        <v>0</v>
      </c>
      <c r="NI33" s="5">
        <f t="shared" si="7"/>
        <v>0</v>
      </c>
    </row>
    <row r="34" spans="1:373" x14ac:dyDescent="0.25">
      <c r="A34" s="6">
        <v>29</v>
      </c>
      <c r="B34" s="19"/>
      <c r="C34" s="20"/>
      <c r="D34" s="21"/>
      <c r="E34" s="10" t="s">
        <v>33</v>
      </c>
      <c r="F34" s="11"/>
      <c r="G34" s="12"/>
      <c r="H34" s="11"/>
      <c r="I34" s="12"/>
      <c r="J34" s="12"/>
      <c r="K34" s="13"/>
      <c r="L34" s="12"/>
      <c r="M34" s="12"/>
      <c r="N34" s="11"/>
      <c r="O34" s="11"/>
      <c r="P34" s="12"/>
      <c r="Q34" s="12"/>
      <c r="R34" s="13"/>
      <c r="S34" s="13"/>
      <c r="T34" s="12"/>
      <c r="U34" s="14"/>
      <c r="V34" s="11"/>
      <c r="W34" s="12"/>
      <c r="X34" s="12"/>
      <c r="Y34" s="13"/>
      <c r="Z34" s="12"/>
      <c r="AA34" s="12"/>
      <c r="AB34" s="12"/>
      <c r="AC34" s="12"/>
      <c r="AD34" s="12"/>
      <c r="AE34" s="12"/>
      <c r="AF34" s="13"/>
      <c r="AG34" s="12"/>
      <c r="AH34" s="12"/>
      <c r="AI34" s="12"/>
      <c r="AJ34" s="1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5">
        <f t="shared" si="6"/>
        <v>0</v>
      </c>
      <c r="NI34" s="5">
        <f t="shared" si="7"/>
        <v>0</v>
      </c>
    </row>
    <row r="35" spans="1:373" x14ac:dyDescent="0.25">
      <c r="A35" s="17">
        <v>30</v>
      </c>
      <c r="B35" s="19"/>
      <c r="C35" s="20"/>
      <c r="D35" s="21"/>
      <c r="E35" s="10" t="s">
        <v>33</v>
      </c>
      <c r="F35" s="11"/>
      <c r="G35" s="12"/>
      <c r="H35" s="11"/>
      <c r="I35" s="12"/>
      <c r="J35" s="12"/>
      <c r="K35" s="13"/>
      <c r="L35" s="12"/>
      <c r="M35" s="12"/>
      <c r="N35" s="11"/>
      <c r="O35" s="11"/>
      <c r="P35" s="12"/>
      <c r="Q35" s="12"/>
      <c r="R35" s="13"/>
      <c r="S35" s="13"/>
      <c r="T35" s="12"/>
      <c r="U35" s="14"/>
      <c r="V35" s="11"/>
      <c r="W35" s="12"/>
      <c r="X35" s="12"/>
      <c r="Y35" s="13"/>
      <c r="Z35" s="12"/>
      <c r="AA35" s="12"/>
      <c r="AB35" s="12"/>
      <c r="AC35" s="12"/>
      <c r="AD35" s="12"/>
      <c r="AE35" s="12"/>
      <c r="AF35" s="13"/>
      <c r="AG35" s="12"/>
      <c r="AH35" s="12"/>
      <c r="AI35" s="12"/>
      <c r="AJ35" s="1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/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/>
      <c r="LQ35" s="16"/>
      <c r="LR35" s="16"/>
      <c r="LS35" s="16"/>
      <c r="LT35" s="16"/>
      <c r="LU35" s="16"/>
      <c r="LV35" s="16"/>
      <c r="LW35" s="16"/>
      <c r="LX35" s="16"/>
      <c r="LY35" s="16"/>
      <c r="LZ35" s="16"/>
      <c r="MA35" s="16"/>
      <c r="MB35" s="16"/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5">
        <f t="shared" si="6"/>
        <v>0</v>
      </c>
      <c r="NI35" s="5">
        <f t="shared" si="7"/>
        <v>0</v>
      </c>
    </row>
    <row r="36" spans="1:373" x14ac:dyDescent="0.25">
      <c r="A36" s="6">
        <v>31</v>
      </c>
      <c r="B36" s="19"/>
      <c r="C36" s="20"/>
      <c r="D36" s="21"/>
      <c r="E36" s="10" t="s">
        <v>33</v>
      </c>
      <c r="F36" s="11"/>
      <c r="G36" s="12"/>
      <c r="H36" s="11"/>
      <c r="I36" s="12"/>
      <c r="J36" s="12"/>
      <c r="K36" s="13"/>
      <c r="L36" s="12"/>
      <c r="M36" s="12"/>
      <c r="N36" s="11"/>
      <c r="O36" s="11"/>
      <c r="P36" s="12"/>
      <c r="Q36" s="12"/>
      <c r="R36" s="13"/>
      <c r="S36" s="13"/>
      <c r="T36" s="12"/>
      <c r="U36" s="14"/>
      <c r="V36" s="11"/>
      <c r="W36" s="12"/>
      <c r="X36" s="12"/>
      <c r="Y36" s="13"/>
      <c r="Z36" s="12"/>
      <c r="AA36" s="12"/>
      <c r="AB36" s="12"/>
      <c r="AC36" s="12"/>
      <c r="AD36" s="12"/>
      <c r="AE36" s="12"/>
      <c r="AF36" s="13"/>
      <c r="AG36" s="12"/>
      <c r="AH36" s="12"/>
      <c r="AI36" s="12"/>
      <c r="AJ36" s="12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5">
        <f t="shared" si="6"/>
        <v>0</v>
      </c>
      <c r="NI36" s="5">
        <f t="shared" si="7"/>
        <v>0</v>
      </c>
    </row>
    <row r="37" spans="1:373" x14ac:dyDescent="0.25">
      <c r="A37" s="17">
        <v>32</v>
      </c>
      <c r="B37" s="19"/>
      <c r="C37" s="20"/>
      <c r="D37" s="21"/>
      <c r="E37" s="10" t="s">
        <v>33</v>
      </c>
      <c r="F37" s="11"/>
      <c r="G37" s="12"/>
      <c r="H37" s="11"/>
      <c r="I37" s="12"/>
      <c r="J37" s="12"/>
      <c r="K37" s="13"/>
      <c r="L37" s="12"/>
      <c r="M37" s="12"/>
      <c r="N37" s="11"/>
      <c r="O37" s="11"/>
      <c r="P37" s="12"/>
      <c r="Q37" s="12"/>
      <c r="R37" s="13"/>
      <c r="S37" s="13"/>
      <c r="T37" s="12"/>
      <c r="U37" s="14"/>
      <c r="V37" s="11"/>
      <c r="W37" s="12"/>
      <c r="X37" s="12"/>
      <c r="Y37" s="13"/>
      <c r="Z37" s="12"/>
      <c r="AA37" s="12"/>
      <c r="AB37" s="12"/>
      <c r="AC37" s="12"/>
      <c r="AD37" s="12"/>
      <c r="AE37" s="12"/>
      <c r="AF37" s="13"/>
      <c r="AG37" s="12"/>
      <c r="AH37" s="12"/>
      <c r="AI37" s="12"/>
      <c r="AJ37" s="12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  <c r="IY37" s="16"/>
      <c r="IZ37" s="16"/>
      <c r="JA37" s="16"/>
      <c r="JB37" s="16"/>
      <c r="JC37" s="16"/>
      <c r="JD37" s="16"/>
      <c r="JE37" s="16"/>
      <c r="JF37" s="16"/>
      <c r="JG37" s="16"/>
      <c r="JH37" s="16"/>
      <c r="JI37" s="16"/>
      <c r="JJ37" s="16"/>
      <c r="JK37" s="16"/>
      <c r="JL37" s="16"/>
      <c r="JM37" s="16"/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6"/>
      <c r="KC37" s="16"/>
      <c r="KD37" s="16"/>
      <c r="KE37" s="16"/>
      <c r="KF37" s="16"/>
      <c r="KG37" s="16"/>
      <c r="KH37" s="16"/>
      <c r="KI37" s="16"/>
      <c r="KJ37" s="16"/>
      <c r="KK37" s="16"/>
      <c r="KL37" s="16"/>
      <c r="KM37" s="16"/>
      <c r="KN37" s="16"/>
      <c r="KO37" s="16"/>
      <c r="KP37" s="16"/>
      <c r="KQ37" s="16"/>
      <c r="KR37" s="16"/>
      <c r="KS37" s="16"/>
      <c r="KT37" s="16"/>
      <c r="KU37" s="16"/>
      <c r="KV37" s="16"/>
      <c r="KW37" s="16"/>
      <c r="KX37" s="16"/>
      <c r="KY37" s="16"/>
      <c r="KZ37" s="16"/>
      <c r="LA37" s="16"/>
      <c r="LB37" s="16"/>
      <c r="LC37" s="16"/>
      <c r="LD37" s="16"/>
      <c r="LE37" s="16"/>
      <c r="LF37" s="16"/>
      <c r="LG37" s="16"/>
      <c r="LH37" s="16"/>
      <c r="LI37" s="16"/>
      <c r="LJ37" s="16"/>
      <c r="LK37" s="16"/>
      <c r="LL37" s="16"/>
      <c r="LM37" s="16"/>
      <c r="LN37" s="16"/>
      <c r="LO37" s="16"/>
      <c r="LP37" s="16"/>
      <c r="LQ37" s="16"/>
      <c r="LR37" s="16"/>
      <c r="LS37" s="16"/>
      <c r="LT37" s="16"/>
      <c r="LU37" s="16"/>
      <c r="LV37" s="16"/>
      <c r="LW37" s="16"/>
      <c r="LX37" s="16"/>
      <c r="LY37" s="16"/>
      <c r="LZ37" s="16"/>
      <c r="MA37" s="16"/>
      <c r="MB37" s="16"/>
      <c r="MC37" s="16"/>
      <c r="MD37" s="16"/>
      <c r="ME37" s="16"/>
      <c r="MF37" s="16"/>
      <c r="MG37" s="16"/>
      <c r="MH37" s="16"/>
      <c r="MI37" s="16"/>
      <c r="MJ37" s="16"/>
      <c r="MK37" s="16"/>
      <c r="ML37" s="16"/>
      <c r="MM37" s="16"/>
      <c r="MN37" s="16"/>
      <c r="MO37" s="16"/>
      <c r="MP37" s="16"/>
      <c r="MQ37" s="16"/>
      <c r="MR37" s="16"/>
      <c r="MS37" s="16"/>
      <c r="MT37" s="16"/>
      <c r="MU37" s="16"/>
      <c r="MV37" s="16"/>
      <c r="MW37" s="16"/>
      <c r="MX37" s="16"/>
      <c r="MY37" s="16"/>
      <c r="MZ37" s="16"/>
      <c r="NA37" s="16"/>
      <c r="NB37" s="16"/>
      <c r="NC37" s="16"/>
      <c r="ND37" s="16"/>
      <c r="NE37" s="16"/>
      <c r="NF37" s="16"/>
      <c r="NG37" s="16"/>
      <c r="NH37" s="5">
        <f t="shared" si="6"/>
        <v>0</v>
      </c>
      <c r="NI37" s="5">
        <f t="shared" si="7"/>
        <v>0</v>
      </c>
    </row>
    <row r="38" spans="1:373" x14ac:dyDescent="0.25">
      <c r="A38" s="6">
        <v>33</v>
      </c>
      <c r="B38" s="19"/>
      <c r="C38" s="20"/>
      <c r="D38" s="21"/>
      <c r="E38" s="10" t="s">
        <v>33</v>
      </c>
      <c r="F38" s="11"/>
      <c r="G38" s="12"/>
      <c r="H38" s="11"/>
      <c r="I38" s="12"/>
      <c r="J38" s="12"/>
      <c r="K38" s="13"/>
      <c r="L38" s="12"/>
      <c r="M38" s="12"/>
      <c r="N38" s="11"/>
      <c r="O38" s="11"/>
      <c r="P38" s="12"/>
      <c r="Q38" s="12"/>
      <c r="R38" s="13"/>
      <c r="S38" s="13"/>
      <c r="T38" s="12"/>
      <c r="U38" s="14"/>
      <c r="V38" s="11"/>
      <c r="W38" s="12"/>
      <c r="X38" s="12"/>
      <c r="Y38" s="13"/>
      <c r="Z38" s="12"/>
      <c r="AA38" s="12"/>
      <c r="AB38" s="12"/>
      <c r="AC38" s="12"/>
      <c r="AD38" s="12"/>
      <c r="AE38" s="12"/>
      <c r="AF38" s="13"/>
      <c r="AG38" s="12"/>
      <c r="AH38" s="12"/>
      <c r="AI38" s="12"/>
      <c r="AJ38" s="12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5">
        <f t="shared" si="6"/>
        <v>0</v>
      </c>
      <c r="NI38" s="5">
        <f t="shared" si="7"/>
        <v>0</v>
      </c>
    </row>
    <row r="39" spans="1:373" x14ac:dyDescent="0.25">
      <c r="A39" s="17">
        <v>34</v>
      </c>
      <c r="B39" s="19"/>
      <c r="C39" s="20"/>
      <c r="D39" s="21"/>
      <c r="E39" s="10" t="s">
        <v>33</v>
      </c>
      <c r="F39" s="11"/>
      <c r="G39" s="12"/>
      <c r="H39" s="11"/>
      <c r="I39" s="12"/>
      <c r="J39" s="12"/>
      <c r="K39" s="13"/>
      <c r="L39" s="12"/>
      <c r="M39" s="12"/>
      <c r="N39" s="11"/>
      <c r="O39" s="11"/>
      <c r="P39" s="12"/>
      <c r="Q39" s="12"/>
      <c r="R39" s="13"/>
      <c r="S39" s="13"/>
      <c r="T39" s="12"/>
      <c r="U39" s="14"/>
      <c r="V39" s="11"/>
      <c r="W39" s="12"/>
      <c r="X39" s="12"/>
      <c r="Y39" s="13"/>
      <c r="Z39" s="12"/>
      <c r="AA39" s="12"/>
      <c r="AB39" s="12"/>
      <c r="AC39" s="12"/>
      <c r="AD39" s="12"/>
      <c r="AE39" s="12"/>
      <c r="AF39" s="13"/>
      <c r="AG39" s="12"/>
      <c r="AH39" s="12"/>
      <c r="AI39" s="12"/>
      <c r="AJ39" s="12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5">
        <f t="shared" si="6"/>
        <v>0</v>
      </c>
      <c r="NI39" s="5">
        <f t="shared" si="7"/>
        <v>0</v>
      </c>
    </row>
    <row r="40" spans="1:373" x14ac:dyDescent="0.25">
      <c r="A40" s="6">
        <v>35</v>
      </c>
      <c r="B40" s="19"/>
      <c r="C40" s="20"/>
      <c r="D40" s="21"/>
      <c r="E40" s="10" t="s">
        <v>33</v>
      </c>
      <c r="F40" s="11"/>
      <c r="G40" s="12"/>
      <c r="H40" s="11"/>
      <c r="I40" s="12"/>
      <c r="J40" s="12"/>
      <c r="K40" s="13"/>
      <c r="L40" s="12"/>
      <c r="M40" s="12"/>
      <c r="N40" s="11"/>
      <c r="O40" s="11"/>
      <c r="P40" s="12"/>
      <c r="Q40" s="12"/>
      <c r="R40" s="13"/>
      <c r="S40" s="13"/>
      <c r="T40" s="12"/>
      <c r="U40" s="14"/>
      <c r="V40" s="11"/>
      <c r="W40" s="12"/>
      <c r="X40" s="12"/>
      <c r="Y40" s="13"/>
      <c r="Z40" s="12"/>
      <c r="AA40" s="12"/>
      <c r="AB40" s="12"/>
      <c r="AC40" s="12"/>
      <c r="AD40" s="12"/>
      <c r="AE40" s="12"/>
      <c r="AF40" s="13"/>
      <c r="AG40" s="12"/>
      <c r="AH40" s="12"/>
      <c r="AI40" s="12"/>
      <c r="AJ40" s="12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5">
        <f t="shared" si="6"/>
        <v>0</v>
      </c>
      <c r="NI40" s="5">
        <f t="shared" si="7"/>
        <v>0</v>
      </c>
    </row>
    <row r="41" spans="1:373" x14ac:dyDescent="0.25">
      <c r="A41" s="17">
        <v>36</v>
      </c>
      <c r="B41" s="19"/>
      <c r="C41" s="20"/>
      <c r="D41" s="21"/>
      <c r="E41" s="10" t="s">
        <v>33</v>
      </c>
      <c r="F41" s="11"/>
      <c r="G41" s="12"/>
      <c r="H41" s="11"/>
      <c r="I41" s="12"/>
      <c r="J41" s="12"/>
      <c r="K41" s="13"/>
      <c r="L41" s="12"/>
      <c r="M41" s="12"/>
      <c r="N41" s="11"/>
      <c r="O41" s="11"/>
      <c r="P41" s="12"/>
      <c r="Q41" s="12"/>
      <c r="R41" s="13"/>
      <c r="S41" s="13"/>
      <c r="T41" s="12"/>
      <c r="U41" s="14"/>
      <c r="V41" s="11"/>
      <c r="W41" s="12"/>
      <c r="X41" s="12"/>
      <c r="Y41" s="13"/>
      <c r="Z41" s="12"/>
      <c r="AA41" s="12"/>
      <c r="AB41" s="12"/>
      <c r="AC41" s="12"/>
      <c r="AD41" s="12"/>
      <c r="AE41" s="12"/>
      <c r="AF41" s="13"/>
      <c r="AG41" s="12"/>
      <c r="AH41" s="12"/>
      <c r="AI41" s="12"/>
      <c r="AJ41" s="12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KY41" s="16"/>
      <c r="KZ41" s="16"/>
      <c r="LA41" s="16"/>
      <c r="LB41" s="16"/>
      <c r="LC41" s="16"/>
      <c r="LD41" s="16"/>
      <c r="LE41" s="16"/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/>
      <c r="LQ41" s="16"/>
      <c r="LR41" s="16"/>
      <c r="LS41" s="16"/>
      <c r="LT41" s="16"/>
      <c r="LU41" s="16"/>
      <c r="LV41" s="16"/>
      <c r="LW41" s="16"/>
      <c r="LX41" s="16"/>
      <c r="LY41" s="16"/>
      <c r="LZ41" s="16"/>
      <c r="MA41" s="16"/>
      <c r="MB41" s="16"/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5">
        <f t="shared" si="6"/>
        <v>0</v>
      </c>
      <c r="NI41" s="5">
        <f t="shared" si="7"/>
        <v>0</v>
      </c>
    </row>
    <row r="42" spans="1:373" x14ac:dyDescent="0.25">
      <c r="A42" s="6">
        <v>37</v>
      </c>
      <c r="B42" s="19"/>
      <c r="C42" s="20"/>
      <c r="D42" s="21"/>
      <c r="E42" s="10" t="s">
        <v>33</v>
      </c>
      <c r="F42" s="11"/>
      <c r="G42" s="12"/>
      <c r="H42" s="11"/>
      <c r="I42" s="12"/>
      <c r="J42" s="12"/>
      <c r="K42" s="13"/>
      <c r="L42" s="12"/>
      <c r="M42" s="12"/>
      <c r="N42" s="11"/>
      <c r="O42" s="11"/>
      <c r="P42" s="12"/>
      <c r="Q42" s="12"/>
      <c r="R42" s="13"/>
      <c r="S42" s="13"/>
      <c r="T42" s="12"/>
      <c r="U42" s="14"/>
      <c r="V42" s="11"/>
      <c r="W42" s="12"/>
      <c r="X42" s="12"/>
      <c r="Y42" s="13"/>
      <c r="Z42" s="12"/>
      <c r="AA42" s="12"/>
      <c r="AB42" s="12"/>
      <c r="AC42" s="12"/>
      <c r="AD42" s="12"/>
      <c r="AE42" s="12"/>
      <c r="AF42" s="13"/>
      <c r="AG42" s="12"/>
      <c r="AH42" s="12"/>
      <c r="AI42" s="12"/>
      <c r="AJ42" s="12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5">
        <f t="shared" si="6"/>
        <v>0</v>
      </c>
      <c r="NI42" s="5">
        <f t="shared" si="7"/>
        <v>0</v>
      </c>
    </row>
    <row r="43" spans="1:373" x14ac:dyDescent="0.25">
      <c r="A43" s="17">
        <v>38</v>
      </c>
      <c r="B43" s="19"/>
      <c r="C43" s="20"/>
      <c r="D43" s="21"/>
      <c r="E43" s="10" t="s">
        <v>33</v>
      </c>
      <c r="F43" s="11"/>
      <c r="G43" s="12"/>
      <c r="H43" s="11"/>
      <c r="I43" s="12"/>
      <c r="J43" s="12"/>
      <c r="K43" s="13"/>
      <c r="L43" s="12"/>
      <c r="M43" s="12"/>
      <c r="N43" s="11"/>
      <c r="O43" s="11"/>
      <c r="P43" s="12"/>
      <c r="Q43" s="12"/>
      <c r="R43" s="13"/>
      <c r="S43" s="13"/>
      <c r="T43" s="12"/>
      <c r="U43" s="14"/>
      <c r="V43" s="11"/>
      <c r="W43" s="12"/>
      <c r="X43" s="12"/>
      <c r="Y43" s="13"/>
      <c r="Z43" s="12"/>
      <c r="AA43" s="12"/>
      <c r="AB43" s="12"/>
      <c r="AC43" s="12"/>
      <c r="AD43" s="12"/>
      <c r="AE43" s="12"/>
      <c r="AF43" s="13"/>
      <c r="AG43" s="12"/>
      <c r="AH43" s="12"/>
      <c r="AI43" s="12"/>
      <c r="AJ43" s="12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KY43" s="16"/>
      <c r="KZ43" s="16"/>
      <c r="LA43" s="16"/>
      <c r="LB43" s="16"/>
      <c r="LC43" s="16"/>
      <c r="LD43" s="16"/>
      <c r="LE43" s="16"/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/>
      <c r="LQ43" s="16"/>
      <c r="LR43" s="16"/>
      <c r="LS43" s="16"/>
      <c r="LT43" s="16"/>
      <c r="LU43" s="16"/>
      <c r="LV43" s="16"/>
      <c r="LW43" s="16"/>
      <c r="LX43" s="16"/>
      <c r="LY43" s="16"/>
      <c r="LZ43" s="16"/>
      <c r="MA43" s="16"/>
      <c r="MB43" s="16"/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5">
        <f t="shared" si="6"/>
        <v>0</v>
      </c>
      <c r="NI43" s="5">
        <f t="shared" si="7"/>
        <v>0</v>
      </c>
    </row>
    <row r="44" spans="1:373" x14ac:dyDescent="0.25">
      <c r="A44" s="28">
        <v>39</v>
      </c>
      <c r="B44" s="19"/>
      <c r="C44" s="20"/>
      <c r="D44" s="21"/>
      <c r="E44" s="10" t="s">
        <v>33</v>
      </c>
      <c r="F44" s="11"/>
      <c r="G44" s="12"/>
      <c r="H44" s="11"/>
      <c r="I44" s="12"/>
      <c r="J44" s="12"/>
      <c r="K44" s="29"/>
      <c r="L44" s="12"/>
      <c r="M44" s="12"/>
      <c r="N44" s="11"/>
      <c r="O44" s="11"/>
      <c r="P44" s="12"/>
      <c r="Q44" s="12"/>
      <c r="R44" s="13"/>
      <c r="S44" s="13"/>
      <c r="T44" s="12"/>
      <c r="U44" s="14"/>
      <c r="V44" s="11"/>
      <c r="W44" s="12"/>
      <c r="X44" s="12"/>
      <c r="Y44" s="29"/>
      <c r="Z44" s="12"/>
      <c r="AA44" s="12"/>
      <c r="AB44" s="12"/>
      <c r="AC44" s="12"/>
      <c r="AD44" s="12"/>
      <c r="AE44" s="12"/>
      <c r="AF44" s="29"/>
      <c r="AG44" s="12"/>
      <c r="AH44" s="12"/>
      <c r="AI44" s="12"/>
      <c r="AJ44" s="12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6"/>
      <c r="LD44" s="16"/>
      <c r="LE44" s="16"/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/>
      <c r="LQ44" s="16"/>
      <c r="LR44" s="16"/>
      <c r="LS44" s="16"/>
      <c r="LT44" s="16"/>
      <c r="LU44" s="16"/>
      <c r="LV44" s="16"/>
      <c r="LW44" s="16"/>
      <c r="LX44" s="16"/>
      <c r="LY44" s="16"/>
      <c r="LZ44" s="16"/>
      <c r="MA44" s="16"/>
      <c r="MB44" s="16"/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5">
        <f t="shared" si="6"/>
        <v>0</v>
      </c>
      <c r="NI44" s="5">
        <f t="shared" si="7"/>
        <v>0</v>
      </c>
    </row>
    <row r="45" spans="1:373" x14ac:dyDescent="0.25">
      <c r="A45" s="17">
        <v>40</v>
      </c>
      <c r="B45" s="19"/>
      <c r="C45" s="20"/>
      <c r="D45" s="21"/>
      <c r="E45" s="10" t="s">
        <v>33</v>
      </c>
      <c r="F45" s="16"/>
      <c r="G45" s="16"/>
      <c r="H45" s="16"/>
      <c r="I45" s="16"/>
      <c r="J45" s="16"/>
      <c r="K45" s="12"/>
      <c r="L45" s="12"/>
      <c r="M45" s="11"/>
      <c r="N45" s="11"/>
      <c r="O45" s="12"/>
      <c r="P45" s="12"/>
      <c r="Q45" s="12"/>
      <c r="R45" s="13"/>
      <c r="S45" s="13"/>
      <c r="T45" s="12"/>
      <c r="U45" s="12"/>
      <c r="V45" s="12"/>
      <c r="W45" s="12"/>
      <c r="X45" s="12"/>
      <c r="Y45" s="16"/>
      <c r="Z45" s="12"/>
      <c r="AA45" s="12"/>
      <c r="AB45" s="12"/>
      <c r="AC45" s="12"/>
      <c r="AD45" s="12"/>
      <c r="AE45" s="12"/>
      <c r="AF45" s="16"/>
      <c r="AG45" s="12"/>
      <c r="AH45" s="12"/>
      <c r="AI45" s="12"/>
      <c r="AJ45" s="12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5">
        <f t="shared" si="6"/>
        <v>0</v>
      </c>
      <c r="NI45" s="5">
        <f t="shared" si="7"/>
        <v>0</v>
      </c>
    </row>
    <row r="46" spans="1:373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0"/>
      <c r="IR46" s="30"/>
      <c r="IS46" s="30"/>
      <c r="IT46" s="30"/>
      <c r="IU46" s="30"/>
      <c r="IV46" s="30"/>
      <c r="IW46" s="30"/>
      <c r="IX46" s="30"/>
      <c r="IY46" s="30"/>
      <c r="IZ46" s="30"/>
      <c r="JA46" s="30"/>
      <c r="JB46" s="30"/>
      <c r="JC46" s="30"/>
      <c r="JD46" s="30"/>
      <c r="JE46" s="30"/>
      <c r="JF46" s="30"/>
      <c r="JG46" s="30"/>
      <c r="JH46" s="30"/>
      <c r="JI46" s="30"/>
      <c r="JJ46" s="30"/>
      <c r="JK46" s="30"/>
      <c r="JL46" s="30"/>
      <c r="JM46" s="30"/>
      <c r="JN46" s="30"/>
      <c r="JO46" s="30"/>
      <c r="JP46" s="30"/>
      <c r="JQ46" s="30"/>
      <c r="JR46" s="30"/>
      <c r="JS46" s="30"/>
      <c r="JT46" s="30"/>
      <c r="JU46" s="30"/>
      <c r="JV46" s="30"/>
      <c r="JW46" s="30"/>
      <c r="JX46" s="30"/>
      <c r="JY46" s="30"/>
      <c r="JZ46" s="30"/>
      <c r="KA46" s="30"/>
      <c r="KB46" s="30"/>
      <c r="KC46" s="30"/>
      <c r="KD46" s="30"/>
      <c r="KE46" s="30"/>
      <c r="KF46" s="30"/>
      <c r="KG46" s="30"/>
      <c r="KH46" s="30"/>
      <c r="KI46" s="30"/>
      <c r="KJ46" s="30"/>
      <c r="KK46" s="30"/>
      <c r="KL46" s="30"/>
      <c r="KM46" s="30"/>
      <c r="KN46" s="30"/>
      <c r="KO46" s="30"/>
      <c r="KP46" s="30"/>
      <c r="KQ46" s="30"/>
      <c r="KR46" s="30"/>
      <c r="KS46" s="30"/>
      <c r="KT46" s="30"/>
      <c r="KU46" s="30"/>
      <c r="KV46" s="30"/>
      <c r="KW46" s="30"/>
      <c r="KX46" s="30"/>
      <c r="KY46" s="30"/>
      <c r="KZ46" s="30"/>
      <c r="LA46" s="30"/>
      <c r="LB46" s="30"/>
      <c r="LC46" s="30"/>
      <c r="LD46" s="30"/>
      <c r="LE46" s="30"/>
      <c r="LF46" s="30"/>
      <c r="LG46" s="30"/>
      <c r="LH46" s="30"/>
      <c r="LI46" s="30"/>
      <c r="LJ46" s="30"/>
      <c r="LK46" s="30"/>
      <c r="LL46" s="30"/>
      <c r="LM46" s="30"/>
      <c r="LN46" s="30"/>
      <c r="LO46" s="30"/>
      <c r="LP46" s="30"/>
      <c r="LQ46" s="30"/>
      <c r="LR46" s="30"/>
      <c r="LS46" s="30"/>
      <c r="LT46" s="30"/>
      <c r="LU46" s="30"/>
      <c r="LV46" s="30"/>
      <c r="LW46" s="30"/>
      <c r="LX46" s="30"/>
      <c r="LY46" s="30"/>
      <c r="LZ46" s="30"/>
      <c r="MA46" s="30"/>
      <c r="MB46" s="30"/>
      <c r="MC46" s="30"/>
      <c r="MD46" s="30"/>
      <c r="ME46" s="30"/>
      <c r="MF46" s="30"/>
      <c r="MG46" s="30"/>
      <c r="MH46" s="30"/>
      <c r="MI46" s="30"/>
      <c r="MJ46" s="30"/>
      <c r="MK46" s="30"/>
      <c r="ML46" s="30"/>
      <c r="MM46" s="30"/>
      <c r="MN46" s="30"/>
      <c r="MO46" s="30"/>
      <c r="MP46" s="30"/>
      <c r="MQ46" s="30"/>
      <c r="MR46" s="30"/>
      <c r="MS46" s="30"/>
      <c r="MT46" s="30"/>
      <c r="MU46" s="30"/>
      <c r="MV46" s="30"/>
      <c r="MW46" s="30"/>
      <c r="MX46" s="30"/>
      <c r="MY46" s="30"/>
      <c r="MZ46" s="30"/>
      <c r="NA46" s="30"/>
      <c r="NB46" s="30"/>
      <c r="NC46" s="30"/>
      <c r="ND46" s="30"/>
      <c r="NE46" s="30"/>
      <c r="NF46" s="30"/>
      <c r="NG46" s="30"/>
      <c r="NH46" s="33">
        <f>SUM(NH6:NH45)</f>
        <v>0</v>
      </c>
      <c r="NI46" s="33">
        <f>SUM(NI6:NI45)</f>
        <v>0</v>
      </c>
    </row>
  </sheetData>
  <mergeCells count="13">
    <mergeCell ref="NH4:NH5"/>
    <mergeCell ref="NI4:NI5"/>
    <mergeCell ref="NJ4:NK4"/>
    <mergeCell ref="NJ9:NM9"/>
    <mergeCell ref="NJ17:NM17"/>
    <mergeCell ref="A1:AJ1"/>
    <mergeCell ref="A2:AJ2"/>
    <mergeCell ref="A3:AJ3"/>
    <mergeCell ref="A4:A5"/>
    <mergeCell ref="B4:B5"/>
    <mergeCell ref="C4:C5"/>
    <mergeCell ref="D4:D5"/>
    <mergeCell ref="E4:E5"/>
  </mergeCells>
  <conditionalFormatting sqref="F4:NG45 NJ5:NK5">
    <cfRule type="expression" dxfId="35" priority="12">
      <formula>F$4="Sun"</formula>
    </cfRule>
  </conditionalFormatting>
  <conditionalFormatting sqref="F5:NG45">
    <cfRule type="expression" dxfId="34" priority="11">
      <formula>IF(F$5=TODAY(),TRUE,FALSE)</formula>
    </cfRule>
  </conditionalFormatting>
  <conditionalFormatting sqref="NH4:NI4 NH6:NI46">
    <cfRule type="expression" dxfId="33" priority="13">
      <formula>#REF!="Sun"</formula>
    </cfRule>
  </conditionalFormatting>
  <conditionalFormatting sqref="NJ6:NJ7">
    <cfRule type="expression" dxfId="32" priority="9">
      <formula>NJ$4="Sun"</formula>
    </cfRule>
  </conditionalFormatting>
  <conditionalFormatting sqref="NJ10:NJ13">
    <cfRule type="expression" dxfId="31" priority="3">
      <formula>NJ$4="Sun"</formula>
    </cfRule>
  </conditionalFormatting>
  <conditionalFormatting sqref="NJ18:NJ21">
    <cfRule type="expression" dxfId="30" priority="2">
      <formula>NJ$4="Sun"</formula>
    </cfRule>
  </conditionalFormatting>
  <conditionalFormatting sqref="NK10:NM10">
    <cfRule type="expression" dxfId="29" priority="4">
      <formula>NK$4="Sun"</formula>
    </cfRule>
  </conditionalFormatting>
  <conditionalFormatting sqref="NK18:NM18">
    <cfRule type="expression" dxfId="28" priority="1">
      <formula>NK$4="Sun"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BF3F-F9B4-460D-AC67-2A065954491B}">
  <dimension ref="A1:NM46"/>
  <sheetViews>
    <sheetView workbookViewId="0">
      <selection activeCell="N14" sqref="N1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bestFit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bestFit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6" width="4.7109375" style="1" bestFit="1" customWidth="1"/>
    <col min="37" max="37" width="3.85546875" style="1" bestFit="1" customWidth="1"/>
    <col min="38" max="39" width="3.7109375" style="1" bestFit="1" customWidth="1"/>
    <col min="40" max="40" width="3.85546875" style="1" bestFit="1" customWidth="1"/>
    <col min="41" max="41" width="4.5703125" style="1" bestFit="1" customWidth="1"/>
    <col min="42" max="42" width="3.85546875" style="1" bestFit="1" customWidth="1"/>
    <col min="43" max="43" width="4.7109375" style="1" bestFit="1" customWidth="1"/>
    <col min="44" max="44" width="3.85546875" style="1" bestFit="1" customWidth="1"/>
    <col min="45" max="46" width="3.7109375" style="1" bestFit="1" customWidth="1"/>
    <col min="47" max="47" width="3.85546875" style="1" bestFit="1" customWidth="1"/>
    <col min="48" max="48" width="4.5703125" style="1" bestFit="1" customWidth="1"/>
    <col min="49" max="49" width="3.85546875" style="1" bestFit="1" customWidth="1"/>
    <col min="50" max="50" width="4.7109375" style="1" bestFit="1" customWidth="1"/>
    <col min="51" max="51" width="3.85546875" style="1" bestFit="1" customWidth="1"/>
    <col min="52" max="53" width="3.7109375" style="1" bestFit="1" customWidth="1"/>
    <col min="54" max="54" width="3.85546875" style="1" bestFit="1" customWidth="1"/>
    <col min="55" max="55" width="4.5703125" style="1" bestFit="1" customWidth="1"/>
    <col min="56" max="56" width="3.85546875" style="1" bestFit="1" customWidth="1"/>
    <col min="57" max="57" width="4.7109375" style="1" bestFit="1" customWidth="1"/>
    <col min="58" max="58" width="3.85546875" style="1" bestFit="1" customWidth="1"/>
    <col min="59" max="60" width="3.7109375" style="1" bestFit="1" customWidth="1"/>
    <col min="61" max="61" width="3.85546875" style="1" bestFit="1" customWidth="1"/>
    <col min="62" max="62" width="4.5703125" style="1" bestFit="1" customWidth="1"/>
    <col min="63" max="63" width="3.85546875" style="1" bestFit="1" customWidth="1"/>
    <col min="64" max="64" width="4.7109375" style="1" bestFit="1" customWidth="1"/>
    <col min="65" max="65" width="3.85546875" style="1" bestFit="1" customWidth="1"/>
    <col min="66" max="67" width="3.7109375" style="1" bestFit="1" customWidth="1"/>
    <col min="68" max="68" width="3.85546875" style="1" bestFit="1" customWidth="1"/>
    <col min="69" max="69" width="4.5703125" style="1" bestFit="1" customWidth="1"/>
    <col min="70" max="70" width="3.85546875" style="1" bestFit="1" customWidth="1"/>
    <col min="71" max="71" width="4.7109375" style="1" bestFit="1" customWidth="1"/>
    <col min="72" max="72" width="3.85546875" style="1" bestFit="1" customWidth="1"/>
    <col min="73" max="74" width="3.7109375" style="1" bestFit="1" customWidth="1"/>
    <col min="75" max="75" width="3.85546875" style="1" bestFit="1" customWidth="1"/>
    <col min="76" max="76" width="4.5703125" style="1" bestFit="1" customWidth="1"/>
    <col min="77" max="77" width="3.85546875" style="1" bestFit="1" customWidth="1"/>
    <col min="78" max="78" width="4.7109375" style="1" bestFit="1" customWidth="1"/>
    <col min="79" max="79" width="3.85546875" style="1" bestFit="1" customWidth="1"/>
    <col min="80" max="81" width="3.7109375" style="1" bestFit="1" customWidth="1"/>
    <col min="82" max="82" width="3.85546875" style="1" bestFit="1" customWidth="1"/>
    <col min="83" max="83" width="4.5703125" style="1" bestFit="1" customWidth="1"/>
    <col min="84" max="84" width="3.85546875" style="1" bestFit="1" customWidth="1"/>
    <col min="85" max="85" width="4.7109375" style="1" bestFit="1" customWidth="1"/>
    <col min="86" max="86" width="3.85546875" style="1" bestFit="1" customWidth="1"/>
    <col min="87" max="88" width="3.7109375" style="1" bestFit="1" customWidth="1"/>
    <col min="89" max="89" width="3.85546875" style="1" bestFit="1" customWidth="1"/>
    <col min="90" max="90" width="4.5703125" style="1" bestFit="1" customWidth="1"/>
    <col min="91" max="91" width="3.85546875" style="1" bestFit="1" customWidth="1"/>
    <col min="92" max="92" width="4.7109375" style="1" bestFit="1" customWidth="1"/>
    <col min="93" max="93" width="3.85546875" style="1" bestFit="1" customWidth="1"/>
    <col min="94" max="95" width="3.7109375" style="1" bestFit="1" customWidth="1"/>
    <col min="96" max="96" width="3.85546875" style="1" bestFit="1" customWidth="1"/>
    <col min="97" max="97" width="4.5703125" style="1" bestFit="1" customWidth="1"/>
    <col min="98" max="98" width="3.85546875" style="1" bestFit="1" customWidth="1"/>
    <col min="99" max="99" width="4.7109375" style="1" bestFit="1" customWidth="1"/>
    <col min="100" max="100" width="3.85546875" style="1" bestFit="1" customWidth="1"/>
    <col min="101" max="102" width="3.7109375" style="1" bestFit="1" customWidth="1"/>
    <col min="103" max="103" width="3.85546875" style="1" bestFit="1" customWidth="1"/>
    <col min="104" max="104" width="4.5703125" style="1" bestFit="1" customWidth="1"/>
    <col min="105" max="105" width="3.85546875" style="1" bestFit="1" customWidth="1"/>
    <col min="106" max="106" width="4.7109375" style="1" bestFit="1" customWidth="1"/>
    <col min="107" max="107" width="3.85546875" style="1" bestFit="1" customWidth="1"/>
    <col min="108" max="109" width="3.7109375" style="1" bestFit="1" customWidth="1"/>
    <col min="110" max="110" width="3.85546875" style="1" bestFit="1" customWidth="1"/>
    <col min="111" max="111" width="4.5703125" style="1" bestFit="1" customWidth="1"/>
    <col min="112" max="112" width="3.85546875" style="1" bestFit="1" customWidth="1"/>
    <col min="113" max="113" width="4.7109375" style="1" bestFit="1" customWidth="1"/>
    <col min="114" max="114" width="3.85546875" style="1" bestFit="1" customWidth="1"/>
    <col min="115" max="116" width="3.7109375" style="1" bestFit="1" customWidth="1"/>
    <col min="117" max="117" width="3.85546875" style="1" bestFit="1" customWidth="1"/>
    <col min="118" max="118" width="4.5703125" style="1" bestFit="1" customWidth="1"/>
    <col min="119" max="119" width="3.85546875" style="1" bestFit="1" customWidth="1"/>
    <col min="120" max="120" width="4.7109375" style="1" bestFit="1" customWidth="1"/>
    <col min="121" max="121" width="3.85546875" style="1" bestFit="1" customWidth="1"/>
    <col min="122" max="123" width="3.7109375" style="1" bestFit="1" customWidth="1"/>
    <col min="124" max="124" width="3.85546875" style="1" bestFit="1" customWidth="1"/>
    <col min="125" max="125" width="4.5703125" style="1" bestFit="1" customWidth="1"/>
    <col min="126" max="126" width="3.85546875" style="1" bestFit="1" customWidth="1"/>
    <col min="127" max="127" width="4.7109375" style="1" bestFit="1" customWidth="1"/>
    <col min="128" max="128" width="3.85546875" style="1" bestFit="1" customWidth="1"/>
    <col min="129" max="130" width="3.7109375" style="1" bestFit="1" customWidth="1"/>
    <col min="131" max="131" width="3.85546875" style="1" bestFit="1" customWidth="1"/>
    <col min="132" max="132" width="4.5703125" style="1" bestFit="1" customWidth="1"/>
    <col min="133" max="133" width="3.85546875" style="1" bestFit="1" customWidth="1"/>
    <col min="134" max="134" width="4.7109375" style="1" bestFit="1" customWidth="1"/>
    <col min="135" max="135" width="3.85546875" style="1" bestFit="1" customWidth="1"/>
    <col min="136" max="137" width="3.7109375" style="1" bestFit="1" customWidth="1"/>
    <col min="138" max="138" width="3.85546875" style="1" bestFit="1" customWidth="1"/>
    <col min="139" max="139" width="4.5703125" style="1" bestFit="1" customWidth="1"/>
    <col min="140" max="140" width="3.85546875" style="1" bestFit="1" customWidth="1"/>
    <col min="141" max="141" width="4.7109375" style="1" bestFit="1" customWidth="1"/>
    <col min="142" max="142" width="3.85546875" style="1" bestFit="1" customWidth="1"/>
    <col min="143" max="144" width="3.7109375" style="1" bestFit="1" customWidth="1"/>
    <col min="145" max="145" width="3.85546875" style="1" bestFit="1" customWidth="1"/>
    <col min="146" max="146" width="4.5703125" style="1" bestFit="1" customWidth="1"/>
    <col min="147" max="147" width="3.85546875" style="1" bestFit="1" customWidth="1"/>
    <col min="148" max="148" width="4.7109375" style="1" bestFit="1" customWidth="1"/>
    <col min="149" max="149" width="3.85546875" style="1" bestFit="1" customWidth="1"/>
    <col min="150" max="151" width="3.7109375" style="1" bestFit="1" customWidth="1"/>
    <col min="152" max="152" width="3.85546875" style="1" bestFit="1" customWidth="1"/>
    <col min="153" max="153" width="4.5703125" style="1" bestFit="1" customWidth="1"/>
    <col min="154" max="154" width="3.85546875" style="1" bestFit="1" customWidth="1"/>
    <col min="155" max="155" width="4.7109375" style="1" bestFit="1" customWidth="1"/>
    <col min="156" max="156" width="3.85546875" style="1" bestFit="1" customWidth="1"/>
    <col min="157" max="158" width="3.7109375" style="1" bestFit="1" customWidth="1"/>
    <col min="159" max="159" width="3.85546875" style="1" bestFit="1" customWidth="1"/>
    <col min="160" max="160" width="4.5703125" style="1" bestFit="1" customWidth="1"/>
    <col min="161" max="161" width="3.85546875" style="1" bestFit="1" customWidth="1"/>
    <col min="162" max="162" width="4.7109375" style="1" bestFit="1" customWidth="1"/>
    <col min="163" max="163" width="3.85546875" style="1" bestFit="1" customWidth="1"/>
    <col min="164" max="165" width="3.7109375" style="1" bestFit="1" customWidth="1"/>
    <col min="166" max="166" width="3.85546875" style="1" bestFit="1" customWidth="1"/>
    <col min="167" max="167" width="4.5703125" style="1" bestFit="1" customWidth="1"/>
    <col min="168" max="168" width="3.85546875" style="1" bestFit="1" customWidth="1"/>
    <col min="169" max="169" width="4.7109375" style="1" bestFit="1" customWidth="1"/>
    <col min="170" max="170" width="3.85546875" style="1" bestFit="1" customWidth="1"/>
    <col min="171" max="172" width="3.7109375" style="1" bestFit="1" customWidth="1"/>
    <col min="173" max="173" width="3.85546875" style="1" bestFit="1" customWidth="1"/>
    <col min="174" max="174" width="4.5703125" style="1" bestFit="1" customWidth="1"/>
    <col min="175" max="175" width="3.85546875" style="1" bestFit="1" customWidth="1"/>
    <col min="176" max="176" width="4.7109375" style="1" bestFit="1" customWidth="1"/>
    <col min="177" max="177" width="3.85546875" style="1" bestFit="1" customWidth="1"/>
    <col min="178" max="179" width="3.7109375" style="1" bestFit="1" customWidth="1"/>
    <col min="180" max="180" width="3.85546875" style="1" bestFit="1" customWidth="1"/>
    <col min="181" max="181" width="4.5703125" style="1" bestFit="1" customWidth="1"/>
    <col min="182" max="182" width="3.85546875" style="1" bestFit="1" customWidth="1"/>
    <col min="183" max="183" width="4.7109375" style="1" bestFit="1" customWidth="1"/>
    <col min="184" max="184" width="3.85546875" style="1" bestFit="1" customWidth="1"/>
    <col min="185" max="186" width="3.7109375" style="1" bestFit="1" customWidth="1"/>
    <col min="187" max="187" width="3.85546875" style="1" bestFit="1" customWidth="1"/>
    <col min="188" max="188" width="4.5703125" style="1" bestFit="1" customWidth="1"/>
    <col min="189" max="189" width="3.85546875" style="1" bestFit="1" customWidth="1"/>
    <col min="190" max="190" width="4.7109375" style="1" bestFit="1" customWidth="1"/>
    <col min="191" max="191" width="3.85546875" style="1" bestFit="1" customWidth="1"/>
    <col min="192" max="193" width="3.7109375" style="1" bestFit="1" customWidth="1"/>
    <col min="194" max="194" width="3.85546875" style="1" bestFit="1" customWidth="1"/>
    <col min="195" max="195" width="4.5703125" style="1" bestFit="1" customWidth="1"/>
    <col min="196" max="196" width="3.85546875" style="1" bestFit="1" customWidth="1"/>
    <col min="197" max="197" width="4.7109375" style="1" bestFit="1" customWidth="1"/>
    <col min="198" max="198" width="3.85546875" style="1" bestFit="1" customWidth="1"/>
    <col min="199" max="200" width="3.7109375" style="1" bestFit="1" customWidth="1"/>
    <col min="201" max="201" width="3.85546875" style="1" bestFit="1" customWidth="1"/>
    <col min="202" max="202" width="4.5703125" style="1" bestFit="1" customWidth="1"/>
    <col min="203" max="203" width="3.85546875" style="1" bestFit="1" customWidth="1"/>
    <col min="204" max="204" width="4.7109375" style="1" bestFit="1" customWidth="1"/>
    <col min="205" max="205" width="3.85546875" style="1" bestFit="1" customWidth="1"/>
    <col min="206" max="207" width="3.7109375" style="1" bestFit="1" customWidth="1"/>
    <col min="208" max="208" width="3.85546875" style="1" bestFit="1" customWidth="1"/>
    <col min="209" max="209" width="4.5703125" style="1" bestFit="1" customWidth="1"/>
    <col min="210" max="210" width="3.85546875" style="1" bestFit="1" customWidth="1"/>
    <col min="211" max="211" width="4.7109375" style="1" bestFit="1" customWidth="1"/>
    <col min="212" max="212" width="3.85546875" style="1" bestFit="1" customWidth="1"/>
    <col min="213" max="214" width="3.7109375" style="1" bestFit="1" customWidth="1"/>
    <col min="215" max="215" width="3.85546875" style="1" bestFit="1" customWidth="1"/>
    <col min="216" max="216" width="4.5703125" style="1" bestFit="1" customWidth="1"/>
    <col min="217" max="217" width="3.85546875" style="1" bestFit="1" customWidth="1"/>
    <col min="218" max="218" width="4.7109375" style="1" bestFit="1" customWidth="1"/>
    <col min="219" max="219" width="3.85546875" style="1" bestFit="1" customWidth="1"/>
    <col min="220" max="221" width="3.7109375" style="1" bestFit="1" customWidth="1"/>
    <col min="222" max="222" width="3.85546875" style="1" bestFit="1" customWidth="1"/>
    <col min="223" max="223" width="4.5703125" style="1" bestFit="1" customWidth="1"/>
    <col min="224" max="224" width="3.85546875" style="1" bestFit="1" customWidth="1"/>
    <col min="225" max="225" width="4.7109375" style="1" bestFit="1" customWidth="1"/>
    <col min="226" max="226" width="3.85546875" style="1" bestFit="1" customWidth="1"/>
    <col min="227" max="228" width="3.7109375" style="1" bestFit="1" customWidth="1"/>
    <col min="229" max="229" width="3.85546875" style="1" bestFit="1" customWidth="1"/>
    <col min="230" max="230" width="4.5703125" style="1" bestFit="1" customWidth="1"/>
    <col min="231" max="231" width="3.85546875" style="1" bestFit="1" customWidth="1"/>
    <col min="232" max="232" width="4.7109375" style="1" bestFit="1" customWidth="1"/>
    <col min="233" max="233" width="3.85546875" style="1" bestFit="1" customWidth="1"/>
    <col min="234" max="235" width="3.7109375" style="1" bestFit="1" customWidth="1"/>
    <col min="236" max="236" width="3.85546875" style="1" bestFit="1" customWidth="1"/>
    <col min="237" max="237" width="4.5703125" style="1" bestFit="1" customWidth="1"/>
    <col min="238" max="238" width="3.85546875" style="1" bestFit="1" customWidth="1"/>
    <col min="239" max="239" width="4.7109375" style="1" bestFit="1" customWidth="1"/>
    <col min="240" max="240" width="3.85546875" style="1" bestFit="1" customWidth="1"/>
    <col min="241" max="242" width="3.7109375" style="1" bestFit="1" customWidth="1"/>
    <col min="243" max="243" width="3.85546875" style="1" bestFit="1" customWidth="1"/>
    <col min="244" max="244" width="4.5703125" style="1" bestFit="1" customWidth="1"/>
    <col min="245" max="245" width="3.85546875" style="1" bestFit="1" customWidth="1"/>
    <col min="246" max="246" width="4.7109375" style="1" bestFit="1" customWidth="1"/>
    <col min="247" max="247" width="3.85546875" style="1" bestFit="1" customWidth="1"/>
    <col min="248" max="249" width="3.7109375" style="1" bestFit="1" customWidth="1"/>
    <col min="250" max="250" width="3.85546875" style="1" bestFit="1" customWidth="1"/>
    <col min="251" max="251" width="4.5703125" style="1" bestFit="1" customWidth="1"/>
    <col min="252" max="252" width="3.85546875" style="1" bestFit="1" customWidth="1"/>
    <col min="253" max="253" width="4.7109375" style="1" bestFit="1" customWidth="1"/>
    <col min="254" max="254" width="3.85546875" style="1" bestFit="1" customWidth="1"/>
    <col min="255" max="256" width="3.7109375" style="1" bestFit="1" customWidth="1"/>
    <col min="257" max="257" width="3.85546875" style="1" bestFit="1" customWidth="1"/>
    <col min="258" max="258" width="4.5703125" style="1" bestFit="1" customWidth="1"/>
    <col min="259" max="259" width="3.85546875" style="1" bestFit="1" customWidth="1"/>
    <col min="260" max="260" width="4.7109375" style="1" bestFit="1" customWidth="1"/>
    <col min="261" max="261" width="3.85546875" style="1" bestFit="1" customWidth="1"/>
    <col min="262" max="263" width="3.7109375" style="1" bestFit="1" customWidth="1"/>
    <col min="264" max="264" width="3.85546875" style="1" bestFit="1" customWidth="1"/>
    <col min="265" max="265" width="4.5703125" style="1" bestFit="1" customWidth="1"/>
    <col min="266" max="266" width="3.85546875" style="1" bestFit="1" customWidth="1"/>
    <col min="267" max="267" width="4.7109375" style="1" bestFit="1" customWidth="1"/>
    <col min="268" max="268" width="3.85546875" style="1" bestFit="1" customWidth="1"/>
    <col min="269" max="270" width="3.7109375" style="1" bestFit="1" customWidth="1"/>
    <col min="271" max="271" width="3.85546875" style="1" bestFit="1" customWidth="1"/>
    <col min="272" max="272" width="4.5703125" style="1" bestFit="1" customWidth="1"/>
    <col min="273" max="273" width="3.85546875" style="1" bestFit="1" customWidth="1"/>
    <col min="274" max="274" width="4.7109375" style="1" bestFit="1" customWidth="1"/>
    <col min="275" max="275" width="3.85546875" style="1" bestFit="1" customWidth="1"/>
    <col min="276" max="277" width="3.7109375" style="1" bestFit="1" customWidth="1"/>
    <col min="278" max="278" width="3.85546875" style="1" bestFit="1" customWidth="1"/>
    <col min="279" max="279" width="4.5703125" style="1" bestFit="1" customWidth="1"/>
    <col min="280" max="280" width="3.85546875" style="1" bestFit="1" customWidth="1"/>
    <col min="281" max="281" width="4.7109375" style="1" bestFit="1" customWidth="1"/>
    <col min="282" max="282" width="3.85546875" style="1" bestFit="1" customWidth="1"/>
    <col min="283" max="284" width="3.7109375" style="1" bestFit="1" customWidth="1"/>
    <col min="285" max="285" width="3.85546875" style="1" bestFit="1" customWidth="1"/>
    <col min="286" max="286" width="4.5703125" style="1" bestFit="1" customWidth="1"/>
    <col min="287" max="287" width="3.85546875" style="1" bestFit="1" customWidth="1"/>
    <col min="288" max="288" width="4.7109375" style="1" bestFit="1" customWidth="1"/>
    <col min="289" max="289" width="3.85546875" style="1" bestFit="1" customWidth="1"/>
    <col min="290" max="291" width="3.7109375" style="1" bestFit="1" customWidth="1"/>
    <col min="292" max="292" width="3.85546875" style="1" bestFit="1" customWidth="1"/>
    <col min="293" max="293" width="4.5703125" style="1" bestFit="1" customWidth="1"/>
    <col min="294" max="294" width="3.85546875" style="1" bestFit="1" customWidth="1"/>
    <col min="295" max="295" width="4.7109375" style="1" bestFit="1" customWidth="1"/>
    <col min="296" max="296" width="3.85546875" style="1" bestFit="1" customWidth="1"/>
    <col min="297" max="298" width="3.7109375" style="1" bestFit="1" customWidth="1"/>
    <col min="299" max="299" width="3.85546875" style="1" bestFit="1" customWidth="1"/>
    <col min="300" max="300" width="4.5703125" style="1" bestFit="1" customWidth="1"/>
    <col min="301" max="301" width="3.85546875" style="1" bestFit="1" customWidth="1"/>
    <col min="302" max="302" width="4.7109375" style="1" bestFit="1" customWidth="1"/>
    <col min="303" max="303" width="3.85546875" style="1" bestFit="1" customWidth="1"/>
    <col min="304" max="305" width="3.7109375" style="1" bestFit="1" customWidth="1"/>
    <col min="306" max="306" width="3.85546875" style="1" bestFit="1" customWidth="1"/>
    <col min="307" max="307" width="4.5703125" style="1" bestFit="1" customWidth="1"/>
    <col min="308" max="308" width="3.85546875" style="1" bestFit="1" customWidth="1"/>
    <col min="309" max="309" width="4.7109375" style="1" bestFit="1" customWidth="1"/>
    <col min="310" max="310" width="3.85546875" style="1" bestFit="1" customWidth="1"/>
    <col min="311" max="312" width="3.7109375" style="1" bestFit="1" customWidth="1"/>
    <col min="313" max="313" width="3.85546875" style="1" bestFit="1" customWidth="1"/>
    <col min="314" max="314" width="4.5703125" style="1" bestFit="1" customWidth="1"/>
    <col min="315" max="315" width="3.85546875" style="1" bestFit="1" customWidth="1"/>
    <col min="316" max="316" width="4.7109375" style="1" bestFit="1" customWidth="1"/>
    <col min="317" max="317" width="3.85546875" style="1" bestFit="1" customWidth="1"/>
    <col min="318" max="319" width="3.7109375" style="1" bestFit="1" customWidth="1"/>
    <col min="320" max="320" width="3.85546875" style="1" bestFit="1" customWidth="1"/>
    <col min="321" max="321" width="4.5703125" style="1" bestFit="1" customWidth="1"/>
    <col min="322" max="322" width="3.85546875" style="1" bestFit="1" customWidth="1"/>
    <col min="323" max="323" width="4.7109375" style="1" bestFit="1" customWidth="1"/>
    <col min="324" max="324" width="3.85546875" style="1" bestFit="1" customWidth="1"/>
    <col min="325" max="326" width="3.7109375" style="1" bestFit="1" customWidth="1"/>
    <col min="327" max="327" width="3.85546875" style="1" bestFit="1" customWidth="1"/>
    <col min="328" max="328" width="4.5703125" style="1" bestFit="1" customWidth="1"/>
    <col min="329" max="329" width="3.85546875" style="1" bestFit="1" customWidth="1"/>
    <col min="330" max="330" width="4.7109375" style="1" bestFit="1" customWidth="1"/>
    <col min="331" max="331" width="3.85546875" style="1" bestFit="1" customWidth="1"/>
    <col min="332" max="333" width="3.7109375" style="1" bestFit="1" customWidth="1"/>
    <col min="334" max="334" width="3.85546875" style="1" bestFit="1" customWidth="1"/>
    <col min="335" max="335" width="4.5703125" style="1" bestFit="1" customWidth="1"/>
    <col min="336" max="336" width="3.85546875" style="1" bestFit="1" customWidth="1"/>
    <col min="337" max="337" width="4.7109375" style="1" bestFit="1" customWidth="1"/>
    <col min="338" max="338" width="3.85546875" style="1" bestFit="1" customWidth="1"/>
    <col min="339" max="340" width="3.7109375" style="1" bestFit="1" customWidth="1"/>
    <col min="341" max="341" width="3.85546875" style="1" bestFit="1" customWidth="1"/>
    <col min="342" max="342" width="4.5703125" style="1" bestFit="1" customWidth="1"/>
    <col min="343" max="343" width="3.85546875" style="1" bestFit="1" customWidth="1"/>
    <col min="344" max="344" width="4.7109375" style="1" bestFit="1" customWidth="1"/>
    <col min="345" max="345" width="3.85546875" style="1" bestFit="1" customWidth="1"/>
    <col min="346" max="347" width="3.7109375" style="1" bestFit="1" customWidth="1"/>
    <col min="348" max="348" width="3.85546875" style="1" bestFit="1" customWidth="1"/>
    <col min="349" max="349" width="4.5703125" style="1" bestFit="1" customWidth="1"/>
    <col min="350" max="350" width="3.85546875" style="1" bestFit="1" customWidth="1"/>
    <col min="351" max="351" width="4.7109375" style="1" bestFit="1" customWidth="1"/>
    <col min="352" max="352" width="3.85546875" style="1" bestFit="1" customWidth="1"/>
    <col min="353" max="354" width="3.7109375" style="1" bestFit="1" customWidth="1"/>
    <col min="355" max="355" width="3.85546875" style="1" bestFit="1" customWidth="1"/>
    <col min="356" max="356" width="4.5703125" style="1" bestFit="1" customWidth="1"/>
    <col min="357" max="357" width="3.85546875" style="1" bestFit="1" customWidth="1"/>
    <col min="358" max="358" width="4.7109375" style="1" bestFit="1" customWidth="1"/>
    <col min="359" max="359" width="3.85546875" style="1" bestFit="1" customWidth="1"/>
    <col min="360" max="361" width="3.7109375" style="1" bestFit="1" customWidth="1"/>
    <col min="362" max="362" width="3.85546875" style="1" bestFit="1" customWidth="1"/>
    <col min="363" max="363" width="4.5703125" style="1" bestFit="1" customWidth="1"/>
    <col min="364" max="364" width="3.85546875" style="1" bestFit="1" customWidth="1"/>
    <col min="365" max="365" width="4.7109375" style="1" bestFit="1" customWidth="1"/>
    <col min="366" max="366" width="3.85546875" style="1" bestFit="1" customWidth="1"/>
    <col min="367" max="368" width="3.7109375" style="1" bestFit="1" customWidth="1"/>
    <col min="369" max="369" width="3.85546875" style="1" bestFit="1" customWidth="1"/>
    <col min="370" max="371" width="3.7109375" style="1" bestFit="1" customWidth="1"/>
    <col min="372" max="373" width="6.7109375" style="1" bestFit="1" customWidth="1"/>
    <col min="374" max="374" width="18.5703125" style="1" bestFit="1" customWidth="1"/>
    <col min="375" max="375" width="5.85546875" style="1" bestFit="1" customWidth="1"/>
    <col min="376" max="376" width="14.28515625" style="1" bestFit="1" customWidth="1"/>
    <col min="377" max="377" width="6.7109375" style="1" bestFit="1" customWidth="1"/>
    <col min="378" max="16384" width="3.85546875" style="1"/>
  </cols>
  <sheetData>
    <row r="1" spans="1:377" ht="17.25" x14ac:dyDescent="0.3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</row>
    <row r="2" spans="1:377" ht="17.25" x14ac:dyDescent="0.25">
      <c r="A2" s="101" t="s">
        <v>48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</row>
    <row r="3" spans="1:377" ht="17.25" x14ac:dyDescent="0.3">
      <c r="A3" s="100" t="s">
        <v>47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</row>
    <row r="4" spans="1:377" ht="15.75" x14ac:dyDescent="0.25">
      <c r="A4" s="106" t="s">
        <v>0</v>
      </c>
      <c r="B4" s="106" t="s">
        <v>1</v>
      </c>
      <c r="C4" s="106" t="s">
        <v>2</v>
      </c>
      <c r="D4" s="106" t="s">
        <v>3</v>
      </c>
      <c r="E4" s="106" t="s">
        <v>4</v>
      </c>
      <c r="F4" s="2" t="str">
        <f>TEXT(F5,"ddd")</f>
        <v>Mon</v>
      </c>
      <c r="G4" s="2" t="str">
        <f t="shared" ref="G4:BR4" si="0">TEXT(G5,"ddd")</f>
        <v>Tue</v>
      </c>
      <c r="H4" s="2" t="str">
        <f t="shared" si="0"/>
        <v>Wed</v>
      </c>
      <c r="I4" s="2" t="str">
        <f t="shared" si="0"/>
        <v>Thu</v>
      </c>
      <c r="J4" s="2" t="str">
        <f t="shared" si="0"/>
        <v>Fri</v>
      </c>
      <c r="K4" s="2" t="str">
        <f t="shared" si="0"/>
        <v>Sat</v>
      </c>
      <c r="L4" s="2" t="str">
        <f t="shared" si="0"/>
        <v>Sun</v>
      </c>
      <c r="M4" s="2" t="str">
        <f t="shared" si="0"/>
        <v>Mon</v>
      </c>
      <c r="N4" s="2" t="str">
        <f t="shared" si="0"/>
        <v>Tue</v>
      </c>
      <c r="O4" s="2" t="str">
        <f t="shared" si="0"/>
        <v>Wed</v>
      </c>
      <c r="P4" s="2" t="str">
        <f t="shared" si="0"/>
        <v>Thu</v>
      </c>
      <c r="Q4" s="2" t="str">
        <f t="shared" si="0"/>
        <v>Fri</v>
      </c>
      <c r="R4" s="2" t="str">
        <f t="shared" si="0"/>
        <v>Sat</v>
      </c>
      <c r="S4" s="2" t="str">
        <f t="shared" si="0"/>
        <v>Sun</v>
      </c>
      <c r="T4" s="2" t="str">
        <f t="shared" si="0"/>
        <v>Mon</v>
      </c>
      <c r="U4" s="2" t="str">
        <f t="shared" si="0"/>
        <v>Tue</v>
      </c>
      <c r="V4" s="2" t="str">
        <f t="shared" si="0"/>
        <v>Wed</v>
      </c>
      <c r="W4" s="2" t="str">
        <f t="shared" si="0"/>
        <v>Thu</v>
      </c>
      <c r="X4" s="2" t="str">
        <f t="shared" si="0"/>
        <v>Fri</v>
      </c>
      <c r="Y4" s="2" t="str">
        <f t="shared" si="0"/>
        <v>Sat</v>
      </c>
      <c r="Z4" s="2" t="str">
        <f t="shared" si="0"/>
        <v>Sun</v>
      </c>
      <c r="AA4" s="2" t="str">
        <f t="shared" si="0"/>
        <v>Mon</v>
      </c>
      <c r="AB4" s="2" t="str">
        <f t="shared" si="0"/>
        <v>Tue</v>
      </c>
      <c r="AC4" s="2" t="str">
        <f t="shared" si="0"/>
        <v>Wed</v>
      </c>
      <c r="AD4" s="2" t="str">
        <f t="shared" si="0"/>
        <v>Thu</v>
      </c>
      <c r="AE4" s="2" t="str">
        <f t="shared" si="0"/>
        <v>Fri</v>
      </c>
      <c r="AF4" s="2" t="str">
        <f t="shared" si="0"/>
        <v>Sat</v>
      </c>
      <c r="AG4" s="2" t="str">
        <f t="shared" si="0"/>
        <v>Sun</v>
      </c>
      <c r="AH4" s="2" t="str">
        <f t="shared" si="0"/>
        <v>Mon</v>
      </c>
      <c r="AI4" s="2" t="str">
        <f t="shared" si="0"/>
        <v>Tue</v>
      </c>
      <c r="AJ4" s="2" t="str">
        <f t="shared" si="0"/>
        <v>Wed</v>
      </c>
      <c r="AK4" s="2" t="str">
        <f t="shared" si="0"/>
        <v>Thu</v>
      </c>
      <c r="AL4" s="2" t="str">
        <f t="shared" si="0"/>
        <v>Fri</v>
      </c>
      <c r="AM4" s="2" t="str">
        <f t="shared" si="0"/>
        <v>Sat</v>
      </c>
      <c r="AN4" s="2" t="str">
        <f t="shared" si="0"/>
        <v>Sun</v>
      </c>
      <c r="AO4" s="2" t="str">
        <f t="shared" si="0"/>
        <v>Mon</v>
      </c>
      <c r="AP4" s="2" t="str">
        <f t="shared" si="0"/>
        <v>Tue</v>
      </c>
      <c r="AQ4" s="2" t="str">
        <f t="shared" si="0"/>
        <v>Wed</v>
      </c>
      <c r="AR4" s="2" t="str">
        <f t="shared" si="0"/>
        <v>Thu</v>
      </c>
      <c r="AS4" s="2" t="str">
        <f t="shared" si="0"/>
        <v>Fri</v>
      </c>
      <c r="AT4" s="2" t="str">
        <f t="shared" si="0"/>
        <v>Sat</v>
      </c>
      <c r="AU4" s="2" t="str">
        <f t="shared" si="0"/>
        <v>Sun</v>
      </c>
      <c r="AV4" s="2" t="str">
        <f t="shared" si="0"/>
        <v>Mon</v>
      </c>
      <c r="AW4" s="2" t="str">
        <f t="shared" si="0"/>
        <v>Tue</v>
      </c>
      <c r="AX4" s="2" t="str">
        <f t="shared" si="0"/>
        <v>Wed</v>
      </c>
      <c r="AY4" s="2" t="str">
        <f t="shared" si="0"/>
        <v>Thu</v>
      </c>
      <c r="AZ4" s="2" t="str">
        <f t="shared" si="0"/>
        <v>Fri</v>
      </c>
      <c r="BA4" s="2" t="str">
        <f t="shared" si="0"/>
        <v>Sat</v>
      </c>
      <c r="BB4" s="2" t="str">
        <f t="shared" si="0"/>
        <v>Sun</v>
      </c>
      <c r="BC4" s="2" t="str">
        <f t="shared" si="0"/>
        <v>Mon</v>
      </c>
      <c r="BD4" s="2" t="str">
        <f t="shared" si="0"/>
        <v>Tue</v>
      </c>
      <c r="BE4" s="2" t="str">
        <f t="shared" si="0"/>
        <v>Wed</v>
      </c>
      <c r="BF4" s="2" t="str">
        <f t="shared" si="0"/>
        <v>Thu</v>
      </c>
      <c r="BG4" s="2" t="str">
        <f t="shared" si="0"/>
        <v>Fri</v>
      </c>
      <c r="BH4" s="2" t="str">
        <f t="shared" si="0"/>
        <v>Sat</v>
      </c>
      <c r="BI4" s="2" t="str">
        <f t="shared" si="0"/>
        <v>Sun</v>
      </c>
      <c r="BJ4" s="2" t="str">
        <f t="shared" si="0"/>
        <v>Mon</v>
      </c>
      <c r="BK4" s="2" t="str">
        <f t="shared" si="0"/>
        <v>Tue</v>
      </c>
      <c r="BL4" s="2" t="str">
        <f t="shared" si="0"/>
        <v>Wed</v>
      </c>
      <c r="BM4" s="2" t="str">
        <f t="shared" si="0"/>
        <v>Thu</v>
      </c>
      <c r="BN4" s="2" t="str">
        <f t="shared" si="0"/>
        <v>Fri</v>
      </c>
      <c r="BO4" s="2" t="str">
        <f t="shared" si="0"/>
        <v>Sat</v>
      </c>
      <c r="BP4" s="2" t="str">
        <f t="shared" si="0"/>
        <v>Sun</v>
      </c>
      <c r="BQ4" s="2" t="str">
        <f t="shared" si="0"/>
        <v>Mon</v>
      </c>
      <c r="BR4" s="2" t="str">
        <f t="shared" si="0"/>
        <v>Tue</v>
      </c>
      <c r="BS4" s="2" t="str">
        <f t="shared" ref="BS4:ED4" si="1">TEXT(BS5,"ddd")</f>
        <v>Wed</v>
      </c>
      <c r="BT4" s="2" t="str">
        <f t="shared" si="1"/>
        <v>Thu</v>
      </c>
      <c r="BU4" s="2" t="str">
        <f t="shared" si="1"/>
        <v>Fri</v>
      </c>
      <c r="BV4" s="2" t="str">
        <f t="shared" si="1"/>
        <v>Sat</v>
      </c>
      <c r="BW4" s="2" t="str">
        <f t="shared" si="1"/>
        <v>Sun</v>
      </c>
      <c r="BX4" s="2" t="str">
        <f t="shared" si="1"/>
        <v>Mon</v>
      </c>
      <c r="BY4" s="2" t="str">
        <f t="shared" si="1"/>
        <v>Tue</v>
      </c>
      <c r="BZ4" s="2" t="str">
        <f t="shared" si="1"/>
        <v>Wed</v>
      </c>
      <c r="CA4" s="2" t="str">
        <f t="shared" si="1"/>
        <v>Thu</v>
      </c>
      <c r="CB4" s="2" t="str">
        <f t="shared" si="1"/>
        <v>Fri</v>
      </c>
      <c r="CC4" s="2" t="str">
        <f t="shared" si="1"/>
        <v>Sat</v>
      </c>
      <c r="CD4" s="2" t="str">
        <f t="shared" si="1"/>
        <v>Sun</v>
      </c>
      <c r="CE4" s="2" t="str">
        <f t="shared" si="1"/>
        <v>Mon</v>
      </c>
      <c r="CF4" s="2" t="str">
        <f t="shared" si="1"/>
        <v>Tue</v>
      </c>
      <c r="CG4" s="2" t="str">
        <f t="shared" si="1"/>
        <v>Wed</v>
      </c>
      <c r="CH4" s="2" t="str">
        <f t="shared" si="1"/>
        <v>Thu</v>
      </c>
      <c r="CI4" s="2" t="str">
        <f t="shared" si="1"/>
        <v>Fri</v>
      </c>
      <c r="CJ4" s="2" t="str">
        <f t="shared" si="1"/>
        <v>Sat</v>
      </c>
      <c r="CK4" s="2" t="str">
        <f t="shared" si="1"/>
        <v>Sun</v>
      </c>
      <c r="CL4" s="2" t="str">
        <f t="shared" si="1"/>
        <v>Mon</v>
      </c>
      <c r="CM4" s="2" t="str">
        <f t="shared" si="1"/>
        <v>Tue</v>
      </c>
      <c r="CN4" s="2" t="str">
        <f t="shared" si="1"/>
        <v>Wed</v>
      </c>
      <c r="CO4" s="2" t="str">
        <f t="shared" si="1"/>
        <v>Thu</v>
      </c>
      <c r="CP4" s="2" t="str">
        <f t="shared" si="1"/>
        <v>Fri</v>
      </c>
      <c r="CQ4" s="2" t="str">
        <f t="shared" si="1"/>
        <v>Sat</v>
      </c>
      <c r="CR4" s="2" t="str">
        <f t="shared" si="1"/>
        <v>Sun</v>
      </c>
      <c r="CS4" s="2" t="str">
        <f t="shared" si="1"/>
        <v>Mon</v>
      </c>
      <c r="CT4" s="2" t="str">
        <f t="shared" si="1"/>
        <v>Tue</v>
      </c>
      <c r="CU4" s="2" t="str">
        <f t="shared" si="1"/>
        <v>Wed</v>
      </c>
      <c r="CV4" s="2" t="str">
        <f t="shared" si="1"/>
        <v>Thu</v>
      </c>
      <c r="CW4" s="2" t="str">
        <f t="shared" si="1"/>
        <v>Fri</v>
      </c>
      <c r="CX4" s="2" t="str">
        <f t="shared" si="1"/>
        <v>Sat</v>
      </c>
      <c r="CY4" s="2" t="str">
        <f t="shared" si="1"/>
        <v>Sun</v>
      </c>
      <c r="CZ4" s="2" t="str">
        <f t="shared" si="1"/>
        <v>Mon</v>
      </c>
      <c r="DA4" s="2" t="str">
        <f t="shared" si="1"/>
        <v>Tue</v>
      </c>
      <c r="DB4" s="2" t="str">
        <f t="shared" si="1"/>
        <v>Wed</v>
      </c>
      <c r="DC4" s="2" t="str">
        <f t="shared" si="1"/>
        <v>Thu</v>
      </c>
      <c r="DD4" s="2" t="str">
        <f t="shared" si="1"/>
        <v>Fri</v>
      </c>
      <c r="DE4" s="2" t="str">
        <f t="shared" si="1"/>
        <v>Sat</v>
      </c>
      <c r="DF4" s="2" t="str">
        <f t="shared" si="1"/>
        <v>Sun</v>
      </c>
      <c r="DG4" s="2" t="str">
        <f t="shared" si="1"/>
        <v>Mon</v>
      </c>
      <c r="DH4" s="2" t="str">
        <f t="shared" si="1"/>
        <v>Tue</v>
      </c>
      <c r="DI4" s="2" t="str">
        <f t="shared" si="1"/>
        <v>Wed</v>
      </c>
      <c r="DJ4" s="2" t="str">
        <f t="shared" si="1"/>
        <v>Thu</v>
      </c>
      <c r="DK4" s="2" t="str">
        <f t="shared" si="1"/>
        <v>Fri</v>
      </c>
      <c r="DL4" s="2" t="str">
        <f t="shared" si="1"/>
        <v>Sat</v>
      </c>
      <c r="DM4" s="2" t="str">
        <f t="shared" si="1"/>
        <v>Sun</v>
      </c>
      <c r="DN4" s="2" t="str">
        <f t="shared" si="1"/>
        <v>Mon</v>
      </c>
      <c r="DO4" s="2" t="str">
        <f t="shared" si="1"/>
        <v>Tue</v>
      </c>
      <c r="DP4" s="2" t="str">
        <f t="shared" si="1"/>
        <v>Wed</v>
      </c>
      <c r="DQ4" s="2" t="str">
        <f t="shared" si="1"/>
        <v>Thu</v>
      </c>
      <c r="DR4" s="2" t="str">
        <f t="shared" si="1"/>
        <v>Fri</v>
      </c>
      <c r="DS4" s="2" t="str">
        <f t="shared" si="1"/>
        <v>Sat</v>
      </c>
      <c r="DT4" s="2" t="str">
        <f t="shared" si="1"/>
        <v>Sun</v>
      </c>
      <c r="DU4" s="2" t="str">
        <f t="shared" si="1"/>
        <v>Mon</v>
      </c>
      <c r="DV4" s="2" t="str">
        <f t="shared" si="1"/>
        <v>Tue</v>
      </c>
      <c r="DW4" s="2" t="str">
        <f t="shared" si="1"/>
        <v>Wed</v>
      </c>
      <c r="DX4" s="2" t="str">
        <f t="shared" si="1"/>
        <v>Thu</v>
      </c>
      <c r="DY4" s="2" t="str">
        <f t="shared" si="1"/>
        <v>Fri</v>
      </c>
      <c r="DZ4" s="2" t="str">
        <f t="shared" si="1"/>
        <v>Sat</v>
      </c>
      <c r="EA4" s="2" t="str">
        <f t="shared" si="1"/>
        <v>Sun</v>
      </c>
      <c r="EB4" s="2" t="str">
        <f t="shared" si="1"/>
        <v>Mon</v>
      </c>
      <c r="EC4" s="2" t="str">
        <f t="shared" si="1"/>
        <v>Tue</v>
      </c>
      <c r="ED4" s="2" t="str">
        <f t="shared" si="1"/>
        <v>Wed</v>
      </c>
      <c r="EE4" s="2" t="str">
        <f t="shared" ref="EE4:GP4" si="2">TEXT(EE5,"ddd")</f>
        <v>Thu</v>
      </c>
      <c r="EF4" s="2" t="str">
        <f t="shared" si="2"/>
        <v>Fri</v>
      </c>
      <c r="EG4" s="2" t="str">
        <f t="shared" si="2"/>
        <v>Sat</v>
      </c>
      <c r="EH4" s="2" t="str">
        <f t="shared" si="2"/>
        <v>Sun</v>
      </c>
      <c r="EI4" s="2" t="str">
        <f t="shared" si="2"/>
        <v>Mon</v>
      </c>
      <c r="EJ4" s="2" t="str">
        <f t="shared" si="2"/>
        <v>Tue</v>
      </c>
      <c r="EK4" s="2" t="str">
        <f t="shared" si="2"/>
        <v>Wed</v>
      </c>
      <c r="EL4" s="2" t="str">
        <f t="shared" si="2"/>
        <v>Thu</v>
      </c>
      <c r="EM4" s="2" t="str">
        <f t="shared" si="2"/>
        <v>Fri</v>
      </c>
      <c r="EN4" s="2" t="str">
        <f t="shared" si="2"/>
        <v>Sat</v>
      </c>
      <c r="EO4" s="2" t="str">
        <f t="shared" si="2"/>
        <v>Sun</v>
      </c>
      <c r="EP4" s="2" t="str">
        <f t="shared" si="2"/>
        <v>Mon</v>
      </c>
      <c r="EQ4" s="2" t="str">
        <f t="shared" si="2"/>
        <v>Tue</v>
      </c>
      <c r="ER4" s="2" t="str">
        <f t="shared" si="2"/>
        <v>Wed</v>
      </c>
      <c r="ES4" s="2" t="str">
        <f t="shared" si="2"/>
        <v>Thu</v>
      </c>
      <c r="ET4" s="2" t="str">
        <f t="shared" si="2"/>
        <v>Fri</v>
      </c>
      <c r="EU4" s="2" t="str">
        <f t="shared" si="2"/>
        <v>Sat</v>
      </c>
      <c r="EV4" s="2" t="str">
        <f t="shared" si="2"/>
        <v>Sun</v>
      </c>
      <c r="EW4" s="2" t="str">
        <f t="shared" si="2"/>
        <v>Mon</v>
      </c>
      <c r="EX4" s="2" t="str">
        <f t="shared" si="2"/>
        <v>Tue</v>
      </c>
      <c r="EY4" s="2" t="str">
        <f t="shared" si="2"/>
        <v>Wed</v>
      </c>
      <c r="EZ4" s="2" t="str">
        <f t="shared" si="2"/>
        <v>Thu</v>
      </c>
      <c r="FA4" s="2" t="str">
        <f t="shared" si="2"/>
        <v>Fri</v>
      </c>
      <c r="FB4" s="2" t="str">
        <f t="shared" si="2"/>
        <v>Sat</v>
      </c>
      <c r="FC4" s="2" t="str">
        <f t="shared" si="2"/>
        <v>Sun</v>
      </c>
      <c r="FD4" s="2" t="str">
        <f t="shared" si="2"/>
        <v>Mon</v>
      </c>
      <c r="FE4" s="2" t="str">
        <f t="shared" si="2"/>
        <v>Tue</v>
      </c>
      <c r="FF4" s="2" t="str">
        <f t="shared" si="2"/>
        <v>Wed</v>
      </c>
      <c r="FG4" s="2" t="str">
        <f t="shared" si="2"/>
        <v>Thu</v>
      </c>
      <c r="FH4" s="2" t="str">
        <f t="shared" si="2"/>
        <v>Fri</v>
      </c>
      <c r="FI4" s="2" t="str">
        <f t="shared" si="2"/>
        <v>Sat</v>
      </c>
      <c r="FJ4" s="2" t="str">
        <f t="shared" si="2"/>
        <v>Sun</v>
      </c>
      <c r="FK4" s="2" t="str">
        <f t="shared" si="2"/>
        <v>Mon</v>
      </c>
      <c r="FL4" s="2" t="str">
        <f t="shared" si="2"/>
        <v>Tue</v>
      </c>
      <c r="FM4" s="2" t="str">
        <f t="shared" si="2"/>
        <v>Wed</v>
      </c>
      <c r="FN4" s="2" t="str">
        <f t="shared" si="2"/>
        <v>Thu</v>
      </c>
      <c r="FO4" s="2" t="str">
        <f t="shared" si="2"/>
        <v>Fri</v>
      </c>
      <c r="FP4" s="2" t="str">
        <f t="shared" si="2"/>
        <v>Sat</v>
      </c>
      <c r="FQ4" s="2" t="str">
        <f t="shared" si="2"/>
        <v>Sun</v>
      </c>
      <c r="FR4" s="2" t="str">
        <f t="shared" si="2"/>
        <v>Mon</v>
      </c>
      <c r="FS4" s="2" t="str">
        <f t="shared" si="2"/>
        <v>Tue</v>
      </c>
      <c r="FT4" s="2" t="str">
        <f t="shared" si="2"/>
        <v>Wed</v>
      </c>
      <c r="FU4" s="2" t="str">
        <f t="shared" si="2"/>
        <v>Thu</v>
      </c>
      <c r="FV4" s="2" t="str">
        <f t="shared" si="2"/>
        <v>Fri</v>
      </c>
      <c r="FW4" s="2" t="str">
        <f t="shared" si="2"/>
        <v>Sat</v>
      </c>
      <c r="FX4" s="2" t="str">
        <f t="shared" si="2"/>
        <v>Sun</v>
      </c>
      <c r="FY4" s="2" t="str">
        <f t="shared" si="2"/>
        <v>Mon</v>
      </c>
      <c r="FZ4" s="2" t="str">
        <f t="shared" si="2"/>
        <v>Tue</v>
      </c>
      <c r="GA4" s="2" t="str">
        <f t="shared" si="2"/>
        <v>Wed</v>
      </c>
      <c r="GB4" s="2" t="str">
        <f t="shared" si="2"/>
        <v>Thu</v>
      </c>
      <c r="GC4" s="2" t="str">
        <f t="shared" si="2"/>
        <v>Fri</v>
      </c>
      <c r="GD4" s="2" t="str">
        <f t="shared" si="2"/>
        <v>Sat</v>
      </c>
      <c r="GE4" s="2" t="str">
        <f t="shared" si="2"/>
        <v>Sun</v>
      </c>
      <c r="GF4" s="2" t="str">
        <f t="shared" si="2"/>
        <v>Mon</v>
      </c>
      <c r="GG4" s="2" t="str">
        <f t="shared" si="2"/>
        <v>Tue</v>
      </c>
      <c r="GH4" s="2" t="str">
        <f t="shared" si="2"/>
        <v>Wed</v>
      </c>
      <c r="GI4" s="2" t="str">
        <f t="shared" si="2"/>
        <v>Thu</v>
      </c>
      <c r="GJ4" s="2" t="str">
        <f t="shared" si="2"/>
        <v>Fri</v>
      </c>
      <c r="GK4" s="2" t="str">
        <f t="shared" si="2"/>
        <v>Sat</v>
      </c>
      <c r="GL4" s="2" t="str">
        <f t="shared" si="2"/>
        <v>Sun</v>
      </c>
      <c r="GM4" s="2" t="str">
        <f t="shared" si="2"/>
        <v>Mon</v>
      </c>
      <c r="GN4" s="2" t="str">
        <f t="shared" si="2"/>
        <v>Tue</v>
      </c>
      <c r="GO4" s="2" t="str">
        <f t="shared" si="2"/>
        <v>Wed</v>
      </c>
      <c r="GP4" s="2" t="str">
        <f t="shared" si="2"/>
        <v>Thu</v>
      </c>
      <c r="GQ4" s="2" t="str">
        <f t="shared" ref="GQ4:JB4" si="3">TEXT(GQ5,"ddd")</f>
        <v>Fri</v>
      </c>
      <c r="GR4" s="2" t="str">
        <f t="shared" si="3"/>
        <v>Sat</v>
      </c>
      <c r="GS4" s="2" t="str">
        <f t="shared" si="3"/>
        <v>Sun</v>
      </c>
      <c r="GT4" s="2" t="str">
        <f t="shared" si="3"/>
        <v>Mon</v>
      </c>
      <c r="GU4" s="2" t="str">
        <f t="shared" si="3"/>
        <v>Tue</v>
      </c>
      <c r="GV4" s="2" t="str">
        <f t="shared" si="3"/>
        <v>Wed</v>
      </c>
      <c r="GW4" s="2" t="str">
        <f t="shared" si="3"/>
        <v>Thu</v>
      </c>
      <c r="GX4" s="2" t="str">
        <f t="shared" si="3"/>
        <v>Fri</v>
      </c>
      <c r="GY4" s="2" t="str">
        <f t="shared" si="3"/>
        <v>Sat</v>
      </c>
      <c r="GZ4" s="2" t="str">
        <f t="shared" si="3"/>
        <v>Sun</v>
      </c>
      <c r="HA4" s="2" t="str">
        <f t="shared" si="3"/>
        <v>Mon</v>
      </c>
      <c r="HB4" s="2" t="str">
        <f t="shared" si="3"/>
        <v>Tue</v>
      </c>
      <c r="HC4" s="2" t="str">
        <f t="shared" si="3"/>
        <v>Wed</v>
      </c>
      <c r="HD4" s="2" t="str">
        <f t="shared" si="3"/>
        <v>Thu</v>
      </c>
      <c r="HE4" s="2" t="str">
        <f t="shared" si="3"/>
        <v>Fri</v>
      </c>
      <c r="HF4" s="2" t="str">
        <f t="shared" si="3"/>
        <v>Sat</v>
      </c>
      <c r="HG4" s="2" t="str">
        <f t="shared" si="3"/>
        <v>Sun</v>
      </c>
      <c r="HH4" s="2" t="str">
        <f t="shared" si="3"/>
        <v>Mon</v>
      </c>
      <c r="HI4" s="2" t="str">
        <f t="shared" si="3"/>
        <v>Tue</v>
      </c>
      <c r="HJ4" s="2" t="str">
        <f t="shared" si="3"/>
        <v>Wed</v>
      </c>
      <c r="HK4" s="2" t="str">
        <f t="shared" si="3"/>
        <v>Thu</v>
      </c>
      <c r="HL4" s="2" t="str">
        <f t="shared" si="3"/>
        <v>Fri</v>
      </c>
      <c r="HM4" s="2" t="str">
        <f t="shared" si="3"/>
        <v>Sat</v>
      </c>
      <c r="HN4" s="2" t="str">
        <f t="shared" si="3"/>
        <v>Sun</v>
      </c>
      <c r="HO4" s="2" t="str">
        <f t="shared" si="3"/>
        <v>Mon</v>
      </c>
      <c r="HP4" s="2" t="str">
        <f t="shared" si="3"/>
        <v>Tue</v>
      </c>
      <c r="HQ4" s="2" t="str">
        <f t="shared" si="3"/>
        <v>Wed</v>
      </c>
      <c r="HR4" s="2" t="str">
        <f t="shared" si="3"/>
        <v>Thu</v>
      </c>
      <c r="HS4" s="2" t="str">
        <f t="shared" si="3"/>
        <v>Fri</v>
      </c>
      <c r="HT4" s="2" t="str">
        <f t="shared" si="3"/>
        <v>Sat</v>
      </c>
      <c r="HU4" s="2" t="str">
        <f t="shared" si="3"/>
        <v>Sun</v>
      </c>
      <c r="HV4" s="2" t="str">
        <f t="shared" si="3"/>
        <v>Mon</v>
      </c>
      <c r="HW4" s="2" t="str">
        <f t="shared" si="3"/>
        <v>Tue</v>
      </c>
      <c r="HX4" s="2" t="str">
        <f t="shared" si="3"/>
        <v>Wed</v>
      </c>
      <c r="HY4" s="2" t="str">
        <f t="shared" si="3"/>
        <v>Thu</v>
      </c>
      <c r="HZ4" s="2" t="str">
        <f t="shared" si="3"/>
        <v>Fri</v>
      </c>
      <c r="IA4" s="2" t="str">
        <f t="shared" si="3"/>
        <v>Sat</v>
      </c>
      <c r="IB4" s="2" t="str">
        <f t="shared" si="3"/>
        <v>Sun</v>
      </c>
      <c r="IC4" s="2" t="str">
        <f t="shared" si="3"/>
        <v>Mon</v>
      </c>
      <c r="ID4" s="2" t="str">
        <f t="shared" si="3"/>
        <v>Tue</v>
      </c>
      <c r="IE4" s="2" t="str">
        <f t="shared" si="3"/>
        <v>Wed</v>
      </c>
      <c r="IF4" s="2" t="str">
        <f t="shared" si="3"/>
        <v>Thu</v>
      </c>
      <c r="IG4" s="2" t="str">
        <f t="shared" si="3"/>
        <v>Fri</v>
      </c>
      <c r="IH4" s="2" t="str">
        <f t="shared" si="3"/>
        <v>Sat</v>
      </c>
      <c r="II4" s="2" t="str">
        <f t="shared" si="3"/>
        <v>Sun</v>
      </c>
      <c r="IJ4" s="2" t="str">
        <f t="shared" si="3"/>
        <v>Mon</v>
      </c>
      <c r="IK4" s="2" t="str">
        <f t="shared" si="3"/>
        <v>Tue</v>
      </c>
      <c r="IL4" s="2" t="str">
        <f t="shared" si="3"/>
        <v>Wed</v>
      </c>
      <c r="IM4" s="2" t="str">
        <f t="shared" si="3"/>
        <v>Thu</v>
      </c>
      <c r="IN4" s="2" t="str">
        <f t="shared" si="3"/>
        <v>Fri</v>
      </c>
      <c r="IO4" s="2" t="str">
        <f t="shared" si="3"/>
        <v>Sat</v>
      </c>
      <c r="IP4" s="2" t="str">
        <f t="shared" si="3"/>
        <v>Sun</v>
      </c>
      <c r="IQ4" s="2" t="str">
        <f t="shared" si="3"/>
        <v>Mon</v>
      </c>
      <c r="IR4" s="2" t="str">
        <f t="shared" si="3"/>
        <v>Tue</v>
      </c>
      <c r="IS4" s="2" t="str">
        <f t="shared" si="3"/>
        <v>Wed</v>
      </c>
      <c r="IT4" s="2" t="str">
        <f t="shared" si="3"/>
        <v>Thu</v>
      </c>
      <c r="IU4" s="2" t="str">
        <f t="shared" si="3"/>
        <v>Fri</v>
      </c>
      <c r="IV4" s="2" t="str">
        <f t="shared" si="3"/>
        <v>Sat</v>
      </c>
      <c r="IW4" s="2" t="str">
        <f t="shared" si="3"/>
        <v>Sun</v>
      </c>
      <c r="IX4" s="2" t="str">
        <f t="shared" si="3"/>
        <v>Mon</v>
      </c>
      <c r="IY4" s="2" t="str">
        <f t="shared" si="3"/>
        <v>Tue</v>
      </c>
      <c r="IZ4" s="2" t="str">
        <f t="shared" si="3"/>
        <v>Wed</v>
      </c>
      <c r="JA4" s="2" t="str">
        <f t="shared" si="3"/>
        <v>Thu</v>
      </c>
      <c r="JB4" s="2" t="str">
        <f t="shared" si="3"/>
        <v>Fri</v>
      </c>
      <c r="JC4" s="2" t="str">
        <f t="shared" ref="JC4:LN4" si="4">TEXT(JC5,"ddd")</f>
        <v>Sat</v>
      </c>
      <c r="JD4" s="2" t="str">
        <f t="shared" si="4"/>
        <v>Sun</v>
      </c>
      <c r="JE4" s="2" t="str">
        <f t="shared" si="4"/>
        <v>Mon</v>
      </c>
      <c r="JF4" s="2" t="str">
        <f t="shared" si="4"/>
        <v>Tue</v>
      </c>
      <c r="JG4" s="2" t="str">
        <f t="shared" si="4"/>
        <v>Wed</v>
      </c>
      <c r="JH4" s="2" t="str">
        <f t="shared" si="4"/>
        <v>Thu</v>
      </c>
      <c r="JI4" s="2" t="str">
        <f t="shared" si="4"/>
        <v>Fri</v>
      </c>
      <c r="JJ4" s="2" t="str">
        <f t="shared" si="4"/>
        <v>Sat</v>
      </c>
      <c r="JK4" s="2" t="str">
        <f t="shared" si="4"/>
        <v>Sun</v>
      </c>
      <c r="JL4" s="2" t="str">
        <f t="shared" si="4"/>
        <v>Mon</v>
      </c>
      <c r="JM4" s="2" t="str">
        <f t="shared" si="4"/>
        <v>Tue</v>
      </c>
      <c r="JN4" s="2" t="str">
        <f t="shared" si="4"/>
        <v>Wed</v>
      </c>
      <c r="JO4" s="2" t="str">
        <f t="shared" si="4"/>
        <v>Thu</v>
      </c>
      <c r="JP4" s="2" t="str">
        <f t="shared" si="4"/>
        <v>Fri</v>
      </c>
      <c r="JQ4" s="2" t="str">
        <f t="shared" si="4"/>
        <v>Sat</v>
      </c>
      <c r="JR4" s="2" t="str">
        <f t="shared" si="4"/>
        <v>Sun</v>
      </c>
      <c r="JS4" s="2" t="str">
        <f t="shared" si="4"/>
        <v>Mon</v>
      </c>
      <c r="JT4" s="2" t="str">
        <f t="shared" si="4"/>
        <v>Tue</v>
      </c>
      <c r="JU4" s="2" t="str">
        <f t="shared" si="4"/>
        <v>Wed</v>
      </c>
      <c r="JV4" s="2" t="str">
        <f t="shared" si="4"/>
        <v>Thu</v>
      </c>
      <c r="JW4" s="2" t="str">
        <f t="shared" si="4"/>
        <v>Fri</v>
      </c>
      <c r="JX4" s="2" t="str">
        <f t="shared" si="4"/>
        <v>Sat</v>
      </c>
      <c r="JY4" s="2" t="str">
        <f t="shared" si="4"/>
        <v>Sun</v>
      </c>
      <c r="JZ4" s="2" t="str">
        <f t="shared" si="4"/>
        <v>Mon</v>
      </c>
      <c r="KA4" s="2" t="str">
        <f t="shared" si="4"/>
        <v>Tue</v>
      </c>
      <c r="KB4" s="2" t="str">
        <f t="shared" si="4"/>
        <v>Wed</v>
      </c>
      <c r="KC4" s="2" t="str">
        <f t="shared" si="4"/>
        <v>Thu</v>
      </c>
      <c r="KD4" s="2" t="str">
        <f t="shared" si="4"/>
        <v>Fri</v>
      </c>
      <c r="KE4" s="2" t="str">
        <f t="shared" si="4"/>
        <v>Sat</v>
      </c>
      <c r="KF4" s="2" t="str">
        <f t="shared" si="4"/>
        <v>Sun</v>
      </c>
      <c r="KG4" s="2" t="str">
        <f t="shared" si="4"/>
        <v>Mon</v>
      </c>
      <c r="KH4" s="2" t="str">
        <f t="shared" si="4"/>
        <v>Tue</v>
      </c>
      <c r="KI4" s="2" t="str">
        <f t="shared" si="4"/>
        <v>Wed</v>
      </c>
      <c r="KJ4" s="2" t="str">
        <f t="shared" si="4"/>
        <v>Thu</v>
      </c>
      <c r="KK4" s="2" t="str">
        <f t="shared" si="4"/>
        <v>Fri</v>
      </c>
      <c r="KL4" s="2" t="str">
        <f t="shared" si="4"/>
        <v>Sat</v>
      </c>
      <c r="KM4" s="2" t="str">
        <f t="shared" si="4"/>
        <v>Sun</v>
      </c>
      <c r="KN4" s="2" t="str">
        <f t="shared" si="4"/>
        <v>Mon</v>
      </c>
      <c r="KO4" s="2" t="str">
        <f t="shared" si="4"/>
        <v>Tue</v>
      </c>
      <c r="KP4" s="2" t="str">
        <f t="shared" si="4"/>
        <v>Wed</v>
      </c>
      <c r="KQ4" s="2" t="str">
        <f t="shared" si="4"/>
        <v>Thu</v>
      </c>
      <c r="KR4" s="2" t="str">
        <f t="shared" si="4"/>
        <v>Fri</v>
      </c>
      <c r="KS4" s="2" t="str">
        <f t="shared" si="4"/>
        <v>Sat</v>
      </c>
      <c r="KT4" s="2" t="str">
        <f t="shared" si="4"/>
        <v>Sun</v>
      </c>
      <c r="KU4" s="2" t="str">
        <f t="shared" si="4"/>
        <v>Mon</v>
      </c>
      <c r="KV4" s="2" t="str">
        <f t="shared" si="4"/>
        <v>Tue</v>
      </c>
      <c r="KW4" s="2" t="str">
        <f t="shared" si="4"/>
        <v>Wed</v>
      </c>
      <c r="KX4" s="2" t="str">
        <f t="shared" si="4"/>
        <v>Thu</v>
      </c>
      <c r="KY4" s="2" t="str">
        <f t="shared" si="4"/>
        <v>Fri</v>
      </c>
      <c r="KZ4" s="2" t="str">
        <f t="shared" si="4"/>
        <v>Sat</v>
      </c>
      <c r="LA4" s="2" t="str">
        <f t="shared" si="4"/>
        <v>Sun</v>
      </c>
      <c r="LB4" s="2" t="str">
        <f t="shared" si="4"/>
        <v>Mon</v>
      </c>
      <c r="LC4" s="2" t="str">
        <f t="shared" si="4"/>
        <v>Tue</v>
      </c>
      <c r="LD4" s="2" t="str">
        <f t="shared" si="4"/>
        <v>Wed</v>
      </c>
      <c r="LE4" s="2" t="str">
        <f t="shared" si="4"/>
        <v>Thu</v>
      </c>
      <c r="LF4" s="2" t="str">
        <f t="shared" si="4"/>
        <v>Fri</v>
      </c>
      <c r="LG4" s="2" t="str">
        <f t="shared" si="4"/>
        <v>Sat</v>
      </c>
      <c r="LH4" s="2" t="str">
        <f t="shared" si="4"/>
        <v>Sun</v>
      </c>
      <c r="LI4" s="2" t="str">
        <f t="shared" si="4"/>
        <v>Mon</v>
      </c>
      <c r="LJ4" s="2" t="str">
        <f t="shared" si="4"/>
        <v>Tue</v>
      </c>
      <c r="LK4" s="2" t="str">
        <f t="shared" si="4"/>
        <v>Wed</v>
      </c>
      <c r="LL4" s="2" t="str">
        <f t="shared" si="4"/>
        <v>Thu</v>
      </c>
      <c r="LM4" s="2" t="str">
        <f t="shared" si="4"/>
        <v>Fri</v>
      </c>
      <c r="LN4" s="2" t="str">
        <f t="shared" si="4"/>
        <v>Sat</v>
      </c>
      <c r="LO4" s="2" t="str">
        <f t="shared" ref="LO4:NG4" si="5">TEXT(LO5,"ddd")</f>
        <v>Sun</v>
      </c>
      <c r="LP4" s="2" t="str">
        <f t="shared" si="5"/>
        <v>Mon</v>
      </c>
      <c r="LQ4" s="2" t="str">
        <f t="shared" si="5"/>
        <v>Tue</v>
      </c>
      <c r="LR4" s="2" t="str">
        <f t="shared" si="5"/>
        <v>Wed</v>
      </c>
      <c r="LS4" s="2" t="str">
        <f t="shared" si="5"/>
        <v>Thu</v>
      </c>
      <c r="LT4" s="2" t="str">
        <f t="shared" si="5"/>
        <v>Fri</v>
      </c>
      <c r="LU4" s="2" t="str">
        <f t="shared" si="5"/>
        <v>Sat</v>
      </c>
      <c r="LV4" s="2" t="str">
        <f t="shared" si="5"/>
        <v>Sun</v>
      </c>
      <c r="LW4" s="2" t="str">
        <f t="shared" si="5"/>
        <v>Mon</v>
      </c>
      <c r="LX4" s="2" t="str">
        <f t="shared" si="5"/>
        <v>Tue</v>
      </c>
      <c r="LY4" s="2" t="str">
        <f t="shared" si="5"/>
        <v>Wed</v>
      </c>
      <c r="LZ4" s="2" t="str">
        <f t="shared" si="5"/>
        <v>Thu</v>
      </c>
      <c r="MA4" s="2" t="str">
        <f t="shared" si="5"/>
        <v>Fri</v>
      </c>
      <c r="MB4" s="2" t="str">
        <f t="shared" si="5"/>
        <v>Sat</v>
      </c>
      <c r="MC4" s="2" t="str">
        <f t="shared" si="5"/>
        <v>Sun</v>
      </c>
      <c r="MD4" s="2" t="str">
        <f t="shared" si="5"/>
        <v>Mon</v>
      </c>
      <c r="ME4" s="2" t="str">
        <f t="shared" si="5"/>
        <v>Tue</v>
      </c>
      <c r="MF4" s="2" t="str">
        <f t="shared" si="5"/>
        <v>Wed</v>
      </c>
      <c r="MG4" s="2" t="str">
        <f t="shared" si="5"/>
        <v>Thu</v>
      </c>
      <c r="MH4" s="2" t="str">
        <f t="shared" si="5"/>
        <v>Fri</v>
      </c>
      <c r="MI4" s="2" t="str">
        <f t="shared" si="5"/>
        <v>Sat</v>
      </c>
      <c r="MJ4" s="2" t="str">
        <f t="shared" si="5"/>
        <v>Sun</v>
      </c>
      <c r="MK4" s="2" t="str">
        <f t="shared" si="5"/>
        <v>Mon</v>
      </c>
      <c r="ML4" s="2" t="str">
        <f t="shared" si="5"/>
        <v>Tue</v>
      </c>
      <c r="MM4" s="2" t="str">
        <f t="shared" si="5"/>
        <v>Wed</v>
      </c>
      <c r="MN4" s="2" t="str">
        <f t="shared" si="5"/>
        <v>Thu</v>
      </c>
      <c r="MO4" s="2" t="str">
        <f t="shared" si="5"/>
        <v>Fri</v>
      </c>
      <c r="MP4" s="2" t="str">
        <f t="shared" si="5"/>
        <v>Sat</v>
      </c>
      <c r="MQ4" s="2" t="str">
        <f t="shared" si="5"/>
        <v>Sun</v>
      </c>
      <c r="MR4" s="2" t="str">
        <f t="shared" si="5"/>
        <v>Mon</v>
      </c>
      <c r="MS4" s="2" t="str">
        <f t="shared" si="5"/>
        <v>Tue</v>
      </c>
      <c r="MT4" s="2" t="str">
        <f t="shared" si="5"/>
        <v>Wed</v>
      </c>
      <c r="MU4" s="2" t="str">
        <f t="shared" si="5"/>
        <v>Thu</v>
      </c>
      <c r="MV4" s="2" t="str">
        <f t="shared" si="5"/>
        <v>Fri</v>
      </c>
      <c r="MW4" s="2" t="str">
        <f t="shared" si="5"/>
        <v>Sat</v>
      </c>
      <c r="MX4" s="2" t="str">
        <f t="shared" si="5"/>
        <v>Sun</v>
      </c>
      <c r="MY4" s="2" t="str">
        <f t="shared" si="5"/>
        <v>Mon</v>
      </c>
      <c r="MZ4" s="2" t="str">
        <f t="shared" si="5"/>
        <v>Tue</v>
      </c>
      <c r="NA4" s="2" t="str">
        <f t="shared" si="5"/>
        <v>Wed</v>
      </c>
      <c r="NB4" s="2" t="str">
        <f t="shared" si="5"/>
        <v>Thu</v>
      </c>
      <c r="NC4" s="2" t="str">
        <f t="shared" si="5"/>
        <v>Fri</v>
      </c>
      <c r="ND4" s="2" t="str">
        <f t="shared" si="5"/>
        <v>Sat</v>
      </c>
      <c r="NE4" s="2" t="str">
        <f t="shared" si="5"/>
        <v>Sun</v>
      </c>
      <c r="NF4" s="2" t="str">
        <f t="shared" si="5"/>
        <v>Mon</v>
      </c>
      <c r="NG4" s="2" t="str">
        <f t="shared" si="5"/>
        <v>Tue</v>
      </c>
      <c r="NH4" s="114" t="s">
        <v>5</v>
      </c>
      <c r="NI4" s="114" t="s">
        <v>6</v>
      </c>
      <c r="NJ4" s="103" t="s">
        <v>45</v>
      </c>
      <c r="NK4" s="105"/>
      <c r="NL4" s="3"/>
      <c r="NM4" s="3"/>
    </row>
    <row r="5" spans="1:377" ht="39" x14ac:dyDescent="0.25">
      <c r="A5" s="107"/>
      <c r="B5" s="107"/>
      <c r="C5" s="107"/>
      <c r="D5" s="107"/>
      <c r="E5" s="107"/>
      <c r="F5" s="77">
        <v>45292</v>
      </c>
      <c r="G5" s="77">
        <v>45293</v>
      </c>
      <c r="H5" s="77">
        <v>45294</v>
      </c>
      <c r="I5" s="77">
        <v>45295</v>
      </c>
      <c r="J5" s="77">
        <v>45296</v>
      </c>
      <c r="K5" s="77">
        <v>45297</v>
      </c>
      <c r="L5" s="77">
        <v>45298</v>
      </c>
      <c r="M5" s="77">
        <v>45299</v>
      </c>
      <c r="N5" s="77">
        <v>45300</v>
      </c>
      <c r="O5" s="77">
        <v>45301</v>
      </c>
      <c r="P5" s="77">
        <v>45302</v>
      </c>
      <c r="Q5" s="77">
        <v>45303</v>
      </c>
      <c r="R5" s="77">
        <v>45304</v>
      </c>
      <c r="S5" s="77">
        <v>45305</v>
      </c>
      <c r="T5" s="77">
        <v>45306</v>
      </c>
      <c r="U5" s="77">
        <v>45307</v>
      </c>
      <c r="V5" s="77">
        <v>45308</v>
      </c>
      <c r="W5" s="77">
        <v>45309</v>
      </c>
      <c r="X5" s="77">
        <v>45310</v>
      </c>
      <c r="Y5" s="77">
        <v>45311</v>
      </c>
      <c r="Z5" s="77">
        <v>45312</v>
      </c>
      <c r="AA5" s="77">
        <v>45313</v>
      </c>
      <c r="AB5" s="77">
        <v>45314</v>
      </c>
      <c r="AC5" s="77">
        <v>45315</v>
      </c>
      <c r="AD5" s="77">
        <v>45316</v>
      </c>
      <c r="AE5" s="77">
        <v>45317</v>
      </c>
      <c r="AF5" s="77">
        <v>45318</v>
      </c>
      <c r="AG5" s="77">
        <v>45319</v>
      </c>
      <c r="AH5" s="77">
        <v>45320</v>
      </c>
      <c r="AI5" s="77">
        <v>45321</v>
      </c>
      <c r="AJ5" s="77">
        <v>45322</v>
      </c>
      <c r="AK5" s="77">
        <v>45323</v>
      </c>
      <c r="AL5" s="77">
        <v>45324</v>
      </c>
      <c r="AM5" s="77">
        <v>45325</v>
      </c>
      <c r="AN5" s="77">
        <v>45326</v>
      </c>
      <c r="AO5" s="77">
        <v>45327</v>
      </c>
      <c r="AP5" s="77">
        <v>45328</v>
      </c>
      <c r="AQ5" s="77">
        <v>45329</v>
      </c>
      <c r="AR5" s="77">
        <v>45330</v>
      </c>
      <c r="AS5" s="77">
        <v>45331</v>
      </c>
      <c r="AT5" s="77">
        <v>45332</v>
      </c>
      <c r="AU5" s="77">
        <v>45333</v>
      </c>
      <c r="AV5" s="77">
        <v>45334</v>
      </c>
      <c r="AW5" s="77">
        <v>45335</v>
      </c>
      <c r="AX5" s="77">
        <v>45336</v>
      </c>
      <c r="AY5" s="77">
        <v>45337</v>
      </c>
      <c r="AZ5" s="77">
        <v>45338</v>
      </c>
      <c r="BA5" s="77">
        <v>45339</v>
      </c>
      <c r="BB5" s="77">
        <v>45340</v>
      </c>
      <c r="BC5" s="77">
        <v>45341</v>
      </c>
      <c r="BD5" s="77">
        <v>45342</v>
      </c>
      <c r="BE5" s="77">
        <v>45343</v>
      </c>
      <c r="BF5" s="77">
        <v>45344</v>
      </c>
      <c r="BG5" s="77">
        <v>45345</v>
      </c>
      <c r="BH5" s="77">
        <v>45346</v>
      </c>
      <c r="BI5" s="77">
        <v>45347</v>
      </c>
      <c r="BJ5" s="77">
        <v>45348</v>
      </c>
      <c r="BK5" s="77">
        <v>45349</v>
      </c>
      <c r="BL5" s="77">
        <v>45350</v>
      </c>
      <c r="BM5" s="77">
        <v>45351</v>
      </c>
      <c r="BN5" s="77">
        <v>45352</v>
      </c>
      <c r="BO5" s="77">
        <v>45353</v>
      </c>
      <c r="BP5" s="77">
        <v>45354</v>
      </c>
      <c r="BQ5" s="77">
        <v>45355</v>
      </c>
      <c r="BR5" s="77">
        <v>45356</v>
      </c>
      <c r="BS5" s="77">
        <v>45357</v>
      </c>
      <c r="BT5" s="77">
        <v>45358</v>
      </c>
      <c r="BU5" s="77">
        <v>45359</v>
      </c>
      <c r="BV5" s="77">
        <v>45360</v>
      </c>
      <c r="BW5" s="77">
        <v>45361</v>
      </c>
      <c r="BX5" s="77">
        <v>45362</v>
      </c>
      <c r="BY5" s="77">
        <v>45363</v>
      </c>
      <c r="BZ5" s="77">
        <v>45364</v>
      </c>
      <c r="CA5" s="77">
        <v>45365</v>
      </c>
      <c r="CB5" s="77">
        <v>45366</v>
      </c>
      <c r="CC5" s="77">
        <v>45367</v>
      </c>
      <c r="CD5" s="77">
        <v>45368</v>
      </c>
      <c r="CE5" s="77">
        <v>45369</v>
      </c>
      <c r="CF5" s="77">
        <v>45370</v>
      </c>
      <c r="CG5" s="77">
        <v>45371</v>
      </c>
      <c r="CH5" s="77">
        <v>45372</v>
      </c>
      <c r="CI5" s="77">
        <v>45373</v>
      </c>
      <c r="CJ5" s="77">
        <v>45374</v>
      </c>
      <c r="CK5" s="77">
        <v>45375</v>
      </c>
      <c r="CL5" s="77">
        <v>45376</v>
      </c>
      <c r="CM5" s="77">
        <v>45377</v>
      </c>
      <c r="CN5" s="77">
        <v>45378</v>
      </c>
      <c r="CO5" s="77">
        <v>45379</v>
      </c>
      <c r="CP5" s="77">
        <v>45380</v>
      </c>
      <c r="CQ5" s="77">
        <v>45381</v>
      </c>
      <c r="CR5" s="77">
        <v>45382</v>
      </c>
      <c r="CS5" s="77">
        <v>45383</v>
      </c>
      <c r="CT5" s="77">
        <v>45384</v>
      </c>
      <c r="CU5" s="77">
        <v>45385</v>
      </c>
      <c r="CV5" s="77">
        <v>45386</v>
      </c>
      <c r="CW5" s="77">
        <v>45387</v>
      </c>
      <c r="CX5" s="77">
        <v>45388</v>
      </c>
      <c r="CY5" s="77">
        <v>45389</v>
      </c>
      <c r="CZ5" s="77">
        <v>45390</v>
      </c>
      <c r="DA5" s="77">
        <v>45391</v>
      </c>
      <c r="DB5" s="77">
        <v>45392</v>
      </c>
      <c r="DC5" s="77">
        <v>45393</v>
      </c>
      <c r="DD5" s="77">
        <v>45394</v>
      </c>
      <c r="DE5" s="77">
        <v>45395</v>
      </c>
      <c r="DF5" s="77">
        <v>45396</v>
      </c>
      <c r="DG5" s="77">
        <v>45397</v>
      </c>
      <c r="DH5" s="77">
        <v>45398</v>
      </c>
      <c r="DI5" s="77">
        <v>45399</v>
      </c>
      <c r="DJ5" s="77">
        <v>45400</v>
      </c>
      <c r="DK5" s="77">
        <v>45401</v>
      </c>
      <c r="DL5" s="77">
        <v>45402</v>
      </c>
      <c r="DM5" s="77">
        <v>45403</v>
      </c>
      <c r="DN5" s="77">
        <v>45404</v>
      </c>
      <c r="DO5" s="77">
        <v>45405</v>
      </c>
      <c r="DP5" s="77">
        <v>45406</v>
      </c>
      <c r="DQ5" s="77">
        <v>45407</v>
      </c>
      <c r="DR5" s="77">
        <v>45408</v>
      </c>
      <c r="DS5" s="77">
        <v>45409</v>
      </c>
      <c r="DT5" s="77">
        <v>45410</v>
      </c>
      <c r="DU5" s="77">
        <v>45411</v>
      </c>
      <c r="DV5" s="77">
        <v>45412</v>
      </c>
      <c r="DW5" s="77">
        <v>45413</v>
      </c>
      <c r="DX5" s="77">
        <v>45414</v>
      </c>
      <c r="DY5" s="77">
        <v>45415</v>
      </c>
      <c r="DZ5" s="77">
        <v>45416</v>
      </c>
      <c r="EA5" s="77">
        <v>45417</v>
      </c>
      <c r="EB5" s="77">
        <v>45418</v>
      </c>
      <c r="EC5" s="77">
        <v>45419</v>
      </c>
      <c r="ED5" s="77">
        <v>45420</v>
      </c>
      <c r="EE5" s="77">
        <v>45421</v>
      </c>
      <c r="EF5" s="77">
        <v>45422</v>
      </c>
      <c r="EG5" s="77">
        <v>45423</v>
      </c>
      <c r="EH5" s="77">
        <v>45424</v>
      </c>
      <c r="EI5" s="77">
        <v>45425</v>
      </c>
      <c r="EJ5" s="77">
        <v>45426</v>
      </c>
      <c r="EK5" s="77">
        <v>45427</v>
      </c>
      <c r="EL5" s="77">
        <v>45428</v>
      </c>
      <c r="EM5" s="77">
        <v>45429</v>
      </c>
      <c r="EN5" s="77">
        <v>45430</v>
      </c>
      <c r="EO5" s="77">
        <v>45431</v>
      </c>
      <c r="EP5" s="77">
        <v>45432</v>
      </c>
      <c r="EQ5" s="77">
        <v>45433</v>
      </c>
      <c r="ER5" s="77">
        <v>45434</v>
      </c>
      <c r="ES5" s="77">
        <v>45435</v>
      </c>
      <c r="ET5" s="77">
        <v>45436</v>
      </c>
      <c r="EU5" s="77">
        <v>45437</v>
      </c>
      <c r="EV5" s="77">
        <v>45438</v>
      </c>
      <c r="EW5" s="77">
        <v>45439</v>
      </c>
      <c r="EX5" s="77">
        <v>45440</v>
      </c>
      <c r="EY5" s="77">
        <v>45441</v>
      </c>
      <c r="EZ5" s="77">
        <v>45442</v>
      </c>
      <c r="FA5" s="77">
        <v>45443</v>
      </c>
      <c r="FB5" s="77">
        <v>45444</v>
      </c>
      <c r="FC5" s="77">
        <v>45445</v>
      </c>
      <c r="FD5" s="77">
        <v>45446</v>
      </c>
      <c r="FE5" s="77">
        <v>45447</v>
      </c>
      <c r="FF5" s="77">
        <v>45448</v>
      </c>
      <c r="FG5" s="77">
        <v>45449</v>
      </c>
      <c r="FH5" s="77">
        <v>45450</v>
      </c>
      <c r="FI5" s="77">
        <v>45451</v>
      </c>
      <c r="FJ5" s="77">
        <v>45452</v>
      </c>
      <c r="FK5" s="77">
        <v>45453</v>
      </c>
      <c r="FL5" s="77">
        <v>45454</v>
      </c>
      <c r="FM5" s="77">
        <v>45455</v>
      </c>
      <c r="FN5" s="77">
        <v>45456</v>
      </c>
      <c r="FO5" s="77">
        <v>45457</v>
      </c>
      <c r="FP5" s="77">
        <v>45458</v>
      </c>
      <c r="FQ5" s="77">
        <v>45459</v>
      </c>
      <c r="FR5" s="77">
        <v>45460</v>
      </c>
      <c r="FS5" s="77">
        <v>45461</v>
      </c>
      <c r="FT5" s="77">
        <v>45462</v>
      </c>
      <c r="FU5" s="77">
        <v>45463</v>
      </c>
      <c r="FV5" s="77">
        <v>45464</v>
      </c>
      <c r="FW5" s="77">
        <v>45465</v>
      </c>
      <c r="FX5" s="77">
        <v>45466</v>
      </c>
      <c r="FY5" s="77">
        <v>45467</v>
      </c>
      <c r="FZ5" s="77">
        <v>45468</v>
      </c>
      <c r="GA5" s="77">
        <v>45469</v>
      </c>
      <c r="GB5" s="77">
        <v>45470</v>
      </c>
      <c r="GC5" s="77">
        <v>45471</v>
      </c>
      <c r="GD5" s="77">
        <v>45472</v>
      </c>
      <c r="GE5" s="77">
        <v>45473</v>
      </c>
      <c r="GF5" s="77">
        <v>45474</v>
      </c>
      <c r="GG5" s="77">
        <v>45475</v>
      </c>
      <c r="GH5" s="77">
        <v>45476</v>
      </c>
      <c r="GI5" s="77">
        <v>45477</v>
      </c>
      <c r="GJ5" s="77">
        <v>45478</v>
      </c>
      <c r="GK5" s="77">
        <v>45479</v>
      </c>
      <c r="GL5" s="77">
        <v>45480</v>
      </c>
      <c r="GM5" s="77">
        <v>45481</v>
      </c>
      <c r="GN5" s="77">
        <v>45482</v>
      </c>
      <c r="GO5" s="77">
        <v>45483</v>
      </c>
      <c r="GP5" s="77">
        <v>45484</v>
      </c>
      <c r="GQ5" s="77">
        <v>45485</v>
      </c>
      <c r="GR5" s="77">
        <v>45486</v>
      </c>
      <c r="GS5" s="77">
        <v>45487</v>
      </c>
      <c r="GT5" s="77">
        <v>45488</v>
      </c>
      <c r="GU5" s="77">
        <v>45489</v>
      </c>
      <c r="GV5" s="77">
        <v>45490</v>
      </c>
      <c r="GW5" s="77">
        <v>45491</v>
      </c>
      <c r="GX5" s="77">
        <v>45492</v>
      </c>
      <c r="GY5" s="77">
        <v>45493</v>
      </c>
      <c r="GZ5" s="77">
        <v>45494</v>
      </c>
      <c r="HA5" s="77">
        <v>45495</v>
      </c>
      <c r="HB5" s="77">
        <v>45496</v>
      </c>
      <c r="HC5" s="77">
        <v>45497</v>
      </c>
      <c r="HD5" s="77">
        <v>45498</v>
      </c>
      <c r="HE5" s="77">
        <v>45499</v>
      </c>
      <c r="HF5" s="77">
        <v>45500</v>
      </c>
      <c r="HG5" s="77">
        <v>45501</v>
      </c>
      <c r="HH5" s="77">
        <v>45502</v>
      </c>
      <c r="HI5" s="77">
        <v>45503</v>
      </c>
      <c r="HJ5" s="77">
        <v>45504</v>
      </c>
      <c r="HK5" s="77">
        <v>45505</v>
      </c>
      <c r="HL5" s="77">
        <v>45506</v>
      </c>
      <c r="HM5" s="77">
        <v>45507</v>
      </c>
      <c r="HN5" s="77">
        <v>45508</v>
      </c>
      <c r="HO5" s="77">
        <v>45509</v>
      </c>
      <c r="HP5" s="77">
        <v>45510</v>
      </c>
      <c r="HQ5" s="77">
        <v>45511</v>
      </c>
      <c r="HR5" s="77">
        <v>45512</v>
      </c>
      <c r="HS5" s="77">
        <v>45513</v>
      </c>
      <c r="HT5" s="77">
        <v>45514</v>
      </c>
      <c r="HU5" s="77">
        <v>45515</v>
      </c>
      <c r="HV5" s="77">
        <v>45516</v>
      </c>
      <c r="HW5" s="77">
        <v>45517</v>
      </c>
      <c r="HX5" s="77">
        <v>45518</v>
      </c>
      <c r="HY5" s="77">
        <v>45519</v>
      </c>
      <c r="HZ5" s="77">
        <v>45520</v>
      </c>
      <c r="IA5" s="77">
        <v>45521</v>
      </c>
      <c r="IB5" s="77">
        <v>45522</v>
      </c>
      <c r="IC5" s="77">
        <v>45523</v>
      </c>
      <c r="ID5" s="77">
        <v>45524</v>
      </c>
      <c r="IE5" s="77">
        <v>45525</v>
      </c>
      <c r="IF5" s="77">
        <v>45526</v>
      </c>
      <c r="IG5" s="77">
        <v>45527</v>
      </c>
      <c r="IH5" s="77">
        <v>45528</v>
      </c>
      <c r="II5" s="77">
        <v>45529</v>
      </c>
      <c r="IJ5" s="77">
        <v>45530</v>
      </c>
      <c r="IK5" s="77">
        <v>45531</v>
      </c>
      <c r="IL5" s="77">
        <v>45532</v>
      </c>
      <c r="IM5" s="77">
        <v>45533</v>
      </c>
      <c r="IN5" s="77">
        <v>45534</v>
      </c>
      <c r="IO5" s="77">
        <v>45535</v>
      </c>
      <c r="IP5" s="77">
        <v>45536</v>
      </c>
      <c r="IQ5" s="77">
        <v>45537</v>
      </c>
      <c r="IR5" s="77">
        <v>45538</v>
      </c>
      <c r="IS5" s="77">
        <v>45539</v>
      </c>
      <c r="IT5" s="77">
        <v>45540</v>
      </c>
      <c r="IU5" s="77">
        <v>45541</v>
      </c>
      <c r="IV5" s="77">
        <v>45542</v>
      </c>
      <c r="IW5" s="77">
        <v>45543</v>
      </c>
      <c r="IX5" s="77">
        <v>45544</v>
      </c>
      <c r="IY5" s="77">
        <v>45545</v>
      </c>
      <c r="IZ5" s="77">
        <v>45546</v>
      </c>
      <c r="JA5" s="77">
        <v>45547</v>
      </c>
      <c r="JB5" s="77">
        <v>45548</v>
      </c>
      <c r="JC5" s="77">
        <v>45549</v>
      </c>
      <c r="JD5" s="77">
        <v>45550</v>
      </c>
      <c r="JE5" s="77">
        <v>45551</v>
      </c>
      <c r="JF5" s="77">
        <v>45552</v>
      </c>
      <c r="JG5" s="77">
        <v>45553</v>
      </c>
      <c r="JH5" s="77">
        <v>45554</v>
      </c>
      <c r="JI5" s="77">
        <v>45555</v>
      </c>
      <c r="JJ5" s="77">
        <v>45556</v>
      </c>
      <c r="JK5" s="77">
        <v>45557</v>
      </c>
      <c r="JL5" s="77">
        <v>45558</v>
      </c>
      <c r="JM5" s="77">
        <v>45559</v>
      </c>
      <c r="JN5" s="77">
        <v>45560</v>
      </c>
      <c r="JO5" s="77">
        <v>45561</v>
      </c>
      <c r="JP5" s="77">
        <v>45562</v>
      </c>
      <c r="JQ5" s="77">
        <v>45563</v>
      </c>
      <c r="JR5" s="77">
        <v>45564</v>
      </c>
      <c r="JS5" s="77">
        <v>45565</v>
      </c>
      <c r="JT5" s="77">
        <v>45566</v>
      </c>
      <c r="JU5" s="77">
        <v>45567</v>
      </c>
      <c r="JV5" s="77">
        <v>45568</v>
      </c>
      <c r="JW5" s="77">
        <v>45569</v>
      </c>
      <c r="JX5" s="77">
        <v>45570</v>
      </c>
      <c r="JY5" s="77">
        <v>45571</v>
      </c>
      <c r="JZ5" s="77">
        <v>45572</v>
      </c>
      <c r="KA5" s="77">
        <v>45573</v>
      </c>
      <c r="KB5" s="77">
        <v>45574</v>
      </c>
      <c r="KC5" s="77">
        <v>45575</v>
      </c>
      <c r="KD5" s="77">
        <v>45576</v>
      </c>
      <c r="KE5" s="77">
        <v>45577</v>
      </c>
      <c r="KF5" s="77">
        <v>45578</v>
      </c>
      <c r="KG5" s="77">
        <v>45579</v>
      </c>
      <c r="KH5" s="77">
        <v>45580</v>
      </c>
      <c r="KI5" s="77">
        <v>45581</v>
      </c>
      <c r="KJ5" s="77">
        <v>45582</v>
      </c>
      <c r="KK5" s="77">
        <v>45583</v>
      </c>
      <c r="KL5" s="77">
        <v>45584</v>
      </c>
      <c r="KM5" s="77">
        <v>45585</v>
      </c>
      <c r="KN5" s="77">
        <v>45586</v>
      </c>
      <c r="KO5" s="77">
        <v>45587</v>
      </c>
      <c r="KP5" s="77">
        <v>45588</v>
      </c>
      <c r="KQ5" s="77">
        <v>45589</v>
      </c>
      <c r="KR5" s="77">
        <v>45590</v>
      </c>
      <c r="KS5" s="77">
        <v>45591</v>
      </c>
      <c r="KT5" s="77">
        <v>45592</v>
      </c>
      <c r="KU5" s="77">
        <v>45593</v>
      </c>
      <c r="KV5" s="77">
        <v>45594</v>
      </c>
      <c r="KW5" s="77">
        <v>45595</v>
      </c>
      <c r="KX5" s="77">
        <v>45596</v>
      </c>
      <c r="KY5" s="77">
        <v>45597</v>
      </c>
      <c r="KZ5" s="77">
        <v>45598</v>
      </c>
      <c r="LA5" s="77">
        <v>45599</v>
      </c>
      <c r="LB5" s="77">
        <v>45600</v>
      </c>
      <c r="LC5" s="77">
        <v>45601</v>
      </c>
      <c r="LD5" s="77">
        <v>45602</v>
      </c>
      <c r="LE5" s="77">
        <v>45603</v>
      </c>
      <c r="LF5" s="77">
        <v>45604</v>
      </c>
      <c r="LG5" s="77">
        <v>45605</v>
      </c>
      <c r="LH5" s="77">
        <v>45606</v>
      </c>
      <c r="LI5" s="77">
        <v>45607</v>
      </c>
      <c r="LJ5" s="77">
        <v>45608</v>
      </c>
      <c r="LK5" s="77">
        <v>45609</v>
      </c>
      <c r="LL5" s="77">
        <v>45610</v>
      </c>
      <c r="LM5" s="77">
        <v>45611</v>
      </c>
      <c r="LN5" s="77">
        <v>45612</v>
      </c>
      <c r="LO5" s="77">
        <v>45613</v>
      </c>
      <c r="LP5" s="77">
        <v>45614</v>
      </c>
      <c r="LQ5" s="77">
        <v>45615</v>
      </c>
      <c r="LR5" s="77">
        <v>45616</v>
      </c>
      <c r="LS5" s="77">
        <v>45617</v>
      </c>
      <c r="LT5" s="77">
        <v>45618</v>
      </c>
      <c r="LU5" s="77">
        <v>45619</v>
      </c>
      <c r="LV5" s="77">
        <v>45620</v>
      </c>
      <c r="LW5" s="77">
        <v>45621</v>
      </c>
      <c r="LX5" s="77">
        <v>45622</v>
      </c>
      <c r="LY5" s="77">
        <v>45623</v>
      </c>
      <c r="LZ5" s="77">
        <v>45624</v>
      </c>
      <c r="MA5" s="77">
        <v>45625</v>
      </c>
      <c r="MB5" s="77">
        <v>45626</v>
      </c>
      <c r="MC5" s="77">
        <v>45627</v>
      </c>
      <c r="MD5" s="77">
        <v>45628</v>
      </c>
      <c r="ME5" s="77">
        <v>45629</v>
      </c>
      <c r="MF5" s="77">
        <v>45630</v>
      </c>
      <c r="MG5" s="77">
        <v>45631</v>
      </c>
      <c r="MH5" s="77">
        <v>45632</v>
      </c>
      <c r="MI5" s="77">
        <v>45633</v>
      </c>
      <c r="MJ5" s="77">
        <v>45634</v>
      </c>
      <c r="MK5" s="77">
        <v>45635</v>
      </c>
      <c r="ML5" s="77">
        <v>45636</v>
      </c>
      <c r="MM5" s="77">
        <v>45637</v>
      </c>
      <c r="MN5" s="77">
        <v>45638</v>
      </c>
      <c r="MO5" s="77">
        <v>45639</v>
      </c>
      <c r="MP5" s="77">
        <v>45640</v>
      </c>
      <c r="MQ5" s="77">
        <v>45641</v>
      </c>
      <c r="MR5" s="77">
        <v>45642</v>
      </c>
      <c r="MS5" s="77">
        <v>45643</v>
      </c>
      <c r="MT5" s="77">
        <v>45644</v>
      </c>
      <c r="MU5" s="77">
        <v>45645</v>
      </c>
      <c r="MV5" s="77">
        <v>45646</v>
      </c>
      <c r="MW5" s="77">
        <v>45647</v>
      </c>
      <c r="MX5" s="77">
        <v>45648</v>
      </c>
      <c r="MY5" s="77">
        <v>45649</v>
      </c>
      <c r="MZ5" s="77">
        <v>45650</v>
      </c>
      <c r="NA5" s="77">
        <v>45651</v>
      </c>
      <c r="NB5" s="77">
        <v>45652</v>
      </c>
      <c r="NC5" s="77">
        <v>45653</v>
      </c>
      <c r="ND5" s="77">
        <v>45654</v>
      </c>
      <c r="NE5" s="77">
        <v>45655</v>
      </c>
      <c r="NF5" s="77">
        <v>45656</v>
      </c>
      <c r="NG5" s="77">
        <v>45657</v>
      </c>
      <c r="NH5" s="114"/>
      <c r="NI5" s="114"/>
      <c r="NJ5" s="4" t="s">
        <v>7</v>
      </c>
      <c r="NK5" s="5">
        <v>31</v>
      </c>
      <c r="NL5" s="3"/>
      <c r="NM5" s="3"/>
    </row>
    <row r="6" spans="1:377" x14ac:dyDescent="0.25">
      <c r="A6" s="6">
        <v>1</v>
      </c>
      <c r="B6" s="7"/>
      <c r="C6" s="8"/>
      <c r="D6" s="9"/>
      <c r="E6" s="10" t="s">
        <v>38</v>
      </c>
      <c r="F6" s="11"/>
      <c r="G6" s="12"/>
      <c r="H6" s="11"/>
      <c r="I6" s="12"/>
      <c r="J6" s="12"/>
      <c r="K6" s="13"/>
      <c r="L6" s="12"/>
      <c r="M6" s="12"/>
      <c r="N6" s="11"/>
      <c r="O6" s="11"/>
      <c r="P6" s="12"/>
      <c r="Q6" s="12"/>
      <c r="R6" s="13"/>
      <c r="S6" s="13"/>
      <c r="T6" s="12"/>
      <c r="U6" s="14"/>
      <c r="V6" s="11"/>
      <c r="W6" s="12"/>
      <c r="X6" s="12"/>
      <c r="Y6" s="13"/>
      <c r="Z6" s="12"/>
      <c r="AA6" s="12"/>
      <c r="AB6" s="12"/>
      <c r="AC6" s="12"/>
      <c r="AD6" s="12"/>
      <c r="AE6" s="12"/>
      <c r="AF6" s="13"/>
      <c r="AG6" s="12"/>
      <c r="AH6" s="12"/>
      <c r="AI6" s="12"/>
      <c r="AJ6" s="12"/>
      <c r="AK6" s="15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5">
        <f>COUNTIF(F6:NG6,"P")</f>
        <v>0</v>
      </c>
      <c r="NI6" s="5">
        <f>COUNTIF(F6:NG6,"A")</f>
        <v>0</v>
      </c>
      <c r="NJ6" s="5" t="s">
        <v>9</v>
      </c>
      <c r="NK6" s="17">
        <v>26</v>
      </c>
      <c r="NL6" s="18" t="s">
        <v>10</v>
      </c>
      <c r="NM6" s="3"/>
    </row>
    <row r="7" spans="1:377" ht="20.25" customHeight="1" x14ac:dyDescent="0.25">
      <c r="A7" s="17">
        <v>2</v>
      </c>
      <c r="B7" s="19"/>
      <c r="C7" s="20"/>
      <c r="D7" s="21"/>
      <c r="E7" s="10" t="s">
        <v>38</v>
      </c>
      <c r="F7" s="11"/>
      <c r="G7" s="12"/>
      <c r="H7" s="11"/>
      <c r="I7" s="12"/>
      <c r="J7" s="12"/>
      <c r="K7" s="13"/>
      <c r="L7" s="12"/>
      <c r="M7" s="12"/>
      <c r="N7" s="11"/>
      <c r="O7" s="11"/>
      <c r="P7" s="12"/>
      <c r="Q7" s="12"/>
      <c r="R7" s="13"/>
      <c r="S7" s="13"/>
      <c r="T7" s="12"/>
      <c r="U7" s="14"/>
      <c r="V7" s="11"/>
      <c r="W7" s="12"/>
      <c r="X7" s="12"/>
      <c r="Y7" s="13"/>
      <c r="Z7" s="12"/>
      <c r="AA7" s="12"/>
      <c r="AB7" s="12"/>
      <c r="AC7" s="12"/>
      <c r="AD7" s="12"/>
      <c r="AE7" s="12"/>
      <c r="AF7" s="13"/>
      <c r="AG7" s="12"/>
      <c r="AH7" s="12"/>
      <c r="AI7" s="12"/>
      <c r="AJ7" s="12"/>
      <c r="AK7" s="15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5">
        <f t="shared" ref="NH7:NH45" si="6">COUNTIF(F7:NG7,"P")</f>
        <v>0</v>
      </c>
      <c r="NI7" s="5">
        <f t="shared" ref="NI7:NI45" si="7">COUNTIF(F7:NG7,"A")</f>
        <v>0</v>
      </c>
      <c r="NJ7" s="5" t="s">
        <v>11</v>
      </c>
      <c r="NK7" s="17">
        <v>4</v>
      </c>
      <c r="NL7" s="3"/>
      <c r="NM7" s="3"/>
    </row>
    <row r="8" spans="1:377" x14ac:dyDescent="0.25">
      <c r="A8" s="6">
        <v>3</v>
      </c>
      <c r="B8" s="19"/>
      <c r="C8" s="20"/>
      <c r="D8" s="21"/>
      <c r="E8" s="10" t="s">
        <v>38</v>
      </c>
      <c r="F8" s="11"/>
      <c r="G8" s="12"/>
      <c r="H8" s="11"/>
      <c r="I8" s="12"/>
      <c r="J8" s="12"/>
      <c r="K8" s="13"/>
      <c r="L8" s="12"/>
      <c r="M8" s="12"/>
      <c r="N8" s="11"/>
      <c r="O8" s="11"/>
      <c r="P8" s="12"/>
      <c r="Q8" s="12"/>
      <c r="R8" s="13"/>
      <c r="S8" s="13"/>
      <c r="T8" s="12"/>
      <c r="U8" s="14"/>
      <c r="V8" s="11"/>
      <c r="W8" s="12"/>
      <c r="X8" s="12"/>
      <c r="Y8" s="13"/>
      <c r="Z8" s="12"/>
      <c r="AA8" s="12"/>
      <c r="AB8" s="12"/>
      <c r="AC8" s="12"/>
      <c r="AD8" s="12"/>
      <c r="AE8" s="12"/>
      <c r="AF8" s="13"/>
      <c r="AG8" s="12"/>
      <c r="AH8" s="12"/>
      <c r="AI8" s="12"/>
      <c r="AJ8" s="12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5">
        <f t="shared" si="6"/>
        <v>0</v>
      </c>
      <c r="NI8" s="5">
        <f t="shared" si="7"/>
        <v>0</v>
      </c>
      <c r="NJ8" s="3"/>
      <c r="NK8" s="3"/>
      <c r="NL8" s="3"/>
      <c r="NM8" s="3"/>
    </row>
    <row r="9" spans="1:377" ht="15.75" x14ac:dyDescent="0.25">
      <c r="A9" s="17">
        <v>4</v>
      </c>
      <c r="B9" s="19"/>
      <c r="C9" s="20"/>
      <c r="D9" s="21"/>
      <c r="E9" s="10" t="s">
        <v>38</v>
      </c>
      <c r="F9" s="11"/>
      <c r="G9" s="12"/>
      <c r="H9" s="11"/>
      <c r="I9" s="12"/>
      <c r="J9" s="12"/>
      <c r="K9" s="13"/>
      <c r="L9" s="12"/>
      <c r="M9" s="12"/>
      <c r="N9" s="11"/>
      <c r="O9" s="11"/>
      <c r="P9" s="12"/>
      <c r="Q9" s="12"/>
      <c r="R9" s="13"/>
      <c r="S9" s="13"/>
      <c r="T9" s="12"/>
      <c r="U9" s="14"/>
      <c r="V9" s="11"/>
      <c r="W9" s="12"/>
      <c r="X9" s="12"/>
      <c r="Y9" s="13"/>
      <c r="Z9" s="12"/>
      <c r="AA9" s="12"/>
      <c r="AB9" s="12"/>
      <c r="AC9" s="12"/>
      <c r="AD9" s="12"/>
      <c r="AE9" s="12"/>
      <c r="AF9" s="13"/>
      <c r="AG9" s="12"/>
      <c r="AH9" s="12"/>
      <c r="AI9" s="12"/>
      <c r="AJ9" s="12"/>
      <c r="AK9" s="22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5">
        <f t="shared" si="6"/>
        <v>0</v>
      </c>
      <c r="NI9" s="5">
        <f t="shared" si="7"/>
        <v>0</v>
      </c>
      <c r="NJ9" s="103" t="s">
        <v>12</v>
      </c>
      <c r="NK9" s="105"/>
      <c r="NL9" s="105"/>
      <c r="NM9" s="104"/>
    </row>
    <row r="10" spans="1:377" x14ac:dyDescent="0.25">
      <c r="A10" s="6">
        <v>5</v>
      </c>
      <c r="B10" s="19"/>
      <c r="C10" s="20"/>
      <c r="D10" s="21"/>
      <c r="E10" s="10" t="s">
        <v>38</v>
      </c>
      <c r="F10" s="11"/>
      <c r="G10" s="12"/>
      <c r="H10" s="11"/>
      <c r="I10" s="12"/>
      <c r="J10" s="12"/>
      <c r="K10" s="13"/>
      <c r="L10" s="12"/>
      <c r="M10" s="12"/>
      <c r="N10" s="11"/>
      <c r="O10" s="11"/>
      <c r="P10" s="12"/>
      <c r="Q10" s="12"/>
      <c r="R10" s="13"/>
      <c r="S10" s="13"/>
      <c r="T10" s="12"/>
      <c r="U10" s="14"/>
      <c r="V10" s="11"/>
      <c r="W10" s="12"/>
      <c r="X10" s="12"/>
      <c r="Y10" s="13"/>
      <c r="Z10" s="12"/>
      <c r="AA10" s="12"/>
      <c r="AB10" s="12"/>
      <c r="AC10" s="12"/>
      <c r="AD10" s="12"/>
      <c r="AE10" s="12"/>
      <c r="AF10" s="13"/>
      <c r="AG10" s="12"/>
      <c r="AH10" s="12"/>
      <c r="AI10" s="12"/>
      <c r="AJ10" s="12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5">
        <f t="shared" si="6"/>
        <v>0</v>
      </c>
      <c r="NI10" s="5">
        <f t="shared" si="7"/>
        <v>0</v>
      </c>
      <c r="NJ10" s="5" t="s">
        <v>13</v>
      </c>
      <c r="NK10" s="5" t="s">
        <v>14</v>
      </c>
      <c r="NL10" s="5" t="s">
        <v>15</v>
      </c>
      <c r="NM10" s="5" t="s">
        <v>16</v>
      </c>
    </row>
    <row r="11" spans="1:377" x14ac:dyDescent="0.25">
      <c r="A11" s="17">
        <v>6</v>
      </c>
      <c r="B11" s="19"/>
      <c r="C11" s="20"/>
      <c r="D11" s="21"/>
      <c r="E11" s="10" t="s">
        <v>38</v>
      </c>
      <c r="F11" s="11"/>
      <c r="G11" s="12"/>
      <c r="H11" s="11"/>
      <c r="I11" s="12"/>
      <c r="J11" s="12"/>
      <c r="K11" s="13"/>
      <c r="L11" s="12"/>
      <c r="M11" s="12"/>
      <c r="N11" s="11"/>
      <c r="O11" s="11"/>
      <c r="P11" s="12"/>
      <c r="Q11" s="12"/>
      <c r="R11" s="13"/>
      <c r="S11" s="13"/>
      <c r="T11" s="12"/>
      <c r="U11" s="14"/>
      <c r="V11" s="11"/>
      <c r="W11" s="12"/>
      <c r="X11" s="12"/>
      <c r="Y11" s="13"/>
      <c r="Z11" s="12"/>
      <c r="AA11" s="12"/>
      <c r="AB11" s="12"/>
      <c r="AC11" s="12"/>
      <c r="AD11" s="12"/>
      <c r="AE11" s="12"/>
      <c r="AF11" s="13"/>
      <c r="AG11" s="12"/>
      <c r="AH11" s="12"/>
      <c r="AI11" s="12"/>
      <c r="AJ11" s="1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5">
        <f t="shared" si="6"/>
        <v>0</v>
      </c>
      <c r="NI11" s="5">
        <f t="shared" si="7"/>
        <v>0</v>
      </c>
      <c r="NJ11" s="5" t="s">
        <v>17</v>
      </c>
      <c r="NK11" s="17">
        <f>19*26</f>
        <v>494</v>
      </c>
      <c r="NL11" s="17">
        <f>21*26</f>
        <v>546</v>
      </c>
      <c r="NM11" s="17">
        <f>SUM(NK11:NL11)</f>
        <v>1040</v>
      </c>
    </row>
    <row r="12" spans="1:377" x14ac:dyDescent="0.25">
      <c r="A12" s="6">
        <v>7</v>
      </c>
      <c r="B12" s="19"/>
      <c r="C12" s="20"/>
      <c r="D12" s="21"/>
      <c r="E12" s="10" t="s">
        <v>38</v>
      </c>
      <c r="F12" s="11"/>
      <c r="G12" s="12"/>
      <c r="H12" s="11"/>
      <c r="I12" s="12"/>
      <c r="J12" s="12"/>
      <c r="K12" s="13"/>
      <c r="L12" s="12"/>
      <c r="M12" s="12"/>
      <c r="N12" s="11"/>
      <c r="O12" s="11"/>
      <c r="P12" s="12"/>
      <c r="Q12" s="12"/>
      <c r="R12" s="13"/>
      <c r="S12" s="13"/>
      <c r="T12" s="12"/>
      <c r="U12" s="14"/>
      <c r="V12" s="11"/>
      <c r="W12" s="12"/>
      <c r="X12" s="12"/>
      <c r="Y12" s="13"/>
      <c r="Z12" s="12"/>
      <c r="AA12" s="12"/>
      <c r="AB12" s="12"/>
      <c r="AC12" s="12"/>
      <c r="AD12" s="12"/>
      <c r="AE12" s="12"/>
      <c r="AF12" s="13"/>
      <c r="AG12" s="12"/>
      <c r="AH12" s="12"/>
      <c r="AI12" s="12"/>
      <c r="AJ12" s="1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5">
        <f t="shared" si="6"/>
        <v>0</v>
      </c>
      <c r="NI12" s="5">
        <f t="shared" si="7"/>
        <v>0</v>
      </c>
      <c r="NJ12" s="5" t="s">
        <v>18</v>
      </c>
      <c r="NK12" s="17">
        <f>NH7+NH8+NH9+NH12+NH13+NH14+NH16+NH20+NH21+NH22+NH23+NH24+NH25+NH26+NH27+NH29+NH30+NH32+NH43</f>
        <v>0</v>
      </c>
      <c r="NL12" s="17">
        <f>NH6+NH10+NH11+NH15+NH17+NH18+NH19+NH28+NH31+NH33+NH34+NH35+NH36+NH37+NH38+NH39+NH40+NH41+NH42+NH44+NH45</f>
        <v>0</v>
      </c>
      <c r="NM12" s="17">
        <f>NK12+NL12</f>
        <v>0</v>
      </c>
    </row>
    <row r="13" spans="1:377" x14ac:dyDescent="0.25">
      <c r="A13" s="17">
        <v>8</v>
      </c>
      <c r="B13" s="19"/>
      <c r="C13" s="20"/>
      <c r="D13" s="21"/>
      <c r="E13" s="10" t="s">
        <v>38</v>
      </c>
      <c r="F13" s="11"/>
      <c r="G13" s="12"/>
      <c r="H13" s="11"/>
      <c r="I13" s="12"/>
      <c r="J13" s="12"/>
      <c r="K13" s="13"/>
      <c r="L13" s="12"/>
      <c r="M13" s="12"/>
      <c r="N13" s="11"/>
      <c r="O13" s="11"/>
      <c r="P13" s="12"/>
      <c r="Q13" s="12"/>
      <c r="R13" s="13"/>
      <c r="S13" s="13"/>
      <c r="T13" s="12"/>
      <c r="U13" s="14"/>
      <c r="V13" s="11"/>
      <c r="W13" s="12"/>
      <c r="X13" s="12"/>
      <c r="Y13" s="13"/>
      <c r="Z13" s="12"/>
      <c r="AA13" s="12"/>
      <c r="AB13" s="12"/>
      <c r="AC13" s="12"/>
      <c r="AD13" s="12"/>
      <c r="AE13" s="12"/>
      <c r="AF13" s="13"/>
      <c r="AG13" s="12"/>
      <c r="AH13" s="12"/>
      <c r="AI13" s="12"/>
      <c r="AJ13" s="1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5">
        <f t="shared" si="6"/>
        <v>0</v>
      </c>
      <c r="NI13" s="5">
        <f t="shared" si="7"/>
        <v>0</v>
      </c>
      <c r="NJ13" s="5" t="s">
        <v>19</v>
      </c>
      <c r="NK13" s="17">
        <f>NK12/NK11</f>
        <v>0</v>
      </c>
      <c r="NL13" s="17">
        <f>NL12/NL11</f>
        <v>0</v>
      </c>
      <c r="NM13" s="17">
        <f>NM12/NM11</f>
        <v>0</v>
      </c>
    </row>
    <row r="14" spans="1:377" x14ac:dyDescent="0.25">
      <c r="A14" s="6">
        <v>9</v>
      </c>
      <c r="B14" s="19"/>
      <c r="C14" s="20"/>
      <c r="D14" s="21"/>
      <c r="E14" s="10" t="s">
        <v>38</v>
      </c>
      <c r="F14" s="11"/>
      <c r="G14" s="12"/>
      <c r="H14" s="11"/>
      <c r="I14" s="12"/>
      <c r="J14" s="12"/>
      <c r="K14" s="13"/>
      <c r="L14" s="12"/>
      <c r="M14" s="12"/>
      <c r="N14" s="11"/>
      <c r="O14" s="11"/>
      <c r="P14" s="12"/>
      <c r="Q14" s="12"/>
      <c r="R14" s="13"/>
      <c r="S14" s="13"/>
      <c r="T14" s="12"/>
      <c r="U14" s="14"/>
      <c r="V14" s="11"/>
      <c r="W14" s="12"/>
      <c r="X14" s="12"/>
      <c r="Y14" s="13"/>
      <c r="Z14" s="12"/>
      <c r="AA14" s="12"/>
      <c r="AB14" s="12"/>
      <c r="AC14" s="12"/>
      <c r="AD14" s="12"/>
      <c r="AE14" s="12"/>
      <c r="AF14" s="13"/>
      <c r="AG14" s="12"/>
      <c r="AH14" s="12"/>
      <c r="AI14" s="12"/>
      <c r="AJ14" s="12"/>
      <c r="AK14" s="23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5">
        <f t="shared" si="6"/>
        <v>0</v>
      </c>
      <c r="NI14" s="5">
        <f t="shared" si="7"/>
        <v>0</v>
      </c>
      <c r="NJ14" s="3"/>
      <c r="NK14" s="24"/>
      <c r="NL14" s="24"/>
      <c r="NM14" s="24"/>
    </row>
    <row r="15" spans="1:377" x14ac:dyDescent="0.25">
      <c r="A15" s="17">
        <v>10</v>
      </c>
      <c r="B15" s="25"/>
      <c r="C15" s="20"/>
      <c r="D15" s="21"/>
      <c r="E15" s="10" t="s">
        <v>38</v>
      </c>
      <c r="F15" s="11"/>
      <c r="G15" s="12"/>
      <c r="H15" s="11"/>
      <c r="I15" s="12"/>
      <c r="J15" s="12"/>
      <c r="K15" s="13"/>
      <c r="L15" s="12"/>
      <c r="M15" s="12"/>
      <c r="N15" s="11"/>
      <c r="O15" s="11"/>
      <c r="P15" s="12"/>
      <c r="Q15" s="12"/>
      <c r="R15" s="13"/>
      <c r="S15" s="13"/>
      <c r="T15" s="12"/>
      <c r="U15" s="14"/>
      <c r="V15" s="11"/>
      <c r="W15" s="12"/>
      <c r="X15" s="12"/>
      <c r="Y15" s="13"/>
      <c r="Z15" s="12"/>
      <c r="AA15" s="12"/>
      <c r="AB15" s="12"/>
      <c r="AC15" s="12"/>
      <c r="AD15" s="12"/>
      <c r="AE15" s="12"/>
      <c r="AF15" s="13"/>
      <c r="AG15" s="12"/>
      <c r="AH15" s="12"/>
      <c r="AI15" s="12"/>
      <c r="AJ15" s="1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5">
        <f t="shared" si="6"/>
        <v>0</v>
      </c>
      <c r="NI15" s="5">
        <f t="shared" si="7"/>
        <v>0</v>
      </c>
      <c r="NJ15" s="26"/>
      <c r="NK15" s="26"/>
      <c r="NL15" s="26"/>
      <c r="NM15" s="26"/>
    </row>
    <row r="16" spans="1:377" x14ac:dyDescent="0.25">
      <c r="A16" s="6">
        <v>11</v>
      </c>
      <c r="B16" s="19"/>
      <c r="C16" s="20"/>
      <c r="D16" s="21"/>
      <c r="E16" s="10" t="s">
        <v>38</v>
      </c>
      <c r="F16" s="11"/>
      <c r="G16" s="12"/>
      <c r="H16" s="11"/>
      <c r="I16" s="12"/>
      <c r="J16" s="12"/>
      <c r="K16" s="13"/>
      <c r="L16" s="12"/>
      <c r="M16" s="12"/>
      <c r="N16" s="11"/>
      <c r="O16" s="11"/>
      <c r="P16" s="12"/>
      <c r="Q16" s="12"/>
      <c r="R16" s="13"/>
      <c r="S16" s="13"/>
      <c r="T16" s="12"/>
      <c r="U16" s="14"/>
      <c r="V16" s="11"/>
      <c r="W16" s="12"/>
      <c r="X16" s="12"/>
      <c r="Y16" s="13"/>
      <c r="Z16" s="12"/>
      <c r="AA16" s="12"/>
      <c r="AB16" s="12"/>
      <c r="AC16" s="12"/>
      <c r="AD16" s="12"/>
      <c r="AE16" s="12"/>
      <c r="AF16" s="13"/>
      <c r="AG16" s="12"/>
      <c r="AH16" s="12"/>
      <c r="AI16" s="12"/>
      <c r="AJ16" s="1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5">
        <f t="shared" si="6"/>
        <v>0</v>
      </c>
      <c r="NI16" s="5">
        <f t="shared" si="7"/>
        <v>0</v>
      </c>
      <c r="NJ16" s="3"/>
      <c r="NK16" s="3"/>
      <c r="NL16" s="3"/>
      <c r="NM16" s="3"/>
    </row>
    <row r="17" spans="1:377" ht="15.75" x14ac:dyDescent="0.25">
      <c r="A17" s="17">
        <v>12</v>
      </c>
      <c r="B17" s="19"/>
      <c r="C17" s="20"/>
      <c r="D17" s="21"/>
      <c r="E17" s="10" t="s">
        <v>38</v>
      </c>
      <c r="F17" s="11"/>
      <c r="G17" s="12"/>
      <c r="H17" s="11"/>
      <c r="I17" s="12"/>
      <c r="J17" s="12"/>
      <c r="K17" s="13"/>
      <c r="L17" s="12"/>
      <c r="M17" s="12"/>
      <c r="N17" s="11"/>
      <c r="O17" s="11"/>
      <c r="P17" s="12"/>
      <c r="Q17" s="12"/>
      <c r="R17" s="13"/>
      <c r="S17" s="13"/>
      <c r="T17" s="12"/>
      <c r="U17" s="14"/>
      <c r="V17" s="11"/>
      <c r="W17" s="12"/>
      <c r="X17" s="12"/>
      <c r="Y17" s="13"/>
      <c r="Z17" s="12"/>
      <c r="AA17" s="12"/>
      <c r="AB17" s="12"/>
      <c r="AC17" s="12"/>
      <c r="AD17" s="12"/>
      <c r="AE17" s="12"/>
      <c r="AF17" s="13"/>
      <c r="AG17" s="12"/>
      <c r="AH17" s="12"/>
      <c r="AI17" s="12"/>
      <c r="AJ17" s="1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5">
        <f t="shared" si="6"/>
        <v>0</v>
      </c>
      <c r="NI17" s="5">
        <f t="shared" si="7"/>
        <v>0</v>
      </c>
      <c r="NJ17" s="103" t="s">
        <v>6</v>
      </c>
      <c r="NK17" s="105"/>
      <c r="NL17" s="105"/>
      <c r="NM17" s="104"/>
    </row>
    <row r="18" spans="1:377" x14ac:dyDescent="0.25">
      <c r="A18" s="6">
        <v>13</v>
      </c>
      <c r="B18" s="19"/>
      <c r="C18" s="20"/>
      <c r="D18" s="21"/>
      <c r="E18" s="10" t="s">
        <v>38</v>
      </c>
      <c r="F18" s="11"/>
      <c r="G18" s="12"/>
      <c r="H18" s="11"/>
      <c r="I18" s="12"/>
      <c r="J18" s="12"/>
      <c r="K18" s="13"/>
      <c r="L18" s="12"/>
      <c r="M18" s="12"/>
      <c r="N18" s="11"/>
      <c r="O18" s="11"/>
      <c r="P18" s="12"/>
      <c r="Q18" s="12"/>
      <c r="R18" s="13"/>
      <c r="S18" s="13"/>
      <c r="T18" s="12"/>
      <c r="U18" s="14"/>
      <c r="V18" s="11"/>
      <c r="W18" s="12"/>
      <c r="X18" s="12"/>
      <c r="Y18" s="13"/>
      <c r="Z18" s="12"/>
      <c r="AA18" s="12"/>
      <c r="AB18" s="12"/>
      <c r="AC18" s="12"/>
      <c r="AD18" s="12"/>
      <c r="AE18" s="12"/>
      <c r="AF18" s="13"/>
      <c r="AG18" s="12"/>
      <c r="AH18" s="12"/>
      <c r="AI18" s="12"/>
      <c r="AJ18" s="1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5">
        <f t="shared" si="6"/>
        <v>0</v>
      </c>
      <c r="NI18" s="5">
        <f t="shared" si="7"/>
        <v>0</v>
      </c>
      <c r="NJ18" s="5" t="s">
        <v>13</v>
      </c>
      <c r="NK18" s="5" t="s">
        <v>14</v>
      </c>
      <c r="NL18" s="5" t="s">
        <v>15</v>
      </c>
      <c r="NM18" s="5" t="s">
        <v>16</v>
      </c>
    </row>
    <row r="19" spans="1:377" x14ac:dyDescent="0.25">
      <c r="A19" s="17">
        <v>14</v>
      </c>
      <c r="B19" s="19"/>
      <c r="C19" s="20"/>
      <c r="D19" s="21"/>
      <c r="E19" s="10" t="s">
        <v>38</v>
      </c>
      <c r="F19" s="11"/>
      <c r="G19" s="12"/>
      <c r="H19" s="11"/>
      <c r="I19" s="12"/>
      <c r="J19" s="12"/>
      <c r="K19" s="13"/>
      <c r="L19" s="12"/>
      <c r="M19" s="12"/>
      <c r="N19" s="11"/>
      <c r="O19" s="11"/>
      <c r="P19" s="12"/>
      <c r="Q19" s="12"/>
      <c r="R19" s="13"/>
      <c r="S19" s="13"/>
      <c r="T19" s="12"/>
      <c r="U19" s="14"/>
      <c r="V19" s="11"/>
      <c r="W19" s="12"/>
      <c r="X19" s="12"/>
      <c r="Y19" s="13"/>
      <c r="Z19" s="12"/>
      <c r="AA19" s="12"/>
      <c r="AB19" s="12"/>
      <c r="AC19" s="12"/>
      <c r="AD19" s="12"/>
      <c r="AE19" s="12"/>
      <c r="AF19" s="13"/>
      <c r="AG19" s="12"/>
      <c r="AH19" s="12"/>
      <c r="AI19" s="12"/>
      <c r="AJ19" s="1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5">
        <f t="shared" si="6"/>
        <v>0</v>
      </c>
      <c r="NI19" s="5">
        <f t="shared" si="7"/>
        <v>0</v>
      </c>
      <c r="NJ19" s="5" t="s">
        <v>17</v>
      </c>
      <c r="NK19" s="17">
        <f>19*26</f>
        <v>494</v>
      </c>
      <c r="NL19" s="17">
        <f>21*26</f>
        <v>546</v>
      </c>
      <c r="NM19" s="17">
        <f>NK19+NL19</f>
        <v>1040</v>
      </c>
    </row>
    <row r="20" spans="1:377" x14ac:dyDescent="0.25">
      <c r="A20" s="6">
        <v>15</v>
      </c>
      <c r="B20" s="19"/>
      <c r="C20" s="20"/>
      <c r="D20" s="21"/>
      <c r="E20" s="10" t="s">
        <v>38</v>
      </c>
      <c r="F20" s="11"/>
      <c r="G20" s="12"/>
      <c r="H20" s="11"/>
      <c r="I20" s="12"/>
      <c r="J20" s="12"/>
      <c r="K20" s="13"/>
      <c r="L20" s="12"/>
      <c r="M20" s="12"/>
      <c r="N20" s="11"/>
      <c r="O20" s="11"/>
      <c r="P20" s="12"/>
      <c r="Q20" s="12"/>
      <c r="R20" s="13"/>
      <c r="S20" s="13"/>
      <c r="T20" s="12"/>
      <c r="U20" s="14"/>
      <c r="V20" s="11"/>
      <c r="W20" s="12"/>
      <c r="X20" s="12"/>
      <c r="Y20" s="13"/>
      <c r="Z20" s="12"/>
      <c r="AA20" s="12"/>
      <c r="AB20" s="12"/>
      <c r="AC20" s="12"/>
      <c r="AD20" s="12"/>
      <c r="AE20" s="12"/>
      <c r="AF20" s="13"/>
      <c r="AG20" s="12"/>
      <c r="AH20" s="12"/>
      <c r="AI20" s="12"/>
      <c r="AJ20" s="1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5">
        <f t="shared" si="6"/>
        <v>0</v>
      </c>
      <c r="NI20" s="5">
        <f t="shared" si="7"/>
        <v>0</v>
      </c>
      <c r="NJ20" s="5" t="s">
        <v>20</v>
      </c>
      <c r="NK20" s="17">
        <f>NK19-NK12</f>
        <v>494</v>
      </c>
      <c r="NL20" s="17">
        <f>NL19-NL12</f>
        <v>546</v>
      </c>
      <c r="NM20" s="17">
        <f>NK20+NL20</f>
        <v>1040</v>
      </c>
    </row>
    <row r="21" spans="1:377" x14ac:dyDescent="0.25">
      <c r="A21" s="17">
        <v>16</v>
      </c>
      <c r="B21" s="19"/>
      <c r="C21" s="20"/>
      <c r="D21" s="21"/>
      <c r="E21" s="10" t="s">
        <v>38</v>
      </c>
      <c r="F21" s="11"/>
      <c r="G21" s="12"/>
      <c r="H21" s="11"/>
      <c r="I21" s="12"/>
      <c r="J21" s="12"/>
      <c r="K21" s="13"/>
      <c r="L21" s="12"/>
      <c r="M21" s="12"/>
      <c r="N21" s="11"/>
      <c r="O21" s="11"/>
      <c r="P21" s="12"/>
      <c r="Q21" s="12"/>
      <c r="R21" s="13"/>
      <c r="S21" s="13"/>
      <c r="T21" s="12"/>
      <c r="U21" s="14"/>
      <c r="V21" s="11"/>
      <c r="W21" s="12"/>
      <c r="X21" s="12"/>
      <c r="Y21" s="13"/>
      <c r="Z21" s="12"/>
      <c r="AA21" s="12"/>
      <c r="AB21" s="12"/>
      <c r="AC21" s="12"/>
      <c r="AD21" s="12"/>
      <c r="AE21" s="12"/>
      <c r="AF21" s="13"/>
      <c r="AG21" s="12"/>
      <c r="AH21" s="12"/>
      <c r="AI21" s="12"/>
      <c r="AJ21" s="1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5">
        <f t="shared" si="6"/>
        <v>0</v>
      </c>
      <c r="NI21" s="5">
        <f t="shared" si="7"/>
        <v>0</v>
      </c>
      <c r="NJ21" s="5" t="s">
        <v>16</v>
      </c>
      <c r="NK21" s="27">
        <f>NK20/NK19</f>
        <v>1</v>
      </c>
      <c r="NL21" s="27">
        <f>NL20/NL19</f>
        <v>1</v>
      </c>
      <c r="NM21" s="27">
        <f>NM20/NM19</f>
        <v>1</v>
      </c>
    </row>
    <row r="22" spans="1:377" x14ac:dyDescent="0.25">
      <c r="A22" s="6">
        <v>17</v>
      </c>
      <c r="B22" s="19"/>
      <c r="C22" s="20"/>
      <c r="D22" s="21"/>
      <c r="E22" s="10" t="s">
        <v>38</v>
      </c>
      <c r="F22" s="11"/>
      <c r="G22" s="12"/>
      <c r="H22" s="11"/>
      <c r="I22" s="12"/>
      <c r="J22" s="12"/>
      <c r="K22" s="13"/>
      <c r="L22" s="12"/>
      <c r="M22" s="12"/>
      <c r="N22" s="11"/>
      <c r="O22" s="11"/>
      <c r="P22" s="12"/>
      <c r="Q22" s="12"/>
      <c r="R22" s="13"/>
      <c r="S22" s="13"/>
      <c r="T22" s="12"/>
      <c r="U22" s="14"/>
      <c r="V22" s="11"/>
      <c r="W22" s="12"/>
      <c r="X22" s="12"/>
      <c r="Y22" s="13"/>
      <c r="Z22" s="12"/>
      <c r="AA22" s="12"/>
      <c r="AB22" s="12"/>
      <c r="AC22" s="12"/>
      <c r="AD22" s="12"/>
      <c r="AE22" s="12"/>
      <c r="AF22" s="13"/>
      <c r="AG22" s="12"/>
      <c r="AH22" s="12"/>
      <c r="AI22" s="12"/>
      <c r="AJ22" s="1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5">
        <f t="shared" si="6"/>
        <v>0</v>
      </c>
      <c r="NI22" s="5">
        <f t="shared" si="7"/>
        <v>0</v>
      </c>
    </row>
    <row r="23" spans="1:377" x14ac:dyDescent="0.25">
      <c r="A23" s="17">
        <v>18</v>
      </c>
      <c r="B23" s="19"/>
      <c r="C23" s="20"/>
      <c r="D23" s="21"/>
      <c r="E23" s="10" t="s">
        <v>38</v>
      </c>
      <c r="F23" s="11"/>
      <c r="G23" s="12"/>
      <c r="H23" s="11"/>
      <c r="I23" s="12"/>
      <c r="J23" s="12"/>
      <c r="K23" s="13"/>
      <c r="L23" s="12"/>
      <c r="M23" s="12"/>
      <c r="N23" s="11"/>
      <c r="O23" s="11"/>
      <c r="P23" s="12"/>
      <c r="Q23" s="12"/>
      <c r="R23" s="13"/>
      <c r="S23" s="13"/>
      <c r="T23" s="12"/>
      <c r="U23" s="14"/>
      <c r="V23" s="11"/>
      <c r="W23" s="12"/>
      <c r="X23" s="12"/>
      <c r="Y23" s="13"/>
      <c r="Z23" s="12"/>
      <c r="AA23" s="12"/>
      <c r="AB23" s="12"/>
      <c r="AC23" s="12"/>
      <c r="AD23" s="12"/>
      <c r="AE23" s="12"/>
      <c r="AF23" s="13"/>
      <c r="AG23" s="12"/>
      <c r="AH23" s="12"/>
      <c r="AI23" s="12"/>
      <c r="AJ23" s="1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5">
        <f t="shared" si="6"/>
        <v>0</v>
      </c>
      <c r="NI23" s="5">
        <f t="shared" si="7"/>
        <v>0</v>
      </c>
    </row>
    <row r="24" spans="1:377" x14ac:dyDescent="0.25">
      <c r="A24" s="6">
        <v>19</v>
      </c>
      <c r="B24" s="19"/>
      <c r="C24" s="20"/>
      <c r="D24" s="21"/>
      <c r="E24" s="10" t="s">
        <v>38</v>
      </c>
      <c r="F24" s="11"/>
      <c r="G24" s="12"/>
      <c r="H24" s="11"/>
      <c r="I24" s="12"/>
      <c r="J24" s="12"/>
      <c r="K24" s="13"/>
      <c r="L24" s="12"/>
      <c r="M24" s="12"/>
      <c r="N24" s="11"/>
      <c r="O24" s="11"/>
      <c r="P24" s="12"/>
      <c r="Q24" s="12"/>
      <c r="R24" s="13"/>
      <c r="S24" s="13"/>
      <c r="T24" s="12"/>
      <c r="U24" s="14"/>
      <c r="V24" s="11"/>
      <c r="W24" s="12"/>
      <c r="X24" s="12"/>
      <c r="Y24" s="13"/>
      <c r="Z24" s="12"/>
      <c r="AA24" s="12"/>
      <c r="AB24" s="12"/>
      <c r="AC24" s="12"/>
      <c r="AD24" s="12"/>
      <c r="AE24" s="12"/>
      <c r="AF24" s="13"/>
      <c r="AG24" s="12"/>
      <c r="AH24" s="12"/>
      <c r="AI24" s="12"/>
      <c r="AJ24" s="1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5">
        <f t="shared" si="6"/>
        <v>0</v>
      </c>
      <c r="NI24" s="5">
        <f t="shared" si="7"/>
        <v>0</v>
      </c>
    </row>
    <row r="25" spans="1:377" x14ac:dyDescent="0.25">
      <c r="A25" s="17">
        <v>20</v>
      </c>
      <c r="B25" s="19"/>
      <c r="C25" s="20"/>
      <c r="D25" s="21"/>
      <c r="E25" s="10" t="s">
        <v>38</v>
      </c>
      <c r="F25" s="11"/>
      <c r="G25" s="12"/>
      <c r="H25" s="11"/>
      <c r="I25" s="12"/>
      <c r="J25" s="12"/>
      <c r="K25" s="13"/>
      <c r="L25" s="12"/>
      <c r="M25" s="12"/>
      <c r="N25" s="11"/>
      <c r="O25" s="11"/>
      <c r="P25" s="12"/>
      <c r="Q25" s="12"/>
      <c r="R25" s="13"/>
      <c r="S25" s="13"/>
      <c r="T25" s="12"/>
      <c r="U25" s="14"/>
      <c r="V25" s="11"/>
      <c r="W25" s="12"/>
      <c r="X25" s="12"/>
      <c r="Y25" s="13"/>
      <c r="Z25" s="12"/>
      <c r="AA25" s="12"/>
      <c r="AB25" s="12"/>
      <c r="AC25" s="12"/>
      <c r="AD25" s="12"/>
      <c r="AE25" s="12"/>
      <c r="AF25" s="13"/>
      <c r="AG25" s="12"/>
      <c r="AH25" s="12"/>
      <c r="AI25" s="12"/>
      <c r="AJ25" s="1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5">
        <f t="shared" si="6"/>
        <v>0</v>
      </c>
      <c r="NI25" s="5">
        <f t="shared" si="7"/>
        <v>0</v>
      </c>
    </row>
    <row r="26" spans="1:377" x14ac:dyDescent="0.25">
      <c r="A26" s="6">
        <v>21</v>
      </c>
      <c r="B26" s="19"/>
      <c r="C26" s="20"/>
      <c r="D26" s="21"/>
      <c r="E26" s="10" t="s">
        <v>38</v>
      </c>
      <c r="F26" s="11"/>
      <c r="G26" s="12"/>
      <c r="H26" s="11"/>
      <c r="I26" s="12"/>
      <c r="J26" s="12"/>
      <c r="K26" s="13"/>
      <c r="L26" s="12"/>
      <c r="M26" s="12"/>
      <c r="N26" s="11"/>
      <c r="O26" s="11"/>
      <c r="P26" s="12"/>
      <c r="Q26" s="12"/>
      <c r="R26" s="13"/>
      <c r="S26" s="13"/>
      <c r="T26" s="12"/>
      <c r="U26" s="14"/>
      <c r="V26" s="11"/>
      <c r="W26" s="12"/>
      <c r="X26" s="12"/>
      <c r="Y26" s="13"/>
      <c r="Z26" s="12"/>
      <c r="AA26" s="12"/>
      <c r="AB26" s="12"/>
      <c r="AC26" s="12"/>
      <c r="AD26" s="12"/>
      <c r="AE26" s="12"/>
      <c r="AF26" s="13"/>
      <c r="AG26" s="12"/>
      <c r="AH26" s="12"/>
      <c r="AI26" s="12"/>
      <c r="AJ26" s="1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5">
        <f t="shared" si="6"/>
        <v>0</v>
      </c>
      <c r="NI26" s="5">
        <f t="shared" si="7"/>
        <v>0</v>
      </c>
    </row>
    <row r="27" spans="1:377" x14ac:dyDescent="0.25">
      <c r="A27" s="17">
        <v>22</v>
      </c>
      <c r="B27" s="19"/>
      <c r="C27" s="20"/>
      <c r="D27" s="21"/>
      <c r="E27" s="10" t="s">
        <v>38</v>
      </c>
      <c r="F27" s="11"/>
      <c r="G27" s="12"/>
      <c r="H27" s="11"/>
      <c r="I27" s="12"/>
      <c r="J27" s="12"/>
      <c r="K27" s="13"/>
      <c r="L27" s="12"/>
      <c r="M27" s="12"/>
      <c r="N27" s="11"/>
      <c r="O27" s="11"/>
      <c r="P27" s="12"/>
      <c r="Q27" s="12"/>
      <c r="R27" s="13"/>
      <c r="S27" s="13"/>
      <c r="T27" s="12"/>
      <c r="U27" s="14"/>
      <c r="V27" s="11"/>
      <c r="W27" s="12"/>
      <c r="X27" s="12"/>
      <c r="Y27" s="13"/>
      <c r="Z27" s="12"/>
      <c r="AA27" s="12"/>
      <c r="AB27" s="12"/>
      <c r="AC27" s="12"/>
      <c r="AD27" s="12"/>
      <c r="AE27" s="12"/>
      <c r="AF27" s="13"/>
      <c r="AG27" s="12"/>
      <c r="AH27" s="12"/>
      <c r="AI27" s="12"/>
      <c r="AJ27" s="1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5">
        <f t="shared" si="6"/>
        <v>0</v>
      </c>
      <c r="NI27" s="5">
        <f t="shared" si="7"/>
        <v>0</v>
      </c>
    </row>
    <row r="28" spans="1:377" x14ac:dyDescent="0.25">
      <c r="A28" s="6">
        <v>23</v>
      </c>
      <c r="B28" s="19"/>
      <c r="C28" s="20"/>
      <c r="D28" s="21"/>
      <c r="E28" s="10" t="s">
        <v>38</v>
      </c>
      <c r="F28" s="11"/>
      <c r="G28" s="12"/>
      <c r="H28" s="11"/>
      <c r="I28" s="12"/>
      <c r="J28" s="12"/>
      <c r="K28" s="13"/>
      <c r="L28" s="12"/>
      <c r="M28" s="12"/>
      <c r="N28" s="11"/>
      <c r="O28" s="11"/>
      <c r="P28" s="12"/>
      <c r="Q28" s="12"/>
      <c r="R28" s="13"/>
      <c r="S28" s="13"/>
      <c r="T28" s="12"/>
      <c r="U28" s="14"/>
      <c r="V28" s="11"/>
      <c r="W28" s="12"/>
      <c r="X28" s="12"/>
      <c r="Y28" s="13"/>
      <c r="Z28" s="12"/>
      <c r="AA28" s="12"/>
      <c r="AB28" s="12"/>
      <c r="AC28" s="12"/>
      <c r="AD28" s="12"/>
      <c r="AE28" s="12"/>
      <c r="AF28" s="13"/>
      <c r="AG28" s="12"/>
      <c r="AH28" s="12"/>
      <c r="AI28" s="12"/>
      <c r="AJ28" s="1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5">
        <f t="shared" si="6"/>
        <v>0</v>
      </c>
      <c r="NI28" s="5">
        <f t="shared" si="7"/>
        <v>0</v>
      </c>
    </row>
    <row r="29" spans="1:377" x14ac:dyDescent="0.25">
      <c r="A29" s="17">
        <v>24</v>
      </c>
      <c r="B29" s="19"/>
      <c r="C29" s="20"/>
      <c r="D29" s="21"/>
      <c r="E29" s="10" t="s">
        <v>38</v>
      </c>
      <c r="F29" s="11"/>
      <c r="G29" s="12"/>
      <c r="H29" s="11"/>
      <c r="I29" s="12"/>
      <c r="J29" s="12"/>
      <c r="K29" s="13"/>
      <c r="L29" s="12"/>
      <c r="M29" s="12"/>
      <c r="N29" s="11"/>
      <c r="O29" s="11"/>
      <c r="P29" s="12"/>
      <c r="Q29" s="12"/>
      <c r="R29" s="13"/>
      <c r="S29" s="13"/>
      <c r="T29" s="12"/>
      <c r="U29" s="14"/>
      <c r="V29" s="11"/>
      <c r="W29" s="12"/>
      <c r="X29" s="12"/>
      <c r="Y29" s="13"/>
      <c r="Z29" s="12"/>
      <c r="AA29" s="12"/>
      <c r="AB29" s="12"/>
      <c r="AC29" s="12"/>
      <c r="AD29" s="12"/>
      <c r="AE29" s="12"/>
      <c r="AF29" s="13"/>
      <c r="AG29" s="12"/>
      <c r="AH29" s="12"/>
      <c r="AI29" s="12"/>
      <c r="AJ29" s="1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5">
        <f t="shared" si="6"/>
        <v>0</v>
      </c>
      <c r="NI29" s="5">
        <f t="shared" si="7"/>
        <v>0</v>
      </c>
    </row>
    <row r="30" spans="1:377" x14ac:dyDescent="0.25">
      <c r="A30" s="6">
        <v>25</v>
      </c>
      <c r="B30" s="19"/>
      <c r="C30" s="20"/>
      <c r="D30" s="21"/>
      <c r="E30" s="10" t="s">
        <v>38</v>
      </c>
      <c r="F30" s="11"/>
      <c r="G30" s="12"/>
      <c r="H30" s="11"/>
      <c r="I30" s="12"/>
      <c r="J30" s="12"/>
      <c r="K30" s="13"/>
      <c r="L30" s="12"/>
      <c r="M30" s="12"/>
      <c r="N30" s="11"/>
      <c r="O30" s="11"/>
      <c r="P30" s="12"/>
      <c r="Q30" s="12"/>
      <c r="R30" s="13"/>
      <c r="S30" s="13"/>
      <c r="T30" s="12"/>
      <c r="U30" s="14"/>
      <c r="V30" s="11"/>
      <c r="W30" s="12"/>
      <c r="X30" s="12"/>
      <c r="Y30" s="13"/>
      <c r="Z30" s="12"/>
      <c r="AA30" s="12"/>
      <c r="AB30" s="12"/>
      <c r="AC30" s="12"/>
      <c r="AD30" s="12"/>
      <c r="AE30" s="12"/>
      <c r="AF30" s="13"/>
      <c r="AG30" s="12"/>
      <c r="AH30" s="12"/>
      <c r="AI30" s="12"/>
      <c r="AJ30" s="1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/>
      <c r="LF30" s="16"/>
      <c r="LG30" s="16"/>
      <c r="LH30" s="16"/>
      <c r="LI30" s="16"/>
      <c r="LJ30" s="16"/>
      <c r="LK30" s="16"/>
      <c r="LL30" s="16"/>
      <c r="LM30" s="16"/>
      <c r="LN30" s="16"/>
      <c r="LO30" s="16"/>
      <c r="LP30" s="16"/>
      <c r="LQ30" s="16"/>
      <c r="LR30" s="16"/>
      <c r="LS30" s="16"/>
      <c r="LT30" s="16"/>
      <c r="LU30" s="16"/>
      <c r="LV30" s="16"/>
      <c r="LW30" s="16"/>
      <c r="LX30" s="16"/>
      <c r="LY30" s="16"/>
      <c r="LZ30" s="16"/>
      <c r="MA30" s="16"/>
      <c r="MB30" s="16"/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5">
        <f t="shared" si="6"/>
        <v>0</v>
      </c>
      <c r="NI30" s="5">
        <f t="shared" si="7"/>
        <v>0</v>
      </c>
    </row>
    <row r="31" spans="1:377" x14ac:dyDescent="0.25">
      <c r="A31" s="17">
        <v>26</v>
      </c>
      <c r="B31" s="19"/>
      <c r="C31" s="20"/>
      <c r="D31" s="21"/>
      <c r="E31" s="10" t="s">
        <v>38</v>
      </c>
      <c r="F31" s="11"/>
      <c r="G31" s="12"/>
      <c r="H31" s="11"/>
      <c r="I31" s="12"/>
      <c r="J31" s="12"/>
      <c r="K31" s="13"/>
      <c r="L31" s="12"/>
      <c r="M31" s="12"/>
      <c r="N31" s="11"/>
      <c r="O31" s="11"/>
      <c r="P31" s="12"/>
      <c r="Q31" s="12"/>
      <c r="R31" s="13"/>
      <c r="S31" s="13"/>
      <c r="T31" s="12"/>
      <c r="U31" s="14"/>
      <c r="V31" s="11"/>
      <c r="W31" s="12"/>
      <c r="X31" s="12"/>
      <c r="Y31" s="13"/>
      <c r="Z31" s="12"/>
      <c r="AA31" s="12"/>
      <c r="AB31" s="12"/>
      <c r="AC31" s="12"/>
      <c r="AD31" s="12"/>
      <c r="AE31" s="12"/>
      <c r="AF31" s="13"/>
      <c r="AG31" s="12"/>
      <c r="AH31" s="12"/>
      <c r="AI31" s="12"/>
      <c r="AJ31" s="1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6"/>
      <c r="LD31" s="16"/>
      <c r="LE31" s="16"/>
      <c r="LF31" s="16"/>
      <c r="LG31" s="16"/>
      <c r="LH31" s="16"/>
      <c r="LI31" s="16"/>
      <c r="LJ31" s="16"/>
      <c r="LK31" s="16"/>
      <c r="LL31" s="16"/>
      <c r="LM31" s="16"/>
      <c r="LN31" s="16"/>
      <c r="LO31" s="16"/>
      <c r="LP31" s="16"/>
      <c r="LQ31" s="16"/>
      <c r="LR31" s="16"/>
      <c r="LS31" s="16"/>
      <c r="LT31" s="16"/>
      <c r="LU31" s="16"/>
      <c r="LV31" s="16"/>
      <c r="LW31" s="16"/>
      <c r="LX31" s="16"/>
      <c r="LY31" s="16"/>
      <c r="LZ31" s="16"/>
      <c r="MA31" s="16"/>
      <c r="MB31" s="16"/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5">
        <f t="shared" si="6"/>
        <v>0</v>
      </c>
      <c r="NI31" s="5">
        <f t="shared" si="7"/>
        <v>0</v>
      </c>
    </row>
    <row r="32" spans="1:377" x14ac:dyDescent="0.25">
      <c r="A32" s="6">
        <v>27</v>
      </c>
      <c r="B32" s="19"/>
      <c r="C32" s="20"/>
      <c r="D32" s="21"/>
      <c r="E32" s="10" t="s">
        <v>38</v>
      </c>
      <c r="F32" s="11"/>
      <c r="G32" s="12"/>
      <c r="H32" s="11"/>
      <c r="I32" s="12"/>
      <c r="J32" s="12"/>
      <c r="K32" s="13"/>
      <c r="L32" s="12"/>
      <c r="M32" s="12"/>
      <c r="N32" s="11"/>
      <c r="O32" s="11"/>
      <c r="P32" s="12"/>
      <c r="Q32" s="12"/>
      <c r="R32" s="13"/>
      <c r="S32" s="13"/>
      <c r="T32" s="12"/>
      <c r="U32" s="14"/>
      <c r="V32" s="11"/>
      <c r="W32" s="12"/>
      <c r="X32" s="12"/>
      <c r="Y32" s="13"/>
      <c r="Z32" s="12"/>
      <c r="AA32" s="12"/>
      <c r="AB32" s="12"/>
      <c r="AC32" s="12"/>
      <c r="AD32" s="12"/>
      <c r="AE32" s="12"/>
      <c r="AF32" s="13"/>
      <c r="AG32" s="12"/>
      <c r="AH32" s="12"/>
      <c r="AI32" s="12"/>
      <c r="AJ32" s="1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/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/>
      <c r="LQ32" s="16"/>
      <c r="LR32" s="16"/>
      <c r="LS32" s="16"/>
      <c r="LT32" s="16"/>
      <c r="LU32" s="16"/>
      <c r="LV32" s="16"/>
      <c r="LW32" s="16"/>
      <c r="LX32" s="16"/>
      <c r="LY32" s="16"/>
      <c r="LZ32" s="16"/>
      <c r="MA32" s="16"/>
      <c r="MB32" s="16"/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5">
        <f t="shared" si="6"/>
        <v>0</v>
      </c>
      <c r="NI32" s="5">
        <f t="shared" si="7"/>
        <v>0</v>
      </c>
    </row>
    <row r="33" spans="1:373" x14ac:dyDescent="0.25">
      <c r="A33" s="17">
        <v>28</v>
      </c>
      <c r="B33" s="19"/>
      <c r="C33" s="20"/>
      <c r="D33" s="21"/>
      <c r="E33" s="10" t="s">
        <v>38</v>
      </c>
      <c r="F33" s="11"/>
      <c r="G33" s="12"/>
      <c r="H33" s="11"/>
      <c r="I33" s="12"/>
      <c r="J33" s="12"/>
      <c r="K33" s="13"/>
      <c r="L33" s="12"/>
      <c r="M33" s="12"/>
      <c r="N33" s="11"/>
      <c r="O33" s="11"/>
      <c r="P33" s="12"/>
      <c r="Q33" s="12"/>
      <c r="R33" s="13"/>
      <c r="S33" s="13"/>
      <c r="T33" s="12"/>
      <c r="U33" s="14"/>
      <c r="V33" s="11"/>
      <c r="W33" s="12"/>
      <c r="X33" s="12"/>
      <c r="Y33" s="13"/>
      <c r="Z33" s="12"/>
      <c r="AA33" s="12"/>
      <c r="AB33" s="12"/>
      <c r="AC33" s="12"/>
      <c r="AD33" s="12"/>
      <c r="AE33" s="12"/>
      <c r="AF33" s="13"/>
      <c r="AG33" s="12"/>
      <c r="AH33" s="12"/>
      <c r="AI33" s="12"/>
      <c r="AJ33" s="1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5">
        <f t="shared" si="6"/>
        <v>0</v>
      </c>
      <c r="NI33" s="5">
        <f t="shared" si="7"/>
        <v>0</v>
      </c>
    </row>
    <row r="34" spans="1:373" x14ac:dyDescent="0.25">
      <c r="A34" s="6">
        <v>29</v>
      </c>
      <c r="B34" s="19"/>
      <c r="C34" s="20"/>
      <c r="D34" s="21"/>
      <c r="E34" s="10" t="s">
        <v>38</v>
      </c>
      <c r="F34" s="11"/>
      <c r="G34" s="12"/>
      <c r="H34" s="11"/>
      <c r="I34" s="12"/>
      <c r="J34" s="12"/>
      <c r="K34" s="13"/>
      <c r="L34" s="12"/>
      <c r="M34" s="12"/>
      <c r="N34" s="11"/>
      <c r="O34" s="11"/>
      <c r="P34" s="12"/>
      <c r="Q34" s="12"/>
      <c r="R34" s="13"/>
      <c r="S34" s="13"/>
      <c r="T34" s="12"/>
      <c r="U34" s="14"/>
      <c r="V34" s="11"/>
      <c r="W34" s="12"/>
      <c r="X34" s="12"/>
      <c r="Y34" s="13"/>
      <c r="Z34" s="12"/>
      <c r="AA34" s="12"/>
      <c r="AB34" s="12"/>
      <c r="AC34" s="12"/>
      <c r="AD34" s="12"/>
      <c r="AE34" s="12"/>
      <c r="AF34" s="13"/>
      <c r="AG34" s="12"/>
      <c r="AH34" s="12"/>
      <c r="AI34" s="12"/>
      <c r="AJ34" s="1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5">
        <f t="shared" si="6"/>
        <v>0</v>
      </c>
      <c r="NI34" s="5">
        <f t="shared" si="7"/>
        <v>0</v>
      </c>
    </row>
    <row r="35" spans="1:373" x14ac:dyDescent="0.25">
      <c r="A35" s="17">
        <v>30</v>
      </c>
      <c r="B35" s="19"/>
      <c r="C35" s="20"/>
      <c r="D35" s="21"/>
      <c r="E35" s="10" t="s">
        <v>38</v>
      </c>
      <c r="F35" s="11"/>
      <c r="G35" s="12"/>
      <c r="H35" s="11"/>
      <c r="I35" s="12"/>
      <c r="J35" s="12"/>
      <c r="K35" s="13"/>
      <c r="L35" s="12"/>
      <c r="M35" s="12"/>
      <c r="N35" s="11"/>
      <c r="O35" s="11"/>
      <c r="P35" s="12"/>
      <c r="Q35" s="12"/>
      <c r="R35" s="13"/>
      <c r="S35" s="13"/>
      <c r="T35" s="12"/>
      <c r="U35" s="14"/>
      <c r="V35" s="11"/>
      <c r="W35" s="12"/>
      <c r="X35" s="12"/>
      <c r="Y35" s="13"/>
      <c r="Z35" s="12"/>
      <c r="AA35" s="12"/>
      <c r="AB35" s="12"/>
      <c r="AC35" s="12"/>
      <c r="AD35" s="12"/>
      <c r="AE35" s="12"/>
      <c r="AF35" s="13"/>
      <c r="AG35" s="12"/>
      <c r="AH35" s="12"/>
      <c r="AI35" s="12"/>
      <c r="AJ35" s="1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/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/>
      <c r="LQ35" s="16"/>
      <c r="LR35" s="16"/>
      <c r="LS35" s="16"/>
      <c r="LT35" s="16"/>
      <c r="LU35" s="16"/>
      <c r="LV35" s="16"/>
      <c r="LW35" s="16"/>
      <c r="LX35" s="16"/>
      <c r="LY35" s="16"/>
      <c r="LZ35" s="16"/>
      <c r="MA35" s="16"/>
      <c r="MB35" s="16"/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5">
        <f t="shared" si="6"/>
        <v>0</v>
      </c>
      <c r="NI35" s="5">
        <f t="shared" si="7"/>
        <v>0</v>
      </c>
    </row>
    <row r="36" spans="1:373" x14ac:dyDescent="0.25">
      <c r="A36" s="6">
        <v>31</v>
      </c>
      <c r="B36" s="19"/>
      <c r="C36" s="20"/>
      <c r="D36" s="21"/>
      <c r="E36" s="10" t="s">
        <v>38</v>
      </c>
      <c r="F36" s="11"/>
      <c r="G36" s="12"/>
      <c r="H36" s="11"/>
      <c r="I36" s="12"/>
      <c r="J36" s="12"/>
      <c r="K36" s="13"/>
      <c r="L36" s="12"/>
      <c r="M36" s="12"/>
      <c r="N36" s="11"/>
      <c r="O36" s="11"/>
      <c r="P36" s="12"/>
      <c r="Q36" s="12"/>
      <c r="R36" s="13"/>
      <c r="S36" s="13"/>
      <c r="T36" s="12"/>
      <c r="U36" s="14"/>
      <c r="V36" s="11"/>
      <c r="W36" s="12"/>
      <c r="X36" s="12"/>
      <c r="Y36" s="13"/>
      <c r="Z36" s="12"/>
      <c r="AA36" s="12"/>
      <c r="AB36" s="12"/>
      <c r="AC36" s="12"/>
      <c r="AD36" s="12"/>
      <c r="AE36" s="12"/>
      <c r="AF36" s="13"/>
      <c r="AG36" s="12"/>
      <c r="AH36" s="12"/>
      <c r="AI36" s="12"/>
      <c r="AJ36" s="12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5">
        <f t="shared" si="6"/>
        <v>0</v>
      </c>
      <c r="NI36" s="5">
        <f t="shared" si="7"/>
        <v>0</v>
      </c>
    </row>
    <row r="37" spans="1:373" x14ac:dyDescent="0.25">
      <c r="A37" s="17">
        <v>32</v>
      </c>
      <c r="B37" s="19"/>
      <c r="C37" s="20"/>
      <c r="D37" s="21"/>
      <c r="E37" s="10" t="s">
        <v>38</v>
      </c>
      <c r="F37" s="11"/>
      <c r="G37" s="12"/>
      <c r="H37" s="11"/>
      <c r="I37" s="12"/>
      <c r="J37" s="12"/>
      <c r="K37" s="13"/>
      <c r="L37" s="12"/>
      <c r="M37" s="12"/>
      <c r="N37" s="11"/>
      <c r="O37" s="11"/>
      <c r="P37" s="12"/>
      <c r="Q37" s="12"/>
      <c r="R37" s="13"/>
      <c r="S37" s="13"/>
      <c r="T37" s="12"/>
      <c r="U37" s="14"/>
      <c r="V37" s="11"/>
      <c r="W37" s="12"/>
      <c r="X37" s="12"/>
      <c r="Y37" s="13"/>
      <c r="Z37" s="12"/>
      <c r="AA37" s="12"/>
      <c r="AB37" s="12"/>
      <c r="AC37" s="12"/>
      <c r="AD37" s="12"/>
      <c r="AE37" s="12"/>
      <c r="AF37" s="13"/>
      <c r="AG37" s="12"/>
      <c r="AH37" s="12"/>
      <c r="AI37" s="12"/>
      <c r="AJ37" s="12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  <c r="IY37" s="16"/>
      <c r="IZ37" s="16"/>
      <c r="JA37" s="16"/>
      <c r="JB37" s="16"/>
      <c r="JC37" s="16"/>
      <c r="JD37" s="16"/>
      <c r="JE37" s="16"/>
      <c r="JF37" s="16"/>
      <c r="JG37" s="16"/>
      <c r="JH37" s="16"/>
      <c r="JI37" s="16"/>
      <c r="JJ37" s="16"/>
      <c r="JK37" s="16"/>
      <c r="JL37" s="16"/>
      <c r="JM37" s="16"/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6"/>
      <c r="KC37" s="16"/>
      <c r="KD37" s="16"/>
      <c r="KE37" s="16"/>
      <c r="KF37" s="16"/>
      <c r="KG37" s="16"/>
      <c r="KH37" s="16"/>
      <c r="KI37" s="16"/>
      <c r="KJ37" s="16"/>
      <c r="KK37" s="16"/>
      <c r="KL37" s="16"/>
      <c r="KM37" s="16"/>
      <c r="KN37" s="16"/>
      <c r="KO37" s="16"/>
      <c r="KP37" s="16"/>
      <c r="KQ37" s="16"/>
      <c r="KR37" s="16"/>
      <c r="KS37" s="16"/>
      <c r="KT37" s="16"/>
      <c r="KU37" s="16"/>
      <c r="KV37" s="16"/>
      <c r="KW37" s="16"/>
      <c r="KX37" s="16"/>
      <c r="KY37" s="16"/>
      <c r="KZ37" s="16"/>
      <c r="LA37" s="16"/>
      <c r="LB37" s="16"/>
      <c r="LC37" s="16"/>
      <c r="LD37" s="16"/>
      <c r="LE37" s="16"/>
      <c r="LF37" s="16"/>
      <c r="LG37" s="16"/>
      <c r="LH37" s="16"/>
      <c r="LI37" s="16"/>
      <c r="LJ37" s="16"/>
      <c r="LK37" s="16"/>
      <c r="LL37" s="16"/>
      <c r="LM37" s="16"/>
      <c r="LN37" s="16"/>
      <c r="LO37" s="16"/>
      <c r="LP37" s="16"/>
      <c r="LQ37" s="16"/>
      <c r="LR37" s="16"/>
      <c r="LS37" s="16"/>
      <c r="LT37" s="16"/>
      <c r="LU37" s="16"/>
      <c r="LV37" s="16"/>
      <c r="LW37" s="16"/>
      <c r="LX37" s="16"/>
      <c r="LY37" s="16"/>
      <c r="LZ37" s="16"/>
      <c r="MA37" s="16"/>
      <c r="MB37" s="16"/>
      <c r="MC37" s="16"/>
      <c r="MD37" s="16"/>
      <c r="ME37" s="16"/>
      <c r="MF37" s="16"/>
      <c r="MG37" s="16"/>
      <c r="MH37" s="16"/>
      <c r="MI37" s="16"/>
      <c r="MJ37" s="16"/>
      <c r="MK37" s="16"/>
      <c r="ML37" s="16"/>
      <c r="MM37" s="16"/>
      <c r="MN37" s="16"/>
      <c r="MO37" s="16"/>
      <c r="MP37" s="16"/>
      <c r="MQ37" s="16"/>
      <c r="MR37" s="16"/>
      <c r="MS37" s="16"/>
      <c r="MT37" s="16"/>
      <c r="MU37" s="16"/>
      <c r="MV37" s="16"/>
      <c r="MW37" s="16"/>
      <c r="MX37" s="16"/>
      <c r="MY37" s="16"/>
      <c r="MZ37" s="16"/>
      <c r="NA37" s="16"/>
      <c r="NB37" s="16"/>
      <c r="NC37" s="16"/>
      <c r="ND37" s="16"/>
      <c r="NE37" s="16"/>
      <c r="NF37" s="16"/>
      <c r="NG37" s="16"/>
      <c r="NH37" s="5">
        <f t="shared" si="6"/>
        <v>0</v>
      </c>
      <c r="NI37" s="5">
        <f t="shared" si="7"/>
        <v>0</v>
      </c>
    </row>
    <row r="38" spans="1:373" x14ac:dyDescent="0.25">
      <c r="A38" s="6">
        <v>33</v>
      </c>
      <c r="B38" s="19"/>
      <c r="C38" s="20"/>
      <c r="D38" s="21"/>
      <c r="E38" s="10" t="s">
        <v>38</v>
      </c>
      <c r="F38" s="11"/>
      <c r="G38" s="12"/>
      <c r="H38" s="11"/>
      <c r="I38" s="12"/>
      <c r="J38" s="12"/>
      <c r="K38" s="13"/>
      <c r="L38" s="12"/>
      <c r="M38" s="12"/>
      <c r="N38" s="11"/>
      <c r="O38" s="11"/>
      <c r="P38" s="12"/>
      <c r="Q38" s="12"/>
      <c r="R38" s="13"/>
      <c r="S38" s="13"/>
      <c r="T38" s="12"/>
      <c r="U38" s="14"/>
      <c r="V38" s="11"/>
      <c r="W38" s="12"/>
      <c r="X38" s="12"/>
      <c r="Y38" s="13"/>
      <c r="Z38" s="12"/>
      <c r="AA38" s="12"/>
      <c r="AB38" s="12"/>
      <c r="AC38" s="12"/>
      <c r="AD38" s="12"/>
      <c r="AE38" s="12"/>
      <c r="AF38" s="13"/>
      <c r="AG38" s="12"/>
      <c r="AH38" s="12"/>
      <c r="AI38" s="12"/>
      <c r="AJ38" s="12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5">
        <f t="shared" si="6"/>
        <v>0</v>
      </c>
      <c r="NI38" s="5">
        <f t="shared" si="7"/>
        <v>0</v>
      </c>
    </row>
    <row r="39" spans="1:373" x14ac:dyDescent="0.25">
      <c r="A39" s="17">
        <v>34</v>
      </c>
      <c r="B39" s="19"/>
      <c r="C39" s="20"/>
      <c r="D39" s="21"/>
      <c r="E39" s="10" t="s">
        <v>38</v>
      </c>
      <c r="F39" s="11"/>
      <c r="G39" s="12"/>
      <c r="H39" s="11"/>
      <c r="I39" s="12"/>
      <c r="J39" s="12"/>
      <c r="K39" s="13"/>
      <c r="L39" s="12"/>
      <c r="M39" s="12"/>
      <c r="N39" s="11"/>
      <c r="O39" s="11"/>
      <c r="P39" s="12"/>
      <c r="Q39" s="12"/>
      <c r="R39" s="13"/>
      <c r="S39" s="13"/>
      <c r="T39" s="12"/>
      <c r="U39" s="14"/>
      <c r="V39" s="11"/>
      <c r="W39" s="12"/>
      <c r="X39" s="12"/>
      <c r="Y39" s="13"/>
      <c r="Z39" s="12"/>
      <c r="AA39" s="12"/>
      <c r="AB39" s="12"/>
      <c r="AC39" s="12"/>
      <c r="AD39" s="12"/>
      <c r="AE39" s="12"/>
      <c r="AF39" s="13"/>
      <c r="AG39" s="12"/>
      <c r="AH39" s="12"/>
      <c r="AI39" s="12"/>
      <c r="AJ39" s="12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5">
        <f t="shared" si="6"/>
        <v>0</v>
      </c>
      <c r="NI39" s="5">
        <f t="shared" si="7"/>
        <v>0</v>
      </c>
    </row>
    <row r="40" spans="1:373" x14ac:dyDescent="0.25">
      <c r="A40" s="6">
        <v>35</v>
      </c>
      <c r="B40" s="19"/>
      <c r="C40" s="20"/>
      <c r="D40" s="21"/>
      <c r="E40" s="10" t="s">
        <v>38</v>
      </c>
      <c r="F40" s="11"/>
      <c r="G40" s="12"/>
      <c r="H40" s="11"/>
      <c r="I40" s="12"/>
      <c r="J40" s="12"/>
      <c r="K40" s="13"/>
      <c r="L40" s="12"/>
      <c r="M40" s="12"/>
      <c r="N40" s="11"/>
      <c r="O40" s="11"/>
      <c r="P40" s="12"/>
      <c r="Q40" s="12"/>
      <c r="R40" s="13"/>
      <c r="S40" s="13"/>
      <c r="T40" s="12"/>
      <c r="U40" s="14"/>
      <c r="V40" s="11"/>
      <c r="W40" s="12"/>
      <c r="X40" s="12"/>
      <c r="Y40" s="13"/>
      <c r="Z40" s="12"/>
      <c r="AA40" s="12"/>
      <c r="AB40" s="12"/>
      <c r="AC40" s="12"/>
      <c r="AD40" s="12"/>
      <c r="AE40" s="12"/>
      <c r="AF40" s="13"/>
      <c r="AG40" s="12"/>
      <c r="AH40" s="12"/>
      <c r="AI40" s="12"/>
      <c r="AJ40" s="12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5">
        <f t="shared" si="6"/>
        <v>0</v>
      </c>
      <c r="NI40" s="5">
        <f t="shared" si="7"/>
        <v>0</v>
      </c>
    </row>
    <row r="41" spans="1:373" x14ac:dyDescent="0.25">
      <c r="A41" s="17">
        <v>36</v>
      </c>
      <c r="B41" s="19"/>
      <c r="C41" s="20"/>
      <c r="D41" s="21"/>
      <c r="E41" s="10" t="s">
        <v>38</v>
      </c>
      <c r="F41" s="11"/>
      <c r="G41" s="12"/>
      <c r="H41" s="11"/>
      <c r="I41" s="12"/>
      <c r="J41" s="12"/>
      <c r="K41" s="13"/>
      <c r="L41" s="12"/>
      <c r="M41" s="12"/>
      <c r="N41" s="11"/>
      <c r="O41" s="11"/>
      <c r="P41" s="12"/>
      <c r="Q41" s="12"/>
      <c r="R41" s="13"/>
      <c r="S41" s="13"/>
      <c r="T41" s="12"/>
      <c r="U41" s="14"/>
      <c r="V41" s="11"/>
      <c r="W41" s="12"/>
      <c r="X41" s="12"/>
      <c r="Y41" s="13"/>
      <c r="Z41" s="12"/>
      <c r="AA41" s="12"/>
      <c r="AB41" s="12"/>
      <c r="AC41" s="12"/>
      <c r="AD41" s="12"/>
      <c r="AE41" s="12"/>
      <c r="AF41" s="13"/>
      <c r="AG41" s="12"/>
      <c r="AH41" s="12"/>
      <c r="AI41" s="12"/>
      <c r="AJ41" s="12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KY41" s="16"/>
      <c r="KZ41" s="16"/>
      <c r="LA41" s="16"/>
      <c r="LB41" s="16"/>
      <c r="LC41" s="16"/>
      <c r="LD41" s="16"/>
      <c r="LE41" s="16"/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/>
      <c r="LQ41" s="16"/>
      <c r="LR41" s="16"/>
      <c r="LS41" s="16"/>
      <c r="LT41" s="16"/>
      <c r="LU41" s="16"/>
      <c r="LV41" s="16"/>
      <c r="LW41" s="16"/>
      <c r="LX41" s="16"/>
      <c r="LY41" s="16"/>
      <c r="LZ41" s="16"/>
      <c r="MA41" s="16"/>
      <c r="MB41" s="16"/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5">
        <f t="shared" si="6"/>
        <v>0</v>
      </c>
      <c r="NI41" s="5">
        <f t="shared" si="7"/>
        <v>0</v>
      </c>
    </row>
    <row r="42" spans="1:373" x14ac:dyDescent="0.25">
      <c r="A42" s="6">
        <v>37</v>
      </c>
      <c r="B42" s="19"/>
      <c r="C42" s="20"/>
      <c r="D42" s="21"/>
      <c r="E42" s="10" t="s">
        <v>38</v>
      </c>
      <c r="F42" s="11"/>
      <c r="G42" s="12"/>
      <c r="H42" s="11"/>
      <c r="I42" s="12"/>
      <c r="J42" s="12"/>
      <c r="K42" s="13"/>
      <c r="L42" s="12"/>
      <c r="M42" s="12"/>
      <c r="N42" s="11"/>
      <c r="O42" s="11"/>
      <c r="P42" s="12"/>
      <c r="Q42" s="12"/>
      <c r="R42" s="13"/>
      <c r="S42" s="13"/>
      <c r="T42" s="12"/>
      <c r="U42" s="14"/>
      <c r="V42" s="11"/>
      <c r="W42" s="12"/>
      <c r="X42" s="12"/>
      <c r="Y42" s="13"/>
      <c r="Z42" s="12"/>
      <c r="AA42" s="12"/>
      <c r="AB42" s="12"/>
      <c r="AC42" s="12"/>
      <c r="AD42" s="12"/>
      <c r="AE42" s="12"/>
      <c r="AF42" s="13"/>
      <c r="AG42" s="12"/>
      <c r="AH42" s="12"/>
      <c r="AI42" s="12"/>
      <c r="AJ42" s="12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5">
        <f t="shared" si="6"/>
        <v>0</v>
      </c>
      <c r="NI42" s="5">
        <f t="shared" si="7"/>
        <v>0</v>
      </c>
    </row>
    <row r="43" spans="1:373" x14ac:dyDescent="0.25">
      <c r="A43" s="17">
        <v>38</v>
      </c>
      <c r="B43" s="19"/>
      <c r="C43" s="20"/>
      <c r="D43" s="21"/>
      <c r="E43" s="10" t="s">
        <v>38</v>
      </c>
      <c r="F43" s="11"/>
      <c r="G43" s="12"/>
      <c r="H43" s="11"/>
      <c r="I43" s="12"/>
      <c r="J43" s="12"/>
      <c r="K43" s="13"/>
      <c r="L43" s="12"/>
      <c r="M43" s="12"/>
      <c r="N43" s="11"/>
      <c r="O43" s="11"/>
      <c r="P43" s="12"/>
      <c r="Q43" s="12"/>
      <c r="R43" s="13"/>
      <c r="S43" s="13"/>
      <c r="T43" s="12"/>
      <c r="U43" s="14"/>
      <c r="V43" s="11"/>
      <c r="W43" s="12"/>
      <c r="X43" s="12"/>
      <c r="Y43" s="13"/>
      <c r="Z43" s="12"/>
      <c r="AA43" s="12"/>
      <c r="AB43" s="12"/>
      <c r="AC43" s="12"/>
      <c r="AD43" s="12"/>
      <c r="AE43" s="12"/>
      <c r="AF43" s="13"/>
      <c r="AG43" s="12"/>
      <c r="AH43" s="12"/>
      <c r="AI43" s="12"/>
      <c r="AJ43" s="12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KY43" s="16"/>
      <c r="KZ43" s="16"/>
      <c r="LA43" s="16"/>
      <c r="LB43" s="16"/>
      <c r="LC43" s="16"/>
      <c r="LD43" s="16"/>
      <c r="LE43" s="16"/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/>
      <c r="LQ43" s="16"/>
      <c r="LR43" s="16"/>
      <c r="LS43" s="16"/>
      <c r="LT43" s="16"/>
      <c r="LU43" s="16"/>
      <c r="LV43" s="16"/>
      <c r="LW43" s="16"/>
      <c r="LX43" s="16"/>
      <c r="LY43" s="16"/>
      <c r="LZ43" s="16"/>
      <c r="MA43" s="16"/>
      <c r="MB43" s="16"/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5">
        <f t="shared" si="6"/>
        <v>0</v>
      </c>
      <c r="NI43" s="5">
        <f t="shared" si="7"/>
        <v>0</v>
      </c>
    </row>
    <row r="44" spans="1:373" x14ac:dyDescent="0.25">
      <c r="A44" s="28">
        <v>39</v>
      </c>
      <c r="B44" s="19"/>
      <c r="C44" s="20"/>
      <c r="D44" s="21"/>
      <c r="E44" s="10" t="s">
        <v>38</v>
      </c>
      <c r="F44" s="11"/>
      <c r="G44" s="12"/>
      <c r="H44" s="11"/>
      <c r="I44" s="12"/>
      <c r="J44" s="12"/>
      <c r="K44" s="29"/>
      <c r="L44" s="12"/>
      <c r="M44" s="12"/>
      <c r="N44" s="11"/>
      <c r="O44" s="11"/>
      <c r="P44" s="12"/>
      <c r="Q44" s="12"/>
      <c r="R44" s="13"/>
      <c r="S44" s="13"/>
      <c r="T44" s="12"/>
      <c r="U44" s="14"/>
      <c r="V44" s="11"/>
      <c r="W44" s="12"/>
      <c r="X44" s="12"/>
      <c r="Y44" s="29"/>
      <c r="Z44" s="12"/>
      <c r="AA44" s="12"/>
      <c r="AB44" s="12"/>
      <c r="AC44" s="12"/>
      <c r="AD44" s="12"/>
      <c r="AE44" s="12"/>
      <c r="AF44" s="29"/>
      <c r="AG44" s="12"/>
      <c r="AH44" s="12"/>
      <c r="AI44" s="12"/>
      <c r="AJ44" s="12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6"/>
      <c r="LD44" s="16"/>
      <c r="LE44" s="16"/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/>
      <c r="LQ44" s="16"/>
      <c r="LR44" s="16"/>
      <c r="LS44" s="16"/>
      <c r="LT44" s="16"/>
      <c r="LU44" s="16"/>
      <c r="LV44" s="16"/>
      <c r="LW44" s="16"/>
      <c r="LX44" s="16"/>
      <c r="LY44" s="16"/>
      <c r="LZ44" s="16"/>
      <c r="MA44" s="16"/>
      <c r="MB44" s="16"/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5">
        <f t="shared" si="6"/>
        <v>0</v>
      </c>
      <c r="NI44" s="5">
        <f t="shared" si="7"/>
        <v>0</v>
      </c>
    </row>
    <row r="45" spans="1:373" x14ac:dyDescent="0.25">
      <c r="A45" s="17">
        <v>40</v>
      </c>
      <c r="B45" s="19"/>
      <c r="C45" s="20"/>
      <c r="D45" s="21"/>
      <c r="E45" s="10" t="s">
        <v>38</v>
      </c>
      <c r="F45" s="16"/>
      <c r="G45" s="16"/>
      <c r="H45" s="16"/>
      <c r="I45" s="16"/>
      <c r="J45" s="16"/>
      <c r="K45" s="12"/>
      <c r="L45" s="12"/>
      <c r="M45" s="11"/>
      <c r="N45" s="11"/>
      <c r="O45" s="12"/>
      <c r="P45" s="12"/>
      <c r="Q45" s="12"/>
      <c r="R45" s="13"/>
      <c r="S45" s="13"/>
      <c r="T45" s="12"/>
      <c r="U45" s="12"/>
      <c r="V45" s="12"/>
      <c r="W45" s="12"/>
      <c r="X45" s="12"/>
      <c r="Y45" s="16"/>
      <c r="Z45" s="12"/>
      <c r="AA45" s="12"/>
      <c r="AB45" s="12"/>
      <c r="AC45" s="12"/>
      <c r="AD45" s="12"/>
      <c r="AE45" s="12"/>
      <c r="AF45" s="16"/>
      <c r="AG45" s="12"/>
      <c r="AH45" s="12"/>
      <c r="AI45" s="12"/>
      <c r="AJ45" s="12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5">
        <f t="shared" si="6"/>
        <v>0</v>
      </c>
      <c r="NI45" s="5">
        <f t="shared" si="7"/>
        <v>0</v>
      </c>
    </row>
    <row r="46" spans="1:373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0"/>
      <c r="IR46" s="30"/>
      <c r="IS46" s="30"/>
      <c r="IT46" s="30"/>
      <c r="IU46" s="30"/>
      <c r="IV46" s="30"/>
      <c r="IW46" s="30"/>
      <c r="IX46" s="30"/>
      <c r="IY46" s="30"/>
      <c r="IZ46" s="30"/>
      <c r="JA46" s="30"/>
      <c r="JB46" s="30"/>
      <c r="JC46" s="30"/>
      <c r="JD46" s="30"/>
      <c r="JE46" s="30"/>
      <c r="JF46" s="30"/>
      <c r="JG46" s="30"/>
      <c r="JH46" s="30"/>
      <c r="JI46" s="30"/>
      <c r="JJ46" s="30"/>
      <c r="JK46" s="30"/>
      <c r="JL46" s="30"/>
      <c r="JM46" s="30"/>
      <c r="JN46" s="30"/>
      <c r="JO46" s="30"/>
      <c r="JP46" s="30"/>
      <c r="JQ46" s="30"/>
      <c r="JR46" s="30"/>
      <c r="JS46" s="30"/>
      <c r="JT46" s="30"/>
      <c r="JU46" s="30"/>
      <c r="JV46" s="30"/>
      <c r="JW46" s="30"/>
      <c r="JX46" s="30"/>
      <c r="JY46" s="30"/>
      <c r="JZ46" s="30"/>
      <c r="KA46" s="30"/>
      <c r="KB46" s="30"/>
      <c r="KC46" s="30"/>
      <c r="KD46" s="30"/>
      <c r="KE46" s="30"/>
      <c r="KF46" s="30"/>
      <c r="KG46" s="30"/>
      <c r="KH46" s="30"/>
      <c r="KI46" s="30"/>
      <c r="KJ46" s="30"/>
      <c r="KK46" s="30"/>
      <c r="KL46" s="30"/>
      <c r="KM46" s="30"/>
      <c r="KN46" s="30"/>
      <c r="KO46" s="30"/>
      <c r="KP46" s="30"/>
      <c r="KQ46" s="30"/>
      <c r="KR46" s="30"/>
      <c r="KS46" s="30"/>
      <c r="KT46" s="30"/>
      <c r="KU46" s="30"/>
      <c r="KV46" s="30"/>
      <c r="KW46" s="30"/>
      <c r="KX46" s="30"/>
      <c r="KY46" s="30"/>
      <c r="KZ46" s="30"/>
      <c r="LA46" s="30"/>
      <c r="LB46" s="30"/>
      <c r="LC46" s="30"/>
      <c r="LD46" s="30"/>
      <c r="LE46" s="30"/>
      <c r="LF46" s="30"/>
      <c r="LG46" s="30"/>
      <c r="LH46" s="30"/>
      <c r="LI46" s="30"/>
      <c r="LJ46" s="30"/>
      <c r="LK46" s="30"/>
      <c r="LL46" s="30"/>
      <c r="LM46" s="30"/>
      <c r="LN46" s="30"/>
      <c r="LO46" s="30"/>
      <c r="LP46" s="30"/>
      <c r="LQ46" s="30"/>
      <c r="LR46" s="30"/>
      <c r="LS46" s="30"/>
      <c r="LT46" s="30"/>
      <c r="LU46" s="30"/>
      <c r="LV46" s="30"/>
      <c r="LW46" s="30"/>
      <c r="LX46" s="30"/>
      <c r="LY46" s="30"/>
      <c r="LZ46" s="30"/>
      <c r="MA46" s="30"/>
      <c r="MB46" s="30"/>
      <c r="MC46" s="30"/>
      <c r="MD46" s="30"/>
      <c r="ME46" s="30"/>
      <c r="MF46" s="30"/>
      <c r="MG46" s="30"/>
      <c r="MH46" s="30"/>
      <c r="MI46" s="30"/>
      <c r="MJ46" s="30"/>
      <c r="MK46" s="30"/>
      <c r="ML46" s="30"/>
      <c r="MM46" s="30"/>
      <c r="MN46" s="30"/>
      <c r="MO46" s="30"/>
      <c r="MP46" s="30"/>
      <c r="MQ46" s="30"/>
      <c r="MR46" s="30"/>
      <c r="MS46" s="30"/>
      <c r="MT46" s="30"/>
      <c r="MU46" s="30"/>
      <c r="MV46" s="30"/>
      <c r="MW46" s="30"/>
      <c r="MX46" s="30"/>
      <c r="MY46" s="30"/>
      <c r="MZ46" s="30"/>
      <c r="NA46" s="30"/>
      <c r="NB46" s="30"/>
      <c r="NC46" s="30"/>
      <c r="ND46" s="30"/>
      <c r="NE46" s="30"/>
      <c r="NF46" s="30"/>
      <c r="NG46" s="30"/>
      <c r="NH46" s="33">
        <f>SUM(NH6:NH45)</f>
        <v>0</v>
      </c>
      <c r="NI46" s="33">
        <f>SUM(NI6:NI45)</f>
        <v>0</v>
      </c>
    </row>
  </sheetData>
  <mergeCells count="13">
    <mergeCell ref="NH4:NH5"/>
    <mergeCell ref="NI4:NI5"/>
    <mergeCell ref="NJ4:NK4"/>
    <mergeCell ref="NJ9:NM9"/>
    <mergeCell ref="NJ17:NM17"/>
    <mergeCell ref="A1:AJ1"/>
    <mergeCell ref="A2:AJ2"/>
    <mergeCell ref="A3:AJ3"/>
    <mergeCell ref="A4:A5"/>
    <mergeCell ref="B4:B5"/>
    <mergeCell ref="C4:C5"/>
    <mergeCell ref="D4:D5"/>
    <mergeCell ref="E4:E5"/>
  </mergeCells>
  <conditionalFormatting sqref="F4:NG45 NJ5:NK5">
    <cfRule type="expression" dxfId="27" priority="12">
      <formula>F$4="Sun"</formula>
    </cfRule>
  </conditionalFormatting>
  <conditionalFormatting sqref="F5:NG45">
    <cfRule type="expression" dxfId="26" priority="11">
      <formula>IF(F$5=TODAY(),TRUE,FALSE)</formula>
    </cfRule>
  </conditionalFormatting>
  <conditionalFormatting sqref="NH4:NI4 NH6:NI46">
    <cfRule type="expression" dxfId="25" priority="13">
      <formula>#REF!="Sun"</formula>
    </cfRule>
  </conditionalFormatting>
  <conditionalFormatting sqref="NJ6:NJ7">
    <cfRule type="expression" dxfId="24" priority="9">
      <formula>NJ$4="Sun"</formula>
    </cfRule>
  </conditionalFormatting>
  <conditionalFormatting sqref="NJ10:NJ13">
    <cfRule type="expression" dxfId="23" priority="3">
      <formula>NJ$4="Sun"</formula>
    </cfRule>
  </conditionalFormatting>
  <conditionalFormatting sqref="NJ18:NJ21">
    <cfRule type="expression" dxfId="22" priority="2">
      <formula>NJ$4="Sun"</formula>
    </cfRule>
  </conditionalFormatting>
  <conditionalFormatting sqref="NK10:NM10">
    <cfRule type="expression" dxfId="21" priority="4">
      <formula>NK$4="Sun"</formula>
    </cfRule>
  </conditionalFormatting>
  <conditionalFormatting sqref="NK18:NM18">
    <cfRule type="expression" dxfId="20" priority="1">
      <formula>NK$4="Sun"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FE0C-EFF7-4054-8B20-22B5EF30D786}">
  <dimension ref="A1:NM46"/>
  <sheetViews>
    <sheetView workbookViewId="0">
      <selection activeCell="J7" sqref="J7"/>
    </sheetView>
  </sheetViews>
  <sheetFormatPr defaultColWidth="3.85546875" defaultRowHeight="15" x14ac:dyDescent="0.25"/>
  <cols>
    <col min="1" max="1" width="5.140625" style="1" bestFit="1" customWidth="1"/>
    <col min="2" max="2" width="3.5703125" style="1" bestFit="1" customWidth="1"/>
    <col min="3" max="3" width="13.85546875" style="1" bestFit="1" customWidth="1"/>
    <col min="4" max="4" width="12.42578125" style="1" bestFit="1" customWidth="1"/>
    <col min="5" max="5" width="5.42578125" style="1" bestFit="1" customWidth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bestFit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bestFit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6" width="4.7109375" style="1" bestFit="1" customWidth="1"/>
    <col min="37" max="37" width="3.85546875" style="1" bestFit="1" customWidth="1"/>
    <col min="38" max="39" width="3.7109375" style="1" bestFit="1" customWidth="1"/>
    <col min="40" max="40" width="3.85546875" style="1" bestFit="1" customWidth="1"/>
    <col min="41" max="41" width="4.5703125" style="1" bestFit="1" customWidth="1"/>
    <col min="42" max="42" width="3.85546875" style="1" bestFit="1" customWidth="1"/>
    <col min="43" max="43" width="4.7109375" style="1" bestFit="1" customWidth="1"/>
    <col min="44" max="44" width="3.85546875" style="1" bestFit="1" customWidth="1"/>
    <col min="45" max="46" width="3.7109375" style="1" bestFit="1" customWidth="1"/>
    <col min="47" max="47" width="3.85546875" style="1" bestFit="1" customWidth="1"/>
    <col min="48" max="48" width="4.5703125" style="1" bestFit="1" customWidth="1"/>
    <col min="49" max="49" width="3.85546875" style="1" bestFit="1" customWidth="1"/>
    <col min="50" max="50" width="4.7109375" style="1" bestFit="1" customWidth="1"/>
    <col min="51" max="51" width="3.85546875" style="1" bestFit="1" customWidth="1"/>
    <col min="52" max="53" width="3.7109375" style="1" bestFit="1" customWidth="1"/>
    <col min="54" max="54" width="3.85546875" style="1" bestFit="1" customWidth="1"/>
    <col min="55" max="55" width="4.5703125" style="1" bestFit="1" customWidth="1"/>
    <col min="56" max="56" width="3.85546875" style="1" bestFit="1" customWidth="1"/>
    <col min="57" max="57" width="4.7109375" style="1" bestFit="1" customWidth="1"/>
    <col min="58" max="58" width="3.85546875" style="1" bestFit="1" customWidth="1"/>
    <col min="59" max="60" width="3.7109375" style="1" bestFit="1" customWidth="1"/>
    <col min="61" max="61" width="3.85546875" style="1" bestFit="1" customWidth="1"/>
    <col min="62" max="62" width="4.5703125" style="1" bestFit="1" customWidth="1"/>
    <col min="63" max="63" width="3.85546875" style="1" bestFit="1" customWidth="1"/>
    <col min="64" max="64" width="4.7109375" style="1" bestFit="1" customWidth="1"/>
    <col min="65" max="65" width="3.85546875" style="1" bestFit="1" customWidth="1"/>
    <col min="66" max="67" width="3.7109375" style="1" bestFit="1" customWidth="1"/>
    <col min="68" max="68" width="3.85546875" style="1" bestFit="1" customWidth="1"/>
    <col min="69" max="69" width="4.5703125" style="1" bestFit="1" customWidth="1"/>
    <col min="70" max="70" width="3.85546875" style="1" bestFit="1" customWidth="1"/>
    <col min="71" max="71" width="4.7109375" style="1" bestFit="1" customWidth="1"/>
    <col min="72" max="72" width="3.85546875" style="1" bestFit="1" customWidth="1"/>
    <col min="73" max="74" width="3.7109375" style="1" bestFit="1" customWidth="1"/>
    <col min="75" max="75" width="3.85546875" style="1" bestFit="1" customWidth="1"/>
    <col min="76" max="76" width="4.5703125" style="1" bestFit="1" customWidth="1"/>
    <col min="77" max="77" width="3.85546875" style="1" bestFit="1" customWidth="1"/>
    <col min="78" max="78" width="4.7109375" style="1" bestFit="1" customWidth="1"/>
    <col min="79" max="79" width="3.85546875" style="1" bestFit="1" customWidth="1"/>
    <col min="80" max="81" width="3.7109375" style="1" bestFit="1" customWidth="1"/>
    <col min="82" max="82" width="3.85546875" style="1" bestFit="1" customWidth="1"/>
    <col min="83" max="83" width="4.5703125" style="1" bestFit="1" customWidth="1"/>
    <col min="84" max="84" width="3.85546875" style="1" bestFit="1" customWidth="1"/>
    <col min="85" max="85" width="4.7109375" style="1" bestFit="1" customWidth="1"/>
    <col min="86" max="86" width="3.85546875" style="1" bestFit="1" customWidth="1"/>
    <col min="87" max="88" width="3.7109375" style="1" bestFit="1" customWidth="1"/>
    <col min="89" max="89" width="3.85546875" style="1" bestFit="1" customWidth="1"/>
    <col min="90" max="90" width="4.5703125" style="1" bestFit="1" customWidth="1"/>
    <col min="91" max="91" width="3.85546875" style="1" bestFit="1" customWidth="1"/>
    <col min="92" max="92" width="4.7109375" style="1" bestFit="1" customWidth="1"/>
    <col min="93" max="93" width="3.85546875" style="1" bestFit="1" customWidth="1"/>
    <col min="94" max="95" width="3.7109375" style="1" bestFit="1" customWidth="1"/>
    <col min="96" max="96" width="3.85546875" style="1" bestFit="1" customWidth="1"/>
    <col min="97" max="97" width="4.5703125" style="1" bestFit="1" customWidth="1"/>
    <col min="98" max="98" width="3.85546875" style="1" bestFit="1" customWidth="1"/>
    <col min="99" max="99" width="4.7109375" style="1" bestFit="1" customWidth="1"/>
    <col min="100" max="100" width="3.85546875" style="1" bestFit="1" customWidth="1"/>
    <col min="101" max="102" width="3.7109375" style="1" bestFit="1" customWidth="1"/>
    <col min="103" max="103" width="3.85546875" style="1" bestFit="1" customWidth="1"/>
    <col min="104" max="104" width="4.5703125" style="1" bestFit="1" customWidth="1"/>
    <col min="105" max="105" width="3.85546875" style="1" bestFit="1" customWidth="1"/>
    <col min="106" max="106" width="4.7109375" style="1" bestFit="1" customWidth="1"/>
    <col min="107" max="107" width="3.85546875" style="1" bestFit="1" customWidth="1"/>
    <col min="108" max="109" width="3.7109375" style="1" bestFit="1" customWidth="1"/>
    <col min="110" max="110" width="3.85546875" style="1" bestFit="1" customWidth="1"/>
    <col min="111" max="111" width="4.5703125" style="1" bestFit="1" customWidth="1"/>
    <col min="112" max="112" width="3.85546875" style="1" bestFit="1" customWidth="1"/>
    <col min="113" max="113" width="4.7109375" style="1" bestFit="1" customWidth="1"/>
    <col min="114" max="114" width="3.85546875" style="1" bestFit="1" customWidth="1"/>
    <col min="115" max="116" width="3.7109375" style="1" bestFit="1" customWidth="1"/>
    <col min="117" max="117" width="3.85546875" style="1" bestFit="1" customWidth="1"/>
    <col min="118" max="118" width="4.5703125" style="1" bestFit="1" customWidth="1"/>
    <col min="119" max="119" width="3.85546875" style="1" bestFit="1" customWidth="1"/>
    <col min="120" max="120" width="4.7109375" style="1" bestFit="1" customWidth="1"/>
    <col min="121" max="121" width="3.85546875" style="1" bestFit="1" customWidth="1"/>
    <col min="122" max="123" width="3.7109375" style="1" bestFit="1" customWidth="1"/>
    <col min="124" max="124" width="3.85546875" style="1" bestFit="1" customWidth="1"/>
    <col min="125" max="125" width="4.5703125" style="1" bestFit="1" customWidth="1"/>
    <col min="126" max="126" width="3.85546875" style="1" bestFit="1" customWidth="1"/>
    <col min="127" max="127" width="4.7109375" style="1" bestFit="1" customWidth="1"/>
    <col min="128" max="128" width="3.85546875" style="1" bestFit="1" customWidth="1"/>
    <col min="129" max="130" width="3.7109375" style="1" bestFit="1" customWidth="1"/>
    <col min="131" max="131" width="3.85546875" style="1" bestFit="1" customWidth="1"/>
    <col min="132" max="132" width="4.5703125" style="1" bestFit="1" customWidth="1"/>
    <col min="133" max="133" width="3.85546875" style="1" bestFit="1" customWidth="1"/>
    <col min="134" max="134" width="4.7109375" style="1" bestFit="1" customWidth="1"/>
    <col min="135" max="135" width="3.85546875" style="1" bestFit="1" customWidth="1"/>
    <col min="136" max="137" width="3.7109375" style="1" bestFit="1" customWidth="1"/>
    <col min="138" max="138" width="3.85546875" style="1" bestFit="1" customWidth="1"/>
    <col min="139" max="139" width="4.5703125" style="1" bestFit="1" customWidth="1"/>
    <col min="140" max="140" width="3.85546875" style="1" bestFit="1" customWidth="1"/>
    <col min="141" max="141" width="4.7109375" style="1" bestFit="1" customWidth="1"/>
    <col min="142" max="142" width="3.85546875" style="1" bestFit="1" customWidth="1"/>
    <col min="143" max="144" width="3.7109375" style="1" bestFit="1" customWidth="1"/>
    <col min="145" max="145" width="3.85546875" style="1" bestFit="1" customWidth="1"/>
    <col min="146" max="146" width="4.5703125" style="1" bestFit="1" customWidth="1"/>
    <col min="147" max="147" width="3.85546875" style="1" bestFit="1" customWidth="1"/>
    <col min="148" max="148" width="4.7109375" style="1" bestFit="1" customWidth="1"/>
    <col min="149" max="149" width="3.85546875" style="1" bestFit="1" customWidth="1"/>
    <col min="150" max="151" width="3.7109375" style="1" bestFit="1" customWidth="1"/>
    <col min="152" max="152" width="3.85546875" style="1" bestFit="1" customWidth="1"/>
    <col min="153" max="153" width="4.5703125" style="1" bestFit="1" customWidth="1"/>
    <col min="154" max="154" width="3.85546875" style="1" bestFit="1" customWidth="1"/>
    <col min="155" max="155" width="4.7109375" style="1" bestFit="1" customWidth="1"/>
    <col min="156" max="156" width="3.85546875" style="1" bestFit="1" customWidth="1"/>
    <col min="157" max="158" width="3.7109375" style="1" bestFit="1" customWidth="1"/>
    <col min="159" max="159" width="3.85546875" style="1" bestFit="1" customWidth="1"/>
    <col min="160" max="160" width="4.5703125" style="1" bestFit="1" customWidth="1"/>
    <col min="161" max="161" width="3.85546875" style="1" bestFit="1" customWidth="1"/>
    <col min="162" max="162" width="4.7109375" style="1" bestFit="1" customWidth="1"/>
    <col min="163" max="163" width="3.85546875" style="1" bestFit="1" customWidth="1"/>
    <col min="164" max="165" width="3.7109375" style="1" bestFit="1" customWidth="1"/>
    <col min="166" max="166" width="3.85546875" style="1" bestFit="1" customWidth="1"/>
    <col min="167" max="167" width="4.5703125" style="1" bestFit="1" customWidth="1"/>
    <col min="168" max="168" width="3.85546875" style="1" bestFit="1" customWidth="1"/>
    <col min="169" max="169" width="4.7109375" style="1" bestFit="1" customWidth="1"/>
    <col min="170" max="170" width="3.85546875" style="1" bestFit="1" customWidth="1"/>
    <col min="171" max="172" width="3.7109375" style="1" bestFit="1" customWidth="1"/>
    <col min="173" max="173" width="3.85546875" style="1" bestFit="1" customWidth="1"/>
    <col min="174" max="174" width="4.5703125" style="1" bestFit="1" customWidth="1"/>
    <col min="175" max="175" width="3.85546875" style="1" bestFit="1" customWidth="1"/>
    <col min="176" max="176" width="4.7109375" style="1" bestFit="1" customWidth="1"/>
    <col min="177" max="177" width="3.85546875" style="1" bestFit="1" customWidth="1"/>
    <col min="178" max="179" width="3.7109375" style="1" bestFit="1" customWidth="1"/>
    <col min="180" max="180" width="3.85546875" style="1" bestFit="1" customWidth="1"/>
    <col min="181" max="181" width="4.5703125" style="1" bestFit="1" customWidth="1"/>
    <col min="182" max="182" width="3.85546875" style="1" bestFit="1" customWidth="1"/>
    <col min="183" max="183" width="4.7109375" style="1" bestFit="1" customWidth="1"/>
    <col min="184" max="184" width="3.85546875" style="1" bestFit="1" customWidth="1"/>
    <col min="185" max="186" width="3.7109375" style="1" bestFit="1" customWidth="1"/>
    <col min="187" max="187" width="3.85546875" style="1" bestFit="1" customWidth="1"/>
    <col min="188" max="188" width="4.5703125" style="1" bestFit="1" customWidth="1"/>
    <col min="189" max="189" width="3.85546875" style="1" bestFit="1" customWidth="1"/>
    <col min="190" max="190" width="4.7109375" style="1" bestFit="1" customWidth="1"/>
    <col min="191" max="191" width="3.85546875" style="1" bestFit="1" customWidth="1"/>
    <col min="192" max="193" width="3.7109375" style="1" bestFit="1" customWidth="1"/>
    <col min="194" max="194" width="3.85546875" style="1" bestFit="1" customWidth="1"/>
    <col min="195" max="195" width="4.5703125" style="1" bestFit="1" customWidth="1"/>
    <col min="196" max="196" width="3.85546875" style="1" bestFit="1" customWidth="1"/>
    <col min="197" max="197" width="4.7109375" style="1" bestFit="1" customWidth="1"/>
    <col min="198" max="198" width="3.85546875" style="1" bestFit="1" customWidth="1"/>
    <col min="199" max="200" width="3.7109375" style="1" bestFit="1" customWidth="1"/>
    <col min="201" max="201" width="3.85546875" style="1" bestFit="1" customWidth="1"/>
    <col min="202" max="202" width="4.5703125" style="1" bestFit="1" customWidth="1"/>
    <col min="203" max="203" width="3.85546875" style="1" bestFit="1" customWidth="1"/>
    <col min="204" max="204" width="4.7109375" style="1" bestFit="1" customWidth="1"/>
    <col min="205" max="205" width="3.85546875" style="1" bestFit="1" customWidth="1"/>
    <col min="206" max="207" width="3.7109375" style="1" bestFit="1" customWidth="1"/>
    <col min="208" max="208" width="3.85546875" style="1" bestFit="1" customWidth="1"/>
    <col min="209" max="209" width="4.5703125" style="1" bestFit="1" customWidth="1"/>
    <col min="210" max="210" width="3.85546875" style="1" bestFit="1" customWidth="1"/>
    <col min="211" max="211" width="4.7109375" style="1" bestFit="1" customWidth="1"/>
    <col min="212" max="212" width="3.85546875" style="1" bestFit="1" customWidth="1"/>
    <col min="213" max="214" width="3.7109375" style="1" bestFit="1" customWidth="1"/>
    <col min="215" max="215" width="3.85546875" style="1" bestFit="1" customWidth="1"/>
    <col min="216" max="216" width="4.5703125" style="1" bestFit="1" customWidth="1"/>
    <col min="217" max="217" width="3.85546875" style="1" bestFit="1" customWidth="1"/>
    <col min="218" max="218" width="4.7109375" style="1" bestFit="1" customWidth="1"/>
    <col min="219" max="219" width="3.85546875" style="1" bestFit="1" customWidth="1"/>
    <col min="220" max="221" width="3.7109375" style="1" bestFit="1" customWidth="1"/>
    <col min="222" max="222" width="3.85546875" style="1" bestFit="1" customWidth="1"/>
    <col min="223" max="223" width="4.5703125" style="1" bestFit="1" customWidth="1"/>
    <col min="224" max="224" width="3.85546875" style="1" bestFit="1" customWidth="1"/>
    <col min="225" max="225" width="4.7109375" style="1" bestFit="1" customWidth="1"/>
    <col min="226" max="226" width="3.85546875" style="1" bestFit="1" customWidth="1"/>
    <col min="227" max="228" width="3.7109375" style="1" bestFit="1" customWidth="1"/>
    <col min="229" max="229" width="3.85546875" style="1" bestFit="1" customWidth="1"/>
    <col min="230" max="230" width="4.5703125" style="1" bestFit="1" customWidth="1"/>
    <col min="231" max="231" width="3.85546875" style="1" bestFit="1" customWidth="1"/>
    <col min="232" max="232" width="4.7109375" style="1" bestFit="1" customWidth="1"/>
    <col min="233" max="233" width="3.85546875" style="1" bestFit="1" customWidth="1"/>
    <col min="234" max="235" width="3.7109375" style="1" bestFit="1" customWidth="1"/>
    <col min="236" max="236" width="3.85546875" style="1" bestFit="1" customWidth="1"/>
    <col min="237" max="237" width="4.5703125" style="1" bestFit="1" customWidth="1"/>
    <col min="238" max="238" width="3.85546875" style="1" bestFit="1" customWidth="1"/>
    <col min="239" max="239" width="4.7109375" style="1" bestFit="1" customWidth="1"/>
    <col min="240" max="240" width="3.85546875" style="1" bestFit="1" customWidth="1"/>
    <col min="241" max="242" width="3.7109375" style="1" bestFit="1" customWidth="1"/>
    <col min="243" max="243" width="3.85546875" style="1" bestFit="1" customWidth="1"/>
    <col min="244" max="244" width="4.5703125" style="1" bestFit="1" customWidth="1"/>
    <col min="245" max="245" width="3.85546875" style="1" bestFit="1" customWidth="1"/>
    <col min="246" max="246" width="4.7109375" style="1" bestFit="1" customWidth="1"/>
    <col min="247" max="247" width="3.85546875" style="1" bestFit="1" customWidth="1"/>
    <col min="248" max="249" width="3.7109375" style="1" bestFit="1" customWidth="1"/>
    <col min="250" max="250" width="3.85546875" style="1" bestFit="1" customWidth="1"/>
    <col min="251" max="251" width="4.5703125" style="1" bestFit="1" customWidth="1"/>
    <col min="252" max="252" width="3.85546875" style="1" bestFit="1" customWidth="1"/>
    <col min="253" max="253" width="4.7109375" style="1" bestFit="1" customWidth="1"/>
    <col min="254" max="254" width="3.85546875" style="1" bestFit="1" customWidth="1"/>
    <col min="255" max="256" width="3.7109375" style="1" bestFit="1" customWidth="1"/>
    <col min="257" max="257" width="3.85546875" style="1" bestFit="1" customWidth="1"/>
    <col min="258" max="258" width="4.5703125" style="1" bestFit="1" customWidth="1"/>
    <col min="259" max="259" width="3.85546875" style="1" bestFit="1" customWidth="1"/>
    <col min="260" max="260" width="4.7109375" style="1" bestFit="1" customWidth="1"/>
    <col min="261" max="261" width="3.85546875" style="1" bestFit="1" customWidth="1"/>
    <col min="262" max="263" width="3.7109375" style="1" bestFit="1" customWidth="1"/>
    <col min="264" max="264" width="3.85546875" style="1" bestFit="1" customWidth="1"/>
    <col min="265" max="265" width="4.5703125" style="1" bestFit="1" customWidth="1"/>
    <col min="266" max="266" width="3.85546875" style="1" bestFit="1" customWidth="1"/>
    <col min="267" max="267" width="4.7109375" style="1" bestFit="1" customWidth="1"/>
    <col min="268" max="268" width="3.85546875" style="1" bestFit="1" customWidth="1"/>
    <col min="269" max="270" width="3.7109375" style="1" bestFit="1" customWidth="1"/>
    <col min="271" max="271" width="3.85546875" style="1" bestFit="1" customWidth="1"/>
    <col min="272" max="272" width="4.5703125" style="1" bestFit="1" customWidth="1"/>
    <col min="273" max="273" width="3.85546875" style="1" bestFit="1" customWidth="1"/>
    <col min="274" max="274" width="4.7109375" style="1" bestFit="1" customWidth="1"/>
    <col min="275" max="275" width="3.85546875" style="1" bestFit="1" customWidth="1"/>
    <col min="276" max="277" width="3.7109375" style="1" bestFit="1" customWidth="1"/>
    <col min="278" max="278" width="3.85546875" style="1" bestFit="1" customWidth="1"/>
    <col min="279" max="279" width="4.5703125" style="1" bestFit="1" customWidth="1"/>
    <col min="280" max="280" width="3.85546875" style="1" bestFit="1" customWidth="1"/>
    <col min="281" max="281" width="4.7109375" style="1" bestFit="1" customWidth="1"/>
    <col min="282" max="282" width="3.85546875" style="1" bestFit="1" customWidth="1"/>
    <col min="283" max="284" width="3.7109375" style="1" bestFit="1" customWidth="1"/>
    <col min="285" max="285" width="3.85546875" style="1" bestFit="1" customWidth="1"/>
    <col min="286" max="286" width="4.5703125" style="1" bestFit="1" customWidth="1"/>
    <col min="287" max="287" width="3.85546875" style="1" bestFit="1" customWidth="1"/>
    <col min="288" max="288" width="4.7109375" style="1" bestFit="1" customWidth="1"/>
    <col min="289" max="289" width="3.85546875" style="1" bestFit="1" customWidth="1"/>
    <col min="290" max="291" width="3.7109375" style="1" bestFit="1" customWidth="1"/>
    <col min="292" max="292" width="3.85546875" style="1" bestFit="1" customWidth="1"/>
    <col min="293" max="293" width="4.5703125" style="1" bestFit="1" customWidth="1"/>
    <col min="294" max="294" width="3.85546875" style="1" bestFit="1" customWidth="1"/>
    <col min="295" max="295" width="4.7109375" style="1" bestFit="1" customWidth="1"/>
    <col min="296" max="296" width="3.85546875" style="1" bestFit="1" customWidth="1"/>
    <col min="297" max="298" width="3.7109375" style="1" bestFit="1" customWidth="1"/>
    <col min="299" max="299" width="3.85546875" style="1" bestFit="1" customWidth="1"/>
    <col min="300" max="300" width="4.5703125" style="1" bestFit="1" customWidth="1"/>
    <col min="301" max="301" width="3.85546875" style="1" bestFit="1" customWidth="1"/>
    <col min="302" max="302" width="4.7109375" style="1" bestFit="1" customWidth="1"/>
    <col min="303" max="303" width="3.85546875" style="1" bestFit="1" customWidth="1"/>
    <col min="304" max="305" width="3.7109375" style="1" bestFit="1" customWidth="1"/>
    <col min="306" max="306" width="3.85546875" style="1" bestFit="1" customWidth="1"/>
    <col min="307" max="307" width="4.5703125" style="1" bestFit="1" customWidth="1"/>
    <col min="308" max="308" width="3.85546875" style="1" bestFit="1" customWidth="1"/>
    <col min="309" max="309" width="4.7109375" style="1" bestFit="1" customWidth="1"/>
    <col min="310" max="310" width="3.85546875" style="1" bestFit="1" customWidth="1"/>
    <col min="311" max="312" width="3.7109375" style="1" bestFit="1" customWidth="1"/>
    <col min="313" max="313" width="3.85546875" style="1" bestFit="1" customWidth="1"/>
    <col min="314" max="314" width="4.5703125" style="1" bestFit="1" customWidth="1"/>
    <col min="315" max="315" width="3.85546875" style="1" bestFit="1" customWidth="1"/>
    <col min="316" max="316" width="4.7109375" style="1" bestFit="1" customWidth="1"/>
    <col min="317" max="317" width="3.85546875" style="1" bestFit="1" customWidth="1"/>
    <col min="318" max="319" width="3.7109375" style="1" bestFit="1" customWidth="1"/>
    <col min="320" max="320" width="3.85546875" style="1" bestFit="1" customWidth="1"/>
    <col min="321" max="321" width="4.5703125" style="1" bestFit="1" customWidth="1"/>
    <col min="322" max="322" width="3.85546875" style="1" bestFit="1" customWidth="1"/>
    <col min="323" max="323" width="4.7109375" style="1" bestFit="1" customWidth="1"/>
    <col min="324" max="324" width="3.85546875" style="1" bestFit="1" customWidth="1"/>
    <col min="325" max="326" width="3.7109375" style="1" bestFit="1" customWidth="1"/>
    <col min="327" max="327" width="3.85546875" style="1" bestFit="1" customWidth="1"/>
    <col min="328" max="328" width="4.5703125" style="1" bestFit="1" customWidth="1"/>
    <col min="329" max="329" width="3.85546875" style="1" bestFit="1" customWidth="1"/>
    <col min="330" max="330" width="4.7109375" style="1" bestFit="1" customWidth="1"/>
    <col min="331" max="331" width="3.85546875" style="1" bestFit="1" customWidth="1"/>
    <col min="332" max="333" width="3.7109375" style="1" bestFit="1" customWidth="1"/>
    <col min="334" max="334" width="3.85546875" style="1" bestFit="1" customWidth="1"/>
    <col min="335" max="335" width="4.5703125" style="1" bestFit="1" customWidth="1"/>
    <col min="336" max="336" width="3.85546875" style="1" bestFit="1" customWidth="1"/>
    <col min="337" max="337" width="4.7109375" style="1" bestFit="1" customWidth="1"/>
    <col min="338" max="338" width="3.85546875" style="1" bestFit="1" customWidth="1"/>
    <col min="339" max="340" width="3.7109375" style="1" bestFit="1" customWidth="1"/>
    <col min="341" max="341" width="3.85546875" style="1" bestFit="1" customWidth="1"/>
    <col min="342" max="342" width="4.5703125" style="1" bestFit="1" customWidth="1"/>
    <col min="343" max="343" width="3.85546875" style="1" bestFit="1" customWidth="1"/>
    <col min="344" max="344" width="4.7109375" style="1" bestFit="1" customWidth="1"/>
    <col min="345" max="345" width="3.85546875" style="1" bestFit="1" customWidth="1"/>
    <col min="346" max="347" width="3.7109375" style="1" bestFit="1" customWidth="1"/>
    <col min="348" max="348" width="3.85546875" style="1" bestFit="1" customWidth="1"/>
    <col min="349" max="349" width="4.5703125" style="1" bestFit="1" customWidth="1"/>
    <col min="350" max="350" width="3.85546875" style="1" bestFit="1" customWidth="1"/>
    <col min="351" max="351" width="4.7109375" style="1" bestFit="1" customWidth="1"/>
    <col min="352" max="352" width="3.85546875" style="1" bestFit="1" customWidth="1"/>
    <col min="353" max="354" width="3.7109375" style="1" bestFit="1" customWidth="1"/>
    <col min="355" max="355" width="3.85546875" style="1" bestFit="1" customWidth="1"/>
    <col min="356" max="356" width="4.5703125" style="1" bestFit="1" customWidth="1"/>
    <col min="357" max="357" width="3.85546875" style="1" bestFit="1" customWidth="1"/>
    <col min="358" max="358" width="4.7109375" style="1" bestFit="1" customWidth="1"/>
    <col min="359" max="359" width="3.85546875" style="1" bestFit="1" customWidth="1"/>
    <col min="360" max="361" width="3.7109375" style="1" bestFit="1" customWidth="1"/>
    <col min="362" max="362" width="3.85546875" style="1" bestFit="1" customWidth="1"/>
    <col min="363" max="363" width="4.5703125" style="1" bestFit="1" customWidth="1"/>
    <col min="364" max="364" width="3.85546875" style="1" bestFit="1" customWidth="1"/>
    <col min="365" max="365" width="4.7109375" style="1" bestFit="1" customWidth="1"/>
    <col min="366" max="366" width="3.85546875" style="1" bestFit="1" customWidth="1"/>
    <col min="367" max="368" width="3.7109375" style="1" bestFit="1" customWidth="1"/>
    <col min="369" max="369" width="3.85546875" style="1" bestFit="1" customWidth="1"/>
    <col min="370" max="370" width="4.5703125" style="1" bestFit="1" customWidth="1"/>
    <col min="371" max="371" width="3.85546875" style="1" bestFit="1" customWidth="1"/>
    <col min="372" max="373" width="6.7109375" style="1" bestFit="1" customWidth="1"/>
    <col min="374" max="374" width="18.5703125" style="1" bestFit="1" customWidth="1"/>
    <col min="375" max="375" width="5.85546875" style="1" bestFit="1" customWidth="1"/>
    <col min="376" max="376" width="14.28515625" style="1" bestFit="1" customWidth="1"/>
    <col min="377" max="377" width="6.7109375" style="1" bestFit="1" customWidth="1"/>
    <col min="378" max="16384" width="3.85546875" style="1"/>
  </cols>
  <sheetData>
    <row r="1" spans="1:377" ht="17.25" x14ac:dyDescent="0.3">
      <c r="A1" s="100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</row>
    <row r="2" spans="1:377" ht="17.25" x14ac:dyDescent="0.25">
      <c r="A2" s="101" t="s">
        <v>48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</row>
    <row r="3" spans="1:377" ht="17.25" x14ac:dyDescent="0.3">
      <c r="A3" s="100" t="s">
        <v>47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</row>
    <row r="4" spans="1:377" ht="15.75" x14ac:dyDescent="0.25">
      <c r="A4" s="106" t="s">
        <v>0</v>
      </c>
      <c r="B4" s="106" t="s">
        <v>1</v>
      </c>
      <c r="C4" s="106" t="s">
        <v>2</v>
      </c>
      <c r="D4" s="106" t="s">
        <v>3</v>
      </c>
      <c r="E4" s="106" t="s">
        <v>4</v>
      </c>
      <c r="F4" s="2" t="str">
        <f>TEXT(F5,"ddd")</f>
        <v>Mon</v>
      </c>
      <c r="G4" s="2" t="str">
        <f t="shared" ref="G4:BR4" si="0">TEXT(G5,"ddd")</f>
        <v>Tue</v>
      </c>
      <c r="H4" s="2" t="str">
        <f t="shared" si="0"/>
        <v>Wed</v>
      </c>
      <c r="I4" s="2" t="str">
        <f t="shared" si="0"/>
        <v>Thu</v>
      </c>
      <c r="J4" s="2" t="str">
        <f t="shared" si="0"/>
        <v>Fri</v>
      </c>
      <c r="K4" s="2" t="str">
        <f t="shared" si="0"/>
        <v>Sat</v>
      </c>
      <c r="L4" s="2" t="str">
        <f t="shared" si="0"/>
        <v>Sun</v>
      </c>
      <c r="M4" s="2" t="str">
        <f t="shared" si="0"/>
        <v>Mon</v>
      </c>
      <c r="N4" s="2" t="str">
        <f t="shared" si="0"/>
        <v>Tue</v>
      </c>
      <c r="O4" s="2" t="str">
        <f t="shared" si="0"/>
        <v>Wed</v>
      </c>
      <c r="P4" s="2" t="str">
        <f t="shared" si="0"/>
        <v>Thu</v>
      </c>
      <c r="Q4" s="2" t="str">
        <f t="shared" si="0"/>
        <v>Fri</v>
      </c>
      <c r="R4" s="2" t="str">
        <f t="shared" si="0"/>
        <v>Sat</v>
      </c>
      <c r="S4" s="2" t="str">
        <f t="shared" si="0"/>
        <v>Sun</v>
      </c>
      <c r="T4" s="2" t="str">
        <f t="shared" si="0"/>
        <v>Mon</v>
      </c>
      <c r="U4" s="2" t="str">
        <f t="shared" si="0"/>
        <v>Tue</v>
      </c>
      <c r="V4" s="2" t="str">
        <f t="shared" si="0"/>
        <v>Wed</v>
      </c>
      <c r="W4" s="2" t="str">
        <f t="shared" si="0"/>
        <v>Thu</v>
      </c>
      <c r="X4" s="2" t="str">
        <f t="shared" si="0"/>
        <v>Fri</v>
      </c>
      <c r="Y4" s="2" t="str">
        <f t="shared" si="0"/>
        <v>Sat</v>
      </c>
      <c r="Z4" s="2" t="str">
        <f t="shared" si="0"/>
        <v>Sun</v>
      </c>
      <c r="AA4" s="2" t="str">
        <f t="shared" si="0"/>
        <v>Mon</v>
      </c>
      <c r="AB4" s="2" t="str">
        <f t="shared" si="0"/>
        <v>Tue</v>
      </c>
      <c r="AC4" s="2" t="str">
        <f t="shared" si="0"/>
        <v>Wed</v>
      </c>
      <c r="AD4" s="2" t="str">
        <f t="shared" si="0"/>
        <v>Thu</v>
      </c>
      <c r="AE4" s="2" t="str">
        <f t="shared" si="0"/>
        <v>Fri</v>
      </c>
      <c r="AF4" s="2" t="str">
        <f t="shared" si="0"/>
        <v>Sat</v>
      </c>
      <c r="AG4" s="2" t="str">
        <f t="shared" si="0"/>
        <v>Sun</v>
      </c>
      <c r="AH4" s="2" t="str">
        <f t="shared" si="0"/>
        <v>Mon</v>
      </c>
      <c r="AI4" s="2" t="str">
        <f t="shared" si="0"/>
        <v>Tue</v>
      </c>
      <c r="AJ4" s="2" t="str">
        <f t="shared" si="0"/>
        <v>Wed</v>
      </c>
      <c r="AK4" s="2" t="str">
        <f t="shared" si="0"/>
        <v>Thu</v>
      </c>
      <c r="AL4" s="2" t="str">
        <f t="shared" si="0"/>
        <v>Fri</v>
      </c>
      <c r="AM4" s="2" t="str">
        <f t="shared" si="0"/>
        <v>Sat</v>
      </c>
      <c r="AN4" s="2" t="str">
        <f t="shared" si="0"/>
        <v>Sun</v>
      </c>
      <c r="AO4" s="2" t="str">
        <f t="shared" si="0"/>
        <v>Mon</v>
      </c>
      <c r="AP4" s="2" t="str">
        <f t="shared" si="0"/>
        <v>Tue</v>
      </c>
      <c r="AQ4" s="2" t="str">
        <f t="shared" si="0"/>
        <v>Wed</v>
      </c>
      <c r="AR4" s="2" t="str">
        <f t="shared" si="0"/>
        <v>Thu</v>
      </c>
      <c r="AS4" s="2" t="str">
        <f t="shared" si="0"/>
        <v>Fri</v>
      </c>
      <c r="AT4" s="2" t="str">
        <f t="shared" si="0"/>
        <v>Sat</v>
      </c>
      <c r="AU4" s="2" t="str">
        <f t="shared" si="0"/>
        <v>Sun</v>
      </c>
      <c r="AV4" s="2" t="str">
        <f t="shared" si="0"/>
        <v>Mon</v>
      </c>
      <c r="AW4" s="2" t="str">
        <f t="shared" si="0"/>
        <v>Tue</v>
      </c>
      <c r="AX4" s="2" t="str">
        <f t="shared" si="0"/>
        <v>Wed</v>
      </c>
      <c r="AY4" s="2" t="str">
        <f t="shared" si="0"/>
        <v>Thu</v>
      </c>
      <c r="AZ4" s="2" t="str">
        <f t="shared" si="0"/>
        <v>Fri</v>
      </c>
      <c r="BA4" s="2" t="str">
        <f t="shared" si="0"/>
        <v>Sat</v>
      </c>
      <c r="BB4" s="2" t="str">
        <f t="shared" si="0"/>
        <v>Sun</v>
      </c>
      <c r="BC4" s="2" t="str">
        <f t="shared" si="0"/>
        <v>Mon</v>
      </c>
      <c r="BD4" s="2" t="str">
        <f t="shared" si="0"/>
        <v>Tue</v>
      </c>
      <c r="BE4" s="2" t="str">
        <f t="shared" si="0"/>
        <v>Wed</v>
      </c>
      <c r="BF4" s="2" t="str">
        <f t="shared" si="0"/>
        <v>Thu</v>
      </c>
      <c r="BG4" s="2" t="str">
        <f t="shared" si="0"/>
        <v>Fri</v>
      </c>
      <c r="BH4" s="2" t="str">
        <f t="shared" si="0"/>
        <v>Sat</v>
      </c>
      <c r="BI4" s="2" t="str">
        <f t="shared" si="0"/>
        <v>Sun</v>
      </c>
      <c r="BJ4" s="2" t="str">
        <f t="shared" si="0"/>
        <v>Mon</v>
      </c>
      <c r="BK4" s="2" t="str">
        <f t="shared" si="0"/>
        <v>Tue</v>
      </c>
      <c r="BL4" s="2" t="str">
        <f t="shared" si="0"/>
        <v>Wed</v>
      </c>
      <c r="BM4" s="2" t="str">
        <f t="shared" si="0"/>
        <v>Thu</v>
      </c>
      <c r="BN4" s="2" t="str">
        <f t="shared" si="0"/>
        <v>Fri</v>
      </c>
      <c r="BO4" s="2" t="str">
        <f t="shared" si="0"/>
        <v>Sat</v>
      </c>
      <c r="BP4" s="2" t="str">
        <f t="shared" si="0"/>
        <v>Sun</v>
      </c>
      <c r="BQ4" s="2" t="str">
        <f t="shared" si="0"/>
        <v>Mon</v>
      </c>
      <c r="BR4" s="2" t="str">
        <f t="shared" si="0"/>
        <v>Tue</v>
      </c>
      <c r="BS4" s="2" t="str">
        <f t="shared" ref="BS4:ED4" si="1">TEXT(BS5,"ddd")</f>
        <v>Wed</v>
      </c>
      <c r="BT4" s="2" t="str">
        <f t="shared" si="1"/>
        <v>Thu</v>
      </c>
      <c r="BU4" s="2" t="str">
        <f t="shared" si="1"/>
        <v>Fri</v>
      </c>
      <c r="BV4" s="2" t="str">
        <f t="shared" si="1"/>
        <v>Sat</v>
      </c>
      <c r="BW4" s="2" t="str">
        <f t="shared" si="1"/>
        <v>Sun</v>
      </c>
      <c r="BX4" s="2" t="str">
        <f t="shared" si="1"/>
        <v>Mon</v>
      </c>
      <c r="BY4" s="2" t="str">
        <f t="shared" si="1"/>
        <v>Tue</v>
      </c>
      <c r="BZ4" s="2" t="str">
        <f t="shared" si="1"/>
        <v>Wed</v>
      </c>
      <c r="CA4" s="2" t="str">
        <f t="shared" si="1"/>
        <v>Thu</v>
      </c>
      <c r="CB4" s="2" t="str">
        <f t="shared" si="1"/>
        <v>Fri</v>
      </c>
      <c r="CC4" s="2" t="str">
        <f t="shared" si="1"/>
        <v>Sat</v>
      </c>
      <c r="CD4" s="2" t="str">
        <f t="shared" si="1"/>
        <v>Sun</v>
      </c>
      <c r="CE4" s="2" t="str">
        <f t="shared" si="1"/>
        <v>Mon</v>
      </c>
      <c r="CF4" s="2" t="str">
        <f t="shared" si="1"/>
        <v>Tue</v>
      </c>
      <c r="CG4" s="2" t="str">
        <f t="shared" si="1"/>
        <v>Wed</v>
      </c>
      <c r="CH4" s="2" t="str">
        <f t="shared" si="1"/>
        <v>Thu</v>
      </c>
      <c r="CI4" s="2" t="str">
        <f t="shared" si="1"/>
        <v>Fri</v>
      </c>
      <c r="CJ4" s="2" t="str">
        <f t="shared" si="1"/>
        <v>Sat</v>
      </c>
      <c r="CK4" s="2" t="str">
        <f t="shared" si="1"/>
        <v>Sun</v>
      </c>
      <c r="CL4" s="2" t="str">
        <f t="shared" si="1"/>
        <v>Mon</v>
      </c>
      <c r="CM4" s="2" t="str">
        <f t="shared" si="1"/>
        <v>Tue</v>
      </c>
      <c r="CN4" s="2" t="str">
        <f t="shared" si="1"/>
        <v>Wed</v>
      </c>
      <c r="CO4" s="2" t="str">
        <f t="shared" si="1"/>
        <v>Thu</v>
      </c>
      <c r="CP4" s="2" t="str">
        <f t="shared" si="1"/>
        <v>Fri</v>
      </c>
      <c r="CQ4" s="2" t="str">
        <f t="shared" si="1"/>
        <v>Sat</v>
      </c>
      <c r="CR4" s="2" t="str">
        <f t="shared" si="1"/>
        <v>Sun</v>
      </c>
      <c r="CS4" s="2" t="str">
        <f t="shared" si="1"/>
        <v>Mon</v>
      </c>
      <c r="CT4" s="2" t="str">
        <f t="shared" si="1"/>
        <v>Tue</v>
      </c>
      <c r="CU4" s="2" t="str">
        <f t="shared" si="1"/>
        <v>Wed</v>
      </c>
      <c r="CV4" s="2" t="str">
        <f t="shared" si="1"/>
        <v>Thu</v>
      </c>
      <c r="CW4" s="2" t="str">
        <f t="shared" si="1"/>
        <v>Fri</v>
      </c>
      <c r="CX4" s="2" t="str">
        <f t="shared" si="1"/>
        <v>Sat</v>
      </c>
      <c r="CY4" s="2" t="str">
        <f t="shared" si="1"/>
        <v>Sun</v>
      </c>
      <c r="CZ4" s="2" t="str">
        <f t="shared" si="1"/>
        <v>Mon</v>
      </c>
      <c r="DA4" s="2" t="str">
        <f t="shared" si="1"/>
        <v>Tue</v>
      </c>
      <c r="DB4" s="2" t="str">
        <f t="shared" si="1"/>
        <v>Wed</v>
      </c>
      <c r="DC4" s="2" t="str">
        <f t="shared" si="1"/>
        <v>Thu</v>
      </c>
      <c r="DD4" s="2" t="str">
        <f t="shared" si="1"/>
        <v>Fri</v>
      </c>
      <c r="DE4" s="2" t="str">
        <f t="shared" si="1"/>
        <v>Sat</v>
      </c>
      <c r="DF4" s="2" t="str">
        <f t="shared" si="1"/>
        <v>Sun</v>
      </c>
      <c r="DG4" s="2" t="str">
        <f t="shared" si="1"/>
        <v>Mon</v>
      </c>
      <c r="DH4" s="2" t="str">
        <f t="shared" si="1"/>
        <v>Tue</v>
      </c>
      <c r="DI4" s="2" t="str">
        <f t="shared" si="1"/>
        <v>Wed</v>
      </c>
      <c r="DJ4" s="2" t="str">
        <f t="shared" si="1"/>
        <v>Thu</v>
      </c>
      <c r="DK4" s="2" t="str">
        <f t="shared" si="1"/>
        <v>Fri</v>
      </c>
      <c r="DL4" s="2" t="str">
        <f t="shared" si="1"/>
        <v>Sat</v>
      </c>
      <c r="DM4" s="2" t="str">
        <f t="shared" si="1"/>
        <v>Sun</v>
      </c>
      <c r="DN4" s="2" t="str">
        <f t="shared" si="1"/>
        <v>Mon</v>
      </c>
      <c r="DO4" s="2" t="str">
        <f t="shared" si="1"/>
        <v>Tue</v>
      </c>
      <c r="DP4" s="2" t="str">
        <f t="shared" si="1"/>
        <v>Wed</v>
      </c>
      <c r="DQ4" s="2" t="str">
        <f t="shared" si="1"/>
        <v>Thu</v>
      </c>
      <c r="DR4" s="2" t="str">
        <f t="shared" si="1"/>
        <v>Fri</v>
      </c>
      <c r="DS4" s="2" t="str">
        <f t="shared" si="1"/>
        <v>Sat</v>
      </c>
      <c r="DT4" s="2" t="str">
        <f t="shared" si="1"/>
        <v>Sun</v>
      </c>
      <c r="DU4" s="2" t="str">
        <f t="shared" si="1"/>
        <v>Mon</v>
      </c>
      <c r="DV4" s="2" t="str">
        <f t="shared" si="1"/>
        <v>Tue</v>
      </c>
      <c r="DW4" s="2" t="str">
        <f t="shared" si="1"/>
        <v>Wed</v>
      </c>
      <c r="DX4" s="2" t="str">
        <f t="shared" si="1"/>
        <v>Thu</v>
      </c>
      <c r="DY4" s="2" t="str">
        <f t="shared" si="1"/>
        <v>Fri</v>
      </c>
      <c r="DZ4" s="2" t="str">
        <f t="shared" si="1"/>
        <v>Sat</v>
      </c>
      <c r="EA4" s="2" t="str">
        <f t="shared" si="1"/>
        <v>Sun</v>
      </c>
      <c r="EB4" s="2" t="str">
        <f t="shared" si="1"/>
        <v>Mon</v>
      </c>
      <c r="EC4" s="2" t="str">
        <f t="shared" si="1"/>
        <v>Tue</v>
      </c>
      <c r="ED4" s="2" t="str">
        <f t="shared" si="1"/>
        <v>Wed</v>
      </c>
      <c r="EE4" s="2" t="str">
        <f t="shared" ref="EE4:GP4" si="2">TEXT(EE5,"ddd")</f>
        <v>Thu</v>
      </c>
      <c r="EF4" s="2" t="str">
        <f t="shared" si="2"/>
        <v>Fri</v>
      </c>
      <c r="EG4" s="2" t="str">
        <f t="shared" si="2"/>
        <v>Sat</v>
      </c>
      <c r="EH4" s="2" t="str">
        <f t="shared" si="2"/>
        <v>Sun</v>
      </c>
      <c r="EI4" s="2" t="str">
        <f t="shared" si="2"/>
        <v>Mon</v>
      </c>
      <c r="EJ4" s="2" t="str">
        <f t="shared" si="2"/>
        <v>Tue</v>
      </c>
      <c r="EK4" s="2" t="str">
        <f t="shared" si="2"/>
        <v>Wed</v>
      </c>
      <c r="EL4" s="2" t="str">
        <f t="shared" si="2"/>
        <v>Thu</v>
      </c>
      <c r="EM4" s="2" t="str">
        <f t="shared" si="2"/>
        <v>Fri</v>
      </c>
      <c r="EN4" s="2" t="str">
        <f t="shared" si="2"/>
        <v>Sat</v>
      </c>
      <c r="EO4" s="2" t="str">
        <f t="shared" si="2"/>
        <v>Sun</v>
      </c>
      <c r="EP4" s="2" t="str">
        <f t="shared" si="2"/>
        <v>Mon</v>
      </c>
      <c r="EQ4" s="2" t="str">
        <f t="shared" si="2"/>
        <v>Tue</v>
      </c>
      <c r="ER4" s="2" t="str">
        <f t="shared" si="2"/>
        <v>Wed</v>
      </c>
      <c r="ES4" s="2" t="str">
        <f t="shared" si="2"/>
        <v>Thu</v>
      </c>
      <c r="ET4" s="2" t="str">
        <f t="shared" si="2"/>
        <v>Fri</v>
      </c>
      <c r="EU4" s="2" t="str">
        <f t="shared" si="2"/>
        <v>Sat</v>
      </c>
      <c r="EV4" s="2" t="str">
        <f t="shared" si="2"/>
        <v>Sun</v>
      </c>
      <c r="EW4" s="2" t="str">
        <f t="shared" si="2"/>
        <v>Mon</v>
      </c>
      <c r="EX4" s="2" t="str">
        <f t="shared" si="2"/>
        <v>Tue</v>
      </c>
      <c r="EY4" s="2" t="str">
        <f t="shared" si="2"/>
        <v>Wed</v>
      </c>
      <c r="EZ4" s="2" t="str">
        <f t="shared" si="2"/>
        <v>Thu</v>
      </c>
      <c r="FA4" s="2" t="str">
        <f t="shared" si="2"/>
        <v>Fri</v>
      </c>
      <c r="FB4" s="2" t="str">
        <f t="shared" si="2"/>
        <v>Sat</v>
      </c>
      <c r="FC4" s="2" t="str">
        <f t="shared" si="2"/>
        <v>Sun</v>
      </c>
      <c r="FD4" s="2" t="str">
        <f t="shared" si="2"/>
        <v>Mon</v>
      </c>
      <c r="FE4" s="2" t="str">
        <f t="shared" si="2"/>
        <v>Tue</v>
      </c>
      <c r="FF4" s="2" t="str">
        <f t="shared" si="2"/>
        <v>Wed</v>
      </c>
      <c r="FG4" s="2" t="str">
        <f t="shared" si="2"/>
        <v>Thu</v>
      </c>
      <c r="FH4" s="2" t="str">
        <f t="shared" si="2"/>
        <v>Fri</v>
      </c>
      <c r="FI4" s="2" t="str">
        <f t="shared" si="2"/>
        <v>Sat</v>
      </c>
      <c r="FJ4" s="2" t="str">
        <f t="shared" si="2"/>
        <v>Sun</v>
      </c>
      <c r="FK4" s="2" t="str">
        <f t="shared" si="2"/>
        <v>Mon</v>
      </c>
      <c r="FL4" s="2" t="str">
        <f t="shared" si="2"/>
        <v>Tue</v>
      </c>
      <c r="FM4" s="2" t="str">
        <f t="shared" si="2"/>
        <v>Wed</v>
      </c>
      <c r="FN4" s="2" t="str">
        <f t="shared" si="2"/>
        <v>Thu</v>
      </c>
      <c r="FO4" s="2" t="str">
        <f t="shared" si="2"/>
        <v>Fri</v>
      </c>
      <c r="FP4" s="2" t="str">
        <f t="shared" si="2"/>
        <v>Sat</v>
      </c>
      <c r="FQ4" s="2" t="str">
        <f t="shared" si="2"/>
        <v>Sun</v>
      </c>
      <c r="FR4" s="2" t="str">
        <f t="shared" si="2"/>
        <v>Mon</v>
      </c>
      <c r="FS4" s="2" t="str">
        <f t="shared" si="2"/>
        <v>Tue</v>
      </c>
      <c r="FT4" s="2" t="str">
        <f t="shared" si="2"/>
        <v>Wed</v>
      </c>
      <c r="FU4" s="2" t="str">
        <f t="shared" si="2"/>
        <v>Thu</v>
      </c>
      <c r="FV4" s="2" t="str">
        <f t="shared" si="2"/>
        <v>Fri</v>
      </c>
      <c r="FW4" s="2" t="str">
        <f t="shared" si="2"/>
        <v>Sat</v>
      </c>
      <c r="FX4" s="2" t="str">
        <f t="shared" si="2"/>
        <v>Sun</v>
      </c>
      <c r="FY4" s="2" t="str">
        <f t="shared" si="2"/>
        <v>Mon</v>
      </c>
      <c r="FZ4" s="2" t="str">
        <f t="shared" si="2"/>
        <v>Tue</v>
      </c>
      <c r="GA4" s="2" t="str">
        <f t="shared" si="2"/>
        <v>Wed</v>
      </c>
      <c r="GB4" s="2" t="str">
        <f t="shared" si="2"/>
        <v>Thu</v>
      </c>
      <c r="GC4" s="2" t="str">
        <f t="shared" si="2"/>
        <v>Fri</v>
      </c>
      <c r="GD4" s="2" t="str">
        <f t="shared" si="2"/>
        <v>Sat</v>
      </c>
      <c r="GE4" s="2" t="str">
        <f t="shared" si="2"/>
        <v>Sun</v>
      </c>
      <c r="GF4" s="2" t="str">
        <f t="shared" si="2"/>
        <v>Mon</v>
      </c>
      <c r="GG4" s="2" t="str">
        <f t="shared" si="2"/>
        <v>Tue</v>
      </c>
      <c r="GH4" s="2" t="str">
        <f t="shared" si="2"/>
        <v>Wed</v>
      </c>
      <c r="GI4" s="2" t="str">
        <f t="shared" si="2"/>
        <v>Thu</v>
      </c>
      <c r="GJ4" s="2" t="str">
        <f t="shared" si="2"/>
        <v>Fri</v>
      </c>
      <c r="GK4" s="2" t="str">
        <f t="shared" si="2"/>
        <v>Sat</v>
      </c>
      <c r="GL4" s="2" t="str">
        <f t="shared" si="2"/>
        <v>Sun</v>
      </c>
      <c r="GM4" s="2" t="str">
        <f t="shared" si="2"/>
        <v>Mon</v>
      </c>
      <c r="GN4" s="2" t="str">
        <f t="shared" si="2"/>
        <v>Tue</v>
      </c>
      <c r="GO4" s="2" t="str">
        <f t="shared" si="2"/>
        <v>Wed</v>
      </c>
      <c r="GP4" s="2" t="str">
        <f t="shared" si="2"/>
        <v>Thu</v>
      </c>
      <c r="GQ4" s="2" t="str">
        <f t="shared" ref="GQ4:JB4" si="3">TEXT(GQ5,"ddd")</f>
        <v>Fri</v>
      </c>
      <c r="GR4" s="2" t="str">
        <f t="shared" si="3"/>
        <v>Sat</v>
      </c>
      <c r="GS4" s="2" t="str">
        <f t="shared" si="3"/>
        <v>Sun</v>
      </c>
      <c r="GT4" s="2" t="str">
        <f t="shared" si="3"/>
        <v>Mon</v>
      </c>
      <c r="GU4" s="2" t="str">
        <f t="shared" si="3"/>
        <v>Tue</v>
      </c>
      <c r="GV4" s="2" t="str">
        <f t="shared" si="3"/>
        <v>Wed</v>
      </c>
      <c r="GW4" s="2" t="str">
        <f t="shared" si="3"/>
        <v>Thu</v>
      </c>
      <c r="GX4" s="2" t="str">
        <f t="shared" si="3"/>
        <v>Fri</v>
      </c>
      <c r="GY4" s="2" t="str">
        <f t="shared" si="3"/>
        <v>Sat</v>
      </c>
      <c r="GZ4" s="2" t="str">
        <f t="shared" si="3"/>
        <v>Sun</v>
      </c>
      <c r="HA4" s="2" t="str">
        <f t="shared" si="3"/>
        <v>Mon</v>
      </c>
      <c r="HB4" s="2" t="str">
        <f t="shared" si="3"/>
        <v>Tue</v>
      </c>
      <c r="HC4" s="2" t="str">
        <f t="shared" si="3"/>
        <v>Wed</v>
      </c>
      <c r="HD4" s="2" t="str">
        <f t="shared" si="3"/>
        <v>Thu</v>
      </c>
      <c r="HE4" s="2" t="str">
        <f t="shared" si="3"/>
        <v>Fri</v>
      </c>
      <c r="HF4" s="2" t="str">
        <f t="shared" si="3"/>
        <v>Sat</v>
      </c>
      <c r="HG4" s="2" t="str">
        <f t="shared" si="3"/>
        <v>Sun</v>
      </c>
      <c r="HH4" s="2" t="str">
        <f t="shared" si="3"/>
        <v>Mon</v>
      </c>
      <c r="HI4" s="2" t="str">
        <f t="shared" si="3"/>
        <v>Tue</v>
      </c>
      <c r="HJ4" s="2" t="str">
        <f t="shared" si="3"/>
        <v>Wed</v>
      </c>
      <c r="HK4" s="2" t="str">
        <f t="shared" si="3"/>
        <v>Thu</v>
      </c>
      <c r="HL4" s="2" t="str">
        <f t="shared" si="3"/>
        <v>Fri</v>
      </c>
      <c r="HM4" s="2" t="str">
        <f t="shared" si="3"/>
        <v>Sat</v>
      </c>
      <c r="HN4" s="2" t="str">
        <f t="shared" si="3"/>
        <v>Sun</v>
      </c>
      <c r="HO4" s="2" t="str">
        <f t="shared" si="3"/>
        <v>Mon</v>
      </c>
      <c r="HP4" s="2" t="str">
        <f t="shared" si="3"/>
        <v>Tue</v>
      </c>
      <c r="HQ4" s="2" t="str">
        <f t="shared" si="3"/>
        <v>Wed</v>
      </c>
      <c r="HR4" s="2" t="str">
        <f t="shared" si="3"/>
        <v>Thu</v>
      </c>
      <c r="HS4" s="2" t="str">
        <f t="shared" si="3"/>
        <v>Fri</v>
      </c>
      <c r="HT4" s="2" t="str">
        <f t="shared" si="3"/>
        <v>Sat</v>
      </c>
      <c r="HU4" s="2" t="str">
        <f t="shared" si="3"/>
        <v>Sun</v>
      </c>
      <c r="HV4" s="2" t="str">
        <f t="shared" si="3"/>
        <v>Mon</v>
      </c>
      <c r="HW4" s="2" t="str">
        <f t="shared" si="3"/>
        <v>Tue</v>
      </c>
      <c r="HX4" s="2" t="str">
        <f t="shared" si="3"/>
        <v>Wed</v>
      </c>
      <c r="HY4" s="2" t="str">
        <f t="shared" si="3"/>
        <v>Thu</v>
      </c>
      <c r="HZ4" s="2" t="str">
        <f t="shared" si="3"/>
        <v>Fri</v>
      </c>
      <c r="IA4" s="2" t="str">
        <f t="shared" si="3"/>
        <v>Sat</v>
      </c>
      <c r="IB4" s="2" t="str">
        <f t="shared" si="3"/>
        <v>Sun</v>
      </c>
      <c r="IC4" s="2" t="str">
        <f t="shared" si="3"/>
        <v>Mon</v>
      </c>
      <c r="ID4" s="2" t="str">
        <f t="shared" si="3"/>
        <v>Tue</v>
      </c>
      <c r="IE4" s="2" t="str">
        <f t="shared" si="3"/>
        <v>Wed</v>
      </c>
      <c r="IF4" s="2" t="str">
        <f t="shared" si="3"/>
        <v>Thu</v>
      </c>
      <c r="IG4" s="2" t="str">
        <f t="shared" si="3"/>
        <v>Fri</v>
      </c>
      <c r="IH4" s="2" t="str">
        <f t="shared" si="3"/>
        <v>Sat</v>
      </c>
      <c r="II4" s="2" t="str">
        <f t="shared" si="3"/>
        <v>Sun</v>
      </c>
      <c r="IJ4" s="2" t="str">
        <f t="shared" si="3"/>
        <v>Mon</v>
      </c>
      <c r="IK4" s="2" t="str">
        <f t="shared" si="3"/>
        <v>Tue</v>
      </c>
      <c r="IL4" s="2" t="str">
        <f t="shared" si="3"/>
        <v>Wed</v>
      </c>
      <c r="IM4" s="2" t="str">
        <f t="shared" si="3"/>
        <v>Thu</v>
      </c>
      <c r="IN4" s="2" t="str">
        <f t="shared" si="3"/>
        <v>Fri</v>
      </c>
      <c r="IO4" s="2" t="str">
        <f t="shared" si="3"/>
        <v>Sat</v>
      </c>
      <c r="IP4" s="2" t="str">
        <f t="shared" si="3"/>
        <v>Sun</v>
      </c>
      <c r="IQ4" s="2" t="str">
        <f t="shared" si="3"/>
        <v>Mon</v>
      </c>
      <c r="IR4" s="2" t="str">
        <f t="shared" si="3"/>
        <v>Tue</v>
      </c>
      <c r="IS4" s="2" t="str">
        <f t="shared" si="3"/>
        <v>Wed</v>
      </c>
      <c r="IT4" s="2" t="str">
        <f t="shared" si="3"/>
        <v>Thu</v>
      </c>
      <c r="IU4" s="2" t="str">
        <f t="shared" si="3"/>
        <v>Fri</v>
      </c>
      <c r="IV4" s="2" t="str">
        <f t="shared" si="3"/>
        <v>Sat</v>
      </c>
      <c r="IW4" s="2" t="str">
        <f t="shared" si="3"/>
        <v>Sun</v>
      </c>
      <c r="IX4" s="2" t="str">
        <f t="shared" si="3"/>
        <v>Mon</v>
      </c>
      <c r="IY4" s="2" t="str">
        <f t="shared" si="3"/>
        <v>Tue</v>
      </c>
      <c r="IZ4" s="2" t="str">
        <f t="shared" si="3"/>
        <v>Wed</v>
      </c>
      <c r="JA4" s="2" t="str">
        <f t="shared" si="3"/>
        <v>Thu</v>
      </c>
      <c r="JB4" s="2" t="str">
        <f t="shared" si="3"/>
        <v>Fri</v>
      </c>
      <c r="JC4" s="2" t="str">
        <f t="shared" ref="JC4:LN4" si="4">TEXT(JC5,"ddd")</f>
        <v>Sat</v>
      </c>
      <c r="JD4" s="2" t="str">
        <f t="shared" si="4"/>
        <v>Sun</v>
      </c>
      <c r="JE4" s="2" t="str">
        <f t="shared" si="4"/>
        <v>Mon</v>
      </c>
      <c r="JF4" s="2" t="str">
        <f t="shared" si="4"/>
        <v>Tue</v>
      </c>
      <c r="JG4" s="2" t="str">
        <f t="shared" si="4"/>
        <v>Wed</v>
      </c>
      <c r="JH4" s="2" t="str">
        <f t="shared" si="4"/>
        <v>Thu</v>
      </c>
      <c r="JI4" s="2" t="str">
        <f t="shared" si="4"/>
        <v>Fri</v>
      </c>
      <c r="JJ4" s="2" t="str">
        <f t="shared" si="4"/>
        <v>Sat</v>
      </c>
      <c r="JK4" s="2" t="str">
        <f t="shared" si="4"/>
        <v>Sun</v>
      </c>
      <c r="JL4" s="2" t="str">
        <f t="shared" si="4"/>
        <v>Mon</v>
      </c>
      <c r="JM4" s="2" t="str">
        <f t="shared" si="4"/>
        <v>Tue</v>
      </c>
      <c r="JN4" s="2" t="str">
        <f t="shared" si="4"/>
        <v>Wed</v>
      </c>
      <c r="JO4" s="2" t="str">
        <f t="shared" si="4"/>
        <v>Thu</v>
      </c>
      <c r="JP4" s="2" t="str">
        <f t="shared" si="4"/>
        <v>Fri</v>
      </c>
      <c r="JQ4" s="2" t="str">
        <f t="shared" si="4"/>
        <v>Sat</v>
      </c>
      <c r="JR4" s="2" t="str">
        <f t="shared" si="4"/>
        <v>Sun</v>
      </c>
      <c r="JS4" s="2" t="str">
        <f t="shared" si="4"/>
        <v>Mon</v>
      </c>
      <c r="JT4" s="2" t="str">
        <f t="shared" si="4"/>
        <v>Tue</v>
      </c>
      <c r="JU4" s="2" t="str">
        <f t="shared" si="4"/>
        <v>Wed</v>
      </c>
      <c r="JV4" s="2" t="str">
        <f t="shared" si="4"/>
        <v>Thu</v>
      </c>
      <c r="JW4" s="2" t="str">
        <f t="shared" si="4"/>
        <v>Fri</v>
      </c>
      <c r="JX4" s="2" t="str">
        <f t="shared" si="4"/>
        <v>Sat</v>
      </c>
      <c r="JY4" s="2" t="str">
        <f t="shared" si="4"/>
        <v>Sun</v>
      </c>
      <c r="JZ4" s="2" t="str">
        <f t="shared" si="4"/>
        <v>Mon</v>
      </c>
      <c r="KA4" s="2" t="str">
        <f t="shared" si="4"/>
        <v>Tue</v>
      </c>
      <c r="KB4" s="2" t="str">
        <f t="shared" si="4"/>
        <v>Wed</v>
      </c>
      <c r="KC4" s="2" t="str">
        <f t="shared" si="4"/>
        <v>Thu</v>
      </c>
      <c r="KD4" s="2" t="str">
        <f t="shared" si="4"/>
        <v>Fri</v>
      </c>
      <c r="KE4" s="2" t="str">
        <f t="shared" si="4"/>
        <v>Sat</v>
      </c>
      <c r="KF4" s="2" t="str">
        <f t="shared" si="4"/>
        <v>Sun</v>
      </c>
      <c r="KG4" s="2" t="str">
        <f t="shared" si="4"/>
        <v>Mon</v>
      </c>
      <c r="KH4" s="2" t="str">
        <f t="shared" si="4"/>
        <v>Tue</v>
      </c>
      <c r="KI4" s="2" t="str">
        <f t="shared" si="4"/>
        <v>Wed</v>
      </c>
      <c r="KJ4" s="2" t="str">
        <f t="shared" si="4"/>
        <v>Thu</v>
      </c>
      <c r="KK4" s="2" t="str">
        <f t="shared" si="4"/>
        <v>Fri</v>
      </c>
      <c r="KL4" s="2" t="str">
        <f t="shared" si="4"/>
        <v>Sat</v>
      </c>
      <c r="KM4" s="2" t="str">
        <f t="shared" si="4"/>
        <v>Sun</v>
      </c>
      <c r="KN4" s="2" t="str">
        <f t="shared" si="4"/>
        <v>Mon</v>
      </c>
      <c r="KO4" s="2" t="str">
        <f t="shared" si="4"/>
        <v>Tue</v>
      </c>
      <c r="KP4" s="2" t="str">
        <f t="shared" si="4"/>
        <v>Wed</v>
      </c>
      <c r="KQ4" s="2" t="str">
        <f t="shared" si="4"/>
        <v>Thu</v>
      </c>
      <c r="KR4" s="2" t="str">
        <f t="shared" si="4"/>
        <v>Fri</v>
      </c>
      <c r="KS4" s="2" t="str">
        <f t="shared" si="4"/>
        <v>Sat</v>
      </c>
      <c r="KT4" s="2" t="str">
        <f t="shared" si="4"/>
        <v>Sun</v>
      </c>
      <c r="KU4" s="2" t="str">
        <f t="shared" si="4"/>
        <v>Mon</v>
      </c>
      <c r="KV4" s="2" t="str">
        <f t="shared" si="4"/>
        <v>Tue</v>
      </c>
      <c r="KW4" s="2" t="str">
        <f t="shared" si="4"/>
        <v>Wed</v>
      </c>
      <c r="KX4" s="2" t="str">
        <f t="shared" si="4"/>
        <v>Thu</v>
      </c>
      <c r="KY4" s="2" t="str">
        <f t="shared" si="4"/>
        <v>Fri</v>
      </c>
      <c r="KZ4" s="2" t="str">
        <f t="shared" si="4"/>
        <v>Sat</v>
      </c>
      <c r="LA4" s="2" t="str">
        <f t="shared" si="4"/>
        <v>Sun</v>
      </c>
      <c r="LB4" s="2" t="str">
        <f t="shared" si="4"/>
        <v>Mon</v>
      </c>
      <c r="LC4" s="2" t="str">
        <f t="shared" si="4"/>
        <v>Tue</v>
      </c>
      <c r="LD4" s="2" t="str">
        <f t="shared" si="4"/>
        <v>Wed</v>
      </c>
      <c r="LE4" s="2" t="str">
        <f t="shared" si="4"/>
        <v>Thu</v>
      </c>
      <c r="LF4" s="2" t="str">
        <f t="shared" si="4"/>
        <v>Fri</v>
      </c>
      <c r="LG4" s="2" t="str">
        <f t="shared" si="4"/>
        <v>Sat</v>
      </c>
      <c r="LH4" s="2" t="str">
        <f t="shared" si="4"/>
        <v>Sun</v>
      </c>
      <c r="LI4" s="2" t="str">
        <f t="shared" si="4"/>
        <v>Mon</v>
      </c>
      <c r="LJ4" s="2" t="str">
        <f t="shared" si="4"/>
        <v>Tue</v>
      </c>
      <c r="LK4" s="2" t="str">
        <f t="shared" si="4"/>
        <v>Wed</v>
      </c>
      <c r="LL4" s="2" t="str">
        <f t="shared" si="4"/>
        <v>Thu</v>
      </c>
      <c r="LM4" s="2" t="str">
        <f t="shared" si="4"/>
        <v>Fri</v>
      </c>
      <c r="LN4" s="2" t="str">
        <f t="shared" si="4"/>
        <v>Sat</v>
      </c>
      <c r="LO4" s="2" t="str">
        <f t="shared" ref="LO4:NG4" si="5">TEXT(LO5,"ddd")</f>
        <v>Sun</v>
      </c>
      <c r="LP4" s="2" t="str">
        <f t="shared" si="5"/>
        <v>Mon</v>
      </c>
      <c r="LQ4" s="2" t="str">
        <f t="shared" si="5"/>
        <v>Tue</v>
      </c>
      <c r="LR4" s="2" t="str">
        <f t="shared" si="5"/>
        <v>Wed</v>
      </c>
      <c r="LS4" s="2" t="str">
        <f t="shared" si="5"/>
        <v>Thu</v>
      </c>
      <c r="LT4" s="2" t="str">
        <f t="shared" si="5"/>
        <v>Fri</v>
      </c>
      <c r="LU4" s="2" t="str">
        <f t="shared" si="5"/>
        <v>Sat</v>
      </c>
      <c r="LV4" s="2" t="str">
        <f t="shared" si="5"/>
        <v>Sun</v>
      </c>
      <c r="LW4" s="2" t="str">
        <f t="shared" si="5"/>
        <v>Mon</v>
      </c>
      <c r="LX4" s="2" t="str">
        <f t="shared" si="5"/>
        <v>Tue</v>
      </c>
      <c r="LY4" s="2" t="str">
        <f t="shared" si="5"/>
        <v>Wed</v>
      </c>
      <c r="LZ4" s="2" t="str">
        <f t="shared" si="5"/>
        <v>Thu</v>
      </c>
      <c r="MA4" s="2" t="str">
        <f t="shared" si="5"/>
        <v>Fri</v>
      </c>
      <c r="MB4" s="2" t="str">
        <f t="shared" si="5"/>
        <v>Sat</v>
      </c>
      <c r="MC4" s="2" t="str">
        <f t="shared" si="5"/>
        <v>Sun</v>
      </c>
      <c r="MD4" s="2" t="str">
        <f t="shared" si="5"/>
        <v>Mon</v>
      </c>
      <c r="ME4" s="2" t="str">
        <f t="shared" si="5"/>
        <v>Tue</v>
      </c>
      <c r="MF4" s="2" t="str">
        <f t="shared" si="5"/>
        <v>Wed</v>
      </c>
      <c r="MG4" s="2" t="str">
        <f t="shared" si="5"/>
        <v>Thu</v>
      </c>
      <c r="MH4" s="2" t="str">
        <f t="shared" si="5"/>
        <v>Fri</v>
      </c>
      <c r="MI4" s="2" t="str">
        <f t="shared" si="5"/>
        <v>Sat</v>
      </c>
      <c r="MJ4" s="2" t="str">
        <f t="shared" si="5"/>
        <v>Sun</v>
      </c>
      <c r="MK4" s="2" t="str">
        <f t="shared" si="5"/>
        <v>Mon</v>
      </c>
      <c r="ML4" s="2" t="str">
        <f t="shared" si="5"/>
        <v>Tue</v>
      </c>
      <c r="MM4" s="2" t="str">
        <f t="shared" si="5"/>
        <v>Wed</v>
      </c>
      <c r="MN4" s="2" t="str">
        <f t="shared" si="5"/>
        <v>Thu</v>
      </c>
      <c r="MO4" s="2" t="str">
        <f t="shared" si="5"/>
        <v>Fri</v>
      </c>
      <c r="MP4" s="2" t="str">
        <f t="shared" si="5"/>
        <v>Sat</v>
      </c>
      <c r="MQ4" s="2" t="str">
        <f t="shared" si="5"/>
        <v>Sun</v>
      </c>
      <c r="MR4" s="2" t="str">
        <f t="shared" si="5"/>
        <v>Mon</v>
      </c>
      <c r="MS4" s="2" t="str">
        <f t="shared" si="5"/>
        <v>Tue</v>
      </c>
      <c r="MT4" s="2" t="str">
        <f t="shared" si="5"/>
        <v>Wed</v>
      </c>
      <c r="MU4" s="2" t="str">
        <f t="shared" si="5"/>
        <v>Thu</v>
      </c>
      <c r="MV4" s="2" t="str">
        <f t="shared" si="5"/>
        <v>Fri</v>
      </c>
      <c r="MW4" s="2" t="str">
        <f t="shared" si="5"/>
        <v>Sat</v>
      </c>
      <c r="MX4" s="2" t="str">
        <f t="shared" si="5"/>
        <v>Sun</v>
      </c>
      <c r="MY4" s="2" t="str">
        <f t="shared" si="5"/>
        <v>Mon</v>
      </c>
      <c r="MZ4" s="2" t="str">
        <f t="shared" si="5"/>
        <v>Tue</v>
      </c>
      <c r="NA4" s="2" t="str">
        <f t="shared" si="5"/>
        <v>Wed</v>
      </c>
      <c r="NB4" s="2" t="str">
        <f t="shared" si="5"/>
        <v>Thu</v>
      </c>
      <c r="NC4" s="2" t="str">
        <f t="shared" si="5"/>
        <v>Fri</v>
      </c>
      <c r="ND4" s="2" t="str">
        <f t="shared" si="5"/>
        <v>Sat</v>
      </c>
      <c r="NE4" s="2" t="str">
        <f t="shared" si="5"/>
        <v>Sun</v>
      </c>
      <c r="NF4" s="2" t="str">
        <f t="shared" si="5"/>
        <v>Mon</v>
      </c>
      <c r="NG4" s="2" t="str">
        <f t="shared" si="5"/>
        <v>Tue</v>
      </c>
      <c r="NH4" s="114" t="s">
        <v>5</v>
      </c>
      <c r="NI4" s="114" t="s">
        <v>6</v>
      </c>
      <c r="NJ4" s="103" t="s">
        <v>46</v>
      </c>
      <c r="NK4" s="105"/>
      <c r="NL4" s="3"/>
      <c r="NM4" s="3"/>
    </row>
    <row r="5" spans="1:377" ht="39" x14ac:dyDescent="0.25">
      <c r="A5" s="107"/>
      <c r="B5" s="107"/>
      <c r="C5" s="107"/>
      <c r="D5" s="107"/>
      <c r="E5" s="107"/>
      <c r="F5" s="77">
        <v>45292</v>
      </c>
      <c r="G5" s="77">
        <v>45293</v>
      </c>
      <c r="H5" s="77">
        <v>45294</v>
      </c>
      <c r="I5" s="77">
        <v>45295</v>
      </c>
      <c r="J5" s="77">
        <v>45296</v>
      </c>
      <c r="K5" s="77">
        <v>45297</v>
      </c>
      <c r="L5" s="77">
        <v>45298</v>
      </c>
      <c r="M5" s="77">
        <v>45299</v>
      </c>
      <c r="N5" s="77">
        <v>45300</v>
      </c>
      <c r="O5" s="77">
        <v>45301</v>
      </c>
      <c r="P5" s="77">
        <v>45302</v>
      </c>
      <c r="Q5" s="77">
        <v>45303</v>
      </c>
      <c r="R5" s="77">
        <v>45304</v>
      </c>
      <c r="S5" s="77">
        <v>45305</v>
      </c>
      <c r="T5" s="77">
        <v>45306</v>
      </c>
      <c r="U5" s="77">
        <v>45307</v>
      </c>
      <c r="V5" s="77">
        <v>45308</v>
      </c>
      <c r="W5" s="77">
        <v>45309</v>
      </c>
      <c r="X5" s="77">
        <v>45310</v>
      </c>
      <c r="Y5" s="77">
        <v>45311</v>
      </c>
      <c r="Z5" s="77">
        <v>45312</v>
      </c>
      <c r="AA5" s="77">
        <v>45313</v>
      </c>
      <c r="AB5" s="77">
        <v>45314</v>
      </c>
      <c r="AC5" s="77">
        <v>45315</v>
      </c>
      <c r="AD5" s="77">
        <v>45316</v>
      </c>
      <c r="AE5" s="77">
        <v>45317</v>
      </c>
      <c r="AF5" s="77">
        <v>45318</v>
      </c>
      <c r="AG5" s="77">
        <v>45319</v>
      </c>
      <c r="AH5" s="77">
        <v>45320</v>
      </c>
      <c r="AI5" s="77">
        <v>45321</v>
      </c>
      <c r="AJ5" s="77">
        <v>45322</v>
      </c>
      <c r="AK5" s="77">
        <v>45323</v>
      </c>
      <c r="AL5" s="77">
        <v>45324</v>
      </c>
      <c r="AM5" s="77">
        <v>45325</v>
      </c>
      <c r="AN5" s="77">
        <v>45326</v>
      </c>
      <c r="AO5" s="77">
        <v>45327</v>
      </c>
      <c r="AP5" s="77">
        <v>45328</v>
      </c>
      <c r="AQ5" s="77">
        <v>45329</v>
      </c>
      <c r="AR5" s="77">
        <v>45330</v>
      </c>
      <c r="AS5" s="77">
        <v>45331</v>
      </c>
      <c r="AT5" s="77">
        <v>45332</v>
      </c>
      <c r="AU5" s="77">
        <v>45333</v>
      </c>
      <c r="AV5" s="77">
        <v>45334</v>
      </c>
      <c r="AW5" s="77">
        <v>45335</v>
      </c>
      <c r="AX5" s="77">
        <v>45336</v>
      </c>
      <c r="AY5" s="77">
        <v>45337</v>
      </c>
      <c r="AZ5" s="77">
        <v>45338</v>
      </c>
      <c r="BA5" s="77">
        <v>45339</v>
      </c>
      <c r="BB5" s="77">
        <v>45340</v>
      </c>
      <c r="BC5" s="77">
        <v>45341</v>
      </c>
      <c r="BD5" s="77">
        <v>45342</v>
      </c>
      <c r="BE5" s="77">
        <v>45343</v>
      </c>
      <c r="BF5" s="77">
        <v>45344</v>
      </c>
      <c r="BG5" s="77">
        <v>45345</v>
      </c>
      <c r="BH5" s="77">
        <v>45346</v>
      </c>
      <c r="BI5" s="77">
        <v>45347</v>
      </c>
      <c r="BJ5" s="77">
        <v>45348</v>
      </c>
      <c r="BK5" s="77">
        <v>45349</v>
      </c>
      <c r="BL5" s="77">
        <v>45350</v>
      </c>
      <c r="BM5" s="77">
        <v>45351</v>
      </c>
      <c r="BN5" s="77">
        <v>45352</v>
      </c>
      <c r="BO5" s="77">
        <v>45353</v>
      </c>
      <c r="BP5" s="77">
        <v>45354</v>
      </c>
      <c r="BQ5" s="77">
        <v>45355</v>
      </c>
      <c r="BR5" s="77">
        <v>45356</v>
      </c>
      <c r="BS5" s="77">
        <v>45357</v>
      </c>
      <c r="BT5" s="77">
        <v>45358</v>
      </c>
      <c r="BU5" s="77">
        <v>45359</v>
      </c>
      <c r="BV5" s="77">
        <v>45360</v>
      </c>
      <c r="BW5" s="77">
        <v>45361</v>
      </c>
      <c r="BX5" s="77">
        <v>45362</v>
      </c>
      <c r="BY5" s="77">
        <v>45363</v>
      </c>
      <c r="BZ5" s="77">
        <v>45364</v>
      </c>
      <c r="CA5" s="77">
        <v>45365</v>
      </c>
      <c r="CB5" s="77">
        <v>45366</v>
      </c>
      <c r="CC5" s="77">
        <v>45367</v>
      </c>
      <c r="CD5" s="77">
        <v>45368</v>
      </c>
      <c r="CE5" s="77">
        <v>45369</v>
      </c>
      <c r="CF5" s="77">
        <v>45370</v>
      </c>
      <c r="CG5" s="77">
        <v>45371</v>
      </c>
      <c r="CH5" s="77">
        <v>45372</v>
      </c>
      <c r="CI5" s="77">
        <v>45373</v>
      </c>
      <c r="CJ5" s="77">
        <v>45374</v>
      </c>
      <c r="CK5" s="77">
        <v>45375</v>
      </c>
      <c r="CL5" s="77">
        <v>45376</v>
      </c>
      <c r="CM5" s="77">
        <v>45377</v>
      </c>
      <c r="CN5" s="77">
        <v>45378</v>
      </c>
      <c r="CO5" s="77">
        <v>45379</v>
      </c>
      <c r="CP5" s="77">
        <v>45380</v>
      </c>
      <c r="CQ5" s="77">
        <v>45381</v>
      </c>
      <c r="CR5" s="77">
        <v>45382</v>
      </c>
      <c r="CS5" s="77">
        <v>45383</v>
      </c>
      <c r="CT5" s="77">
        <v>45384</v>
      </c>
      <c r="CU5" s="77">
        <v>45385</v>
      </c>
      <c r="CV5" s="77">
        <v>45386</v>
      </c>
      <c r="CW5" s="77">
        <v>45387</v>
      </c>
      <c r="CX5" s="77">
        <v>45388</v>
      </c>
      <c r="CY5" s="77">
        <v>45389</v>
      </c>
      <c r="CZ5" s="77">
        <v>45390</v>
      </c>
      <c r="DA5" s="77">
        <v>45391</v>
      </c>
      <c r="DB5" s="77">
        <v>45392</v>
      </c>
      <c r="DC5" s="77">
        <v>45393</v>
      </c>
      <c r="DD5" s="77">
        <v>45394</v>
      </c>
      <c r="DE5" s="77">
        <v>45395</v>
      </c>
      <c r="DF5" s="77">
        <v>45396</v>
      </c>
      <c r="DG5" s="77">
        <v>45397</v>
      </c>
      <c r="DH5" s="77">
        <v>45398</v>
      </c>
      <c r="DI5" s="77">
        <v>45399</v>
      </c>
      <c r="DJ5" s="77">
        <v>45400</v>
      </c>
      <c r="DK5" s="77">
        <v>45401</v>
      </c>
      <c r="DL5" s="77">
        <v>45402</v>
      </c>
      <c r="DM5" s="77">
        <v>45403</v>
      </c>
      <c r="DN5" s="77">
        <v>45404</v>
      </c>
      <c r="DO5" s="77">
        <v>45405</v>
      </c>
      <c r="DP5" s="77">
        <v>45406</v>
      </c>
      <c r="DQ5" s="77">
        <v>45407</v>
      </c>
      <c r="DR5" s="77">
        <v>45408</v>
      </c>
      <c r="DS5" s="77">
        <v>45409</v>
      </c>
      <c r="DT5" s="77">
        <v>45410</v>
      </c>
      <c r="DU5" s="77">
        <v>45411</v>
      </c>
      <c r="DV5" s="77">
        <v>45412</v>
      </c>
      <c r="DW5" s="77">
        <v>45413</v>
      </c>
      <c r="DX5" s="77">
        <v>45414</v>
      </c>
      <c r="DY5" s="77">
        <v>45415</v>
      </c>
      <c r="DZ5" s="77">
        <v>45416</v>
      </c>
      <c r="EA5" s="77">
        <v>45417</v>
      </c>
      <c r="EB5" s="77">
        <v>45418</v>
      </c>
      <c r="EC5" s="77">
        <v>45419</v>
      </c>
      <c r="ED5" s="77">
        <v>45420</v>
      </c>
      <c r="EE5" s="77">
        <v>45421</v>
      </c>
      <c r="EF5" s="77">
        <v>45422</v>
      </c>
      <c r="EG5" s="77">
        <v>45423</v>
      </c>
      <c r="EH5" s="77">
        <v>45424</v>
      </c>
      <c r="EI5" s="77">
        <v>45425</v>
      </c>
      <c r="EJ5" s="77">
        <v>45426</v>
      </c>
      <c r="EK5" s="77">
        <v>45427</v>
      </c>
      <c r="EL5" s="77">
        <v>45428</v>
      </c>
      <c r="EM5" s="77">
        <v>45429</v>
      </c>
      <c r="EN5" s="77">
        <v>45430</v>
      </c>
      <c r="EO5" s="77">
        <v>45431</v>
      </c>
      <c r="EP5" s="77">
        <v>45432</v>
      </c>
      <c r="EQ5" s="77">
        <v>45433</v>
      </c>
      <c r="ER5" s="77">
        <v>45434</v>
      </c>
      <c r="ES5" s="77">
        <v>45435</v>
      </c>
      <c r="ET5" s="77">
        <v>45436</v>
      </c>
      <c r="EU5" s="77">
        <v>45437</v>
      </c>
      <c r="EV5" s="77">
        <v>45438</v>
      </c>
      <c r="EW5" s="77">
        <v>45439</v>
      </c>
      <c r="EX5" s="77">
        <v>45440</v>
      </c>
      <c r="EY5" s="77">
        <v>45441</v>
      </c>
      <c r="EZ5" s="77">
        <v>45442</v>
      </c>
      <c r="FA5" s="77">
        <v>45443</v>
      </c>
      <c r="FB5" s="77">
        <v>45444</v>
      </c>
      <c r="FC5" s="77">
        <v>45445</v>
      </c>
      <c r="FD5" s="77">
        <v>45446</v>
      </c>
      <c r="FE5" s="77">
        <v>45447</v>
      </c>
      <c r="FF5" s="77">
        <v>45448</v>
      </c>
      <c r="FG5" s="77">
        <v>45449</v>
      </c>
      <c r="FH5" s="77">
        <v>45450</v>
      </c>
      <c r="FI5" s="77">
        <v>45451</v>
      </c>
      <c r="FJ5" s="77">
        <v>45452</v>
      </c>
      <c r="FK5" s="77">
        <v>45453</v>
      </c>
      <c r="FL5" s="77">
        <v>45454</v>
      </c>
      <c r="FM5" s="77">
        <v>45455</v>
      </c>
      <c r="FN5" s="77">
        <v>45456</v>
      </c>
      <c r="FO5" s="77">
        <v>45457</v>
      </c>
      <c r="FP5" s="77">
        <v>45458</v>
      </c>
      <c r="FQ5" s="77">
        <v>45459</v>
      </c>
      <c r="FR5" s="77">
        <v>45460</v>
      </c>
      <c r="FS5" s="77">
        <v>45461</v>
      </c>
      <c r="FT5" s="77">
        <v>45462</v>
      </c>
      <c r="FU5" s="77">
        <v>45463</v>
      </c>
      <c r="FV5" s="77">
        <v>45464</v>
      </c>
      <c r="FW5" s="77">
        <v>45465</v>
      </c>
      <c r="FX5" s="77">
        <v>45466</v>
      </c>
      <c r="FY5" s="77">
        <v>45467</v>
      </c>
      <c r="FZ5" s="77">
        <v>45468</v>
      </c>
      <c r="GA5" s="77">
        <v>45469</v>
      </c>
      <c r="GB5" s="77">
        <v>45470</v>
      </c>
      <c r="GC5" s="77">
        <v>45471</v>
      </c>
      <c r="GD5" s="77">
        <v>45472</v>
      </c>
      <c r="GE5" s="77">
        <v>45473</v>
      </c>
      <c r="GF5" s="77">
        <v>45474</v>
      </c>
      <c r="GG5" s="77">
        <v>45475</v>
      </c>
      <c r="GH5" s="77">
        <v>45476</v>
      </c>
      <c r="GI5" s="77">
        <v>45477</v>
      </c>
      <c r="GJ5" s="77">
        <v>45478</v>
      </c>
      <c r="GK5" s="77">
        <v>45479</v>
      </c>
      <c r="GL5" s="77">
        <v>45480</v>
      </c>
      <c r="GM5" s="77">
        <v>45481</v>
      </c>
      <c r="GN5" s="77">
        <v>45482</v>
      </c>
      <c r="GO5" s="77">
        <v>45483</v>
      </c>
      <c r="GP5" s="77">
        <v>45484</v>
      </c>
      <c r="GQ5" s="77">
        <v>45485</v>
      </c>
      <c r="GR5" s="77">
        <v>45486</v>
      </c>
      <c r="GS5" s="77">
        <v>45487</v>
      </c>
      <c r="GT5" s="77">
        <v>45488</v>
      </c>
      <c r="GU5" s="77">
        <v>45489</v>
      </c>
      <c r="GV5" s="77">
        <v>45490</v>
      </c>
      <c r="GW5" s="77">
        <v>45491</v>
      </c>
      <c r="GX5" s="77">
        <v>45492</v>
      </c>
      <c r="GY5" s="77">
        <v>45493</v>
      </c>
      <c r="GZ5" s="77">
        <v>45494</v>
      </c>
      <c r="HA5" s="77">
        <v>45495</v>
      </c>
      <c r="HB5" s="77">
        <v>45496</v>
      </c>
      <c r="HC5" s="77">
        <v>45497</v>
      </c>
      <c r="HD5" s="77">
        <v>45498</v>
      </c>
      <c r="HE5" s="77">
        <v>45499</v>
      </c>
      <c r="HF5" s="77">
        <v>45500</v>
      </c>
      <c r="HG5" s="77">
        <v>45501</v>
      </c>
      <c r="HH5" s="77">
        <v>45502</v>
      </c>
      <c r="HI5" s="77">
        <v>45503</v>
      </c>
      <c r="HJ5" s="77">
        <v>45504</v>
      </c>
      <c r="HK5" s="77">
        <v>45505</v>
      </c>
      <c r="HL5" s="77">
        <v>45506</v>
      </c>
      <c r="HM5" s="77">
        <v>45507</v>
      </c>
      <c r="HN5" s="77">
        <v>45508</v>
      </c>
      <c r="HO5" s="77">
        <v>45509</v>
      </c>
      <c r="HP5" s="77">
        <v>45510</v>
      </c>
      <c r="HQ5" s="77">
        <v>45511</v>
      </c>
      <c r="HR5" s="77">
        <v>45512</v>
      </c>
      <c r="HS5" s="77">
        <v>45513</v>
      </c>
      <c r="HT5" s="77">
        <v>45514</v>
      </c>
      <c r="HU5" s="77">
        <v>45515</v>
      </c>
      <c r="HV5" s="77">
        <v>45516</v>
      </c>
      <c r="HW5" s="77">
        <v>45517</v>
      </c>
      <c r="HX5" s="77">
        <v>45518</v>
      </c>
      <c r="HY5" s="77">
        <v>45519</v>
      </c>
      <c r="HZ5" s="77">
        <v>45520</v>
      </c>
      <c r="IA5" s="77">
        <v>45521</v>
      </c>
      <c r="IB5" s="77">
        <v>45522</v>
      </c>
      <c r="IC5" s="77">
        <v>45523</v>
      </c>
      <c r="ID5" s="77">
        <v>45524</v>
      </c>
      <c r="IE5" s="77">
        <v>45525</v>
      </c>
      <c r="IF5" s="77">
        <v>45526</v>
      </c>
      <c r="IG5" s="77">
        <v>45527</v>
      </c>
      <c r="IH5" s="77">
        <v>45528</v>
      </c>
      <c r="II5" s="77">
        <v>45529</v>
      </c>
      <c r="IJ5" s="77">
        <v>45530</v>
      </c>
      <c r="IK5" s="77">
        <v>45531</v>
      </c>
      <c r="IL5" s="77">
        <v>45532</v>
      </c>
      <c r="IM5" s="77">
        <v>45533</v>
      </c>
      <c r="IN5" s="77">
        <v>45534</v>
      </c>
      <c r="IO5" s="77">
        <v>45535</v>
      </c>
      <c r="IP5" s="77">
        <v>45536</v>
      </c>
      <c r="IQ5" s="77">
        <v>45537</v>
      </c>
      <c r="IR5" s="77">
        <v>45538</v>
      </c>
      <c r="IS5" s="77">
        <v>45539</v>
      </c>
      <c r="IT5" s="77">
        <v>45540</v>
      </c>
      <c r="IU5" s="77">
        <v>45541</v>
      </c>
      <c r="IV5" s="77">
        <v>45542</v>
      </c>
      <c r="IW5" s="77">
        <v>45543</v>
      </c>
      <c r="IX5" s="77">
        <v>45544</v>
      </c>
      <c r="IY5" s="77">
        <v>45545</v>
      </c>
      <c r="IZ5" s="77">
        <v>45546</v>
      </c>
      <c r="JA5" s="77">
        <v>45547</v>
      </c>
      <c r="JB5" s="77">
        <v>45548</v>
      </c>
      <c r="JC5" s="77">
        <v>45549</v>
      </c>
      <c r="JD5" s="77">
        <v>45550</v>
      </c>
      <c r="JE5" s="77">
        <v>45551</v>
      </c>
      <c r="JF5" s="77">
        <v>45552</v>
      </c>
      <c r="JG5" s="77">
        <v>45553</v>
      </c>
      <c r="JH5" s="77">
        <v>45554</v>
      </c>
      <c r="JI5" s="77">
        <v>45555</v>
      </c>
      <c r="JJ5" s="77">
        <v>45556</v>
      </c>
      <c r="JK5" s="77">
        <v>45557</v>
      </c>
      <c r="JL5" s="77">
        <v>45558</v>
      </c>
      <c r="JM5" s="77">
        <v>45559</v>
      </c>
      <c r="JN5" s="77">
        <v>45560</v>
      </c>
      <c r="JO5" s="77">
        <v>45561</v>
      </c>
      <c r="JP5" s="77">
        <v>45562</v>
      </c>
      <c r="JQ5" s="77">
        <v>45563</v>
      </c>
      <c r="JR5" s="77">
        <v>45564</v>
      </c>
      <c r="JS5" s="77">
        <v>45565</v>
      </c>
      <c r="JT5" s="77">
        <v>45566</v>
      </c>
      <c r="JU5" s="77">
        <v>45567</v>
      </c>
      <c r="JV5" s="77">
        <v>45568</v>
      </c>
      <c r="JW5" s="77">
        <v>45569</v>
      </c>
      <c r="JX5" s="77">
        <v>45570</v>
      </c>
      <c r="JY5" s="77">
        <v>45571</v>
      </c>
      <c r="JZ5" s="77">
        <v>45572</v>
      </c>
      <c r="KA5" s="77">
        <v>45573</v>
      </c>
      <c r="KB5" s="77">
        <v>45574</v>
      </c>
      <c r="KC5" s="77">
        <v>45575</v>
      </c>
      <c r="KD5" s="77">
        <v>45576</v>
      </c>
      <c r="KE5" s="77">
        <v>45577</v>
      </c>
      <c r="KF5" s="77">
        <v>45578</v>
      </c>
      <c r="KG5" s="77">
        <v>45579</v>
      </c>
      <c r="KH5" s="77">
        <v>45580</v>
      </c>
      <c r="KI5" s="77">
        <v>45581</v>
      </c>
      <c r="KJ5" s="77">
        <v>45582</v>
      </c>
      <c r="KK5" s="77">
        <v>45583</v>
      </c>
      <c r="KL5" s="77">
        <v>45584</v>
      </c>
      <c r="KM5" s="77">
        <v>45585</v>
      </c>
      <c r="KN5" s="77">
        <v>45586</v>
      </c>
      <c r="KO5" s="77">
        <v>45587</v>
      </c>
      <c r="KP5" s="77">
        <v>45588</v>
      </c>
      <c r="KQ5" s="77">
        <v>45589</v>
      </c>
      <c r="KR5" s="77">
        <v>45590</v>
      </c>
      <c r="KS5" s="77">
        <v>45591</v>
      </c>
      <c r="KT5" s="77">
        <v>45592</v>
      </c>
      <c r="KU5" s="77">
        <v>45593</v>
      </c>
      <c r="KV5" s="77">
        <v>45594</v>
      </c>
      <c r="KW5" s="77">
        <v>45595</v>
      </c>
      <c r="KX5" s="77">
        <v>45596</v>
      </c>
      <c r="KY5" s="77">
        <v>45597</v>
      </c>
      <c r="KZ5" s="77">
        <v>45598</v>
      </c>
      <c r="LA5" s="77">
        <v>45599</v>
      </c>
      <c r="LB5" s="77">
        <v>45600</v>
      </c>
      <c r="LC5" s="77">
        <v>45601</v>
      </c>
      <c r="LD5" s="77">
        <v>45602</v>
      </c>
      <c r="LE5" s="77">
        <v>45603</v>
      </c>
      <c r="LF5" s="77">
        <v>45604</v>
      </c>
      <c r="LG5" s="77">
        <v>45605</v>
      </c>
      <c r="LH5" s="77">
        <v>45606</v>
      </c>
      <c r="LI5" s="77">
        <v>45607</v>
      </c>
      <c r="LJ5" s="77">
        <v>45608</v>
      </c>
      <c r="LK5" s="77">
        <v>45609</v>
      </c>
      <c r="LL5" s="77">
        <v>45610</v>
      </c>
      <c r="LM5" s="77">
        <v>45611</v>
      </c>
      <c r="LN5" s="77">
        <v>45612</v>
      </c>
      <c r="LO5" s="77">
        <v>45613</v>
      </c>
      <c r="LP5" s="77">
        <v>45614</v>
      </c>
      <c r="LQ5" s="77">
        <v>45615</v>
      </c>
      <c r="LR5" s="77">
        <v>45616</v>
      </c>
      <c r="LS5" s="77">
        <v>45617</v>
      </c>
      <c r="LT5" s="77">
        <v>45618</v>
      </c>
      <c r="LU5" s="77">
        <v>45619</v>
      </c>
      <c r="LV5" s="77">
        <v>45620</v>
      </c>
      <c r="LW5" s="77">
        <v>45621</v>
      </c>
      <c r="LX5" s="77">
        <v>45622</v>
      </c>
      <c r="LY5" s="77">
        <v>45623</v>
      </c>
      <c r="LZ5" s="77">
        <v>45624</v>
      </c>
      <c r="MA5" s="77">
        <v>45625</v>
      </c>
      <c r="MB5" s="77">
        <v>45626</v>
      </c>
      <c r="MC5" s="77">
        <v>45627</v>
      </c>
      <c r="MD5" s="77">
        <v>45628</v>
      </c>
      <c r="ME5" s="77">
        <v>45629</v>
      </c>
      <c r="MF5" s="77">
        <v>45630</v>
      </c>
      <c r="MG5" s="77">
        <v>45631</v>
      </c>
      <c r="MH5" s="77">
        <v>45632</v>
      </c>
      <c r="MI5" s="77">
        <v>45633</v>
      </c>
      <c r="MJ5" s="77">
        <v>45634</v>
      </c>
      <c r="MK5" s="77">
        <v>45635</v>
      </c>
      <c r="ML5" s="77">
        <v>45636</v>
      </c>
      <c r="MM5" s="77">
        <v>45637</v>
      </c>
      <c r="MN5" s="77">
        <v>45638</v>
      </c>
      <c r="MO5" s="77">
        <v>45639</v>
      </c>
      <c r="MP5" s="77">
        <v>45640</v>
      </c>
      <c r="MQ5" s="77">
        <v>45641</v>
      </c>
      <c r="MR5" s="77">
        <v>45642</v>
      </c>
      <c r="MS5" s="77">
        <v>45643</v>
      </c>
      <c r="MT5" s="77">
        <v>45644</v>
      </c>
      <c r="MU5" s="77">
        <v>45645</v>
      </c>
      <c r="MV5" s="77">
        <v>45646</v>
      </c>
      <c r="MW5" s="77">
        <v>45647</v>
      </c>
      <c r="MX5" s="77">
        <v>45648</v>
      </c>
      <c r="MY5" s="77">
        <v>45649</v>
      </c>
      <c r="MZ5" s="77">
        <v>45650</v>
      </c>
      <c r="NA5" s="77">
        <v>45651</v>
      </c>
      <c r="NB5" s="77">
        <v>45652</v>
      </c>
      <c r="NC5" s="77">
        <v>45653</v>
      </c>
      <c r="ND5" s="77">
        <v>45654</v>
      </c>
      <c r="NE5" s="77">
        <v>45655</v>
      </c>
      <c r="NF5" s="77">
        <v>45656</v>
      </c>
      <c r="NG5" s="77">
        <v>45657</v>
      </c>
      <c r="NH5" s="114"/>
      <c r="NI5" s="114"/>
      <c r="NJ5" s="4" t="s">
        <v>7</v>
      </c>
      <c r="NK5" s="5">
        <v>31</v>
      </c>
      <c r="NL5" s="3"/>
      <c r="NM5" s="3"/>
    </row>
    <row r="6" spans="1:377" x14ac:dyDescent="0.25">
      <c r="A6" s="6">
        <v>1</v>
      </c>
      <c r="B6" s="7"/>
      <c r="C6" s="8"/>
      <c r="D6" s="9"/>
      <c r="E6" s="10" t="s">
        <v>37</v>
      </c>
      <c r="F6" s="11"/>
      <c r="G6" s="12"/>
      <c r="H6" s="11"/>
      <c r="I6" s="12"/>
      <c r="J6" s="12"/>
      <c r="K6" s="13"/>
      <c r="L6" s="12"/>
      <c r="M6" s="12"/>
      <c r="N6" s="11"/>
      <c r="O6" s="11"/>
      <c r="P6" s="12"/>
      <c r="Q6" s="12"/>
      <c r="R6" s="13"/>
      <c r="S6" s="13"/>
      <c r="T6" s="12"/>
      <c r="U6" s="14"/>
      <c r="V6" s="11"/>
      <c r="W6" s="12"/>
      <c r="X6" s="12"/>
      <c r="Y6" s="13"/>
      <c r="Z6" s="12"/>
      <c r="AA6" s="12"/>
      <c r="AB6" s="12"/>
      <c r="AC6" s="12"/>
      <c r="AD6" s="12"/>
      <c r="AE6" s="12"/>
      <c r="AF6" s="13"/>
      <c r="AG6" s="12"/>
      <c r="AH6" s="12"/>
      <c r="AI6" s="12"/>
      <c r="AJ6" s="12"/>
      <c r="AK6" s="15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5">
        <f>COUNTIF(F6:NG6,"P")</f>
        <v>0</v>
      </c>
      <c r="NI6" s="5">
        <f>COUNTIF(F6:NG6,"A")</f>
        <v>0</v>
      </c>
      <c r="NJ6" s="5" t="s">
        <v>9</v>
      </c>
      <c r="NK6" s="17">
        <v>26</v>
      </c>
      <c r="NL6" s="18" t="s">
        <v>10</v>
      </c>
      <c r="NM6" s="3"/>
    </row>
    <row r="7" spans="1:377" ht="20.25" customHeight="1" x14ac:dyDescent="0.25">
      <c r="A7" s="17">
        <v>2</v>
      </c>
      <c r="B7" s="19"/>
      <c r="C7" s="20"/>
      <c r="D7" s="21"/>
      <c r="E7" s="10" t="s">
        <v>37</v>
      </c>
      <c r="F7" s="11"/>
      <c r="G7" s="12"/>
      <c r="H7" s="11"/>
      <c r="I7" s="12"/>
      <c r="J7" s="12"/>
      <c r="K7" s="13"/>
      <c r="L7" s="12"/>
      <c r="M7" s="12"/>
      <c r="N7" s="11"/>
      <c r="O7" s="11"/>
      <c r="P7" s="12"/>
      <c r="Q7" s="12"/>
      <c r="R7" s="13"/>
      <c r="S7" s="13"/>
      <c r="T7" s="12"/>
      <c r="U7" s="14"/>
      <c r="V7" s="11"/>
      <c r="W7" s="12"/>
      <c r="X7" s="12"/>
      <c r="Y7" s="13"/>
      <c r="Z7" s="12"/>
      <c r="AA7" s="12"/>
      <c r="AB7" s="12"/>
      <c r="AC7" s="12"/>
      <c r="AD7" s="12"/>
      <c r="AE7" s="12"/>
      <c r="AF7" s="13"/>
      <c r="AG7" s="12"/>
      <c r="AH7" s="12"/>
      <c r="AI7" s="12"/>
      <c r="AJ7" s="12"/>
      <c r="AK7" s="15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5">
        <f t="shared" ref="NH7:NH45" si="6">COUNTIF(F7:NG7,"P")</f>
        <v>0</v>
      </c>
      <c r="NI7" s="5">
        <f t="shared" ref="NI7:NI45" si="7">COUNTIF(F7:NG7,"A")</f>
        <v>0</v>
      </c>
      <c r="NJ7" s="5" t="s">
        <v>11</v>
      </c>
      <c r="NK7" s="17">
        <v>4</v>
      </c>
      <c r="NL7" s="3"/>
      <c r="NM7" s="3"/>
    </row>
    <row r="8" spans="1:377" x14ac:dyDescent="0.25">
      <c r="A8" s="6">
        <v>3</v>
      </c>
      <c r="B8" s="19"/>
      <c r="C8" s="20"/>
      <c r="D8" s="21"/>
      <c r="E8" s="10" t="s">
        <v>37</v>
      </c>
      <c r="F8" s="11"/>
      <c r="G8" s="12"/>
      <c r="H8" s="11"/>
      <c r="I8" s="12"/>
      <c r="J8" s="12"/>
      <c r="K8" s="13"/>
      <c r="L8" s="12"/>
      <c r="M8" s="12"/>
      <c r="N8" s="11"/>
      <c r="O8" s="11"/>
      <c r="P8" s="12"/>
      <c r="Q8" s="12"/>
      <c r="R8" s="13"/>
      <c r="S8" s="13"/>
      <c r="T8" s="12"/>
      <c r="U8" s="14"/>
      <c r="V8" s="11"/>
      <c r="W8" s="12"/>
      <c r="X8" s="12"/>
      <c r="Y8" s="13"/>
      <c r="Z8" s="12"/>
      <c r="AA8" s="12"/>
      <c r="AB8" s="12"/>
      <c r="AC8" s="12"/>
      <c r="AD8" s="12"/>
      <c r="AE8" s="12"/>
      <c r="AF8" s="13"/>
      <c r="AG8" s="12"/>
      <c r="AH8" s="12"/>
      <c r="AI8" s="12"/>
      <c r="AJ8" s="12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5">
        <f t="shared" si="6"/>
        <v>0</v>
      </c>
      <c r="NI8" s="5">
        <f t="shared" si="7"/>
        <v>0</v>
      </c>
      <c r="NJ8" s="3"/>
      <c r="NK8" s="3"/>
      <c r="NL8" s="3"/>
      <c r="NM8" s="3"/>
    </row>
    <row r="9" spans="1:377" ht="15.75" x14ac:dyDescent="0.25">
      <c r="A9" s="17">
        <v>4</v>
      </c>
      <c r="B9" s="19"/>
      <c r="C9" s="20"/>
      <c r="D9" s="21"/>
      <c r="E9" s="10" t="s">
        <v>37</v>
      </c>
      <c r="F9" s="11"/>
      <c r="G9" s="12"/>
      <c r="H9" s="11"/>
      <c r="I9" s="12"/>
      <c r="J9" s="12"/>
      <c r="K9" s="13"/>
      <c r="L9" s="12"/>
      <c r="M9" s="12"/>
      <c r="N9" s="11"/>
      <c r="O9" s="11"/>
      <c r="P9" s="12"/>
      <c r="Q9" s="12"/>
      <c r="R9" s="13"/>
      <c r="S9" s="13"/>
      <c r="T9" s="12"/>
      <c r="U9" s="14"/>
      <c r="V9" s="11"/>
      <c r="W9" s="12"/>
      <c r="X9" s="12"/>
      <c r="Y9" s="13"/>
      <c r="Z9" s="12"/>
      <c r="AA9" s="12"/>
      <c r="AB9" s="12"/>
      <c r="AC9" s="12"/>
      <c r="AD9" s="12"/>
      <c r="AE9" s="12"/>
      <c r="AF9" s="13"/>
      <c r="AG9" s="12"/>
      <c r="AH9" s="12"/>
      <c r="AI9" s="12"/>
      <c r="AJ9" s="12"/>
      <c r="AK9" s="22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5">
        <f t="shared" si="6"/>
        <v>0</v>
      </c>
      <c r="NI9" s="5">
        <f t="shared" si="7"/>
        <v>0</v>
      </c>
      <c r="NJ9" s="103" t="s">
        <v>12</v>
      </c>
      <c r="NK9" s="105"/>
      <c r="NL9" s="105"/>
      <c r="NM9" s="104"/>
    </row>
    <row r="10" spans="1:377" x14ac:dyDescent="0.25">
      <c r="A10" s="6">
        <v>5</v>
      </c>
      <c r="B10" s="19"/>
      <c r="C10" s="20"/>
      <c r="D10" s="21"/>
      <c r="E10" s="10" t="s">
        <v>37</v>
      </c>
      <c r="F10" s="11"/>
      <c r="G10" s="12"/>
      <c r="H10" s="11"/>
      <c r="I10" s="12"/>
      <c r="J10" s="12"/>
      <c r="K10" s="13"/>
      <c r="L10" s="12"/>
      <c r="M10" s="12"/>
      <c r="N10" s="11"/>
      <c r="O10" s="11"/>
      <c r="P10" s="12"/>
      <c r="Q10" s="12"/>
      <c r="R10" s="13"/>
      <c r="S10" s="13"/>
      <c r="T10" s="12"/>
      <c r="U10" s="14"/>
      <c r="V10" s="11"/>
      <c r="W10" s="12"/>
      <c r="X10" s="12"/>
      <c r="Y10" s="13"/>
      <c r="Z10" s="12"/>
      <c r="AA10" s="12"/>
      <c r="AB10" s="12"/>
      <c r="AC10" s="12"/>
      <c r="AD10" s="12"/>
      <c r="AE10" s="12"/>
      <c r="AF10" s="13"/>
      <c r="AG10" s="12"/>
      <c r="AH10" s="12"/>
      <c r="AI10" s="12"/>
      <c r="AJ10" s="12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5">
        <f t="shared" si="6"/>
        <v>0</v>
      </c>
      <c r="NI10" s="5">
        <f t="shared" si="7"/>
        <v>0</v>
      </c>
      <c r="NJ10" s="5" t="s">
        <v>13</v>
      </c>
      <c r="NK10" s="5" t="s">
        <v>14</v>
      </c>
      <c r="NL10" s="5" t="s">
        <v>15</v>
      </c>
      <c r="NM10" s="5" t="s">
        <v>16</v>
      </c>
    </row>
    <row r="11" spans="1:377" x14ac:dyDescent="0.25">
      <c r="A11" s="17">
        <v>6</v>
      </c>
      <c r="B11" s="19"/>
      <c r="C11" s="20"/>
      <c r="D11" s="21"/>
      <c r="E11" s="10" t="s">
        <v>37</v>
      </c>
      <c r="F11" s="11"/>
      <c r="G11" s="12"/>
      <c r="H11" s="11"/>
      <c r="I11" s="12"/>
      <c r="J11" s="12"/>
      <c r="K11" s="13"/>
      <c r="L11" s="12"/>
      <c r="M11" s="12"/>
      <c r="N11" s="11"/>
      <c r="O11" s="11"/>
      <c r="P11" s="12"/>
      <c r="Q11" s="12"/>
      <c r="R11" s="13"/>
      <c r="S11" s="13"/>
      <c r="T11" s="12"/>
      <c r="U11" s="14"/>
      <c r="V11" s="11"/>
      <c r="W11" s="12"/>
      <c r="X11" s="12"/>
      <c r="Y11" s="13"/>
      <c r="Z11" s="12"/>
      <c r="AA11" s="12"/>
      <c r="AB11" s="12"/>
      <c r="AC11" s="12"/>
      <c r="AD11" s="12"/>
      <c r="AE11" s="12"/>
      <c r="AF11" s="13"/>
      <c r="AG11" s="12"/>
      <c r="AH11" s="12"/>
      <c r="AI11" s="12"/>
      <c r="AJ11" s="1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5">
        <f t="shared" si="6"/>
        <v>0</v>
      </c>
      <c r="NI11" s="5">
        <f t="shared" si="7"/>
        <v>0</v>
      </c>
      <c r="NJ11" s="5" t="s">
        <v>17</v>
      </c>
      <c r="NK11" s="17">
        <f>19*26</f>
        <v>494</v>
      </c>
      <c r="NL11" s="17">
        <f>21*26</f>
        <v>546</v>
      </c>
      <c r="NM11" s="17">
        <f>SUM(NK11:NL11)</f>
        <v>1040</v>
      </c>
    </row>
    <row r="12" spans="1:377" x14ac:dyDescent="0.25">
      <c r="A12" s="6">
        <v>7</v>
      </c>
      <c r="B12" s="19"/>
      <c r="C12" s="20"/>
      <c r="D12" s="21"/>
      <c r="E12" s="10" t="s">
        <v>37</v>
      </c>
      <c r="F12" s="11"/>
      <c r="G12" s="12"/>
      <c r="H12" s="11"/>
      <c r="I12" s="12"/>
      <c r="J12" s="12"/>
      <c r="K12" s="13"/>
      <c r="L12" s="12"/>
      <c r="M12" s="12"/>
      <c r="N12" s="11"/>
      <c r="O12" s="11"/>
      <c r="P12" s="12"/>
      <c r="Q12" s="12"/>
      <c r="R12" s="13"/>
      <c r="S12" s="13"/>
      <c r="T12" s="12"/>
      <c r="U12" s="14"/>
      <c r="V12" s="11"/>
      <c r="W12" s="12"/>
      <c r="X12" s="12"/>
      <c r="Y12" s="13"/>
      <c r="Z12" s="12"/>
      <c r="AA12" s="12"/>
      <c r="AB12" s="12"/>
      <c r="AC12" s="12"/>
      <c r="AD12" s="12"/>
      <c r="AE12" s="12"/>
      <c r="AF12" s="13"/>
      <c r="AG12" s="12"/>
      <c r="AH12" s="12"/>
      <c r="AI12" s="12"/>
      <c r="AJ12" s="1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5">
        <f t="shared" si="6"/>
        <v>0</v>
      </c>
      <c r="NI12" s="5">
        <f t="shared" si="7"/>
        <v>0</v>
      </c>
      <c r="NJ12" s="5" t="s">
        <v>18</v>
      </c>
      <c r="NK12" s="17">
        <f>NH7+NH8+NH9+NH12+NH13+NH14+NH16+NH20+NH21+NH22+NH23+NH24+NH25+NH26+NH27+NH29+NH30+NH32+NH43</f>
        <v>0</v>
      </c>
      <c r="NL12" s="17">
        <f>NH6+NH10+NH11+NH15+NH17+NH18+NH19+NH28+NH31+NH33+NH34+NH35+NH36+NH37+NH38+NH39+NH40+NH41+NH42+NH44+NH45</f>
        <v>0</v>
      </c>
      <c r="NM12" s="17">
        <f>NK12+NL12</f>
        <v>0</v>
      </c>
    </row>
    <row r="13" spans="1:377" x14ac:dyDescent="0.25">
      <c r="A13" s="17">
        <v>8</v>
      </c>
      <c r="B13" s="19"/>
      <c r="C13" s="20"/>
      <c r="D13" s="21"/>
      <c r="E13" s="10" t="s">
        <v>37</v>
      </c>
      <c r="F13" s="11"/>
      <c r="G13" s="12"/>
      <c r="H13" s="11"/>
      <c r="I13" s="12"/>
      <c r="J13" s="12"/>
      <c r="K13" s="13"/>
      <c r="L13" s="12"/>
      <c r="M13" s="12"/>
      <c r="N13" s="11"/>
      <c r="O13" s="11"/>
      <c r="P13" s="12"/>
      <c r="Q13" s="12"/>
      <c r="R13" s="13"/>
      <c r="S13" s="13"/>
      <c r="T13" s="12"/>
      <c r="U13" s="14"/>
      <c r="V13" s="11"/>
      <c r="W13" s="12"/>
      <c r="X13" s="12"/>
      <c r="Y13" s="13"/>
      <c r="Z13" s="12"/>
      <c r="AA13" s="12"/>
      <c r="AB13" s="12"/>
      <c r="AC13" s="12"/>
      <c r="AD13" s="12"/>
      <c r="AE13" s="12"/>
      <c r="AF13" s="13"/>
      <c r="AG13" s="12"/>
      <c r="AH13" s="12"/>
      <c r="AI13" s="12"/>
      <c r="AJ13" s="1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5">
        <f t="shared" si="6"/>
        <v>0</v>
      </c>
      <c r="NI13" s="5">
        <f t="shared" si="7"/>
        <v>0</v>
      </c>
      <c r="NJ13" s="5" t="s">
        <v>19</v>
      </c>
      <c r="NK13" s="17">
        <f>NK12/NK11</f>
        <v>0</v>
      </c>
      <c r="NL13" s="17">
        <f>NL12/NL11</f>
        <v>0</v>
      </c>
      <c r="NM13" s="17">
        <f>NM12/NM11</f>
        <v>0</v>
      </c>
    </row>
    <row r="14" spans="1:377" x14ac:dyDescent="0.25">
      <c r="A14" s="6">
        <v>9</v>
      </c>
      <c r="B14" s="19"/>
      <c r="C14" s="20"/>
      <c r="D14" s="21"/>
      <c r="E14" s="10" t="s">
        <v>37</v>
      </c>
      <c r="F14" s="11"/>
      <c r="G14" s="12"/>
      <c r="H14" s="11"/>
      <c r="I14" s="12"/>
      <c r="J14" s="12"/>
      <c r="K14" s="13"/>
      <c r="L14" s="12"/>
      <c r="M14" s="12"/>
      <c r="N14" s="11"/>
      <c r="O14" s="11"/>
      <c r="P14" s="12"/>
      <c r="Q14" s="12"/>
      <c r="R14" s="13"/>
      <c r="S14" s="13"/>
      <c r="T14" s="12"/>
      <c r="U14" s="14"/>
      <c r="V14" s="11"/>
      <c r="W14" s="12"/>
      <c r="X14" s="12"/>
      <c r="Y14" s="13"/>
      <c r="Z14" s="12"/>
      <c r="AA14" s="12"/>
      <c r="AB14" s="12"/>
      <c r="AC14" s="12"/>
      <c r="AD14" s="12"/>
      <c r="AE14" s="12"/>
      <c r="AF14" s="13"/>
      <c r="AG14" s="12"/>
      <c r="AH14" s="12"/>
      <c r="AI14" s="12"/>
      <c r="AJ14" s="12"/>
      <c r="AK14" s="23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5">
        <f t="shared" si="6"/>
        <v>0</v>
      </c>
      <c r="NI14" s="5">
        <f t="shared" si="7"/>
        <v>0</v>
      </c>
      <c r="NJ14" s="3"/>
      <c r="NK14" s="24"/>
      <c r="NL14" s="24"/>
      <c r="NM14" s="24"/>
    </row>
    <row r="15" spans="1:377" x14ac:dyDescent="0.25">
      <c r="A15" s="17">
        <v>10</v>
      </c>
      <c r="B15" s="25"/>
      <c r="C15" s="20"/>
      <c r="D15" s="21"/>
      <c r="E15" s="10" t="s">
        <v>37</v>
      </c>
      <c r="F15" s="11"/>
      <c r="G15" s="12"/>
      <c r="H15" s="11"/>
      <c r="I15" s="12"/>
      <c r="J15" s="12"/>
      <c r="K15" s="13"/>
      <c r="L15" s="12"/>
      <c r="M15" s="12"/>
      <c r="N15" s="11"/>
      <c r="O15" s="11"/>
      <c r="P15" s="12"/>
      <c r="Q15" s="12"/>
      <c r="R15" s="13"/>
      <c r="S15" s="13"/>
      <c r="T15" s="12"/>
      <c r="U15" s="14"/>
      <c r="V15" s="11"/>
      <c r="W15" s="12"/>
      <c r="X15" s="12"/>
      <c r="Y15" s="13"/>
      <c r="Z15" s="12"/>
      <c r="AA15" s="12"/>
      <c r="AB15" s="12"/>
      <c r="AC15" s="12"/>
      <c r="AD15" s="12"/>
      <c r="AE15" s="12"/>
      <c r="AF15" s="13"/>
      <c r="AG15" s="12"/>
      <c r="AH15" s="12"/>
      <c r="AI15" s="12"/>
      <c r="AJ15" s="1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5">
        <f t="shared" si="6"/>
        <v>0</v>
      </c>
      <c r="NI15" s="5">
        <f t="shared" si="7"/>
        <v>0</v>
      </c>
      <c r="NJ15" s="26"/>
      <c r="NK15" s="26"/>
      <c r="NL15" s="26"/>
      <c r="NM15" s="26"/>
    </row>
    <row r="16" spans="1:377" x14ac:dyDescent="0.25">
      <c r="A16" s="6">
        <v>11</v>
      </c>
      <c r="B16" s="19"/>
      <c r="C16" s="20"/>
      <c r="D16" s="21"/>
      <c r="E16" s="10" t="s">
        <v>37</v>
      </c>
      <c r="F16" s="11"/>
      <c r="G16" s="12"/>
      <c r="H16" s="11"/>
      <c r="I16" s="12"/>
      <c r="J16" s="12"/>
      <c r="K16" s="13"/>
      <c r="L16" s="12"/>
      <c r="M16" s="12"/>
      <c r="N16" s="11"/>
      <c r="O16" s="11"/>
      <c r="P16" s="12"/>
      <c r="Q16" s="12"/>
      <c r="R16" s="13"/>
      <c r="S16" s="13"/>
      <c r="T16" s="12"/>
      <c r="U16" s="14"/>
      <c r="V16" s="11"/>
      <c r="W16" s="12"/>
      <c r="X16" s="12"/>
      <c r="Y16" s="13"/>
      <c r="Z16" s="12"/>
      <c r="AA16" s="12"/>
      <c r="AB16" s="12"/>
      <c r="AC16" s="12"/>
      <c r="AD16" s="12"/>
      <c r="AE16" s="12"/>
      <c r="AF16" s="13"/>
      <c r="AG16" s="12"/>
      <c r="AH16" s="12"/>
      <c r="AI16" s="12"/>
      <c r="AJ16" s="1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5">
        <f t="shared" si="6"/>
        <v>0</v>
      </c>
      <c r="NI16" s="5">
        <f t="shared" si="7"/>
        <v>0</v>
      </c>
      <c r="NJ16" s="3"/>
      <c r="NK16" s="3"/>
      <c r="NL16" s="3"/>
      <c r="NM16" s="3"/>
    </row>
    <row r="17" spans="1:377" ht="15.75" x14ac:dyDescent="0.25">
      <c r="A17" s="17">
        <v>12</v>
      </c>
      <c r="B17" s="19"/>
      <c r="C17" s="20"/>
      <c r="D17" s="21"/>
      <c r="E17" s="10" t="s">
        <v>37</v>
      </c>
      <c r="F17" s="11"/>
      <c r="G17" s="12"/>
      <c r="H17" s="11"/>
      <c r="I17" s="12"/>
      <c r="J17" s="12"/>
      <c r="K17" s="13"/>
      <c r="L17" s="12"/>
      <c r="M17" s="12"/>
      <c r="N17" s="11"/>
      <c r="O17" s="11"/>
      <c r="P17" s="12"/>
      <c r="Q17" s="12"/>
      <c r="R17" s="13"/>
      <c r="S17" s="13"/>
      <c r="T17" s="12"/>
      <c r="U17" s="14"/>
      <c r="V17" s="11"/>
      <c r="W17" s="12"/>
      <c r="X17" s="12"/>
      <c r="Y17" s="13"/>
      <c r="Z17" s="12"/>
      <c r="AA17" s="12"/>
      <c r="AB17" s="12"/>
      <c r="AC17" s="12"/>
      <c r="AD17" s="12"/>
      <c r="AE17" s="12"/>
      <c r="AF17" s="13"/>
      <c r="AG17" s="12"/>
      <c r="AH17" s="12"/>
      <c r="AI17" s="12"/>
      <c r="AJ17" s="1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5">
        <f t="shared" si="6"/>
        <v>0</v>
      </c>
      <c r="NI17" s="5">
        <f t="shared" si="7"/>
        <v>0</v>
      </c>
      <c r="NJ17" s="103" t="s">
        <v>6</v>
      </c>
      <c r="NK17" s="105"/>
      <c r="NL17" s="105"/>
      <c r="NM17" s="104"/>
    </row>
    <row r="18" spans="1:377" x14ac:dyDescent="0.25">
      <c r="A18" s="6">
        <v>13</v>
      </c>
      <c r="B18" s="19"/>
      <c r="C18" s="20"/>
      <c r="D18" s="21"/>
      <c r="E18" s="10" t="s">
        <v>37</v>
      </c>
      <c r="F18" s="11"/>
      <c r="G18" s="12"/>
      <c r="H18" s="11"/>
      <c r="I18" s="12"/>
      <c r="J18" s="12"/>
      <c r="K18" s="13"/>
      <c r="L18" s="12"/>
      <c r="M18" s="12"/>
      <c r="N18" s="11"/>
      <c r="O18" s="11"/>
      <c r="P18" s="12"/>
      <c r="Q18" s="12"/>
      <c r="R18" s="13"/>
      <c r="S18" s="13"/>
      <c r="T18" s="12"/>
      <c r="U18" s="14"/>
      <c r="V18" s="11"/>
      <c r="W18" s="12"/>
      <c r="X18" s="12"/>
      <c r="Y18" s="13"/>
      <c r="Z18" s="12"/>
      <c r="AA18" s="12"/>
      <c r="AB18" s="12"/>
      <c r="AC18" s="12"/>
      <c r="AD18" s="12"/>
      <c r="AE18" s="12"/>
      <c r="AF18" s="13"/>
      <c r="AG18" s="12"/>
      <c r="AH18" s="12"/>
      <c r="AI18" s="12"/>
      <c r="AJ18" s="1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5">
        <f t="shared" si="6"/>
        <v>0</v>
      </c>
      <c r="NI18" s="5">
        <f t="shared" si="7"/>
        <v>0</v>
      </c>
      <c r="NJ18" s="5" t="s">
        <v>13</v>
      </c>
      <c r="NK18" s="5" t="s">
        <v>14</v>
      </c>
      <c r="NL18" s="5" t="s">
        <v>15</v>
      </c>
      <c r="NM18" s="5" t="s">
        <v>16</v>
      </c>
    </row>
    <row r="19" spans="1:377" x14ac:dyDescent="0.25">
      <c r="A19" s="17">
        <v>14</v>
      </c>
      <c r="B19" s="19"/>
      <c r="C19" s="20"/>
      <c r="D19" s="21"/>
      <c r="E19" s="10" t="s">
        <v>37</v>
      </c>
      <c r="F19" s="11"/>
      <c r="G19" s="12"/>
      <c r="H19" s="11"/>
      <c r="I19" s="12"/>
      <c r="J19" s="12"/>
      <c r="K19" s="13"/>
      <c r="L19" s="12"/>
      <c r="M19" s="12"/>
      <c r="N19" s="11"/>
      <c r="O19" s="11"/>
      <c r="P19" s="12"/>
      <c r="Q19" s="12"/>
      <c r="R19" s="13"/>
      <c r="S19" s="13"/>
      <c r="T19" s="12"/>
      <c r="U19" s="14"/>
      <c r="V19" s="11"/>
      <c r="W19" s="12"/>
      <c r="X19" s="12"/>
      <c r="Y19" s="13"/>
      <c r="Z19" s="12"/>
      <c r="AA19" s="12"/>
      <c r="AB19" s="12"/>
      <c r="AC19" s="12"/>
      <c r="AD19" s="12"/>
      <c r="AE19" s="12"/>
      <c r="AF19" s="13"/>
      <c r="AG19" s="12"/>
      <c r="AH19" s="12"/>
      <c r="AI19" s="12"/>
      <c r="AJ19" s="1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5">
        <f t="shared" si="6"/>
        <v>0</v>
      </c>
      <c r="NI19" s="5">
        <f t="shared" si="7"/>
        <v>0</v>
      </c>
      <c r="NJ19" s="5" t="s">
        <v>17</v>
      </c>
      <c r="NK19" s="17">
        <f>19*26</f>
        <v>494</v>
      </c>
      <c r="NL19" s="17">
        <f>21*26</f>
        <v>546</v>
      </c>
      <c r="NM19" s="17">
        <f>NK19+NL19</f>
        <v>1040</v>
      </c>
    </row>
    <row r="20" spans="1:377" x14ac:dyDescent="0.25">
      <c r="A20" s="6">
        <v>15</v>
      </c>
      <c r="B20" s="19"/>
      <c r="C20" s="20"/>
      <c r="D20" s="21"/>
      <c r="E20" s="10" t="s">
        <v>37</v>
      </c>
      <c r="F20" s="11"/>
      <c r="G20" s="12"/>
      <c r="H20" s="11"/>
      <c r="I20" s="12"/>
      <c r="J20" s="12"/>
      <c r="K20" s="13"/>
      <c r="L20" s="12"/>
      <c r="M20" s="12"/>
      <c r="N20" s="11"/>
      <c r="O20" s="11"/>
      <c r="P20" s="12"/>
      <c r="Q20" s="12"/>
      <c r="R20" s="13"/>
      <c r="S20" s="13"/>
      <c r="T20" s="12"/>
      <c r="U20" s="14"/>
      <c r="V20" s="11"/>
      <c r="W20" s="12"/>
      <c r="X20" s="12"/>
      <c r="Y20" s="13"/>
      <c r="Z20" s="12"/>
      <c r="AA20" s="12"/>
      <c r="AB20" s="12"/>
      <c r="AC20" s="12"/>
      <c r="AD20" s="12"/>
      <c r="AE20" s="12"/>
      <c r="AF20" s="13"/>
      <c r="AG20" s="12"/>
      <c r="AH20" s="12"/>
      <c r="AI20" s="12"/>
      <c r="AJ20" s="1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5">
        <f t="shared" si="6"/>
        <v>0</v>
      </c>
      <c r="NI20" s="5">
        <f t="shared" si="7"/>
        <v>0</v>
      </c>
      <c r="NJ20" s="5" t="s">
        <v>20</v>
      </c>
      <c r="NK20" s="17">
        <f>NK19-NK12</f>
        <v>494</v>
      </c>
      <c r="NL20" s="17">
        <f>NL19-NL12</f>
        <v>546</v>
      </c>
      <c r="NM20" s="17">
        <f>NK20+NL20</f>
        <v>1040</v>
      </c>
    </row>
    <row r="21" spans="1:377" x14ac:dyDescent="0.25">
      <c r="A21" s="17">
        <v>16</v>
      </c>
      <c r="B21" s="19"/>
      <c r="C21" s="20"/>
      <c r="D21" s="21"/>
      <c r="E21" s="10" t="s">
        <v>37</v>
      </c>
      <c r="F21" s="11"/>
      <c r="G21" s="12"/>
      <c r="H21" s="11"/>
      <c r="I21" s="12"/>
      <c r="J21" s="12"/>
      <c r="K21" s="13"/>
      <c r="L21" s="12"/>
      <c r="M21" s="12"/>
      <c r="N21" s="11"/>
      <c r="O21" s="11"/>
      <c r="P21" s="12"/>
      <c r="Q21" s="12"/>
      <c r="R21" s="13"/>
      <c r="S21" s="13"/>
      <c r="T21" s="12"/>
      <c r="U21" s="14"/>
      <c r="V21" s="11"/>
      <c r="W21" s="12"/>
      <c r="X21" s="12"/>
      <c r="Y21" s="13"/>
      <c r="Z21" s="12"/>
      <c r="AA21" s="12"/>
      <c r="AB21" s="12"/>
      <c r="AC21" s="12"/>
      <c r="AD21" s="12"/>
      <c r="AE21" s="12"/>
      <c r="AF21" s="13"/>
      <c r="AG21" s="12"/>
      <c r="AH21" s="12"/>
      <c r="AI21" s="12"/>
      <c r="AJ21" s="1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5">
        <f t="shared" si="6"/>
        <v>0</v>
      </c>
      <c r="NI21" s="5">
        <f t="shared" si="7"/>
        <v>0</v>
      </c>
      <c r="NJ21" s="5" t="s">
        <v>16</v>
      </c>
      <c r="NK21" s="27">
        <f>NK20/NK19</f>
        <v>1</v>
      </c>
      <c r="NL21" s="27">
        <f>NL20/NL19</f>
        <v>1</v>
      </c>
      <c r="NM21" s="27">
        <f>NM20/NM19</f>
        <v>1</v>
      </c>
    </row>
    <row r="22" spans="1:377" x14ac:dyDescent="0.25">
      <c r="A22" s="6">
        <v>17</v>
      </c>
      <c r="B22" s="19"/>
      <c r="C22" s="20"/>
      <c r="D22" s="21"/>
      <c r="E22" s="10" t="s">
        <v>37</v>
      </c>
      <c r="F22" s="11"/>
      <c r="G22" s="12"/>
      <c r="H22" s="11"/>
      <c r="I22" s="12"/>
      <c r="J22" s="12"/>
      <c r="K22" s="13"/>
      <c r="L22" s="12"/>
      <c r="M22" s="12"/>
      <c r="N22" s="11"/>
      <c r="O22" s="11"/>
      <c r="P22" s="12"/>
      <c r="Q22" s="12"/>
      <c r="R22" s="13"/>
      <c r="S22" s="13"/>
      <c r="T22" s="12"/>
      <c r="U22" s="14"/>
      <c r="V22" s="11"/>
      <c r="W22" s="12"/>
      <c r="X22" s="12"/>
      <c r="Y22" s="13"/>
      <c r="Z22" s="12"/>
      <c r="AA22" s="12"/>
      <c r="AB22" s="12"/>
      <c r="AC22" s="12"/>
      <c r="AD22" s="12"/>
      <c r="AE22" s="12"/>
      <c r="AF22" s="13"/>
      <c r="AG22" s="12"/>
      <c r="AH22" s="12"/>
      <c r="AI22" s="12"/>
      <c r="AJ22" s="1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5">
        <f t="shared" si="6"/>
        <v>0</v>
      </c>
      <c r="NI22" s="5">
        <f t="shared" si="7"/>
        <v>0</v>
      </c>
    </row>
    <row r="23" spans="1:377" x14ac:dyDescent="0.25">
      <c r="A23" s="17">
        <v>18</v>
      </c>
      <c r="B23" s="19"/>
      <c r="C23" s="20"/>
      <c r="D23" s="21"/>
      <c r="E23" s="10" t="s">
        <v>37</v>
      </c>
      <c r="F23" s="11"/>
      <c r="G23" s="12"/>
      <c r="H23" s="11"/>
      <c r="I23" s="12"/>
      <c r="J23" s="12"/>
      <c r="K23" s="13"/>
      <c r="L23" s="12"/>
      <c r="M23" s="12"/>
      <c r="N23" s="11"/>
      <c r="O23" s="11"/>
      <c r="P23" s="12"/>
      <c r="Q23" s="12"/>
      <c r="R23" s="13"/>
      <c r="S23" s="13"/>
      <c r="T23" s="12"/>
      <c r="U23" s="14"/>
      <c r="V23" s="11"/>
      <c r="W23" s="12"/>
      <c r="X23" s="12"/>
      <c r="Y23" s="13"/>
      <c r="Z23" s="12"/>
      <c r="AA23" s="12"/>
      <c r="AB23" s="12"/>
      <c r="AC23" s="12"/>
      <c r="AD23" s="12"/>
      <c r="AE23" s="12"/>
      <c r="AF23" s="13"/>
      <c r="AG23" s="12"/>
      <c r="AH23" s="12"/>
      <c r="AI23" s="12"/>
      <c r="AJ23" s="1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5">
        <f t="shared" si="6"/>
        <v>0</v>
      </c>
      <c r="NI23" s="5">
        <f t="shared" si="7"/>
        <v>0</v>
      </c>
    </row>
    <row r="24" spans="1:377" x14ac:dyDescent="0.25">
      <c r="A24" s="6">
        <v>19</v>
      </c>
      <c r="B24" s="19"/>
      <c r="C24" s="20"/>
      <c r="D24" s="21"/>
      <c r="E24" s="10" t="s">
        <v>37</v>
      </c>
      <c r="F24" s="11"/>
      <c r="G24" s="12"/>
      <c r="H24" s="11"/>
      <c r="I24" s="12"/>
      <c r="J24" s="12"/>
      <c r="K24" s="13"/>
      <c r="L24" s="12"/>
      <c r="M24" s="12"/>
      <c r="N24" s="11"/>
      <c r="O24" s="11"/>
      <c r="P24" s="12"/>
      <c r="Q24" s="12"/>
      <c r="R24" s="13"/>
      <c r="S24" s="13"/>
      <c r="T24" s="12"/>
      <c r="U24" s="14"/>
      <c r="V24" s="11"/>
      <c r="W24" s="12"/>
      <c r="X24" s="12"/>
      <c r="Y24" s="13"/>
      <c r="Z24" s="12"/>
      <c r="AA24" s="12"/>
      <c r="AB24" s="12"/>
      <c r="AC24" s="12"/>
      <c r="AD24" s="12"/>
      <c r="AE24" s="12"/>
      <c r="AF24" s="13"/>
      <c r="AG24" s="12"/>
      <c r="AH24" s="12"/>
      <c r="AI24" s="12"/>
      <c r="AJ24" s="1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5">
        <f t="shared" si="6"/>
        <v>0</v>
      </c>
      <c r="NI24" s="5">
        <f t="shared" si="7"/>
        <v>0</v>
      </c>
    </row>
    <row r="25" spans="1:377" x14ac:dyDescent="0.25">
      <c r="A25" s="17">
        <v>20</v>
      </c>
      <c r="B25" s="19"/>
      <c r="C25" s="20"/>
      <c r="D25" s="21"/>
      <c r="E25" s="10" t="s">
        <v>37</v>
      </c>
      <c r="F25" s="11"/>
      <c r="G25" s="12"/>
      <c r="H25" s="11"/>
      <c r="I25" s="12"/>
      <c r="J25" s="12"/>
      <c r="K25" s="13"/>
      <c r="L25" s="12"/>
      <c r="M25" s="12"/>
      <c r="N25" s="11"/>
      <c r="O25" s="11"/>
      <c r="P25" s="12"/>
      <c r="Q25" s="12"/>
      <c r="R25" s="13"/>
      <c r="S25" s="13"/>
      <c r="T25" s="12"/>
      <c r="U25" s="14"/>
      <c r="V25" s="11"/>
      <c r="W25" s="12"/>
      <c r="X25" s="12"/>
      <c r="Y25" s="13"/>
      <c r="Z25" s="12"/>
      <c r="AA25" s="12"/>
      <c r="AB25" s="12"/>
      <c r="AC25" s="12"/>
      <c r="AD25" s="12"/>
      <c r="AE25" s="12"/>
      <c r="AF25" s="13"/>
      <c r="AG25" s="12"/>
      <c r="AH25" s="12"/>
      <c r="AI25" s="12"/>
      <c r="AJ25" s="1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5">
        <f t="shared" si="6"/>
        <v>0</v>
      </c>
      <c r="NI25" s="5">
        <f t="shared" si="7"/>
        <v>0</v>
      </c>
    </row>
    <row r="26" spans="1:377" x14ac:dyDescent="0.25">
      <c r="A26" s="6">
        <v>21</v>
      </c>
      <c r="B26" s="19"/>
      <c r="C26" s="20"/>
      <c r="D26" s="21"/>
      <c r="E26" s="10" t="s">
        <v>37</v>
      </c>
      <c r="F26" s="11"/>
      <c r="G26" s="12"/>
      <c r="H26" s="11"/>
      <c r="I26" s="12"/>
      <c r="J26" s="12"/>
      <c r="K26" s="13"/>
      <c r="L26" s="12"/>
      <c r="M26" s="12"/>
      <c r="N26" s="11"/>
      <c r="O26" s="11"/>
      <c r="P26" s="12"/>
      <c r="Q26" s="12"/>
      <c r="R26" s="13"/>
      <c r="S26" s="13"/>
      <c r="T26" s="12"/>
      <c r="U26" s="14"/>
      <c r="V26" s="11"/>
      <c r="W26" s="12"/>
      <c r="X26" s="12"/>
      <c r="Y26" s="13"/>
      <c r="Z26" s="12"/>
      <c r="AA26" s="12"/>
      <c r="AB26" s="12"/>
      <c r="AC26" s="12"/>
      <c r="AD26" s="12"/>
      <c r="AE26" s="12"/>
      <c r="AF26" s="13"/>
      <c r="AG26" s="12"/>
      <c r="AH26" s="12"/>
      <c r="AI26" s="12"/>
      <c r="AJ26" s="1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5">
        <f t="shared" si="6"/>
        <v>0</v>
      </c>
      <c r="NI26" s="5">
        <f t="shared" si="7"/>
        <v>0</v>
      </c>
    </row>
    <row r="27" spans="1:377" x14ac:dyDescent="0.25">
      <c r="A27" s="17">
        <v>22</v>
      </c>
      <c r="B27" s="19"/>
      <c r="C27" s="20"/>
      <c r="D27" s="21"/>
      <c r="E27" s="10" t="s">
        <v>37</v>
      </c>
      <c r="F27" s="11"/>
      <c r="G27" s="12"/>
      <c r="H27" s="11"/>
      <c r="I27" s="12"/>
      <c r="J27" s="12"/>
      <c r="K27" s="13"/>
      <c r="L27" s="12"/>
      <c r="M27" s="12"/>
      <c r="N27" s="11"/>
      <c r="O27" s="11"/>
      <c r="P27" s="12"/>
      <c r="Q27" s="12"/>
      <c r="R27" s="13"/>
      <c r="S27" s="13"/>
      <c r="T27" s="12"/>
      <c r="U27" s="14"/>
      <c r="V27" s="11"/>
      <c r="W27" s="12"/>
      <c r="X27" s="12"/>
      <c r="Y27" s="13"/>
      <c r="Z27" s="12"/>
      <c r="AA27" s="12"/>
      <c r="AB27" s="12"/>
      <c r="AC27" s="12"/>
      <c r="AD27" s="12"/>
      <c r="AE27" s="12"/>
      <c r="AF27" s="13"/>
      <c r="AG27" s="12"/>
      <c r="AH27" s="12"/>
      <c r="AI27" s="12"/>
      <c r="AJ27" s="1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5">
        <f t="shared" si="6"/>
        <v>0</v>
      </c>
      <c r="NI27" s="5">
        <f t="shared" si="7"/>
        <v>0</v>
      </c>
    </row>
    <row r="28" spans="1:377" x14ac:dyDescent="0.25">
      <c r="A28" s="6">
        <v>23</v>
      </c>
      <c r="B28" s="19"/>
      <c r="C28" s="20"/>
      <c r="D28" s="21"/>
      <c r="E28" s="10" t="s">
        <v>37</v>
      </c>
      <c r="F28" s="11"/>
      <c r="G28" s="12"/>
      <c r="H28" s="11"/>
      <c r="I28" s="12"/>
      <c r="J28" s="12"/>
      <c r="K28" s="13"/>
      <c r="L28" s="12"/>
      <c r="M28" s="12"/>
      <c r="N28" s="11"/>
      <c r="O28" s="11"/>
      <c r="P28" s="12"/>
      <c r="Q28" s="12"/>
      <c r="R28" s="13"/>
      <c r="S28" s="13"/>
      <c r="T28" s="12"/>
      <c r="U28" s="14"/>
      <c r="V28" s="11"/>
      <c r="W28" s="12"/>
      <c r="X28" s="12"/>
      <c r="Y28" s="13"/>
      <c r="Z28" s="12"/>
      <c r="AA28" s="12"/>
      <c r="AB28" s="12"/>
      <c r="AC28" s="12"/>
      <c r="AD28" s="12"/>
      <c r="AE28" s="12"/>
      <c r="AF28" s="13"/>
      <c r="AG28" s="12"/>
      <c r="AH28" s="12"/>
      <c r="AI28" s="12"/>
      <c r="AJ28" s="1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5">
        <f t="shared" si="6"/>
        <v>0</v>
      </c>
      <c r="NI28" s="5">
        <f t="shared" si="7"/>
        <v>0</v>
      </c>
    </row>
    <row r="29" spans="1:377" x14ac:dyDescent="0.25">
      <c r="A29" s="17">
        <v>24</v>
      </c>
      <c r="B29" s="19"/>
      <c r="C29" s="20"/>
      <c r="D29" s="21"/>
      <c r="E29" s="10" t="s">
        <v>37</v>
      </c>
      <c r="F29" s="11"/>
      <c r="G29" s="12"/>
      <c r="H29" s="11"/>
      <c r="I29" s="12"/>
      <c r="J29" s="12"/>
      <c r="K29" s="13"/>
      <c r="L29" s="12"/>
      <c r="M29" s="12"/>
      <c r="N29" s="11"/>
      <c r="O29" s="11"/>
      <c r="P29" s="12"/>
      <c r="Q29" s="12"/>
      <c r="R29" s="13"/>
      <c r="S29" s="13"/>
      <c r="T29" s="12"/>
      <c r="U29" s="14"/>
      <c r="V29" s="11"/>
      <c r="W29" s="12"/>
      <c r="X29" s="12"/>
      <c r="Y29" s="13"/>
      <c r="Z29" s="12"/>
      <c r="AA29" s="12"/>
      <c r="AB29" s="12"/>
      <c r="AC29" s="12"/>
      <c r="AD29" s="12"/>
      <c r="AE29" s="12"/>
      <c r="AF29" s="13"/>
      <c r="AG29" s="12"/>
      <c r="AH29" s="12"/>
      <c r="AI29" s="12"/>
      <c r="AJ29" s="1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5">
        <f t="shared" si="6"/>
        <v>0</v>
      </c>
      <c r="NI29" s="5">
        <f t="shared" si="7"/>
        <v>0</v>
      </c>
    </row>
    <row r="30" spans="1:377" x14ac:dyDescent="0.25">
      <c r="A30" s="6">
        <v>25</v>
      </c>
      <c r="B30" s="19"/>
      <c r="C30" s="20"/>
      <c r="D30" s="21"/>
      <c r="E30" s="10" t="s">
        <v>37</v>
      </c>
      <c r="F30" s="11"/>
      <c r="G30" s="12"/>
      <c r="H30" s="11"/>
      <c r="I30" s="12"/>
      <c r="J30" s="12"/>
      <c r="K30" s="13"/>
      <c r="L30" s="12"/>
      <c r="M30" s="12"/>
      <c r="N30" s="11"/>
      <c r="O30" s="11"/>
      <c r="P30" s="12"/>
      <c r="Q30" s="12"/>
      <c r="R30" s="13"/>
      <c r="S30" s="13"/>
      <c r="T30" s="12"/>
      <c r="U30" s="14"/>
      <c r="V30" s="11"/>
      <c r="W30" s="12"/>
      <c r="X30" s="12"/>
      <c r="Y30" s="13"/>
      <c r="Z30" s="12"/>
      <c r="AA30" s="12"/>
      <c r="AB30" s="12"/>
      <c r="AC30" s="12"/>
      <c r="AD30" s="12"/>
      <c r="AE30" s="12"/>
      <c r="AF30" s="13"/>
      <c r="AG30" s="12"/>
      <c r="AH30" s="12"/>
      <c r="AI30" s="12"/>
      <c r="AJ30" s="1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/>
      <c r="LF30" s="16"/>
      <c r="LG30" s="16"/>
      <c r="LH30" s="16"/>
      <c r="LI30" s="16"/>
      <c r="LJ30" s="16"/>
      <c r="LK30" s="16"/>
      <c r="LL30" s="16"/>
      <c r="LM30" s="16"/>
      <c r="LN30" s="16"/>
      <c r="LO30" s="16"/>
      <c r="LP30" s="16"/>
      <c r="LQ30" s="16"/>
      <c r="LR30" s="16"/>
      <c r="LS30" s="16"/>
      <c r="LT30" s="16"/>
      <c r="LU30" s="16"/>
      <c r="LV30" s="16"/>
      <c r="LW30" s="16"/>
      <c r="LX30" s="16"/>
      <c r="LY30" s="16"/>
      <c r="LZ30" s="16"/>
      <c r="MA30" s="16"/>
      <c r="MB30" s="16"/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5">
        <f t="shared" si="6"/>
        <v>0</v>
      </c>
      <c r="NI30" s="5">
        <f t="shared" si="7"/>
        <v>0</v>
      </c>
    </row>
    <row r="31" spans="1:377" x14ac:dyDescent="0.25">
      <c r="A31" s="17">
        <v>26</v>
      </c>
      <c r="B31" s="19"/>
      <c r="C31" s="20"/>
      <c r="D31" s="21"/>
      <c r="E31" s="10" t="s">
        <v>37</v>
      </c>
      <c r="F31" s="11"/>
      <c r="G31" s="12"/>
      <c r="H31" s="11"/>
      <c r="I31" s="12"/>
      <c r="J31" s="12"/>
      <c r="K31" s="13"/>
      <c r="L31" s="12"/>
      <c r="M31" s="12"/>
      <c r="N31" s="11"/>
      <c r="O31" s="11"/>
      <c r="P31" s="12"/>
      <c r="Q31" s="12"/>
      <c r="R31" s="13"/>
      <c r="S31" s="13"/>
      <c r="T31" s="12"/>
      <c r="U31" s="14"/>
      <c r="V31" s="11"/>
      <c r="W31" s="12"/>
      <c r="X31" s="12"/>
      <c r="Y31" s="13"/>
      <c r="Z31" s="12"/>
      <c r="AA31" s="12"/>
      <c r="AB31" s="12"/>
      <c r="AC31" s="12"/>
      <c r="AD31" s="12"/>
      <c r="AE31" s="12"/>
      <c r="AF31" s="13"/>
      <c r="AG31" s="12"/>
      <c r="AH31" s="12"/>
      <c r="AI31" s="12"/>
      <c r="AJ31" s="1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6"/>
      <c r="LD31" s="16"/>
      <c r="LE31" s="16"/>
      <c r="LF31" s="16"/>
      <c r="LG31" s="16"/>
      <c r="LH31" s="16"/>
      <c r="LI31" s="16"/>
      <c r="LJ31" s="16"/>
      <c r="LK31" s="16"/>
      <c r="LL31" s="16"/>
      <c r="LM31" s="16"/>
      <c r="LN31" s="16"/>
      <c r="LO31" s="16"/>
      <c r="LP31" s="16"/>
      <c r="LQ31" s="16"/>
      <c r="LR31" s="16"/>
      <c r="LS31" s="16"/>
      <c r="LT31" s="16"/>
      <c r="LU31" s="16"/>
      <c r="LV31" s="16"/>
      <c r="LW31" s="16"/>
      <c r="LX31" s="16"/>
      <c r="LY31" s="16"/>
      <c r="LZ31" s="16"/>
      <c r="MA31" s="16"/>
      <c r="MB31" s="16"/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5">
        <f t="shared" si="6"/>
        <v>0</v>
      </c>
      <c r="NI31" s="5">
        <f t="shared" si="7"/>
        <v>0</v>
      </c>
    </row>
    <row r="32" spans="1:377" x14ac:dyDescent="0.25">
      <c r="A32" s="6">
        <v>27</v>
      </c>
      <c r="B32" s="19"/>
      <c r="C32" s="20"/>
      <c r="D32" s="21"/>
      <c r="E32" s="10" t="s">
        <v>37</v>
      </c>
      <c r="F32" s="11"/>
      <c r="G32" s="12"/>
      <c r="H32" s="11"/>
      <c r="I32" s="12"/>
      <c r="J32" s="12"/>
      <c r="K32" s="13"/>
      <c r="L32" s="12"/>
      <c r="M32" s="12"/>
      <c r="N32" s="11"/>
      <c r="O32" s="11"/>
      <c r="P32" s="12"/>
      <c r="Q32" s="12"/>
      <c r="R32" s="13"/>
      <c r="S32" s="13"/>
      <c r="T32" s="12"/>
      <c r="U32" s="14"/>
      <c r="V32" s="11"/>
      <c r="W32" s="12"/>
      <c r="X32" s="12"/>
      <c r="Y32" s="13"/>
      <c r="Z32" s="12"/>
      <c r="AA32" s="12"/>
      <c r="AB32" s="12"/>
      <c r="AC32" s="12"/>
      <c r="AD32" s="12"/>
      <c r="AE32" s="12"/>
      <c r="AF32" s="13"/>
      <c r="AG32" s="12"/>
      <c r="AH32" s="12"/>
      <c r="AI32" s="12"/>
      <c r="AJ32" s="1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/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/>
      <c r="LQ32" s="16"/>
      <c r="LR32" s="16"/>
      <c r="LS32" s="16"/>
      <c r="LT32" s="16"/>
      <c r="LU32" s="16"/>
      <c r="LV32" s="16"/>
      <c r="LW32" s="16"/>
      <c r="LX32" s="16"/>
      <c r="LY32" s="16"/>
      <c r="LZ32" s="16"/>
      <c r="MA32" s="16"/>
      <c r="MB32" s="16"/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5">
        <f t="shared" si="6"/>
        <v>0</v>
      </c>
      <c r="NI32" s="5">
        <f t="shared" si="7"/>
        <v>0</v>
      </c>
    </row>
    <row r="33" spans="1:373" x14ac:dyDescent="0.25">
      <c r="A33" s="17">
        <v>28</v>
      </c>
      <c r="B33" s="19"/>
      <c r="C33" s="20"/>
      <c r="D33" s="21"/>
      <c r="E33" s="10" t="s">
        <v>37</v>
      </c>
      <c r="F33" s="11"/>
      <c r="G33" s="12"/>
      <c r="H33" s="11"/>
      <c r="I33" s="12"/>
      <c r="J33" s="12"/>
      <c r="K33" s="13"/>
      <c r="L33" s="12"/>
      <c r="M33" s="12"/>
      <c r="N33" s="11"/>
      <c r="O33" s="11"/>
      <c r="P33" s="12"/>
      <c r="Q33" s="12"/>
      <c r="R33" s="13"/>
      <c r="S33" s="13"/>
      <c r="T33" s="12"/>
      <c r="U33" s="14"/>
      <c r="V33" s="11"/>
      <c r="W33" s="12"/>
      <c r="X33" s="12"/>
      <c r="Y33" s="13"/>
      <c r="Z33" s="12"/>
      <c r="AA33" s="12"/>
      <c r="AB33" s="12"/>
      <c r="AC33" s="12"/>
      <c r="AD33" s="12"/>
      <c r="AE33" s="12"/>
      <c r="AF33" s="13"/>
      <c r="AG33" s="12"/>
      <c r="AH33" s="12"/>
      <c r="AI33" s="12"/>
      <c r="AJ33" s="1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5">
        <f t="shared" si="6"/>
        <v>0</v>
      </c>
      <c r="NI33" s="5">
        <f t="shared" si="7"/>
        <v>0</v>
      </c>
    </row>
    <row r="34" spans="1:373" x14ac:dyDescent="0.25">
      <c r="A34" s="6">
        <v>29</v>
      </c>
      <c r="B34" s="19"/>
      <c r="C34" s="20"/>
      <c r="D34" s="21"/>
      <c r="E34" s="10" t="s">
        <v>37</v>
      </c>
      <c r="F34" s="11"/>
      <c r="G34" s="12"/>
      <c r="H34" s="11"/>
      <c r="I34" s="12"/>
      <c r="J34" s="12"/>
      <c r="K34" s="13"/>
      <c r="L34" s="12"/>
      <c r="M34" s="12"/>
      <c r="N34" s="11"/>
      <c r="O34" s="11"/>
      <c r="P34" s="12"/>
      <c r="Q34" s="12"/>
      <c r="R34" s="13"/>
      <c r="S34" s="13"/>
      <c r="T34" s="12"/>
      <c r="U34" s="14"/>
      <c r="V34" s="11"/>
      <c r="W34" s="12"/>
      <c r="X34" s="12"/>
      <c r="Y34" s="13"/>
      <c r="Z34" s="12"/>
      <c r="AA34" s="12"/>
      <c r="AB34" s="12"/>
      <c r="AC34" s="12"/>
      <c r="AD34" s="12"/>
      <c r="AE34" s="12"/>
      <c r="AF34" s="13"/>
      <c r="AG34" s="12"/>
      <c r="AH34" s="12"/>
      <c r="AI34" s="12"/>
      <c r="AJ34" s="1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5">
        <f t="shared" si="6"/>
        <v>0</v>
      </c>
      <c r="NI34" s="5">
        <f t="shared" si="7"/>
        <v>0</v>
      </c>
    </row>
    <row r="35" spans="1:373" x14ac:dyDescent="0.25">
      <c r="A35" s="17">
        <v>30</v>
      </c>
      <c r="B35" s="19"/>
      <c r="C35" s="20"/>
      <c r="D35" s="21"/>
      <c r="E35" s="10" t="s">
        <v>37</v>
      </c>
      <c r="F35" s="11"/>
      <c r="G35" s="12"/>
      <c r="H35" s="11"/>
      <c r="I35" s="12"/>
      <c r="J35" s="12"/>
      <c r="K35" s="13"/>
      <c r="L35" s="12"/>
      <c r="M35" s="12"/>
      <c r="N35" s="11"/>
      <c r="O35" s="11"/>
      <c r="P35" s="12"/>
      <c r="Q35" s="12"/>
      <c r="R35" s="13"/>
      <c r="S35" s="13"/>
      <c r="T35" s="12"/>
      <c r="U35" s="14"/>
      <c r="V35" s="11"/>
      <c r="W35" s="12"/>
      <c r="X35" s="12"/>
      <c r="Y35" s="13"/>
      <c r="Z35" s="12"/>
      <c r="AA35" s="12"/>
      <c r="AB35" s="12"/>
      <c r="AC35" s="12"/>
      <c r="AD35" s="12"/>
      <c r="AE35" s="12"/>
      <c r="AF35" s="13"/>
      <c r="AG35" s="12"/>
      <c r="AH35" s="12"/>
      <c r="AI35" s="12"/>
      <c r="AJ35" s="1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/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/>
      <c r="LQ35" s="16"/>
      <c r="LR35" s="16"/>
      <c r="LS35" s="16"/>
      <c r="LT35" s="16"/>
      <c r="LU35" s="16"/>
      <c r="LV35" s="16"/>
      <c r="LW35" s="16"/>
      <c r="LX35" s="16"/>
      <c r="LY35" s="16"/>
      <c r="LZ35" s="16"/>
      <c r="MA35" s="16"/>
      <c r="MB35" s="16"/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5">
        <f t="shared" si="6"/>
        <v>0</v>
      </c>
      <c r="NI35" s="5">
        <f t="shared" si="7"/>
        <v>0</v>
      </c>
    </row>
    <row r="36" spans="1:373" x14ac:dyDescent="0.25">
      <c r="A36" s="6">
        <v>31</v>
      </c>
      <c r="B36" s="19"/>
      <c r="C36" s="20"/>
      <c r="D36" s="21"/>
      <c r="E36" s="10" t="s">
        <v>37</v>
      </c>
      <c r="F36" s="11"/>
      <c r="G36" s="12"/>
      <c r="H36" s="11"/>
      <c r="I36" s="12"/>
      <c r="J36" s="12"/>
      <c r="K36" s="13"/>
      <c r="L36" s="12"/>
      <c r="M36" s="12"/>
      <c r="N36" s="11"/>
      <c r="O36" s="11"/>
      <c r="P36" s="12"/>
      <c r="Q36" s="12"/>
      <c r="R36" s="13"/>
      <c r="S36" s="13"/>
      <c r="T36" s="12"/>
      <c r="U36" s="14"/>
      <c r="V36" s="11"/>
      <c r="W36" s="12"/>
      <c r="X36" s="12"/>
      <c r="Y36" s="13"/>
      <c r="Z36" s="12"/>
      <c r="AA36" s="12"/>
      <c r="AB36" s="12"/>
      <c r="AC36" s="12"/>
      <c r="AD36" s="12"/>
      <c r="AE36" s="12"/>
      <c r="AF36" s="13"/>
      <c r="AG36" s="12"/>
      <c r="AH36" s="12"/>
      <c r="AI36" s="12"/>
      <c r="AJ36" s="12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5">
        <f t="shared" si="6"/>
        <v>0</v>
      </c>
      <c r="NI36" s="5">
        <f t="shared" si="7"/>
        <v>0</v>
      </c>
    </row>
    <row r="37" spans="1:373" x14ac:dyDescent="0.25">
      <c r="A37" s="17">
        <v>32</v>
      </c>
      <c r="B37" s="19"/>
      <c r="C37" s="20"/>
      <c r="D37" s="21"/>
      <c r="E37" s="10" t="s">
        <v>37</v>
      </c>
      <c r="F37" s="11"/>
      <c r="G37" s="12"/>
      <c r="H37" s="11"/>
      <c r="I37" s="12"/>
      <c r="J37" s="12"/>
      <c r="K37" s="13"/>
      <c r="L37" s="12"/>
      <c r="M37" s="12"/>
      <c r="N37" s="11"/>
      <c r="O37" s="11"/>
      <c r="P37" s="12"/>
      <c r="Q37" s="12"/>
      <c r="R37" s="13"/>
      <c r="S37" s="13"/>
      <c r="T37" s="12"/>
      <c r="U37" s="14"/>
      <c r="V37" s="11"/>
      <c r="W37" s="12"/>
      <c r="X37" s="12"/>
      <c r="Y37" s="13"/>
      <c r="Z37" s="12"/>
      <c r="AA37" s="12"/>
      <c r="AB37" s="12"/>
      <c r="AC37" s="12"/>
      <c r="AD37" s="12"/>
      <c r="AE37" s="12"/>
      <c r="AF37" s="13"/>
      <c r="AG37" s="12"/>
      <c r="AH37" s="12"/>
      <c r="AI37" s="12"/>
      <c r="AJ37" s="12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  <c r="IY37" s="16"/>
      <c r="IZ37" s="16"/>
      <c r="JA37" s="16"/>
      <c r="JB37" s="16"/>
      <c r="JC37" s="16"/>
      <c r="JD37" s="16"/>
      <c r="JE37" s="16"/>
      <c r="JF37" s="16"/>
      <c r="JG37" s="16"/>
      <c r="JH37" s="16"/>
      <c r="JI37" s="16"/>
      <c r="JJ37" s="16"/>
      <c r="JK37" s="16"/>
      <c r="JL37" s="16"/>
      <c r="JM37" s="16"/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6"/>
      <c r="KC37" s="16"/>
      <c r="KD37" s="16"/>
      <c r="KE37" s="16"/>
      <c r="KF37" s="16"/>
      <c r="KG37" s="16"/>
      <c r="KH37" s="16"/>
      <c r="KI37" s="16"/>
      <c r="KJ37" s="16"/>
      <c r="KK37" s="16"/>
      <c r="KL37" s="16"/>
      <c r="KM37" s="16"/>
      <c r="KN37" s="16"/>
      <c r="KO37" s="16"/>
      <c r="KP37" s="16"/>
      <c r="KQ37" s="16"/>
      <c r="KR37" s="16"/>
      <c r="KS37" s="16"/>
      <c r="KT37" s="16"/>
      <c r="KU37" s="16"/>
      <c r="KV37" s="16"/>
      <c r="KW37" s="16"/>
      <c r="KX37" s="16"/>
      <c r="KY37" s="16"/>
      <c r="KZ37" s="16"/>
      <c r="LA37" s="16"/>
      <c r="LB37" s="16"/>
      <c r="LC37" s="16"/>
      <c r="LD37" s="16"/>
      <c r="LE37" s="16"/>
      <c r="LF37" s="16"/>
      <c r="LG37" s="16"/>
      <c r="LH37" s="16"/>
      <c r="LI37" s="16"/>
      <c r="LJ37" s="16"/>
      <c r="LK37" s="16"/>
      <c r="LL37" s="16"/>
      <c r="LM37" s="16"/>
      <c r="LN37" s="16"/>
      <c r="LO37" s="16"/>
      <c r="LP37" s="16"/>
      <c r="LQ37" s="16"/>
      <c r="LR37" s="16"/>
      <c r="LS37" s="16"/>
      <c r="LT37" s="16"/>
      <c r="LU37" s="16"/>
      <c r="LV37" s="16"/>
      <c r="LW37" s="16"/>
      <c r="LX37" s="16"/>
      <c r="LY37" s="16"/>
      <c r="LZ37" s="16"/>
      <c r="MA37" s="16"/>
      <c r="MB37" s="16"/>
      <c r="MC37" s="16"/>
      <c r="MD37" s="16"/>
      <c r="ME37" s="16"/>
      <c r="MF37" s="16"/>
      <c r="MG37" s="16"/>
      <c r="MH37" s="16"/>
      <c r="MI37" s="16"/>
      <c r="MJ37" s="16"/>
      <c r="MK37" s="16"/>
      <c r="ML37" s="16"/>
      <c r="MM37" s="16"/>
      <c r="MN37" s="16"/>
      <c r="MO37" s="16"/>
      <c r="MP37" s="16"/>
      <c r="MQ37" s="16"/>
      <c r="MR37" s="16"/>
      <c r="MS37" s="16"/>
      <c r="MT37" s="16"/>
      <c r="MU37" s="16"/>
      <c r="MV37" s="16"/>
      <c r="MW37" s="16"/>
      <c r="MX37" s="16"/>
      <c r="MY37" s="16"/>
      <c r="MZ37" s="16"/>
      <c r="NA37" s="16"/>
      <c r="NB37" s="16"/>
      <c r="NC37" s="16"/>
      <c r="ND37" s="16"/>
      <c r="NE37" s="16"/>
      <c r="NF37" s="16"/>
      <c r="NG37" s="16"/>
      <c r="NH37" s="5">
        <f t="shared" si="6"/>
        <v>0</v>
      </c>
      <c r="NI37" s="5">
        <f t="shared" si="7"/>
        <v>0</v>
      </c>
    </row>
    <row r="38" spans="1:373" x14ac:dyDescent="0.25">
      <c r="A38" s="6">
        <v>33</v>
      </c>
      <c r="B38" s="19"/>
      <c r="C38" s="20"/>
      <c r="D38" s="21"/>
      <c r="E38" s="10" t="s">
        <v>37</v>
      </c>
      <c r="F38" s="11"/>
      <c r="G38" s="12"/>
      <c r="H38" s="11"/>
      <c r="I38" s="12"/>
      <c r="J38" s="12"/>
      <c r="K38" s="13"/>
      <c r="L38" s="12"/>
      <c r="M38" s="12"/>
      <c r="N38" s="11"/>
      <c r="O38" s="11"/>
      <c r="P38" s="12"/>
      <c r="Q38" s="12"/>
      <c r="R38" s="13"/>
      <c r="S38" s="13"/>
      <c r="T38" s="12"/>
      <c r="U38" s="14"/>
      <c r="V38" s="11"/>
      <c r="W38" s="12"/>
      <c r="X38" s="12"/>
      <c r="Y38" s="13"/>
      <c r="Z38" s="12"/>
      <c r="AA38" s="12"/>
      <c r="AB38" s="12"/>
      <c r="AC38" s="12"/>
      <c r="AD38" s="12"/>
      <c r="AE38" s="12"/>
      <c r="AF38" s="13"/>
      <c r="AG38" s="12"/>
      <c r="AH38" s="12"/>
      <c r="AI38" s="12"/>
      <c r="AJ38" s="12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5">
        <f t="shared" si="6"/>
        <v>0</v>
      </c>
      <c r="NI38" s="5">
        <f t="shared" si="7"/>
        <v>0</v>
      </c>
    </row>
    <row r="39" spans="1:373" x14ac:dyDescent="0.25">
      <c r="A39" s="17">
        <v>34</v>
      </c>
      <c r="B39" s="19"/>
      <c r="C39" s="20"/>
      <c r="D39" s="21"/>
      <c r="E39" s="10" t="s">
        <v>37</v>
      </c>
      <c r="F39" s="11"/>
      <c r="G39" s="12"/>
      <c r="H39" s="11"/>
      <c r="I39" s="12"/>
      <c r="J39" s="12"/>
      <c r="K39" s="13"/>
      <c r="L39" s="12"/>
      <c r="M39" s="12"/>
      <c r="N39" s="11"/>
      <c r="O39" s="11"/>
      <c r="P39" s="12"/>
      <c r="Q39" s="12"/>
      <c r="R39" s="13"/>
      <c r="S39" s="13"/>
      <c r="T39" s="12"/>
      <c r="U39" s="14"/>
      <c r="V39" s="11"/>
      <c r="W39" s="12"/>
      <c r="X39" s="12"/>
      <c r="Y39" s="13"/>
      <c r="Z39" s="12"/>
      <c r="AA39" s="12"/>
      <c r="AB39" s="12"/>
      <c r="AC39" s="12"/>
      <c r="AD39" s="12"/>
      <c r="AE39" s="12"/>
      <c r="AF39" s="13"/>
      <c r="AG39" s="12"/>
      <c r="AH39" s="12"/>
      <c r="AI39" s="12"/>
      <c r="AJ39" s="12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5">
        <f t="shared" si="6"/>
        <v>0</v>
      </c>
      <c r="NI39" s="5">
        <f t="shared" si="7"/>
        <v>0</v>
      </c>
    </row>
    <row r="40" spans="1:373" x14ac:dyDescent="0.25">
      <c r="A40" s="6">
        <v>35</v>
      </c>
      <c r="B40" s="19"/>
      <c r="C40" s="20"/>
      <c r="D40" s="21"/>
      <c r="E40" s="10" t="s">
        <v>37</v>
      </c>
      <c r="F40" s="11"/>
      <c r="G40" s="12"/>
      <c r="H40" s="11"/>
      <c r="I40" s="12"/>
      <c r="J40" s="12"/>
      <c r="K40" s="13"/>
      <c r="L40" s="12"/>
      <c r="M40" s="12"/>
      <c r="N40" s="11"/>
      <c r="O40" s="11"/>
      <c r="P40" s="12"/>
      <c r="Q40" s="12"/>
      <c r="R40" s="13"/>
      <c r="S40" s="13"/>
      <c r="T40" s="12"/>
      <c r="U40" s="14"/>
      <c r="V40" s="11"/>
      <c r="W40" s="12"/>
      <c r="X40" s="12"/>
      <c r="Y40" s="13"/>
      <c r="Z40" s="12"/>
      <c r="AA40" s="12"/>
      <c r="AB40" s="12"/>
      <c r="AC40" s="12"/>
      <c r="AD40" s="12"/>
      <c r="AE40" s="12"/>
      <c r="AF40" s="13"/>
      <c r="AG40" s="12"/>
      <c r="AH40" s="12"/>
      <c r="AI40" s="12"/>
      <c r="AJ40" s="12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5">
        <f t="shared" si="6"/>
        <v>0</v>
      </c>
      <c r="NI40" s="5">
        <f t="shared" si="7"/>
        <v>0</v>
      </c>
    </row>
    <row r="41" spans="1:373" x14ac:dyDescent="0.25">
      <c r="A41" s="17">
        <v>36</v>
      </c>
      <c r="B41" s="19"/>
      <c r="C41" s="20"/>
      <c r="D41" s="21"/>
      <c r="E41" s="10" t="s">
        <v>37</v>
      </c>
      <c r="F41" s="11"/>
      <c r="G41" s="12"/>
      <c r="H41" s="11"/>
      <c r="I41" s="12"/>
      <c r="J41" s="12"/>
      <c r="K41" s="13"/>
      <c r="L41" s="12"/>
      <c r="M41" s="12"/>
      <c r="N41" s="11"/>
      <c r="O41" s="11"/>
      <c r="P41" s="12"/>
      <c r="Q41" s="12"/>
      <c r="R41" s="13"/>
      <c r="S41" s="13"/>
      <c r="T41" s="12"/>
      <c r="U41" s="14"/>
      <c r="V41" s="11"/>
      <c r="W41" s="12"/>
      <c r="X41" s="12"/>
      <c r="Y41" s="13"/>
      <c r="Z41" s="12"/>
      <c r="AA41" s="12"/>
      <c r="AB41" s="12"/>
      <c r="AC41" s="12"/>
      <c r="AD41" s="12"/>
      <c r="AE41" s="12"/>
      <c r="AF41" s="13"/>
      <c r="AG41" s="12"/>
      <c r="AH41" s="12"/>
      <c r="AI41" s="12"/>
      <c r="AJ41" s="12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KY41" s="16"/>
      <c r="KZ41" s="16"/>
      <c r="LA41" s="16"/>
      <c r="LB41" s="16"/>
      <c r="LC41" s="16"/>
      <c r="LD41" s="16"/>
      <c r="LE41" s="16"/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/>
      <c r="LQ41" s="16"/>
      <c r="LR41" s="16"/>
      <c r="LS41" s="16"/>
      <c r="LT41" s="16"/>
      <c r="LU41" s="16"/>
      <c r="LV41" s="16"/>
      <c r="LW41" s="16"/>
      <c r="LX41" s="16"/>
      <c r="LY41" s="16"/>
      <c r="LZ41" s="16"/>
      <c r="MA41" s="16"/>
      <c r="MB41" s="16"/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5">
        <f t="shared" si="6"/>
        <v>0</v>
      </c>
      <c r="NI41" s="5">
        <f t="shared" si="7"/>
        <v>0</v>
      </c>
    </row>
    <row r="42" spans="1:373" x14ac:dyDescent="0.25">
      <c r="A42" s="6">
        <v>37</v>
      </c>
      <c r="B42" s="19"/>
      <c r="C42" s="20"/>
      <c r="D42" s="21"/>
      <c r="E42" s="10" t="s">
        <v>37</v>
      </c>
      <c r="F42" s="11"/>
      <c r="G42" s="12"/>
      <c r="H42" s="11"/>
      <c r="I42" s="12"/>
      <c r="J42" s="12"/>
      <c r="K42" s="13"/>
      <c r="L42" s="12"/>
      <c r="M42" s="12"/>
      <c r="N42" s="11"/>
      <c r="O42" s="11"/>
      <c r="P42" s="12"/>
      <c r="Q42" s="12"/>
      <c r="R42" s="13"/>
      <c r="S42" s="13"/>
      <c r="T42" s="12"/>
      <c r="U42" s="14"/>
      <c r="V42" s="11"/>
      <c r="W42" s="12"/>
      <c r="X42" s="12"/>
      <c r="Y42" s="13"/>
      <c r="Z42" s="12"/>
      <c r="AA42" s="12"/>
      <c r="AB42" s="12"/>
      <c r="AC42" s="12"/>
      <c r="AD42" s="12"/>
      <c r="AE42" s="12"/>
      <c r="AF42" s="13"/>
      <c r="AG42" s="12"/>
      <c r="AH42" s="12"/>
      <c r="AI42" s="12"/>
      <c r="AJ42" s="12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5">
        <f t="shared" si="6"/>
        <v>0</v>
      </c>
      <c r="NI42" s="5">
        <f t="shared" si="7"/>
        <v>0</v>
      </c>
    </row>
    <row r="43" spans="1:373" x14ac:dyDescent="0.25">
      <c r="A43" s="17">
        <v>38</v>
      </c>
      <c r="B43" s="19"/>
      <c r="C43" s="20"/>
      <c r="D43" s="21"/>
      <c r="E43" s="10" t="s">
        <v>37</v>
      </c>
      <c r="F43" s="11"/>
      <c r="G43" s="12"/>
      <c r="H43" s="11"/>
      <c r="I43" s="12"/>
      <c r="J43" s="12"/>
      <c r="K43" s="13"/>
      <c r="L43" s="12"/>
      <c r="M43" s="12"/>
      <c r="N43" s="11"/>
      <c r="O43" s="11"/>
      <c r="P43" s="12"/>
      <c r="Q43" s="12"/>
      <c r="R43" s="13"/>
      <c r="S43" s="13"/>
      <c r="T43" s="12"/>
      <c r="U43" s="14"/>
      <c r="V43" s="11"/>
      <c r="W43" s="12"/>
      <c r="X43" s="12"/>
      <c r="Y43" s="13"/>
      <c r="Z43" s="12"/>
      <c r="AA43" s="12"/>
      <c r="AB43" s="12"/>
      <c r="AC43" s="12"/>
      <c r="AD43" s="12"/>
      <c r="AE43" s="12"/>
      <c r="AF43" s="13"/>
      <c r="AG43" s="12"/>
      <c r="AH43" s="12"/>
      <c r="AI43" s="12"/>
      <c r="AJ43" s="12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KY43" s="16"/>
      <c r="KZ43" s="16"/>
      <c r="LA43" s="16"/>
      <c r="LB43" s="16"/>
      <c r="LC43" s="16"/>
      <c r="LD43" s="16"/>
      <c r="LE43" s="16"/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/>
      <c r="LQ43" s="16"/>
      <c r="LR43" s="16"/>
      <c r="LS43" s="16"/>
      <c r="LT43" s="16"/>
      <c r="LU43" s="16"/>
      <c r="LV43" s="16"/>
      <c r="LW43" s="16"/>
      <c r="LX43" s="16"/>
      <c r="LY43" s="16"/>
      <c r="LZ43" s="16"/>
      <c r="MA43" s="16"/>
      <c r="MB43" s="16"/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5">
        <f t="shared" si="6"/>
        <v>0</v>
      </c>
      <c r="NI43" s="5">
        <f t="shared" si="7"/>
        <v>0</v>
      </c>
    </row>
    <row r="44" spans="1:373" x14ac:dyDescent="0.25">
      <c r="A44" s="28">
        <v>39</v>
      </c>
      <c r="B44" s="19"/>
      <c r="C44" s="20"/>
      <c r="D44" s="21"/>
      <c r="E44" s="10" t="s">
        <v>37</v>
      </c>
      <c r="F44" s="11"/>
      <c r="G44" s="12"/>
      <c r="H44" s="11"/>
      <c r="I44" s="12"/>
      <c r="J44" s="12"/>
      <c r="K44" s="29"/>
      <c r="L44" s="12"/>
      <c r="M44" s="12"/>
      <c r="N44" s="11"/>
      <c r="O44" s="11"/>
      <c r="P44" s="12"/>
      <c r="Q44" s="12"/>
      <c r="R44" s="13"/>
      <c r="S44" s="13"/>
      <c r="T44" s="12"/>
      <c r="U44" s="14"/>
      <c r="V44" s="11"/>
      <c r="W44" s="12"/>
      <c r="X44" s="12"/>
      <c r="Y44" s="29"/>
      <c r="Z44" s="12"/>
      <c r="AA44" s="12"/>
      <c r="AB44" s="12"/>
      <c r="AC44" s="12"/>
      <c r="AD44" s="12"/>
      <c r="AE44" s="12"/>
      <c r="AF44" s="29"/>
      <c r="AG44" s="12"/>
      <c r="AH44" s="12"/>
      <c r="AI44" s="12"/>
      <c r="AJ44" s="12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6"/>
      <c r="LD44" s="16"/>
      <c r="LE44" s="16"/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/>
      <c r="LQ44" s="16"/>
      <c r="LR44" s="16"/>
      <c r="LS44" s="16"/>
      <c r="LT44" s="16"/>
      <c r="LU44" s="16"/>
      <c r="LV44" s="16"/>
      <c r="LW44" s="16"/>
      <c r="LX44" s="16"/>
      <c r="LY44" s="16"/>
      <c r="LZ44" s="16"/>
      <c r="MA44" s="16"/>
      <c r="MB44" s="16"/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5">
        <f t="shared" si="6"/>
        <v>0</v>
      </c>
      <c r="NI44" s="5">
        <f t="shared" si="7"/>
        <v>0</v>
      </c>
    </row>
    <row r="45" spans="1:373" x14ac:dyDescent="0.25">
      <c r="A45" s="17">
        <v>40</v>
      </c>
      <c r="B45" s="19"/>
      <c r="C45" s="20"/>
      <c r="D45" s="21"/>
      <c r="E45" s="10" t="s">
        <v>37</v>
      </c>
      <c r="F45" s="16"/>
      <c r="G45" s="16"/>
      <c r="H45" s="16"/>
      <c r="I45" s="16"/>
      <c r="J45" s="16"/>
      <c r="K45" s="12"/>
      <c r="L45" s="12"/>
      <c r="M45" s="11"/>
      <c r="N45" s="11"/>
      <c r="O45" s="12"/>
      <c r="P45" s="12"/>
      <c r="Q45" s="12"/>
      <c r="R45" s="13"/>
      <c r="S45" s="13"/>
      <c r="T45" s="12"/>
      <c r="U45" s="12"/>
      <c r="V45" s="12"/>
      <c r="W45" s="12"/>
      <c r="X45" s="12"/>
      <c r="Y45" s="16"/>
      <c r="Z45" s="12"/>
      <c r="AA45" s="12"/>
      <c r="AB45" s="12"/>
      <c r="AC45" s="12"/>
      <c r="AD45" s="12"/>
      <c r="AE45" s="12"/>
      <c r="AF45" s="16"/>
      <c r="AG45" s="12"/>
      <c r="AH45" s="12"/>
      <c r="AI45" s="12"/>
      <c r="AJ45" s="12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5">
        <f t="shared" si="6"/>
        <v>0</v>
      </c>
      <c r="NI45" s="5">
        <f t="shared" si="7"/>
        <v>0</v>
      </c>
    </row>
    <row r="46" spans="1:373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0"/>
      <c r="IR46" s="30"/>
      <c r="IS46" s="30"/>
      <c r="IT46" s="30"/>
      <c r="IU46" s="30"/>
      <c r="IV46" s="30"/>
      <c r="IW46" s="30"/>
      <c r="IX46" s="30"/>
      <c r="IY46" s="30"/>
      <c r="IZ46" s="30"/>
      <c r="JA46" s="30"/>
      <c r="JB46" s="30"/>
      <c r="JC46" s="30"/>
      <c r="JD46" s="30"/>
      <c r="JE46" s="30"/>
      <c r="JF46" s="30"/>
      <c r="JG46" s="30"/>
      <c r="JH46" s="30"/>
      <c r="JI46" s="30"/>
      <c r="JJ46" s="30"/>
      <c r="JK46" s="30"/>
      <c r="JL46" s="30"/>
      <c r="JM46" s="30"/>
      <c r="JN46" s="30"/>
      <c r="JO46" s="30"/>
      <c r="JP46" s="30"/>
      <c r="JQ46" s="30"/>
      <c r="JR46" s="30"/>
      <c r="JS46" s="30"/>
      <c r="JT46" s="30"/>
      <c r="JU46" s="30"/>
      <c r="JV46" s="30"/>
      <c r="JW46" s="30"/>
      <c r="JX46" s="30"/>
      <c r="JY46" s="30"/>
      <c r="JZ46" s="30"/>
      <c r="KA46" s="30"/>
      <c r="KB46" s="30"/>
      <c r="KC46" s="30"/>
      <c r="KD46" s="30"/>
      <c r="KE46" s="30"/>
      <c r="KF46" s="30"/>
      <c r="KG46" s="30"/>
      <c r="KH46" s="30"/>
      <c r="KI46" s="30"/>
      <c r="KJ46" s="30"/>
      <c r="KK46" s="30"/>
      <c r="KL46" s="30"/>
      <c r="KM46" s="30"/>
      <c r="KN46" s="30"/>
      <c r="KO46" s="30"/>
      <c r="KP46" s="30"/>
      <c r="KQ46" s="30"/>
      <c r="KR46" s="30"/>
      <c r="KS46" s="30"/>
      <c r="KT46" s="30"/>
      <c r="KU46" s="30"/>
      <c r="KV46" s="30"/>
      <c r="KW46" s="30"/>
      <c r="KX46" s="30"/>
      <c r="KY46" s="30"/>
      <c r="KZ46" s="30"/>
      <c r="LA46" s="30"/>
      <c r="LB46" s="30"/>
      <c r="LC46" s="30"/>
      <c r="LD46" s="30"/>
      <c r="LE46" s="30"/>
      <c r="LF46" s="30"/>
      <c r="LG46" s="30"/>
      <c r="LH46" s="30"/>
      <c r="LI46" s="30"/>
      <c r="LJ46" s="30"/>
      <c r="LK46" s="30"/>
      <c r="LL46" s="30"/>
      <c r="LM46" s="30"/>
      <c r="LN46" s="30"/>
      <c r="LO46" s="30"/>
      <c r="LP46" s="30"/>
      <c r="LQ46" s="30"/>
      <c r="LR46" s="30"/>
      <c r="LS46" s="30"/>
      <c r="LT46" s="30"/>
      <c r="LU46" s="30"/>
      <c r="LV46" s="30"/>
      <c r="LW46" s="30"/>
      <c r="LX46" s="30"/>
      <c r="LY46" s="30"/>
      <c r="LZ46" s="30"/>
      <c r="MA46" s="30"/>
      <c r="MB46" s="30"/>
      <c r="MC46" s="30"/>
      <c r="MD46" s="30"/>
      <c r="ME46" s="30"/>
      <c r="MF46" s="30"/>
      <c r="MG46" s="30"/>
      <c r="MH46" s="30"/>
      <c r="MI46" s="30"/>
      <c r="MJ46" s="30"/>
      <c r="MK46" s="30"/>
      <c r="ML46" s="30"/>
      <c r="MM46" s="30"/>
      <c r="MN46" s="30"/>
      <c r="MO46" s="30"/>
      <c r="MP46" s="30"/>
      <c r="MQ46" s="30"/>
      <c r="MR46" s="30"/>
      <c r="MS46" s="30"/>
      <c r="MT46" s="30"/>
      <c r="MU46" s="30"/>
      <c r="MV46" s="30"/>
      <c r="MW46" s="30"/>
      <c r="MX46" s="30"/>
      <c r="MY46" s="30"/>
      <c r="MZ46" s="30"/>
      <c r="NA46" s="30"/>
      <c r="NB46" s="30"/>
      <c r="NC46" s="30"/>
      <c r="ND46" s="30"/>
      <c r="NE46" s="30"/>
      <c r="NF46" s="30"/>
      <c r="NG46" s="30"/>
      <c r="NH46" s="33">
        <f>SUM(NH6:NH45)</f>
        <v>0</v>
      </c>
      <c r="NI46" s="33">
        <f>SUM(NI6:NI45)</f>
        <v>0</v>
      </c>
    </row>
  </sheetData>
  <mergeCells count="13">
    <mergeCell ref="NH4:NH5"/>
    <mergeCell ref="NI4:NI5"/>
    <mergeCell ref="NJ4:NK4"/>
    <mergeCell ref="NJ9:NM9"/>
    <mergeCell ref="NJ17:NM17"/>
    <mergeCell ref="A1:AJ1"/>
    <mergeCell ref="A2:AJ2"/>
    <mergeCell ref="A3:AJ3"/>
    <mergeCell ref="A4:A5"/>
    <mergeCell ref="B4:B5"/>
    <mergeCell ref="C4:C5"/>
    <mergeCell ref="D4:D5"/>
    <mergeCell ref="E4:E5"/>
  </mergeCells>
  <conditionalFormatting sqref="F4:NG45 NJ5:NK5">
    <cfRule type="expression" dxfId="19" priority="12">
      <formula>F$4="Sun"</formula>
    </cfRule>
  </conditionalFormatting>
  <conditionalFormatting sqref="F5:NG45">
    <cfRule type="expression" dxfId="18" priority="11">
      <formula>IF(F$5=TODAY(),TRUE,FALSE)</formula>
    </cfRule>
  </conditionalFormatting>
  <conditionalFormatting sqref="NH4:NI4 NH6:NI46">
    <cfRule type="expression" dxfId="17" priority="13">
      <formula>#REF!="Sun"</formula>
    </cfRule>
  </conditionalFormatting>
  <conditionalFormatting sqref="NJ6:NJ7">
    <cfRule type="expression" dxfId="16" priority="9">
      <formula>NJ$4="Sun"</formula>
    </cfRule>
  </conditionalFormatting>
  <conditionalFormatting sqref="NJ10:NJ13">
    <cfRule type="expression" dxfId="15" priority="3">
      <formula>NJ$4="Sun"</formula>
    </cfRule>
  </conditionalFormatting>
  <conditionalFormatting sqref="NJ18:NJ21">
    <cfRule type="expression" dxfId="14" priority="2">
      <formula>NJ$4="Sun"</formula>
    </cfRule>
  </conditionalFormatting>
  <conditionalFormatting sqref="NK10:NM10">
    <cfRule type="expression" dxfId="13" priority="4">
      <formula>NK$4="Sun"</formula>
    </cfRule>
  </conditionalFormatting>
  <conditionalFormatting sqref="NK18:NM18">
    <cfRule type="expression" dxfId="12" priority="1">
      <formula>NK$4="Sun"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Compile Sheet-2024</vt:lpstr>
      <vt:lpstr>ECE (ROSE)</vt:lpstr>
      <vt:lpstr>ECE (Daffodil)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Class-X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2024-09-28T07:00:36Z</dcterms:modified>
</cp:coreProperties>
</file>