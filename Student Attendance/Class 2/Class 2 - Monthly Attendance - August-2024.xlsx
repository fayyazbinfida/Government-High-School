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Government-High-School\Student Attendance\Class 2\"/>
    </mc:Choice>
  </mc:AlternateContent>
  <xr:revisionPtr revIDLastSave="0" documentId="13_ncr:1_{FAB3E432-0456-422F-B3DA-B1F36AA885A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lass-II (Girls)" sheetId="5" r:id="rId1"/>
    <sheet name="Class-II (Boy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0" i="18" l="1"/>
  <c r="W30" i="18"/>
  <c r="X29" i="18"/>
  <c r="W29" i="18"/>
  <c r="X28" i="18"/>
  <c r="W28" i="18"/>
  <c r="X27" i="18"/>
  <c r="W27" i="18"/>
  <c r="X26" i="18"/>
  <c r="W26" i="18"/>
  <c r="X25" i="18"/>
  <c r="W25" i="18"/>
  <c r="X24" i="18"/>
  <c r="W24" i="18"/>
  <c r="X23" i="18"/>
  <c r="W23" i="18"/>
  <c r="X22" i="18"/>
  <c r="W22" i="18"/>
  <c r="X21" i="18"/>
  <c r="W21" i="18"/>
  <c r="X20" i="18"/>
  <c r="W20" i="18"/>
  <c r="X19" i="18"/>
  <c r="W19" i="18"/>
  <c r="X18" i="18"/>
  <c r="W18" i="18"/>
  <c r="X17" i="18"/>
  <c r="W17" i="18"/>
  <c r="X16" i="18"/>
  <c r="W16" i="18"/>
  <c r="X15" i="18"/>
  <c r="W15" i="18"/>
  <c r="X14" i="18"/>
  <c r="W14" i="18"/>
  <c r="X13" i="18"/>
  <c r="W13" i="18"/>
  <c r="X12" i="18"/>
  <c r="W12" i="18"/>
  <c r="X11" i="18"/>
  <c r="W11" i="18"/>
  <c r="X10" i="18"/>
  <c r="W10" i="18"/>
  <c r="X9" i="18"/>
  <c r="W9" i="18"/>
  <c r="X8" i="18"/>
  <c r="W8" i="18"/>
  <c r="X7" i="18"/>
  <c r="W7" i="18"/>
  <c r="X6" i="18"/>
  <c r="W6" i="18"/>
  <c r="X5" i="18"/>
  <c r="W5" i="18"/>
  <c r="AA18" i="18"/>
  <c r="Z18" i="18"/>
  <c r="AB18" i="18" s="1"/>
  <c r="AA10" i="18"/>
  <c r="Z10" i="18"/>
  <c r="AB10" i="18" s="1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X26" i="5"/>
  <c r="W26" i="5"/>
  <c r="X25" i="5"/>
  <c r="W25" i="5"/>
  <c r="X24" i="5"/>
  <c r="W24" i="5"/>
  <c r="X23" i="5"/>
  <c r="W23" i="5"/>
  <c r="X22" i="5"/>
  <c r="W22" i="5"/>
  <c r="X21" i="5"/>
  <c r="W21" i="5"/>
  <c r="X20" i="5"/>
  <c r="W20" i="5"/>
  <c r="X19" i="5"/>
  <c r="W19" i="5"/>
  <c r="AA18" i="5"/>
  <c r="Z18" i="5"/>
  <c r="X18" i="5"/>
  <c r="W18" i="5"/>
  <c r="X17" i="5"/>
  <c r="W17" i="5"/>
  <c r="X16" i="5"/>
  <c r="W16" i="5"/>
  <c r="X15" i="5"/>
  <c r="W15" i="5"/>
  <c r="X14" i="5"/>
  <c r="W14" i="5"/>
  <c r="X13" i="5"/>
  <c r="W13" i="5"/>
  <c r="X12" i="5"/>
  <c r="W12" i="5"/>
  <c r="X11" i="5"/>
  <c r="W11" i="5"/>
  <c r="AA10" i="5"/>
  <c r="Z10" i="5"/>
  <c r="X10" i="5"/>
  <c r="W10" i="5"/>
  <c r="X9" i="5"/>
  <c r="W9" i="5"/>
  <c r="X8" i="5"/>
  <c r="W8" i="5"/>
  <c r="X7" i="5"/>
  <c r="W7" i="5"/>
  <c r="X6" i="5"/>
  <c r="W6" i="5"/>
  <c r="Z11" i="5" s="1"/>
  <c r="X5" i="5"/>
  <c r="W5" i="5"/>
  <c r="AA11" i="5" s="1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Z11" i="18" l="1"/>
  <c r="AA11" i="18"/>
  <c r="AA12" i="18" s="1"/>
  <c r="Z12" i="5"/>
  <c r="AA12" i="5"/>
  <c r="Z12" i="18"/>
  <c r="Z19" i="18"/>
  <c r="AB10" i="5"/>
  <c r="AB18" i="5"/>
  <c r="AA19" i="18" l="1"/>
  <c r="AA20" i="18" s="1"/>
  <c r="AB11" i="18"/>
  <c r="AB12" i="18" s="1"/>
  <c r="Z20" i="18"/>
  <c r="Z19" i="5"/>
  <c r="Z20" i="5" s="1"/>
  <c r="AA19" i="5"/>
  <c r="AA20" i="5" s="1"/>
  <c r="AB11" i="5"/>
  <c r="AB12" i="5" s="1"/>
  <c r="AB19" i="18" l="1"/>
  <c r="AB20" i="18" s="1"/>
  <c r="AB19" i="5"/>
  <c r="AB20" i="5" s="1"/>
</calcChain>
</file>

<file path=xl/sharedStrings.xml><?xml version="1.0" encoding="utf-8"?>
<sst xmlns="http://schemas.openxmlformats.org/spreadsheetml/2006/main" count="710" uniqueCount="121">
  <si>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</si>
  <si>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</si>
  <si>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</si>
  <si>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</si>
  <si>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</si>
  <si>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</si>
  <si>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</si>
  <si>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</si>
  <si>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</si>
  <si>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</si>
  <si>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</si>
  <si>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</si>
  <si>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</si>
  <si>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</si>
  <si>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</si>
  <si>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</si>
  <si>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</si>
  <si>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</si>
  <si>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</si>
  <si>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</si>
  <si>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Two</t>
  </si>
  <si>
    <t>Year 2024</t>
  </si>
  <si>
    <t>Monthly Attendence Month of August-2024</t>
  </si>
  <si>
    <t>Goverment High School (SJCHS)</t>
  </si>
  <si>
    <t>Abdul Rehman</t>
  </si>
  <si>
    <t>Masooma</t>
  </si>
  <si>
    <t>Faiq Ali</t>
  </si>
  <si>
    <t>Ayaz Ali</t>
  </si>
  <si>
    <t>Sajjad Ali</t>
  </si>
  <si>
    <t>Dua</t>
  </si>
  <si>
    <t>Kamran Ali</t>
  </si>
  <si>
    <t>Sajid Ali</t>
  </si>
  <si>
    <t>Ali Nawaz</t>
  </si>
  <si>
    <t>Fiza</t>
  </si>
  <si>
    <t>Asghar Ali</t>
  </si>
  <si>
    <t>Ghulam Mehdi</t>
  </si>
  <si>
    <t>A</t>
  </si>
  <si>
    <t>P</t>
  </si>
  <si>
    <t>Altaf Hussain</t>
  </si>
  <si>
    <t>Amjad Ali</t>
  </si>
  <si>
    <t>Khalid Hussain</t>
  </si>
  <si>
    <t>Fayaz Hussain</t>
  </si>
  <si>
    <t>Sikandar</t>
  </si>
  <si>
    <t>Hussain</t>
  </si>
  <si>
    <t>Ayat</t>
  </si>
  <si>
    <t>Zaheer Abbas</t>
  </si>
  <si>
    <t>Zainab</t>
  </si>
  <si>
    <t>Zulfiqar</t>
  </si>
  <si>
    <t>Ayesha</t>
  </si>
  <si>
    <t>Abdullah</t>
  </si>
  <si>
    <t>Akbar Ali</t>
  </si>
  <si>
    <t>M. Raheem</t>
  </si>
  <si>
    <t>Muzammil</t>
  </si>
  <si>
    <t>.</t>
  </si>
  <si>
    <t>Abiha Zehra</t>
  </si>
  <si>
    <t>Ab. Mateen</t>
  </si>
  <si>
    <t>Aleena Zia</t>
  </si>
  <si>
    <t>Khuda Baksh</t>
  </si>
  <si>
    <t>Anumta Jamali</t>
  </si>
  <si>
    <t>Anusha</t>
  </si>
  <si>
    <t>Mukhtiyar Ali</t>
  </si>
  <si>
    <t>Ali Muhammad</t>
  </si>
  <si>
    <t>Jannat Fatima</t>
  </si>
  <si>
    <t>Kashaf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</si>
  <si>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</si>
  <si>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</si>
  <si>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</si>
  <si>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</si>
  <si>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</si>
  <si>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</si>
  <si>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</si>
  <si>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Saba Jamali</t>
  </si>
  <si>
    <t>Tahreem Fatima</t>
  </si>
  <si>
    <t>Sehar Fatima</t>
  </si>
  <si>
    <t>Taskeen</t>
  </si>
  <si>
    <t>Kashish</t>
  </si>
  <si>
    <t>M. Noman</t>
  </si>
  <si>
    <t>Saba</t>
  </si>
  <si>
    <t>Asif</t>
  </si>
  <si>
    <t>Abdul Musawir</t>
  </si>
  <si>
    <t>M. Ismail</t>
  </si>
  <si>
    <t>Abdul Wahab</t>
  </si>
  <si>
    <t>Abdul Hafeez</t>
  </si>
  <si>
    <t>Riazuddin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</si>
  <si>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</si>
  <si>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</si>
  <si>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</si>
  <si>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</si>
  <si>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</si>
  <si>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</si>
  <si>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</si>
  <si>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</si>
  <si>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</si>
  <si>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</si>
  <si>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</si>
  <si>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</si>
  <si>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</si>
  <si>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</si>
  <si>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</si>
  <si>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</si>
  <si>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Mohammad Nawaz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</si>
  <si>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</si>
  <si>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</si>
  <si>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</si>
  <si>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</si>
  <si>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</si>
  <si>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</si>
  <si>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</si>
  <si>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</si>
  <si>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</si>
  <si>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</si>
  <si>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</si>
  <si>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</si>
  <si>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</si>
  <si>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</si>
  <si>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</si>
  <si>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SUNDAY - SUNDAY - SUNDAY</t>
  </si>
  <si>
    <t>SUNDAY - SUNDAY</t>
  </si>
  <si>
    <t>SHAH ABDUL LATIF DAY</t>
  </si>
  <si>
    <t>CHEHLUM - CHEHLUM</t>
  </si>
  <si>
    <t>OFF DUE TO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</si>
</sst>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2" xfId="0" applyFont="1" applyBorder="1"/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7" fontId="9" fillId="3" borderId="3" xfId="0" applyNumberFormat="1" applyFont="1" applyFill="1" applyBorder="1" applyAlignment="1">
      <alignment horizontal="center" vertical="center"/>
    </xf>
    <xf numFmtId="17" fontId="9" fillId="3" borderId="7" xfId="0" applyNumberFormat="1" applyFont="1" applyFill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  <xf numFmtId="0" fontId="8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1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E339-974F-4F8E-8CE9-51DD290C99AD}">
  <sheetPr>
    <tabColor rgb="FFC00000"/>
  </sheetPr>
  <dimension ref="A1:AB26"/>
  <sheetViews>
    <sheetView workbookViewId="0">
      <selection sqref="A1:XFD1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8" ht="17.25" x14ac:dyDescent="0.3">
      <c r="A2" s="32" t="s">
        <v>22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1:28" ht="15.75" x14ac:dyDescent="0.25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4" t="s">
        <v>5</v>
      </c>
      <c r="X3" s="24" t="s">
        <v>6</v>
      </c>
      <c r="Y3" s="25" t="s">
        <v>21</v>
      </c>
      <c r="Z3" s="26"/>
      <c r="AA3" s="3"/>
      <c r="AB3" s="3"/>
    </row>
    <row r="4" spans="1:28" ht="36.75" x14ac:dyDescent="0.25">
      <c r="A4" s="23"/>
      <c r="B4" s="23"/>
      <c r="C4" s="23"/>
      <c r="D4" s="23"/>
      <c r="E4" s="23"/>
      <c r="F4" s="19">
        <v>45519</v>
      </c>
      <c r="G4" s="19">
        <v>45520</v>
      </c>
      <c r="H4" s="19">
        <v>45521</v>
      </c>
      <c r="I4" s="19">
        <v>45522</v>
      </c>
      <c r="J4" s="19">
        <v>45523</v>
      </c>
      <c r="K4" s="19">
        <v>45524</v>
      </c>
      <c r="L4" s="19">
        <v>45525</v>
      </c>
      <c r="M4" s="19">
        <v>45526</v>
      </c>
      <c r="N4" s="19">
        <v>45527</v>
      </c>
      <c r="O4" s="19">
        <v>45528</v>
      </c>
      <c r="P4" s="19">
        <v>45529</v>
      </c>
      <c r="Q4" s="19">
        <v>45530</v>
      </c>
      <c r="R4" s="19">
        <v>45531</v>
      </c>
      <c r="S4" s="19">
        <v>45532</v>
      </c>
      <c r="T4" s="19">
        <v>45533</v>
      </c>
      <c r="U4" s="19">
        <v>45534</v>
      </c>
      <c r="V4" s="19">
        <v>45535</v>
      </c>
      <c r="W4" s="24"/>
      <c r="X4" s="24"/>
      <c r="Y4" s="4" t="s">
        <v>7</v>
      </c>
      <c r="Z4" s="5">
        <v>31</v>
      </c>
      <c r="AA4" s="3"/>
      <c r="AB4" s="3"/>
    </row>
    <row r="5" spans="1:28" x14ac:dyDescent="0.25">
      <c r="A5" s="10">
        <v>1</v>
      </c>
      <c r="B5" s="12"/>
      <c r="C5" s="7" t="s">
        <v>54</v>
      </c>
      <c r="D5" s="7" t="s">
        <v>55</v>
      </c>
      <c r="E5" s="20" t="s">
        <v>20</v>
      </c>
      <c r="F5" s="9" t="s">
        <v>36</v>
      </c>
      <c r="G5" s="9" t="s">
        <v>36</v>
      </c>
      <c r="H5" s="9" t="s">
        <v>36</v>
      </c>
      <c r="I5" s="28" t="s">
        <v>117</v>
      </c>
      <c r="J5" s="9" t="s">
        <v>36</v>
      </c>
      <c r="K5" s="29" t="s">
        <v>118</v>
      </c>
      <c r="L5" s="9" t="s">
        <v>37</v>
      </c>
      <c r="M5" s="9" t="s">
        <v>37</v>
      </c>
      <c r="N5" s="9" t="s">
        <v>37</v>
      </c>
      <c r="O5" s="9" t="s">
        <v>37</v>
      </c>
      <c r="P5" s="28" t="s">
        <v>117</v>
      </c>
      <c r="Q5" s="29" t="s">
        <v>119</v>
      </c>
      <c r="R5" s="9" t="s">
        <v>36</v>
      </c>
      <c r="S5" s="9" t="s">
        <v>36</v>
      </c>
      <c r="T5" s="9" t="s">
        <v>36</v>
      </c>
      <c r="U5" s="29" t="s">
        <v>120</v>
      </c>
      <c r="V5" s="9"/>
      <c r="W5" s="5">
        <f t="shared" ref="W5:W26" si="1">COUNTIF(F5:V5,"P")</f>
        <v>4</v>
      </c>
      <c r="X5" s="5">
        <f t="shared" ref="X5:X26" si="2">COUNTIF(F5:V5,"A")</f>
        <v>7</v>
      </c>
      <c r="Y5" s="5" t="s">
        <v>8</v>
      </c>
      <c r="Z5" s="10">
        <v>26</v>
      </c>
      <c r="AA5" s="11" t="s">
        <v>9</v>
      </c>
      <c r="AB5" s="3"/>
    </row>
    <row r="6" spans="1:28" ht="20.25" customHeight="1" x14ac:dyDescent="0.25">
      <c r="A6" s="10">
        <v>2</v>
      </c>
      <c r="B6" s="12"/>
      <c r="C6" s="7" t="s">
        <v>56</v>
      </c>
      <c r="D6" s="7" t="s">
        <v>57</v>
      </c>
      <c r="E6" s="20" t="s">
        <v>20</v>
      </c>
      <c r="F6" s="9" t="s">
        <v>37</v>
      </c>
      <c r="G6" s="9" t="s">
        <v>37</v>
      </c>
      <c r="H6" s="9" t="s">
        <v>37</v>
      </c>
      <c r="I6" s="28"/>
      <c r="J6" s="9" t="s">
        <v>37</v>
      </c>
      <c r="K6" s="30"/>
      <c r="L6" s="9" t="s">
        <v>37</v>
      </c>
      <c r="M6" s="9" t="s">
        <v>37</v>
      </c>
      <c r="N6" s="9" t="s">
        <v>37</v>
      </c>
      <c r="O6" s="9" t="s">
        <v>37</v>
      </c>
      <c r="P6" s="28"/>
      <c r="Q6" s="30"/>
      <c r="R6" s="9" t="s">
        <v>37</v>
      </c>
      <c r="S6" s="9" t="s">
        <v>36</v>
      </c>
      <c r="T6" s="9" t="s">
        <v>37</v>
      </c>
      <c r="U6" s="30"/>
      <c r="V6" s="9"/>
      <c r="W6" s="5">
        <f t="shared" si="1"/>
        <v>10</v>
      </c>
      <c r="X6" s="5">
        <f t="shared" si="2"/>
        <v>1</v>
      </c>
      <c r="Y6" s="5" t="s">
        <v>10</v>
      </c>
      <c r="Z6" s="10">
        <v>4</v>
      </c>
      <c r="AA6" s="3"/>
      <c r="AB6" s="3"/>
    </row>
    <row r="7" spans="1:28" x14ac:dyDescent="0.25">
      <c r="A7" s="10">
        <v>3</v>
      </c>
      <c r="B7" s="12"/>
      <c r="C7" s="7" t="s">
        <v>58</v>
      </c>
      <c r="D7" s="7" t="s">
        <v>45</v>
      </c>
      <c r="E7" s="20" t="s">
        <v>20</v>
      </c>
      <c r="F7" s="9" t="s">
        <v>37</v>
      </c>
      <c r="G7" s="9" t="s">
        <v>37</v>
      </c>
      <c r="H7" s="9" t="s">
        <v>37</v>
      </c>
      <c r="I7" s="28"/>
      <c r="J7" s="9" t="s">
        <v>37</v>
      </c>
      <c r="K7" s="30"/>
      <c r="L7" s="9" t="s">
        <v>37</v>
      </c>
      <c r="M7" s="9" t="s">
        <v>37</v>
      </c>
      <c r="N7" s="9" t="s">
        <v>37</v>
      </c>
      <c r="O7" s="9"/>
      <c r="P7" s="28"/>
      <c r="Q7" s="30"/>
      <c r="R7" s="9" t="s">
        <v>36</v>
      </c>
      <c r="S7" s="9" t="s">
        <v>36</v>
      </c>
      <c r="T7" s="9" t="s">
        <v>36</v>
      </c>
      <c r="U7" s="30"/>
      <c r="V7" s="9"/>
      <c r="W7" s="5">
        <f t="shared" si="1"/>
        <v>7</v>
      </c>
      <c r="X7" s="5">
        <f t="shared" si="2"/>
        <v>3</v>
      </c>
      <c r="Y7" s="3"/>
      <c r="Z7" s="3"/>
      <c r="AA7" s="3"/>
      <c r="AB7" s="3"/>
    </row>
    <row r="8" spans="1:28" ht="15.75" x14ac:dyDescent="0.25">
      <c r="A8" s="10">
        <v>4</v>
      </c>
      <c r="B8" s="12"/>
      <c r="C8" s="7" t="s">
        <v>59</v>
      </c>
      <c r="D8" s="7" t="s">
        <v>60</v>
      </c>
      <c r="E8" s="20" t="s">
        <v>20</v>
      </c>
      <c r="F8" s="9" t="s">
        <v>37</v>
      </c>
      <c r="G8" s="9" t="s">
        <v>37</v>
      </c>
      <c r="H8" s="9" t="s">
        <v>37</v>
      </c>
      <c r="I8" s="28"/>
      <c r="J8" s="9" t="s">
        <v>37</v>
      </c>
      <c r="K8" s="30"/>
      <c r="L8" s="9" t="s">
        <v>37</v>
      </c>
      <c r="M8" s="9" t="s">
        <v>37</v>
      </c>
      <c r="N8" s="9" t="s">
        <v>37</v>
      </c>
      <c r="O8" s="9"/>
      <c r="P8" s="28"/>
      <c r="Q8" s="30"/>
      <c r="R8" s="9" t="s">
        <v>36</v>
      </c>
      <c r="S8" s="9" t="s">
        <v>36</v>
      </c>
      <c r="T8" s="9" t="s">
        <v>37</v>
      </c>
      <c r="U8" s="30"/>
      <c r="V8" s="9"/>
      <c r="W8" s="5">
        <f t="shared" si="1"/>
        <v>8</v>
      </c>
      <c r="X8" s="5">
        <f t="shared" si="2"/>
        <v>2</v>
      </c>
      <c r="Y8" s="25" t="s">
        <v>11</v>
      </c>
      <c r="Z8" s="26"/>
      <c r="AA8" s="26"/>
      <c r="AB8" s="27"/>
    </row>
    <row r="9" spans="1:28" x14ac:dyDescent="0.25">
      <c r="A9" s="10">
        <v>5</v>
      </c>
      <c r="B9" s="12"/>
      <c r="C9" s="7" t="s">
        <v>44</v>
      </c>
      <c r="D9" s="7" t="s">
        <v>26</v>
      </c>
      <c r="E9" s="20" t="s">
        <v>20</v>
      </c>
      <c r="F9" s="9" t="s">
        <v>37</v>
      </c>
      <c r="G9" s="9" t="s">
        <v>37</v>
      </c>
      <c r="H9" s="9" t="s">
        <v>37</v>
      </c>
      <c r="I9" s="28"/>
      <c r="J9" s="9" t="s">
        <v>37</v>
      </c>
      <c r="K9" s="30"/>
      <c r="L9" s="9" t="s">
        <v>37</v>
      </c>
      <c r="M9" s="9" t="s">
        <v>37</v>
      </c>
      <c r="N9" s="9" t="s">
        <v>37</v>
      </c>
      <c r="O9" s="9"/>
      <c r="P9" s="28"/>
      <c r="Q9" s="30"/>
      <c r="R9" s="9" t="s">
        <v>37</v>
      </c>
      <c r="S9" s="9" t="s">
        <v>36</v>
      </c>
      <c r="T9" s="9" t="s">
        <v>37</v>
      </c>
      <c r="U9" s="30"/>
      <c r="V9" s="9"/>
      <c r="W9" s="5">
        <f t="shared" si="1"/>
        <v>9</v>
      </c>
      <c r="X9" s="5">
        <f t="shared" si="2"/>
        <v>1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10">
        <v>6</v>
      </c>
      <c r="B10" s="12"/>
      <c r="C10" s="7" t="s">
        <v>48</v>
      </c>
      <c r="D10" s="7" t="s">
        <v>61</v>
      </c>
      <c r="E10" s="20" t="s">
        <v>20</v>
      </c>
      <c r="F10" s="9" t="s">
        <v>37</v>
      </c>
      <c r="G10" s="9" t="s">
        <v>37</v>
      </c>
      <c r="H10" s="9" t="s">
        <v>37</v>
      </c>
      <c r="I10" s="28"/>
      <c r="J10" s="9" t="s">
        <v>37</v>
      </c>
      <c r="K10" s="30"/>
      <c r="L10" s="9" t="s">
        <v>37</v>
      </c>
      <c r="M10" s="9" t="s">
        <v>37</v>
      </c>
      <c r="N10" s="9" t="s">
        <v>37</v>
      </c>
      <c r="O10" s="9"/>
      <c r="P10" s="28"/>
      <c r="Q10" s="30"/>
      <c r="R10" s="9" t="s">
        <v>36</v>
      </c>
      <c r="S10" s="9" t="s">
        <v>36</v>
      </c>
      <c r="T10" s="9" t="s">
        <v>36</v>
      </c>
      <c r="U10" s="30"/>
      <c r="V10" s="9"/>
      <c r="W10" s="5">
        <f t="shared" si="1"/>
        <v>7</v>
      </c>
      <c r="X10" s="5">
        <f t="shared" si="2"/>
        <v>3</v>
      </c>
      <c r="Y10" s="5" t="s">
        <v>16</v>
      </c>
      <c r="Z10" s="10">
        <f>19*26</f>
        <v>494</v>
      </c>
      <c r="AA10" s="10">
        <f>21*26</f>
        <v>546</v>
      </c>
      <c r="AB10" s="10">
        <f>SUM(Z10:AA10)</f>
        <v>1040</v>
      </c>
    </row>
    <row r="11" spans="1:28" x14ac:dyDescent="0.25">
      <c r="A11" s="10">
        <v>7</v>
      </c>
      <c r="B11" s="12"/>
      <c r="C11" s="7" t="s">
        <v>29</v>
      </c>
      <c r="D11" s="7" t="s">
        <v>50</v>
      </c>
      <c r="E11" s="20" t="s">
        <v>20</v>
      </c>
      <c r="F11" s="9" t="s">
        <v>37</v>
      </c>
      <c r="G11" s="9" t="s">
        <v>37</v>
      </c>
      <c r="H11" s="9" t="s">
        <v>37</v>
      </c>
      <c r="I11" s="28"/>
      <c r="J11" s="9" t="s">
        <v>37</v>
      </c>
      <c r="K11" s="30"/>
      <c r="L11" s="9" t="s">
        <v>37</v>
      </c>
      <c r="M11" s="9" t="s">
        <v>37</v>
      </c>
      <c r="N11" s="9" t="s">
        <v>37</v>
      </c>
      <c r="O11" s="9"/>
      <c r="P11" s="28"/>
      <c r="Q11" s="30"/>
      <c r="R11" s="9" t="s">
        <v>37</v>
      </c>
      <c r="S11" s="9" t="s">
        <v>36</v>
      </c>
      <c r="T11" s="9" t="s">
        <v>37</v>
      </c>
      <c r="U11" s="30"/>
      <c r="V11" s="9"/>
      <c r="W11" s="5">
        <f t="shared" si="1"/>
        <v>9</v>
      </c>
      <c r="X11" s="5">
        <f t="shared" si="2"/>
        <v>1</v>
      </c>
      <c r="Y11" s="5" t="s">
        <v>17</v>
      </c>
      <c r="Z11" s="10">
        <f>W6+W7+W8+W11+W12+W13+W15+W19+W20+W21+W22+W23+W24+W25+W26</f>
        <v>117</v>
      </c>
      <c r="AA11" s="10">
        <f>W5+W9+W10+W14+W16+W17+W18</f>
        <v>42</v>
      </c>
      <c r="AB11" s="10">
        <f>Z11+AA11</f>
        <v>159</v>
      </c>
    </row>
    <row r="12" spans="1:28" x14ac:dyDescent="0.25">
      <c r="A12" s="10">
        <v>8</v>
      </c>
      <c r="B12" s="12"/>
      <c r="C12" s="7" t="s">
        <v>33</v>
      </c>
      <c r="D12" s="7" t="s">
        <v>50</v>
      </c>
      <c r="E12" s="20" t="s">
        <v>20</v>
      </c>
      <c r="F12" s="9" t="s">
        <v>37</v>
      </c>
      <c r="G12" s="9" t="s">
        <v>37</v>
      </c>
      <c r="H12" s="9" t="s">
        <v>37</v>
      </c>
      <c r="I12" s="28"/>
      <c r="J12" s="9" t="s">
        <v>37</v>
      </c>
      <c r="K12" s="30"/>
      <c r="L12" s="9" t="s">
        <v>37</v>
      </c>
      <c r="M12" s="9" t="s">
        <v>37</v>
      </c>
      <c r="N12" s="9" t="s">
        <v>37</v>
      </c>
      <c r="O12" s="9"/>
      <c r="P12" s="28"/>
      <c r="Q12" s="30"/>
      <c r="R12" s="9" t="s">
        <v>37</v>
      </c>
      <c r="S12" s="9" t="s">
        <v>36</v>
      </c>
      <c r="T12" s="9" t="s">
        <v>37</v>
      </c>
      <c r="U12" s="30"/>
      <c r="V12" s="9"/>
      <c r="W12" s="5">
        <f t="shared" si="1"/>
        <v>9</v>
      </c>
      <c r="X12" s="5">
        <f t="shared" si="2"/>
        <v>1</v>
      </c>
      <c r="Y12" s="5" t="s">
        <v>18</v>
      </c>
      <c r="Z12" s="10">
        <f>Z11/Z10</f>
        <v>0.23684210526315788</v>
      </c>
      <c r="AA12" s="10">
        <f>AA11/AA10</f>
        <v>7.6923076923076927E-2</v>
      </c>
      <c r="AB12" s="10">
        <f>AB11/AB10</f>
        <v>0.1528846153846154</v>
      </c>
    </row>
    <row r="13" spans="1:28" x14ac:dyDescent="0.25">
      <c r="A13" s="10">
        <v>9</v>
      </c>
      <c r="B13" s="12"/>
      <c r="C13" s="7" t="s">
        <v>62</v>
      </c>
      <c r="D13" s="7" t="s">
        <v>47</v>
      </c>
      <c r="E13" s="20" t="s">
        <v>20</v>
      </c>
      <c r="F13" s="9" t="s">
        <v>37</v>
      </c>
      <c r="G13" s="9" t="s">
        <v>37</v>
      </c>
      <c r="H13" s="9" t="s">
        <v>37</v>
      </c>
      <c r="I13" s="28"/>
      <c r="J13" s="9" t="s">
        <v>37</v>
      </c>
      <c r="K13" s="30"/>
      <c r="L13" s="9" t="s">
        <v>37</v>
      </c>
      <c r="M13" s="9" t="s">
        <v>37</v>
      </c>
      <c r="N13" s="9" t="s">
        <v>37</v>
      </c>
      <c r="O13" s="9"/>
      <c r="P13" s="28"/>
      <c r="Q13" s="30"/>
      <c r="R13" s="9" t="s">
        <v>36</v>
      </c>
      <c r="S13" s="9" t="s">
        <v>36</v>
      </c>
      <c r="T13" s="9" t="s">
        <v>37</v>
      </c>
      <c r="U13" s="30"/>
      <c r="V13" s="9"/>
      <c r="W13" s="5">
        <f t="shared" si="1"/>
        <v>8</v>
      </c>
      <c r="X13" s="5">
        <f t="shared" si="2"/>
        <v>2</v>
      </c>
      <c r="Y13" s="3"/>
      <c r="Z13" s="15"/>
      <c r="AA13" s="15"/>
      <c r="AB13" s="15"/>
    </row>
    <row r="14" spans="1:28" x14ac:dyDescent="0.25">
      <c r="A14" s="10">
        <v>10</v>
      </c>
      <c r="B14" s="16"/>
      <c r="C14" s="7" t="s">
        <v>63</v>
      </c>
      <c r="D14" s="7" t="s">
        <v>24</v>
      </c>
      <c r="E14" s="20" t="s">
        <v>20</v>
      </c>
      <c r="F14" s="9" t="s">
        <v>36</v>
      </c>
      <c r="G14" s="9" t="s">
        <v>36</v>
      </c>
      <c r="H14" s="9" t="s">
        <v>37</v>
      </c>
      <c r="I14" s="28"/>
      <c r="J14" s="9" t="s">
        <v>37</v>
      </c>
      <c r="K14" s="30"/>
      <c r="L14" s="9" t="s">
        <v>36</v>
      </c>
      <c r="M14" s="9" t="s">
        <v>37</v>
      </c>
      <c r="N14" s="9" t="s">
        <v>37</v>
      </c>
      <c r="O14" s="9"/>
      <c r="P14" s="28"/>
      <c r="Q14" s="30"/>
      <c r="R14" s="9" t="s">
        <v>37</v>
      </c>
      <c r="S14" s="9" t="s">
        <v>36</v>
      </c>
      <c r="T14" s="9" t="s">
        <v>36</v>
      </c>
      <c r="U14" s="30"/>
      <c r="V14" s="9"/>
      <c r="W14" s="5">
        <f t="shared" si="1"/>
        <v>5</v>
      </c>
      <c r="X14" s="5">
        <f t="shared" si="2"/>
        <v>5</v>
      </c>
      <c r="Y14" s="17"/>
      <c r="Z14" s="17"/>
      <c r="AA14" s="17"/>
      <c r="AB14" s="17"/>
    </row>
    <row r="15" spans="1:28" x14ac:dyDescent="0.25">
      <c r="A15" s="10">
        <v>11</v>
      </c>
      <c r="B15" s="12"/>
      <c r="C15" s="7" t="s">
        <v>25</v>
      </c>
      <c r="D15" s="7" t="s">
        <v>51</v>
      </c>
      <c r="E15" s="20" t="s">
        <v>20</v>
      </c>
      <c r="F15" s="9"/>
      <c r="G15" s="9"/>
      <c r="H15" s="9"/>
      <c r="I15" s="28"/>
      <c r="J15" s="9" t="s">
        <v>37</v>
      </c>
      <c r="K15" s="30"/>
      <c r="L15" s="9" t="s">
        <v>37</v>
      </c>
      <c r="M15" s="9" t="s">
        <v>37</v>
      </c>
      <c r="N15" s="9" t="s">
        <v>36</v>
      </c>
      <c r="O15" s="9"/>
      <c r="P15" s="28"/>
      <c r="Q15" s="30"/>
      <c r="R15" s="9" t="s">
        <v>37</v>
      </c>
      <c r="S15" s="9" t="s">
        <v>36</v>
      </c>
      <c r="T15" s="9" t="s">
        <v>36</v>
      </c>
      <c r="U15" s="30"/>
      <c r="V15" s="9"/>
      <c r="W15" s="5">
        <f t="shared" si="1"/>
        <v>4</v>
      </c>
      <c r="X15" s="5">
        <f t="shared" si="2"/>
        <v>3</v>
      </c>
      <c r="Y15" s="3"/>
      <c r="Z15" s="3"/>
      <c r="AA15" s="3"/>
      <c r="AB15" s="3"/>
    </row>
    <row r="16" spans="1:28" ht="15.75" x14ac:dyDescent="0.25">
      <c r="A16" s="10">
        <v>12</v>
      </c>
      <c r="B16" s="12"/>
      <c r="C16" s="7" t="s">
        <v>64</v>
      </c>
      <c r="D16" s="7" t="s">
        <v>65</v>
      </c>
      <c r="E16" s="20" t="s">
        <v>20</v>
      </c>
      <c r="F16" s="9" t="s">
        <v>37</v>
      </c>
      <c r="G16" s="9" t="s">
        <v>37</v>
      </c>
      <c r="H16" s="9" t="s">
        <v>37</v>
      </c>
      <c r="I16" s="28"/>
      <c r="J16" s="9" t="s">
        <v>37</v>
      </c>
      <c r="K16" s="30"/>
      <c r="L16" s="9" t="s">
        <v>36</v>
      </c>
      <c r="M16" s="9" t="s">
        <v>37</v>
      </c>
      <c r="N16" s="9" t="s">
        <v>37</v>
      </c>
      <c r="O16" s="9"/>
      <c r="P16" s="28"/>
      <c r="Q16" s="30"/>
      <c r="R16" s="9" t="s">
        <v>36</v>
      </c>
      <c r="S16" s="9" t="s">
        <v>37</v>
      </c>
      <c r="T16" s="9" t="s">
        <v>37</v>
      </c>
      <c r="U16" s="30"/>
      <c r="V16" s="9"/>
      <c r="W16" s="5">
        <f t="shared" si="1"/>
        <v>8</v>
      </c>
      <c r="X16" s="5">
        <f t="shared" si="2"/>
        <v>2</v>
      </c>
      <c r="Y16" s="25" t="s">
        <v>6</v>
      </c>
      <c r="Z16" s="26"/>
      <c r="AA16" s="26"/>
      <c r="AB16" s="27"/>
    </row>
    <row r="17" spans="1:28" x14ac:dyDescent="0.25">
      <c r="A17" s="10">
        <v>13</v>
      </c>
      <c r="B17" s="12"/>
      <c r="C17" s="7" t="s">
        <v>66</v>
      </c>
      <c r="D17" s="7" t="s">
        <v>40</v>
      </c>
      <c r="E17" s="20" t="s">
        <v>20</v>
      </c>
      <c r="F17" s="9" t="s">
        <v>36</v>
      </c>
      <c r="G17" s="9"/>
      <c r="H17" s="9" t="s">
        <v>37</v>
      </c>
      <c r="I17" s="28"/>
      <c r="J17" s="9" t="s">
        <v>37</v>
      </c>
      <c r="K17" s="30"/>
      <c r="L17" s="9" t="s">
        <v>37</v>
      </c>
      <c r="M17" s="9" t="s">
        <v>37</v>
      </c>
      <c r="N17" s="9" t="s">
        <v>37</v>
      </c>
      <c r="O17" s="9"/>
      <c r="P17" s="28"/>
      <c r="Q17" s="30"/>
      <c r="R17" s="9" t="s">
        <v>36</v>
      </c>
      <c r="S17" s="9" t="s">
        <v>36</v>
      </c>
      <c r="T17" s="9" t="s">
        <v>36</v>
      </c>
      <c r="U17" s="30"/>
      <c r="V17" s="9"/>
      <c r="W17" s="5">
        <f t="shared" si="1"/>
        <v>5</v>
      </c>
      <c r="X17" s="5">
        <f t="shared" si="2"/>
        <v>4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10">
        <v>14</v>
      </c>
      <c r="B18" s="12"/>
      <c r="C18" s="7" t="s">
        <v>67</v>
      </c>
      <c r="D18" s="7" t="s">
        <v>68</v>
      </c>
      <c r="E18" s="20" t="s">
        <v>20</v>
      </c>
      <c r="F18" s="9" t="s">
        <v>36</v>
      </c>
      <c r="G18" s="9"/>
      <c r="H18" s="9"/>
      <c r="I18" s="28"/>
      <c r="J18" s="9" t="s">
        <v>37</v>
      </c>
      <c r="K18" s="30"/>
      <c r="L18" s="9" t="s">
        <v>37</v>
      </c>
      <c r="M18" s="9" t="s">
        <v>37</v>
      </c>
      <c r="N18" s="9" t="s">
        <v>37</v>
      </c>
      <c r="O18" s="9"/>
      <c r="P18" s="28"/>
      <c r="Q18" s="30"/>
      <c r="R18" s="9" t="s">
        <v>36</v>
      </c>
      <c r="S18" s="9" t="s">
        <v>36</v>
      </c>
      <c r="T18" s="9" t="s">
        <v>36</v>
      </c>
      <c r="U18" s="30"/>
      <c r="V18" s="9"/>
      <c r="W18" s="5">
        <f t="shared" si="1"/>
        <v>4</v>
      </c>
      <c r="X18" s="5">
        <f t="shared" si="2"/>
        <v>4</v>
      </c>
      <c r="Y18" s="5" t="s">
        <v>16</v>
      </c>
      <c r="Z18" s="10">
        <f>19*26</f>
        <v>494</v>
      </c>
      <c r="AA18" s="10">
        <f>21*26</f>
        <v>546</v>
      </c>
      <c r="AB18" s="10">
        <f>Z18+AA18</f>
        <v>1040</v>
      </c>
    </row>
    <row r="19" spans="1:28" x14ac:dyDescent="0.25">
      <c r="A19" s="10">
        <v>15</v>
      </c>
      <c r="B19" s="12"/>
      <c r="C19" s="7" t="s">
        <v>69</v>
      </c>
      <c r="D19" s="7" t="s">
        <v>70</v>
      </c>
      <c r="E19" s="20" t="s">
        <v>20</v>
      </c>
      <c r="F19" s="9" t="s">
        <v>36</v>
      </c>
      <c r="G19" s="9"/>
      <c r="H19" s="9" t="s">
        <v>37</v>
      </c>
      <c r="I19" s="28"/>
      <c r="J19" s="9" t="s">
        <v>37</v>
      </c>
      <c r="K19" s="30"/>
      <c r="L19" s="9" t="s">
        <v>37</v>
      </c>
      <c r="M19" s="9" t="s">
        <v>37</v>
      </c>
      <c r="N19" s="9" t="s">
        <v>37</v>
      </c>
      <c r="O19" s="9" t="s">
        <v>37</v>
      </c>
      <c r="P19" s="28"/>
      <c r="Q19" s="30"/>
      <c r="R19" s="9" t="s">
        <v>37</v>
      </c>
      <c r="S19" s="9" t="s">
        <v>36</v>
      </c>
      <c r="T19" s="9" t="s">
        <v>37</v>
      </c>
      <c r="U19" s="30"/>
      <c r="V19" s="9"/>
      <c r="W19" s="5">
        <f t="shared" si="1"/>
        <v>8</v>
      </c>
      <c r="X19" s="5">
        <f t="shared" si="2"/>
        <v>2</v>
      </c>
      <c r="Y19" s="5" t="s">
        <v>19</v>
      </c>
      <c r="Z19" s="10">
        <f>Z18-Z11</f>
        <v>377</v>
      </c>
      <c r="AA19" s="10">
        <f>AA18-AA11</f>
        <v>504</v>
      </c>
      <c r="AB19" s="10">
        <f>Z19+AA19</f>
        <v>881</v>
      </c>
    </row>
    <row r="20" spans="1:28" x14ac:dyDescent="0.25">
      <c r="A20" s="10">
        <v>16</v>
      </c>
      <c r="B20" s="12"/>
      <c r="C20" s="7" t="s">
        <v>71</v>
      </c>
      <c r="D20" s="7" t="s">
        <v>31</v>
      </c>
      <c r="E20" s="20" t="s">
        <v>20</v>
      </c>
      <c r="F20" s="9" t="s">
        <v>36</v>
      </c>
      <c r="G20" s="9"/>
      <c r="H20" s="9" t="s">
        <v>37</v>
      </c>
      <c r="I20" s="28"/>
      <c r="J20" s="9" t="s">
        <v>37</v>
      </c>
      <c r="K20" s="30"/>
      <c r="L20" s="9" t="s">
        <v>37</v>
      </c>
      <c r="M20" s="9" t="s">
        <v>37</v>
      </c>
      <c r="N20" s="9" t="s">
        <v>37</v>
      </c>
      <c r="O20" s="9" t="s">
        <v>36</v>
      </c>
      <c r="P20" s="28"/>
      <c r="Q20" s="30"/>
      <c r="R20" s="9" t="s">
        <v>36</v>
      </c>
      <c r="S20" s="9" t="s">
        <v>36</v>
      </c>
      <c r="T20" s="9" t="s">
        <v>37</v>
      </c>
      <c r="U20" s="30"/>
      <c r="V20" s="9"/>
      <c r="W20" s="5">
        <f t="shared" si="1"/>
        <v>6</v>
      </c>
      <c r="X20" s="5">
        <f t="shared" si="2"/>
        <v>4</v>
      </c>
      <c r="Y20" s="5" t="s">
        <v>15</v>
      </c>
      <c r="Z20" s="18">
        <f>Z19/Z18</f>
        <v>0.76315789473684215</v>
      </c>
      <c r="AA20" s="18">
        <f>AA19/AA18</f>
        <v>0.92307692307692313</v>
      </c>
      <c r="AB20" s="18">
        <f>AB19/AB18</f>
        <v>0.8471153846153846</v>
      </c>
    </row>
    <row r="21" spans="1:28" x14ac:dyDescent="0.25">
      <c r="A21" s="10">
        <v>17</v>
      </c>
      <c r="B21" s="12"/>
      <c r="C21" s="7" t="s">
        <v>72</v>
      </c>
      <c r="D21" s="7" t="s">
        <v>40</v>
      </c>
      <c r="E21" s="20" t="s">
        <v>20</v>
      </c>
      <c r="F21" s="9" t="s">
        <v>36</v>
      </c>
      <c r="G21" s="9"/>
      <c r="H21" s="9" t="s">
        <v>37</v>
      </c>
      <c r="I21" s="28"/>
      <c r="J21" s="9" t="s">
        <v>37</v>
      </c>
      <c r="K21" s="30"/>
      <c r="L21" s="9" t="s">
        <v>37</v>
      </c>
      <c r="M21" s="9" t="s">
        <v>37</v>
      </c>
      <c r="N21" s="9" t="s">
        <v>37</v>
      </c>
      <c r="O21" s="9" t="s">
        <v>37</v>
      </c>
      <c r="P21" s="28"/>
      <c r="Q21" s="30"/>
      <c r="R21" s="9" t="s">
        <v>37</v>
      </c>
      <c r="S21" s="9" t="s">
        <v>36</v>
      </c>
      <c r="T21" s="9" t="s">
        <v>37</v>
      </c>
      <c r="U21" s="30"/>
      <c r="V21" s="9"/>
      <c r="W21" s="5">
        <f t="shared" si="1"/>
        <v>8</v>
      </c>
      <c r="X21" s="5">
        <f t="shared" si="2"/>
        <v>2</v>
      </c>
    </row>
    <row r="22" spans="1:28" x14ac:dyDescent="0.25">
      <c r="A22" s="10">
        <v>18</v>
      </c>
      <c r="B22" s="12"/>
      <c r="C22" s="7" t="s">
        <v>73</v>
      </c>
      <c r="D22" s="7" t="s">
        <v>38</v>
      </c>
      <c r="E22" s="20" t="s">
        <v>20</v>
      </c>
      <c r="F22" s="9"/>
      <c r="G22" s="9"/>
      <c r="H22" s="9" t="s">
        <v>37</v>
      </c>
      <c r="I22" s="28"/>
      <c r="J22" s="9" t="s">
        <v>37</v>
      </c>
      <c r="K22" s="30"/>
      <c r="L22" s="9" t="s">
        <v>37</v>
      </c>
      <c r="M22" s="9" t="s">
        <v>37</v>
      </c>
      <c r="N22" s="9" t="s">
        <v>37</v>
      </c>
      <c r="O22" s="9" t="s">
        <v>36</v>
      </c>
      <c r="P22" s="28"/>
      <c r="Q22" s="30"/>
      <c r="R22" s="9" t="s">
        <v>37</v>
      </c>
      <c r="S22" s="9" t="s">
        <v>36</v>
      </c>
      <c r="T22" s="9" t="s">
        <v>37</v>
      </c>
      <c r="U22" s="30"/>
      <c r="V22" s="9"/>
      <c r="W22" s="5">
        <f t="shared" si="1"/>
        <v>7</v>
      </c>
      <c r="X22" s="5">
        <f t="shared" si="2"/>
        <v>2</v>
      </c>
    </row>
    <row r="23" spans="1:28" x14ac:dyDescent="0.25">
      <c r="A23" s="10">
        <v>19</v>
      </c>
      <c r="B23" s="12"/>
      <c r="C23" s="7" t="s">
        <v>74</v>
      </c>
      <c r="D23" s="7" t="s">
        <v>39</v>
      </c>
      <c r="E23" s="20" t="s">
        <v>20</v>
      </c>
      <c r="F23" s="9" t="s">
        <v>36</v>
      </c>
      <c r="G23" s="9" t="s">
        <v>37</v>
      </c>
      <c r="H23" s="9" t="s">
        <v>37</v>
      </c>
      <c r="I23" s="28"/>
      <c r="J23" s="9" t="s">
        <v>37</v>
      </c>
      <c r="K23" s="30"/>
      <c r="L23" s="9" t="s">
        <v>37</v>
      </c>
      <c r="M23" s="9" t="s">
        <v>36</v>
      </c>
      <c r="N23" s="9" t="s">
        <v>37</v>
      </c>
      <c r="O23" s="9" t="s">
        <v>36</v>
      </c>
      <c r="P23" s="28"/>
      <c r="Q23" s="30"/>
      <c r="R23" s="9" t="s">
        <v>37</v>
      </c>
      <c r="S23" s="9" t="s">
        <v>36</v>
      </c>
      <c r="T23" s="9" t="s">
        <v>37</v>
      </c>
      <c r="U23" s="30"/>
      <c r="V23" s="9"/>
      <c r="W23" s="5">
        <f t="shared" si="1"/>
        <v>7</v>
      </c>
      <c r="X23" s="5">
        <f t="shared" si="2"/>
        <v>4</v>
      </c>
    </row>
    <row r="24" spans="1:28" x14ac:dyDescent="0.25">
      <c r="A24" s="10">
        <v>20</v>
      </c>
      <c r="B24" s="12"/>
      <c r="C24" s="7" t="s">
        <v>46</v>
      </c>
      <c r="D24" s="7" t="s">
        <v>42</v>
      </c>
      <c r="E24" s="20" t="s">
        <v>20</v>
      </c>
      <c r="F24" s="9" t="s">
        <v>36</v>
      </c>
      <c r="G24" s="9" t="s">
        <v>37</v>
      </c>
      <c r="H24" s="9" t="s">
        <v>37</v>
      </c>
      <c r="I24" s="28"/>
      <c r="J24" s="9" t="s">
        <v>37</v>
      </c>
      <c r="K24" s="30"/>
      <c r="L24" s="9" t="s">
        <v>37</v>
      </c>
      <c r="M24" s="9" t="s">
        <v>37</v>
      </c>
      <c r="N24" s="9" t="s">
        <v>37</v>
      </c>
      <c r="O24" s="9" t="s">
        <v>37</v>
      </c>
      <c r="P24" s="28"/>
      <c r="Q24" s="30"/>
      <c r="R24" s="9" t="s">
        <v>37</v>
      </c>
      <c r="S24" s="9" t="s">
        <v>37</v>
      </c>
      <c r="T24" s="9" t="s">
        <v>37</v>
      </c>
      <c r="U24" s="30"/>
      <c r="V24" s="9"/>
      <c r="W24" s="5">
        <f t="shared" si="1"/>
        <v>10</v>
      </c>
      <c r="X24" s="5">
        <f t="shared" si="2"/>
        <v>1</v>
      </c>
    </row>
    <row r="25" spans="1:28" x14ac:dyDescent="0.25">
      <c r="A25" s="10">
        <v>21</v>
      </c>
      <c r="B25" s="12"/>
      <c r="C25" s="7" t="s">
        <v>75</v>
      </c>
      <c r="D25" s="7" t="s">
        <v>76</v>
      </c>
      <c r="E25" s="20" t="s">
        <v>20</v>
      </c>
      <c r="F25" s="9" t="s">
        <v>37</v>
      </c>
      <c r="G25" s="9" t="s">
        <v>37</v>
      </c>
      <c r="H25" s="9" t="s">
        <v>37</v>
      </c>
      <c r="I25" s="28"/>
      <c r="J25" s="9" t="s">
        <v>37</v>
      </c>
      <c r="K25" s="30"/>
      <c r="L25" s="9" t="s">
        <v>37</v>
      </c>
      <c r="M25" s="9" t="s">
        <v>37</v>
      </c>
      <c r="N25" s="9" t="s">
        <v>37</v>
      </c>
      <c r="O25" s="9"/>
      <c r="P25" s="28"/>
      <c r="Q25" s="30"/>
      <c r="R25" s="9" t="s">
        <v>36</v>
      </c>
      <c r="S25" s="9" t="s">
        <v>37</v>
      </c>
      <c r="T25" s="9" t="s">
        <v>36</v>
      </c>
      <c r="U25" s="30"/>
      <c r="V25" s="9"/>
      <c r="W25" s="5">
        <f t="shared" si="1"/>
        <v>8</v>
      </c>
      <c r="X25" s="5">
        <f t="shared" si="2"/>
        <v>2</v>
      </c>
    </row>
    <row r="26" spans="1:28" x14ac:dyDescent="0.25">
      <c r="A26" s="10">
        <v>22</v>
      </c>
      <c r="B26" s="12"/>
      <c r="C26" s="7" t="s">
        <v>77</v>
      </c>
      <c r="D26" s="7" t="s">
        <v>78</v>
      </c>
      <c r="E26" s="20" t="s">
        <v>20</v>
      </c>
      <c r="F26" s="9" t="s">
        <v>36</v>
      </c>
      <c r="G26" s="9"/>
      <c r="H26" s="9" t="s">
        <v>37</v>
      </c>
      <c r="I26" s="28"/>
      <c r="J26" s="9" t="s">
        <v>37</v>
      </c>
      <c r="K26" s="31"/>
      <c r="L26" s="9" t="s">
        <v>37</v>
      </c>
      <c r="M26" s="9" t="s">
        <v>37</v>
      </c>
      <c r="N26" s="9" t="s">
        <v>37</v>
      </c>
      <c r="O26" s="9" t="s">
        <v>37</v>
      </c>
      <c r="P26" s="28"/>
      <c r="Q26" s="31"/>
      <c r="R26" s="9" t="s">
        <v>37</v>
      </c>
      <c r="S26" s="9" t="s">
        <v>36</v>
      </c>
      <c r="T26" s="9" t="s">
        <v>37</v>
      </c>
      <c r="U26" s="31"/>
      <c r="V26" s="9"/>
      <c r="W26" s="5">
        <f t="shared" si="1"/>
        <v>8</v>
      </c>
      <c r="X26" s="5">
        <f t="shared" si="2"/>
        <v>2</v>
      </c>
    </row>
  </sheetData>
  <mergeCells count="17">
    <mergeCell ref="I5:I26"/>
    <mergeCell ref="P5:P26"/>
    <mergeCell ref="K5:K26"/>
    <mergeCell ref="Q5:Q26"/>
    <mergeCell ref="U5:U26"/>
    <mergeCell ref="W3:W4"/>
    <mergeCell ref="X3:X4"/>
    <mergeCell ref="Y3:Z3"/>
    <mergeCell ref="Y8:AB8"/>
    <mergeCell ref="Y16:AB16"/>
    <mergeCell ref="A3:A4"/>
    <mergeCell ref="B3:B4"/>
    <mergeCell ref="C3:C4"/>
    <mergeCell ref="D3:D4"/>
    <mergeCell ref="E3:E4"/>
    <mergeCell ref="A2:X2"/>
    <mergeCell ref="A1:X1"/>
  </mergeCells>
  <conditionalFormatting sqref="F5:Q5 U5 R5:T26 V5:V26 F6:H26 J6:J26 L6:O26 F4:V4">
    <cfRule type="expression" dxfId="16" priority="14">
      <formula>IF(F$4=TODAY(),TRUE,FALSE)</formula>
    </cfRule>
  </conditionalFormatting>
  <conditionalFormatting sqref="F5:Q5 U5 R5:T26 V5:V26 F6:H26 J6:J26 L6:O26">
    <cfRule type="cellIs" dxfId="15" priority="1" operator="equal">
      <formula>"L"</formula>
    </cfRule>
    <cfRule type="cellIs" dxfId="14" priority="2" operator="equal">
      <formula>"A"</formula>
    </cfRule>
    <cfRule type="cellIs" dxfId="13" priority="3" operator="equal">
      <formula>"P"</formula>
    </cfRule>
  </conditionalFormatting>
  <conditionalFormatting sqref="F3:V4 F5:Q5 U5 R5:T26 V5:V26 F6:H26 J6:J26 L6:O26 Y4:Z4">
    <cfRule type="expression" dxfId="12" priority="15">
      <formula>F$3="Sun"</formula>
    </cfRule>
  </conditionalFormatting>
  <conditionalFormatting sqref="W3:X3 W5:X26">
    <cfRule type="expression" dxfId="11" priority="16">
      <formula>#REF!="Sun"</formula>
    </cfRule>
  </conditionalFormatting>
  <conditionalFormatting sqref="Y5:Y6">
    <cfRule type="expression" dxfId="10" priority="12">
      <formula>Y$3="Sun"</formula>
    </cfRule>
  </conditionalFormatting>
  <conditionalFormatting sqref="Y9:Y12">
    <cfRule type="expression" dxfId="9" priority="6">
      <formula>Y$3="Sun"</formula>
    </cfRule>
  </conditionalFormatting>
  <conditionalFormatting sqref="Y17:Y20">
    <cfRule type="expression" dxfId="8" priority="5">
      <formula>Y$3="Sun"</formula>
    </cfRule>
  </conditionalFormatting>
  <conditionalFormatting sqref="Z9:AB9">
    <cfRule type="expression" dxfId="7" priority="7">
      <formula>Z$3="Sun"</formula>
    </cfRule>
  </conditionalFormatting>
  <conditionalFormatting sqref="Z17:AB17">
    <cfRule type="expression" dxfId="6" priority="4">
      <formula>Z$3="Sun"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6DA5-F4AD-4035-849F-92784DCD3A02}">
  <sheetPr>
    <tabColor rgb="FFC00000"/>
  </sheetPr>
  <dimension ref="A1:AB30"/>
  <sheetViews>
    <sheetView tabSelected="1" workbookViewId="0">
      <selection sqref="A1:XFD1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8" ht="17.25" x14ac:dyDescent="0.3">
      <c r="A2" s="32" t="s">
        <v>22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1:28" ht="15.75" x14ac:dyDescent="0.25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4" t="s">
        <v>5</v>
      </c>
      <c r="X3" s="24" t="s">
        <v>6</v>
      </c>
      <c r="Y3" s="25" t="s">
        <v>21</v>
      </c>
      <c r="Z3" s="26"/>
      <c r="AA3" s="3"/>
      <c r="AB3" s="3"/>
    </row>
    <row r="4" spans="1:28" ht="36.75" x14ac:dyDescent="0.25">
      <c r="A4" s="23"/>
      <c r="B4" s="23"/>
      <c r="C4" s="23"/>
      <c r="D4" s="23"/>
      <c r="E4" s="23"/>
      <c r="F4" s="19">
        <v>45519</v>
      </c>
      <c r="G4" s="19">
        <v>45520</v>
      </c>
      <c r="H4" s="19">
        <v>45521</v>
      </c>
      <c r="I4" s="19">
        <v>45522</v>
      </c>
      <c r="J4" s="19">
        <v>45523</v>
      </c>
      <c r="K4" s="19">
        <v>45524</v>
      </c>
      <c r="L4" s="19">
        <v>45525</v>
      </c>
      <c r="M4" s="19">
        <v>45526</v>
      </c>
      <c r="N4" s="19">
        <v>45527</v>
      </c>
      <c r="O4" s="19">
        <v>45528</v>
      </c>
      <c r="P4" s="19">
        <v>45529</v>
      </c>
      <c r="Q4" s="19">
        <v>45530</v>
      </c>
      <c r="R4" s="19">
        <v>45531</v>
      </c>
      <c r="S4" s="19">
        <v>45532</v>
      </c>
      <c r="T4" s="19">
        <v>45533</v>
      </c>
      <c r="U4" s="19">
        <v>45534</v>
      </c>
      <c r="V4" s="19">
        <v>45535</v>
      </c>
      <c r="W4" s="24"/>
      <c r="X4" s="24"/>
      <c r="Y4" s="4" t="s">
        <v>7</v>
      </c>
      <c r="Z4" s="5">
        <v>31</v>
      </c>
      <c r="AA4" s="3"/>
      <c r="AB4" s="3"/>
    </row>
    <row r="5" spans="1:28" x14ac:dyDescent="0.25">
      <c r="A5" s="10">
        <v>1</v>
      </c>
      <c r="B5" s="12"/>
      <c r="C5" s="13" t="s">
        <v>79</v>
      </c>
      <c r="D5" s="14" t="s">
        <v>80</v>
      </c>
      <c r="E5" s="8" t="s">
        <v>20</v>
      </c>
      <c r="F5" s="9" t="s">
        <v>37</v>
      </c>
      <c r="G5" s="9" t="s">
        <v>37</v>
      </c>
      <c r="H5" s="9" t="s">
        <v>37</v>
      </c>
      <c r="I5" s="33" t="s">
        <v>116</v>
      </c>
      <c r="J5" s="9" t="s">
        <v>37</v>
      </c>
      <c r="K5" s="29" t="s">
        <v>118</v>
      </c>
      <c r="L5" s="9" t="s">
        <v>37</v>
      </c>
      <c r="M5" s="9" t="s">
        <v>37</v>
      </c>
      <c r="N5" s="9" t="s">
        <v>37</v>
      </c>
      <c r="O5" s="9" t="s">
        <v>37</v>
      </c>
      <c r="P5" s="33" t="s">
        <v>116</v>
      </c>
      <c r="Q5" s="29" t="s">
        <v>119</v>
      </c>
      <c r="R5" s="9" t="s">
        <v>37</v>
      </c>
      <c r="S5" s="9" t="s">
        <v>37</v>
      </c>
      <c r="T5" s="9" t="s">
        <v>37</v>
      </c>
      <c r="U5" s="29" t="s">
        <v>120</v>
      </c>
      <c r="V5" s="9"/>
      <c r="W5" s="5">
        <f t="shared" ref="W5:W30" si="1">COUNTIF(F5:V5,"P")</f>
        <v>11</v>
      </c>
      <c r="X5" s="5">
        <f t="shared" ref="X5:X30" si="2">COUNTIF(F5:V5,"A")</f>
        <v>0</v>
      </c>
      <c r="Y5" s="5" t="s">
        <v>8</v>
      </c>
      <c r="Z5" s="10">
        <v>26</v>
      </c>
      <c r="AA5" s="11" t="s">
        <v>9</v>
      </c>
      <c r="AB5" s="3"/>
    </row>
    <row r="6" spans="1:28" x14ac:dyDescent="0.25">
      <c r="A6" s="6">
        <v>2</v>
      </c>
      <c r="B6" s="12"/>
      <c r="C6" s="13" t="s">
        <v>24</v>
      </c>
      <c r="D6" s="14" t="s">
        <v>31</v>
      </c>
      <c r="E6" s="8" t="s">
        <v>20</v>
      </c>
      <c r="F6" s="9" t="s">
        <v>37</v>
      </c>
      <c r="G6" s="9" t="s">
        <v>37</v>
      </c>
      <c r="H6" s="9" t="s">
        <v>37</v>
      </c>
      <c r="I6" s="34"/>
      <c r="J6" s="9" t="s">
        <v>37</v>
      </c>
      <c r="K6" s="30"/>
      <c r="L6" s="9" t="s">
        <v>37</v>
      </c>
      <c r="M6" s="9" t="s">
        <v>37</v>
      </c>
      <c r="N6" s="9" t="s">
        <v>37</v>
      </c>
      <c r="O6" s="9" t="s">
        <v>37</v>
      </c>
      <c r="P6" s="34"/>
      <c r="Q6" s="30"/>
      <c r="R6" s="9" t="s">
        <v>37</v>
      </c>
      <c r="S6" s="9" t="s">
        <v>36</v>
      </c>
      <c r="T6" s="9" t="s">
        <v>36</v>
      </c>
      <c r="U6" s="30"/>
      <c r="V6" s="9"/>
      <c r="W6" s="5">
        <f t="shared" si="1"/>
        <v>9</v>
      </c>
      <c r="X6" s="5">
        <f t="shared" si="2"/>
        <v>2</v>
      </c>
      <c r="Y6" s="5" t="s">
        <v>10</v>
      </c>
      <c r="Z6" s="10">
        <v>4</v>
      </c>
      <c r="AA6" s="3"/>
      <c r="AB6" s="3"/>
    </row>
    <row r="7" spans="1:28" x14ac:dyDescent="0.25">
      <c r="A7" s="10">
        <v>3</v>
      </c>
      <c r="B7" s="12"/>
      <c r="C7" s="13" t="s">
        <v>81</v>
      </c>
      <c r="D7" s="14" t="s">
        <v>82</v>
      </c>
      <c r="E7" s="8" t="s">
        <v>20</v>
      </c>
      <c r="F7" s="9" t="s">
        <v>37</v>
      </c>
      <c r="G7" s="9" t="s">
        <v>37</v>
      </c>
      <c r="H7" s="9" t="s">
        <v>37</v>
      </c>
      <c r="I7" s="34"/>
      <c r="J7" s="9" t="s">
        <v>37</v>
      </c>
      <c r="K7" s="30"/>
      <c r="L7" s="9" t="s">
        <v>37</v>
      </c>
      <c r="M7" s="9" t="s">
        <v>36</v>
      </c>
      <c r="N7" s="9" t="s">
        <v>37</v>
      </c>
      <c r="O7" s="9" t="s">
        <v>37</v>
      </c>
      <c r="P7" s="34"/>
      <c r="Q7" s="30"/>
      <c r="R7" s="9" t="s">
        <v>37</v>
      </c>
      <c r="S7" s="9" t="s">
        <v>36</v>
      </c>
      <c r="T7" s="9" t="s">
        <v>36</v>
      </c>
      <c r="U7" s="30"/>
      <c r="V7" s="9"/>
      <c r="W7" s="5">
        <f t="shared" si="1"/>
        <v>8</v>
      </c>
      <c r="X7" s="5">
        <f t="shared" si="2"/>
        <v>3</v>
      </c>
      <c r="Y7" s="3"/>
      <c r="Z7" s="3"/>
      <c r="AA7" s="3"/>
      <c r="AB7" s="3"/>
    </row>
    <row r="8" spans="1:28" ht="15.75" x14ac:dyDescent="0.25">
      <c r="A8" s="10">
        <v>4</v>
      </c>
      <c r="B8" s="12"/>
      <c r="C8" s="13" t="s">
        <v>49</v>
      </c>
      <c r="D8" s="14" t="s">
        <v>83</v>
      </c>
      <c r="E8" s="8" t="s">
        <v>20</v>
      </c>
      <c r="F8" s="9" t="s">
        <v>37</v>
      </c>
      <c r="G8" s="9" t="s">
        <v>37</v>
      </c>
      <c r="H8" s="9" t="s">
        <v>37</v>
      </c>
      <c r="I8" s="34"/>
      <c r="J8" s="9" t="s">
        <v>37</v>
      </c>
      <c r="K8" s="30"/>
      <c r="L8" s="9" t="s">
        <v>37</v>
      </c>
      <c r="M8" s="9" t="s">
        <v>37</v>
      </c>
      <c r="N8" s="9" t="s">
        <v>36</v>
      </c>
      <c r="O8" s="9" t="s">
        <v>37</v>
      </c>
      <c r="P8" s="34"/>
      <c r="Q8" s="30"/>
      <c r="R8" s="9" t="s">
        <v>37</v>
      </c>
      <c r="S8" s="9" t="s">
        <v>37</v>
      </c>
      <c r="T8" s="9" t="s">
        <v>37</v>
      </c>
      <c r="U8" s="30"/>
      <c r="V8" s="9"/>
      <c r="W8" s="5">
        <f t="shared" si="1"/>
        <v>10</v>
      </c>
      <c r="X8" s="5">
        <f t="shared" si="2"/>
        <v>1</v>
      </c>
      <c r="Y8" s="25" t="s">
        <v>11</v>
      </c>
      <c r="Z8" s="26"/>
      <c r="AA8" s="26"/>
      <c r="AB8" s="27"/>
    </row>
    <row r="9" spans="1:28" x14ac:dyDescent="0.25">
      <c r="A9" s="6">
        <v>5</v>
      </c>
      <c r="B9" s="12"/>
      <c r="C9" s="13" t="s">
        <v>84</v>
      </c>
      <c r="D9" s="14" t="s">
        <v>85</v>
      </c>
      <c r="E9" s="8" t="s">
        <v>20</v>
      </c>
      <c r="F9" s="9" t="s">
        <v>37</v>
      </c>
      <c r="G9" s="9" t="s">
        <v>37</v>
      </c>
      <c r="H9" s="9" t="s">
        <v>37</v>
      </c>
      <c r="I9" s="34"/>
      <c r="J9" s="9" t="s">
        <v>37</v>
      </c>
      <c r="K9" s="30"/>
      <c r="L9" s="9" t="s">
        <v>37</v>
      </c>
      <c r="M9" s="9" t="s">
        <v>37</v>
      </c>
      <c r="N9" s="9" t="s">
        <v>37</v>
      </c>
      <c r="O9" s="9" t="s">
        <v>36</v>
      </c>
      <c r="P9" s="34"/>
      <c r="Q9" s="30"/>
      <c r="R9" s="9" t="s">
        <v>36</v>
      </c>
      <c r="S9" s="9" t="s">
        <v>36</v>
      </c>
      <c r="T9" s="9" t="s">
        <v>36</v>
      </c>
      <c r="U9" s="30"/>
      <c r="V9" s="9"/>
      <c r="W9" s="5">
        <f t="shared" si="1"/>
        <v>7</v>
      </c>
      <c r="X9" s="5">
        <f t="shared" si="2"/>
        <v>4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10">
        <v>6</v>
      </c>
      <c r="B10" s="12"/>
      <c r="C10" s="13" t="s">
        <v>86</v>
      </c>
      <c r="D10" s="14" t="s">
        <v>87</v>
      </c>
      <c r="E10" s="8" t="s">
        <v>20</v>
      </c>
      <c r="F10" s="9" t="s">
        <v>37</v>
      </c>
      <c r="G10" s="9" t="s">
        <v>37</v>
      </c>
      <c r="H10" s="9" t="s">
        <v>37</v>
      </c>
      <c r="I10" s="34"/>
      <c r="J10" s="9" t="s">
        <v>37</v>
      </c>
      <c r="K10" s="30"/>
      <c r="L10" s="9" t="s">
        <v>37</v>
      </c>
      <c r="M10" s="9" t="s">
        <v>37</v>
      </c>
      <c r="N10" s="9" t="s">
        <v>37</v>
      </c>
      <c r="O10" s="9" t="s">
        <v>37</v>
      </c>
      <c r="P10" s="34"/>
      <c r="Q10" s="30"/>
      <c r="R10" s="9" t="s">
        <v>37</v>
      </c>
      <c r="S10" s="9" t="s">
        <v>36</v>
      </c>
      <c r="T10" s="9" t="s">
        <v>37</v>
      </c>
      <c r="U10" s="30"/>
      <c r="V10" s="9"/>
      <c r="W10" s="5">
        <f t="shared" si="1"/>
        <v>10</v>
      </c>
      <c r="X10" s="5">
        <f t="shared" si="2"/>
        <v>1</v>
      </c>
      <c r="Y10" s="5" t="s">
        <v>16</v>
      </c>
      <c r="Z10" s="10">
        <f>19*26</f>
        <v>494</v>
      </c>
      <c r="AA10" s="10">
        <f>21*26</f>
        <v>546</v>
      </c>
      <c r="AB10" s="10">
        <f>SUM(Z10:AA10)</f>
        <v>1040</v>
      </c>
    </row>
    <row r="11" spans="1:28" x14ac:dyDescent="0.25">
      <c r="A11" s="10">
        <v>7</v>
      </c>
      <c r="B11" s="12"/>
      <c r="C11" s="13" t="s">
        <v>88</v>
      </c>
      <c r="D11" s="14" t="s">
        <v>89</v>
      </c>
      <c r="E11" s="8" t="s">
        <v>20</v>
      </c>
      <c r="F11" s="9" t="s">
        <v>36</v>
      </c>
      <c r="G11" s="9" t="s">
        <v>36</v>
      </c>
      <c r="H11" s="9" t="s">
        <v>36</v>
      </c>
      <c r="I11" s="34"/>
      <c r="J11" s="9" t="s">
        <v>36</v>
      </c>
      <c r="K11" s="30"/>
      <c r="L11" s="9" t="s">
        <v>37</v>
      </c>
      <c r="M11" s="9" t="s">
        <v>37</v>
      </c>
      <c r="N11" s="9" t="s">
        <v>37</v>
      </c>
      <c r="O11" s="9" t="s">
        <v>36</v>
      </c>
      <c r="P11" s="34"/>
      <c r="Q11" s="30"/>
      <c r="R11" s="9" t="s">
        <v>36</v>
      </c>
      <c r="S11" s="9" t="s">
        <v>37</v>
      </c>
      <c r="T11" s="9" t="s">
        <v>37</v>
      </c>
      <c r="U11" s="30"/>
      <c r="V11" s="9"/>
      <c r="W11" s="5">
        <f t="shared" si="1"/>
        <v>5</v>
      </c>
      <c r="X11" s="5">
        <f t="shared" si="2"/>
        <v>6</v>
      </c>
      <c r="Y11" s="5" t="s">
        <v>17</v>
      </c>
      <c r="Z11" s="10">
        <f>W6+W17</f>
        <v>18</v>
      </c>
      <c r="AA11" s="10">
        <f>W5+W7+W8+W9+W10+W11+W12+W13+W14+W15+W16+W18+W19</f>
        <v>113</v>
      </c>
      <c r="AB11" s="10">
        <f>Z11+AA11</f>
        <v>131</v>
      </c>
    </row>
    <row r="12" spans="1:28" x14ac:dyDescent="0.25">
      <c r="A12" s="6">
        <v>8</v>
      </c>
      <c r="B12" s="12"/>
      <c r="C12" s="13" t="s">
        <v>90</v>
      </c>
      <c r="D12" s="14" t="s">
        <v>30</v>
      </c>
      <c r="E12" s="8" t="s">
        <v>20</v>
      </c>
      <c r="F12" s="9" t="s">
        <v>37</v>
      </c>
      <c r="G12" s="9" t="s">
        <v>37</v>
      </c>
      <c r="H12" s="9" t="s">
        <v>37</v>
      </c>
      <c r="I12" s="34"/>
      <c r="J12" s="9" t="s">
        <v>37</v>
      </c>
      <c r="K12" s="30"/>
      <c r="L12" s="9" t="s">
        <v>37</v>
      </c>
      <c r="M12" s="9" t="s">
        <v>37</v>
      </c>
      <c r="N12" s="9" t="s">
        <v>37</v>
      </c>
      <c r="O12" s="9" t="s">
        <v>37</v>
      </c>
      <c r="P12" s="34"/>
      <c r="Q12" s="30"/>
      <c r="R12" s="9" t="s">
        <v>37</v>
      </c>
      <c r="S12" s="9" t="s">
        <v>37</v>
      </c>
      <c r="T12" s="9" t="s">
        <v>37</v>
      </c>
      <c r="U12" s="30"/>
      <c r="V12" s="9"/>
      <c r="W12" s="5">
        <f t="shared" si="1"/>
        <v>11</v>
      </c>
      <c r="X12" s="5">
        <f t="shared" si="2"/>
        <v>0</v>
      </c>
      <c r="Y12" s="5" t="s">
        <v>18</v>
      </c>
      <c r="Z12" s="10">
        <f>Z11/Z10</f>
        <v>3.643724696356275E-2</v>
      </c>
      <c r="AA12" s="10">
        <f>AA11/AA10</f>
        <v>0.20695970695970695</v>
      </c>
      <c r="AB12" s="10">
        <f>AB11/AB10</f>
        <v>0.12596153846153846</v>
      </c>
    </row>
    <row r="13" spans="1:28" x14ac:dyDescent="0.25">
      <c r="A13" s="10">
        <v>9</v>
      </c>
      <c r="B13" s="12"/>
      <c r="C13" s="13" t="s">
        <v>35</v>
      </c>
      <c r="D13" s="14" t="s">
        <v>91</v>
      </c>
      <c r="E13" s="8" t="s">
        <v>20</v>
      </c>
      <c r="F13" s="9" t="s">
        <v>37</v>
      </c>
      <c r="G13" s="9" t="s">
        <v>37</v>
      </c>
      <c r="H13" s="9" t="s">
        <v>37</v>
      </c>
      <c r="I13" s="34"/>
      <c r="J13" s="9" t="s">
        <v>37</v>
      </c>
      <c r="K13" s="30"/>
      <c r="L13" s="9" t="s">
        <v>37</v>
      </c>
      <c r="M13" s="9" t="s">
        <v>37</v>
      </c>
      <c r="N13" s="9" t="s">
        <v>37</v>
      </c>
      <c r="O13" s="9" t="s">
        <v>36</v>
      </c>
      <c r="P13" s="34"/>
      <c r="Q13" s="30"/>
      <c r="R13" s="9" t="s">
        <v>36</v>
      </c>
      <c r="S13" s="9" t="s">
        <v>36</v>
      </c>
      <c r="T13" s="9" t="s">
        <v>37</v>
      </c>
      <c r="U13" s="30"/>
      <c r="V13" s="9"/>
      <c r="W13" s="5">
        <f t="shared" si="1"/>
        <v>8</v>
      </c>
      <c r="X13" s="5">
        <f t="shared" si="2"/>
        <v>3</v>
      </c>
      <c r="Y13" s="3"/>
      <c r="Z13" s="15"/>
      <c r="AA13" s="15"/>
      <c r="AB13" s="15"/>
    </row>
    <row r="14" spans="1:28" x14ac:dyDescent="0.25">
      <c r="A14" s="10">
        <v>10</v>
      </c>
      <c r="B14" s="12"/>
      <c r="C14" s="13" t="s">
        <v>92</v>
      </c>
      <c r="D14" s="14" t="s">
        <v>28</v>
      </c>
      <c r="E14" s="8" t="s">
        <v>20</v>
      </c>
      <c r="F14" s="9" t="s">
        <v>36</v>
      </c>
      <c r="G14" s="9" t="s">
        <v>37</v>
      </c>
      <c r="H14" s="9" t="s">
        <v>36</v>
      </c>
      <c r="I14" s="34"/>
      <c r="J14" s="9" t="s">
        <v>37</v>
      </c>
      <c r="K14" s="30"/>
      <c r="L14" s="9" t="s">
        <v>37</v>
      </c>
      <c r="M14" s="9" t="s">
        <v>37</v>
      </c>
      <c r="N14" s="9" t="s">
        <v>37</v>
      </c>
      <c r="O14" s="9" t="s">
        <v>36</v>
      </c>
      <c r="P14" s="34"/>
      <c r="Q14" s="30"/>
      <c r="R14" s="9" t="s">
        <v>37</v>
      </c>
      <c r="S14" s="9"/>
      <c r="T14" s="9" t="s">
        <v>37</v>
      </c>
      <c r="U14" s="30"/>
      <c r="V14" s="9"/>
      <c r="W14" s="5">
        <f t="shared" si="1"/>
        <v>7</v>
      </c>
      <c r="X14" s="5">
        <f t="shared" si="2"/>
        <v>3</v>
      </c>
      <c r="Y14" s="17"/>
      <c r="Z14" s="17"/>
      <c r="AA14" s="17"/>
      <c r="AB14" s="17"/>
    </row>
    <row r="15" spans="1:28" x14ac:dyDescent="0.25">
      <c r="A15" s="6">
        <v>11</v>
      </c>
      <c r="B15" s="12"/>
      <c r="C15" s="13" t="s">
        <v>93</v>
      </c>
      <c r="D15" s="14" t="s">
        <v>50</v>
      </c>
      <c r="E15" s="8" t="s">
        <v>20</v>
      </c>
      <c r="F15" s="9" t="s">
        <v>37</v>
      </c>
      <c r="G15" s="9" t="s">
        <v>37</v>
      </c>
      <c r="H15" s="9" t="s">
        <v>37</v>
      </c>
      <c r="I15" s="34"/>
      <c r="J15" s="9" t="s">
        <v>37</v>
      </c>
      <c r="K15" s="30"/>
      <c r="L15" s="9" t="s">
        <v>37</v>
      </c>
      <c r="M15" s="9" t="s">
        <v>37</v>
      </c>
      <c r="N15" s="9" t="s">
        <v>36</v>
      </c>
      <c r="O15" s="9" t="s">
        <v>37</v>
      </c>
      <c r="P15" s="34"/>
      <c r="Q15" s="30"/>
      <c r="R15" s="9" t="s">
        <v>37</v>
      </c>
      <c r="S15" s="9" t="s">
        <v>36</v>
      </c>
      <c r="T15" s="9" t="s">
        <v>37</v>
      </c>
      <c r="U15" s="30"/>
      <c r="V15" s="9"/>
      <c r="W15" s="5">
        <f t="shared" si="1"/>
        <v>9</v>
      </c>
      <c r="X15" s="5">
        <f t="shared" si="2"/>
        <v>2</v>
      </c>
      <c r="Y15" s="3"/>
      <c r="Z15" s="3"/>
      <c r="AA15" s="3"/>
      <c r="AB15" s="3"/>
    </row>
    <row r="16" spans="1:28" ht="15.75" x14ac:dyDescent="0.25">
      <c r="A16" s="10">
        <v>12</v>
      </c>
      <c r="B16" s="12"/>
      <c r="C16" s="13" t="s">
        <v>43</v>
      </c>
      <c r="D16" s="14" t="s">
        <v>45</v>
      </c>
      <c r="E16" s="8" t="s">
        <v>20</v>
      </c>
      <c r="F16" s="9" t="s">
        <v>37</v>
      </c>
      <c r="G16" s="9" t="s">
        <v>37</v>
      </c>
      <c r="H16" s="9" t="s">
        <v>37</v>
      </c>
      <c r="I16" s="34"/>
      <c r="J16" s="9" t="s">
        <v>37</v>
      </c>
      <c r="K16" s="30"/>
      <c r="L16" s="9" t="s">
        <v>37</v>
      </c>
      <c r="M16" s="9" t="s">
        <v>37</v>
      </c>
      <c r="N16" s="9" t="s">
        <v>37</v>
      </c>
      <c r="O16" s="9" t="s">
        <v>37</v>
      </c>
      <c r="P16" s="34"/>
      <c r="Q16" s="30"/>
      <c r="R16" s="9" t="s">
        <v>36</v>
      </c>
      <c r="S16" s="9" t="s">
        <v>36</v>
      </c>
      <c r="T16" s="9" t="s">
        <v>37</v>
      </c>
      <c r="U16" s="30"/>
      <c r="V16" s="9"/>
      <c r="W16" s="5">
        <f t="shared" si="1"/>
        <v>9</v>
      </c>
      <c r="X16" s="5">
        <f t="shared" si="2"/>
        <v>2</v>
      </c>
      <c r="Y16" s="25" t="s">
        <v>6</v>
      </c>
      <c r="Z16" s="26"/>
      <c r="AA16" s="26"/>
      <c r="AB16" s="27"/>
    </row>
    <row r="17" spans="1:28" x14ac:dyDescent="0.25">
      <c r="A17" s="10">
        <v>13</v>
      </c>
      <c r="B17" s="12"/>
      <c r="C17" s="13" t="s">
        <v>94</v>
      </c>
      <c r="D17" s="14" t="s">
        <v>95</v>
      </c>
      <c r="E17" s="8" t="s">
        <v>20</v>
      </c>
      <c r="F17" s="9" t="s">
        <v>37</v>
      </c>
      <c r="G17" s="9" t="s">
        <v>37</v>
      </c>
      <c r="H17" s="9" t="s">
        <v>37</v>
      </c>
      <c r="I17" s="34"/>
      <c r="J17" s="9" t="s">
        <v>37</v>
      </c>
      <c r="K17" s="30"/>
      <c r="L17" s="9" t="s">
        <v>37</v>
      </c>
      <c r="M17" s="9" t="s">
        <v>37</v>
      </c>
      <c r="N17" s="9" t="s">
        <v>37</v>
      </c>
      <c r="O17" s="9" t="s">
        <v>37</v>
      </c>
      <c r="P17" s="34"/>
      <c r="Q17" s="30"/>
      <c r="R17" s="9" t="s">
        <v>36</v>
      </c>
      <c r="S17" s="9" t="s">
        <v>36</v>
      </c>
      <c r="T17" s="9" t="s">
        <v>37</v>
      </c>
      <c r="U17" s="30"/>
      <c r="V17" s="9"/>
      <c r="W17" s="5">
        <f t="shared" si="1"/>
        <v>9</v>
      </c>
      <c r="X17" s="5">
        <f t="shared" si="2"/>
        <v>2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6">
        <v>14</v>
      </c>
      <c r="B18" s="12"/>
      <c r="C18" s="13" t="s">
        <v>96</v>
      </c>
      <c r="D18" s="14" t="s">
        <v>34</v>
      </c>
      <c r="E18" s="8" t="s">
        <v>20</v>
      </c>
      <c r="F18" s="9" t="s">
        <v>37</v>
      </c>
      <c r="G18" s="9" t="s">
        <v>37</v>
      </c>
      <c r="H18" s="9" t="s">
        <v>37</v>
      </c>
      <c r="I18" s="34"/>
      <c r="J18" s="9" t="s">
        <v>37</v>
      </c>
      <c r="K18" s="30"/>
      <c r="L18" s="9" t="s">
        <v>37</v>
      </c>
      <c r="M18" s="9" t="s">
        <v>37</v>
      </c>
      <c r="N18" s="9" t="s">
        <v>37</v>
      </c>
      <c r="O18" s="9" t="s">
        <v>36</v>
      </c>
      <c r="P18" s="34"/>
      <c r="Q18" s="30"/>
      <c r="R18" s="9" t="s">
        <v>37</v>
      </c>
      <c r="S18" s="9" t="s">
        <v>36</v>
      </c>
      <c r="T18" s="9" t="s">
        <v>37</v>
      </c>
      <c r="U18" s="30"/>
      <c r="V18" s="9"/>
      <c r="W18" s="5">
        <f t="shared" si="1"/>
        <v>9</v>
      </c>
      <c r="X18" s="5">
        <f t="shared" si="2"/>
        <v>2</v>
      </c>
      <c r="Y18" s="5" t="s">
        <v>16</v>
      </c>
      <c r="Z18" s="10">
        <f>19*26</f>
        <v>494</v>
      </c>
      <c r="AA18" s="10">
        <f>21*26</f>
        <v>546</v>
      </c>
      <c r="AB18" s="10">
        <f>Z18+AA18</f>
        <v>1040</v>
      </c>
    </row>
    <row r="19" spans="1:28" x14ac:dyDescent="0.25">
      <c r="A19" s="10">
        <v>15</v>
      </c>
      <c r="B19" s="12"/>
      <c r="C19" s="13" t="s">
        <v>97</v>
      </c>
      <c r="D19" s="14" t="s">
        <v>98</v>
      </c>
      <c r="E19" s="8" t="s">
        <v>20</v>
      </c>
      <c r="F19" s="9" t="s">
        <v>37</v>
      </c>
      <c r="G19" s="9" t="s">
        <v>37</v>
      </c>
      <c r="H19" s="9" t="s">
        <v>37</v>
      </c>
      <c r="I19" s="34"/>
      <c r="J19" s="9" t="s">
        <v>37</v>
      </c>
      <c r="K19" s="30"/>
      <c r="L19" s="9" t="s">
        <v>37</v>
      </c>
      <c r="M19" s="9" t="s">
        <v>37</v>
      </c>
      <c r="N19" s="9" t="s">
        <v>37</v>
      </c>
      <c r="O19" s="9" t="s">
        <v>37</v>
      </c>
      <c r="P19" s="34"/>
      <c r="Q19" s="30"/>
      <c r="R19" s="9" t="s">
        <v>37</v>
      </c>
      <c r="S19" s="9" t="s">
        <v>36</v>
      </c>
      <c r="T19" s="9" t="s">
        <v>36</v>
      </c>
      <c r="U19" s="30"/>
      <c r="V19" s="9"/>
      <c r="W19" s="5">
        <f t="shared" si="1"/>
        <v>9</v>
      </c>
      <c r="X19" s="5">
        <f t="shared" si="2"/>
        <v>2</v>
      </c>
      <c r="Y19" s="5" t="s">
        <v>19</v>
      </c>
      <c r="Z19" s="10">
        <f>Z18-Z11</f>
        <v>476</v>
      </c>
      <c r="AA19" s="10">
        <f>AA18-AA11</f>
        <v>433</v>
      </c>
      <c r="AB19" s="10">
        <f>Z19+AA19</f>
        <v>909</v>
      </c>
    </row>
    <row r="20" spans="1:28" x14ac:dyDescent="0.25">
      <c r="A20" s="10">
        <v>16</v>
      </c>
      <c r="B20" s="12"/>
      <c r="C20" s="13" t="s">
        <v>99</v>
      </c>
      <c r="D20" s="14" t="s">
        <v>41</v>
      </c>
      <c r="E20" s="8" t="s">
        <v>20</v>
      </c>
      <c r="F20" s="9" t="s">
        <v>37</v>
      </c>
      <c r="G20" s="9" t="s">
        <v>37</v>
      </c>
      <c r="H20" s="9" t="s">
        <v>37</v>
      </c>
      <c r="I20" s="34"/>
      <c r="J20" s="9" t="s">
        <v>37</v>
      </c>
      <c r="K20" s="30"/>
      <c r="L20" s="9" t="s">
        <v>37</v>
      </c>
      <c r="M20" s="9" t="s">
        <v>37</v>
      </c>
      <c r="N20" s="9" t="s">
        <v>37</v>
      </c>
      <c r="O20" s="9" t="s">
        <v>36</v>
      </c>
      <c r="P20" s="34"/>
      <c r="Q20" s="30"/>
      <c r="R20" s="9" t="s">
        <v>37</v>
      </c>
      <c r="S20" s="9" t="s">
        <v>36</v>
      </c>
      <c r="T20" s="9" t="s">
        <v>36</v>
      </c>
      <c r="U20" s="30"/>
      <c r="V20" s="9"/>
      <c r="W20" s="5">
        <f t="shared" si="1"/>
        <v>8</v>
      </c>
      <c r="X20" s="5">
        <f t="shared" si="2"/>
        <v>3</v>
      </c>
      <c r="Y20" s="5" t="s">
        <v>15</v>
      </c>
      <c r="Z20" s="18">
        <f>Z19/Z18</f>
        <v>0.96356275303643724</v>
      </c>
      <c r="AA20" s="18">
        <f>AA19/AA18</f>
        <v>0.793040293040293</v>
      </c>
      <c r="AB20" s="18">
        <f>AB19/AB18</f>
        <v>0.87403846153846154</v>
      </c>
    </row>
    <row r="21" spans="1:28" x14ac:dyDescent="0.25">
      <c r="A21" s="6">
        <v>17</v>
      </c>
      <c r="B21" s="12"/>
      <c r="C21" s="13" t="s">
        <v>100</v>
      </c>
      <c r="D21" s="14" t="s">
        <v>32</v>
      </c>
      <c r="E21" s="8" t="s">
        <v>20</v>
      </c>
      <c r="F21" s="9" t="s">
        <v>37</v>
      </c>
      <c r="G21" s="9" t="s">
        <v>37</v>
      </c>
      <c r="H21" s="9" t="s">
        <v>37</v>
      </c>
      <c r="I21" s="34"/>
      <c r="J21" s="9" t="s">
        <v>37</v>
      </c>
      <c r="K21" s="30"/>
      <c r="L21" s="9" t="s">
        <v>37</v>
      </c>
      <c r="M21" s="9" t="s">
        <v>37</v>
      </c>
      <c r="N21" s="9" t="s">
        <v>37</v>
      </c>
      <c r="O21" s="9" t="s">
        <v>37</v>
      </c>
      <c r="P21" s="34"/>
      <c r="Q21" s="30"/>
      <c r="R21" s="9" t="s">
        <v>37</v>
      </c>
      <c r="S21" s="9" t="s">
        <v>36</v>
      </c>
      <c r="T21" s="9" t="s">
        <v>37</v>
      </c>
      <c r="U21" s="30"/>
      <c r="V21" s="9"/>
      <c r="W21" s="5">
        <f t="shared" si="1"/>
        <v>10</v>
      </c>
      <c r="X21" s="5">
        <f t="shared" si="2"/>
        <v>1</v>
      </c>
    </row>
    <row r="22" spans="1:28" x14ac:dyDescent="0.25">
      <c r="A22" s="10">
        <v>18</v>
      </c>
      <c r="B22" s="12"/>
      <c r="C22" s="13" t="s">
        <v>101</v>
      </c>
      <c r="D22" s="14" t="s">
        <v>27</v>
      </c>
      <c r="E22" s="8" t="s">
        <v>20</v>
      </c>
      <c r="F22" s="9" t="s">
        <v>37</v>
      </c>
      <c r="G22" s="9" t="s">
        <v>37</v>
      </c>
      <c r="H22" s="9" t="s">
        <v>37</v>
      </c>
      <c r="I22" s="34"/>
      <c r="J22" s="9" t="s">
        <v>37</v>
      </c>
      <c r="K22" s="30"/>
      <c r="L22" s="9" t="s">
        <v>37</v>
      </c>
      <c r="M22" s="9" t="s">
        <v>36</v>
      </c>
      <c r="N22" s="9" t="s">
        <v>37</v>
      </c>
      <c r="O22" s="9" t="s">
        <v>37</v>
      </c>
      <c r="P22" s="34"/>
      <c r="Q22" s="30"/>
      <c r="R22" s="9" t="s">
        <v>36</v>
      </c>
      <c r="S22" s="9" t="s">
        <v>36</v>
      </c>
      <c r="T22" s="9" t="s">
        <v>37</v>
      </c>
      <c r="U22" s="30"/>
      <c r="V22" s="9"/>
      <c r="W22" s="5">
        <f t="shared" si="1"/>
        <v>8</v>
      </c>
      <c r="X22" s="5">
        <f t="shared" si="2"/>
        <v>3</v>
      </c>
    </row>
    <row r="23" spans="1:28" x14ac:dyDescent="0.25">
      <c r="A23" s="10">
        <v>19</v>
      </c>
      <c r="B23" s="12"/>
      <c r="C23" s="13" t="s">
        <v>102</v>
      </c>
      <c r="D23" s="14" t="s">
        <v>103</v>
      </c>
      <c r="E23" s="8" t="s">
        <v>20</v>
      </c>
      <c r="F23" s="9" t="s">
        <v>37</v>
      </c>
      <c r="G23" s="9" t="s">
        <v>37</v>
      </c>
      <c r="H23" s="9" t="s">
        <v>37</v>
      </c>
      <c r="I23" s="34"/>
      <c r="J23" s="9" t="s">
        <v>37</v>
      </c>
      <c r="K23" s="30"/>
      <c r="L23" s="9" t="s">
        <v>37</v>
      </c>
      <c r="M23" s="9" t="s">
        <v>37</v>
      </c>
      <c r="N23" s="9" t="s">
        <v>37</v>
      </c>
      <c r="O23" s="9" t="s">
        <v>53</v>
      </c>
      <c r="P23" s="34"/>
      <c r="Q23" s="30"/>
      <c r="R23" s="9" t="s">
        <v>36</v>
      </c>
      <c r="S23" s="9" t="s">
        <v>37</v>
      </c>
      <c r="T23" s="9" t="s">
        <v>37</v>
      </c>
      <c r="U23" s="30"/>
      <c r="V23" s="9"/>
      <c r="W23" s="5">
        <f t="shared" si="1"/>
        <v>9</v>
      </c>
      <c r="X23" s="5">
        <f t="shared" si="2"/>
        <v>1</v>
      </c>
    </row>
    <row r="24" spans="1:28" x14ac:dyDescent="0.25">
      <c r="A24" s="6">
        <v>20</v>
      </c>
      <c r="B24" s="12"/>
      <c r="C24" s="13" t="s">
        <v>104</v>
      </c>
      <c r="D24" s="14" t="s">
        <v>105</v>
      </c>
      <c r="E24" s="8" t="s">
        <v>20</v>
      </c>
      <c r="F24" s="9" t="s">
        <v>37</v>
      </c>
      <c r="G24" s="9" t="s">
        <v>37</v>
      </c>
      <c r="H24" s="9" t="s">
        <v>37</v>
      </c>
      <c r="I24" s="34"/>
      <c r="J24" s="9" t="s">
        <v>37</v>
      </c>
      <c r="K24" s="30"/>
      <c r="L24" s="9" t="s">
        <v>36</v>
      </c>
      <c r="M24" s="9" t="s">
        <v>37</v>
      </c>
      <c r="N24" s="9" t="s">
        <v>37</v>
      </c>
      <c r="O24" s="9" t="s">
        <v>37</v>
      </c>
      <c r="P24" s="34"/>
      <c r="Q24" s="30"/>
      <c r="R24" s="9" t="s">
        <v>37</v>
      </c>
      <c r="S24" s="9" t="s">
        <v>36</v>
      </c>
      <c r="T24" s="9" t="s">
        <v>36</v>
      </c>
      <c r="U24" s="30"/>
      <c r="V24" s="9"/>
      <c r="W24" s="5">
        <f t="shared" si="1"/>
        <v>8</v>
      </c>
      <c r="X24" s="5">
        <f t="shared" si="2"/>
        <v>3</v>
      </c>
    </row>
    <row r="25" spans="1:28" x14ac:dyDescent="0.25">
      <c r="A25" s="10">
        <v>21</v>
      </c>
      <c r="B25" s="12"/>
      <c r="C25" s="13" t="s">
        <v>106</v>
      </c>
      <c r="D25" s="14" t="s">
        <v>107</v>
      </c>
      <c r="E25" s="8" t="s">
        <v>20</v>
      </c>
      <c r="F25" s="9" t="s">
        <v>37</v>
      </c>
      <c r="G25" s="9" t="s">
        <v>37</v>
      </c>
      <c r="H25" s="9" t="s">
        <v>37</v>
      </c>
      <c r="I25" s="34"/>
      <c r="J25" s="9" t="s">
        <v>36</v>
      </c>
      <c r="K25" s="30"/>
      <c r="L25" s="9" t="s">
        <v>37</v>
      </c>
      <c r="M25" s="9" t="s">
        <v>37</v>
      </c>
      <c r="N25" s="9" t="s">
        <v>37</v>
      </c>
      <c r="O25" s="9" t="s">
        <v>37</v>
      </c>
      <c r="P25" s="34"/>
      <c r="Q25" s="30"/>
      <c r="R25" s="9" t="s">
        <v>36</v>
      </c>
      <c r="S25" s="9" t="s">
        <v>36</v>
      </c>
      <c r="T25" s="9" t="s">
        <v>36</v>
      </c>
      <c r="U25" s="30"/>
      <c r="V25" s="9"/>
      <c r="W25" s="5">
        <f t="shared" si="1"/>
        <v>7</v>
      </c>
      <c r="X25" s="5">
        <f t="shared" si="2"/>
        <v>4</v>
      </c>
    </row>
    <row r="26" spans="1:28" x14ac:dyDescent="0.25">
      <c r="A26" s="10">
        <v>22</v>
      </c>
      <c r="B26" s="12"/>
      <c r="C26" s="13" t="s">
        <v>52</v>
      </c>
      <c r="D26" s="14" t="s">
        <v>108</v>
      </c>
      <c r="E26" s="8" t="s">
        <v>20</v>
      </c>
      <c r="F26" s="9" t="s">
        <v>37</v>
      </c>
      <c r="G26" s="9" t="s">
        <v>37</v>
      </c>
      <c r="H26" s="9" t="s">
        <v>37</v>
      </c>
      <c r="I26" s="34"/>
      <c r="J26" s="9" t="s">
        <v>37</v>
      </c>
      <c r="K26" s="30"/>
      <c r="L26" s="9" t="s">
        <v>37</v>
      </c>
      <c r="M26" s="9" t="s">
        <v>37</v>
      </c>
      <c r="N26" s="9" t="s">
        <v>37</v>
      </c>
      <c r="O26" s="9" t="s">
        <v>53</v>
      </c>
      <c r="P26" s="34"/>
      <c r="Q26" s="30"/>
      <c r="R26" s="9" t="s">
        <v>37</v>
      </c>
      <c r="S26" s="9" t="s">
        <v>36</v>
      </c>
      <c r="T26" s="9" t="s">
        <v>37</v>
      </c>
      <c r="U26" s="30"/>
      <c r="V26" s="9"/>
      <c r="W26" s="5">
        <f t="shared" si="1"/>
        <v>9</v>
      </c>
      <c r="X26" s="5">
        <f t="shared" si="2"/>
        <v>1</v>
      </c>
    </row>
    <row r="27" spans="1:28" x14ac:dyDescent="0.25">
      <c r="A27" s="6">
        <v>23</v>
      </c>
      <c r="B27" s="12"/>
      <c r="C27" s="13" t="s">
        <v>109</v>
      </c>
      <c r="D27" s="14" t="s">
        <v>110</v>
      </c>
      <c r="E27" s="8" t="s">
        <v>20</v>
      </c>
      <c r="F27" s="9" t="s">
        <v>37</v>
      </c>
      <c r="G27" s="9" t="s">
        <v>37</v>
      </c>
      <c r="H27" s="9" t="s">
        <v>37</v>
      </c>
      <c r="I27" s="34"/>
      <c r="J27" s="9" t="s">
        <v>37</v>
      </c>
      <c r="K27" s="30"/>
      <c r="L27" s="9" t="s">
        <v>36</v>
      </c>
      <c r="M27" s="9" t="s">
        <v>37</v>
      </c>
      <c r="N27" s="9" t="s">
        <v>36</v>
      </c>
      <c r="O27" s="9" t="s">
        <v>37</v>
      </c>
      <c r="P27" s="34"/>
      <c r="Q27" s="30"/>
      <c r="R27" s="9" t="s">
        <v>37</v>
      </c>
      <c r="S27" s="9" t="s">
        <v>36</v>
      </c>
      <c r="T27" s="9" t="s">
        <v>37</v>
      </c>
      <c r="U27" s="30"/>
      <c r="V27" s="9"/>
      <c r="W27" s="5">
        <f t="shared" si="1"/>
        <v>8</v>
      </c>
      <c r="X27" s="5">
        <f t="shared" si="2"/>
        <v>3</v>
      </c>
    </row>
    <row r="28" spans="1:28" x14ac:dyDescent="0.25">
      <c r="A28" s="10">
        <v>24</v>
      </c>
      <c r="B28" s="12"/>
      <c r="C28" s="13" t="s">
        <v>111</v>
      </c>
      <c r="D28" s="14" t="s">
        <v>105</v>
      </c>
      <c r="E28" s="8" t="s">
        <v>20</v>
      </c>
      <c r="F28" s="9" t="s">
        <v>37</v>
      </c>
      <c r="G28" s="9" t="s">
        <v>37</v>
      </c>
      <c r="H28" s="9" t="s">
        <v>37</v>
      </c>
      <c r="I28" s="34"/>
      <c r="J28" s="9" t="s">
        <v>37</v>
      </c>
      <c r="K28" s="30"/>
      <c r="L28" s="9" t="s">
        <v>37</v>
      </c>
      <c r="M28" s="9" t="s">
        <v>37</v>
      </c>
      <c r="N28" s="9" t="s">
        <v>37</v>
      </c>
      <c r="O28" s="9" t="s">
        <v>37</v>
      </c>
      <c r="P28" s="34"/>
      <c r="Q28" s="30"/>
      <c r="R28" s="9" t="s">
        <v>37</v>
      </c>
      <c r="S28" s="9" t="s">
        <v>36</v>
      </c>
      <c r="T28" s="9" t="s">
        <v>36</v>
      </c>
      <c r="U28" s="30"/>
      <c r="V28" s="9"/>
      <c r="W28" s="5">
        <f t="shared" si="1"/>
        <v>9</v>
      </c>
      <c r="X28" s="5">
        <f t="shared" si="2"/>
        <v>2</v>
      </c>
    </row>
    <row r="29" spans="1:28" x14ac:dyDescent="0.25">
      <c r="A29" s="10">
        <v>25</v>
      </c>
      <c r="B29" s="12"/>
      <c r="C29" s="13" t="s">
        <v>112</v>
      </c>
      <c r="D29" s="14" t="s">
        <v>113</v>
      </c>
      <c r="E29" s="8" t="s">
        <v>20</v>
      </c>
      <c r="F29" s="9" t="s">
        <v>37</v>
      </c>
      <c r="G29" s="9" t="s">
        <v>37</v>
      </c>
      <c r="H29" s="9" t="s">
        <v>37</v>
      </c>
      <c r="I29" s="34"/>
      <c r="J29" s="9" t="s">
        <v>37</v>
      </c>
      <c r="K29" s="30"/>
      <c r="L29" s="9" t="s">
        <v>37</v>
      </c>
      <c r="M29" s="9" t="s">
        <v>37</v>
      </c>
      <c r="N29" s="9" t="s">
        <v>37</v>
      </c>
      <c r="O29" s="9" t="s">
        <v>37</v>
      </c>
      <c r="P29" s="34"/>
      <c r="Q29" s="30"/>
      <c r="R29" s="9" t="s">
        <v>37</v>
      </c>
      <c r="S29" s="9" t="s">
        <v>37</v>
      </c>
      <c r="T29" s="9" t="s">
        <v>36</v>
      </c>
      <c r="U29" s="30"/>
      <c r="V29" s="9"/>
      <c r="W29" s="5">
        <f t="shared" si="1"/>
        <v>10</v>
      </c>
      <c r="X29" s="5">
        <f t="shared" si="2"/>
        <v>1</v>
      </c>
    </row>
    <row r="30" spans="1:28" x14ac:dyDescent="0.25">
      <c r="A30" s="6">
        <v>26</v>
      </c>
      <c r="B30" s="12"/>
      <c r="C30" s="13" t="s">
        <v>114</v>
      </c>
      <c r="D30" s="14" t="s">
        <v>115</v>
      </c>
      <c r="E30" s="8" t="s">
        <v>20</v>
      </c>
      <c r="F30" s="9"/>
      <c r="G30" s="9"/>
      <c r="H30" s="9"/>
      <c r="I30" s="35"/>
      <c r="J30" s="9"/>
      <c r="K30" s="31"/>
      <c r="L30" s="9"/>
      <c r="M30" s="9"/>
      <c r="N30" s="9" t="s">
        <v>37</v>
      </c>
      <c r="O30" s="9" t="s">
        <v>37</v>
      </c>
      <c r="P30" s="35"/>
      <c r="Q30" s="31"/>
      <c r="R30" s="9" t="s">
        <v>37</v>
      </c>
      <c r="S30" s="9" t="s">
        <v>36</v>
      </c>
      <c r="T30" s="9" t="s">
        <v>36</v>
      </c>
      <c r="U30" s="31"/>
      <c r="V30" s="9"/>
      <c r="W30" s="5">
        <f t="shared" si="1"/>
        <v>3</v>
      </c>
      <c r="X30" s="5">
        <f t="shared" si="2"/>
        <v>2</v>
      </c>
    </row>
  </sheetData>
  <mergeCells count="17">
    <mergeCell ref="U5:U30"/>
    <mergeCell ref="Y8:AB8"/>
    <mergeCell ref="Y16:AB16"/>
    <mergeCell ref="A1:X1"/>
    <mergeCell ref="A2:X2"/>
    <mergeCell ref="W3:W4"/>
    <mergeCell ref="X3:X4"/>
    <mergeCell ref="Y3:Z3"/>
    <mergeCell ref="A3:A4"/>
    <mergeCell ref="B3:B4"/>
    <mergeCell ref="C3:C4"/>
    <mergeCell ref="D3:D4"/>
    <mergeCell ref="E3:E4"/>
    <mergeCell ref="I5:I30"/>
    <mergeCell ref="P5:P30"/>
    <mergeCell ref="K5:K30"/>
    <mergeCell ref="Q5:Q30"/>
  </mergeCells>
  <conditionalFormatting sqref="F5:Q5 U5 R5:T30 V5:V30 F6:H30 J6:J30 L6:O30 F4:V4">
    <cfRule type="expression" dxfId="5" priority="9">
      <formula>IF(F$4=TODAY(),TRUE,FALSE)</formula>
    </cfRule>
  </conditionalFormatting>
  <conditionalFormatting sqref="F5:Q5 U5 R5:T30 V5:V30 F6:H30 J6:J30 L6:O30">
    <cfRule type="cellIs" dxfId="4" priority="1" operator="equal">
      <formula>"L"</formula>
    </cfRule>
    <cfRule type="cellIs" dxfId="3" priority="2" operator="equal">
      <formula>"A"</formula>
    </cfRule>
    <cfRule type="cellIs" dxfId="2" priority="3" operator="equal">
      <formula>"P"</formula>
    </cfRule>
  </conditionalFormatting>
  <conditionalFormatting sqref="F3:V4 F5:Q5 U5 R5:T30 V5:V30 F6:H30 J6:J30 L6:O30 Y4:Z4 Y5:Y6 Z9:AB9 Y9:Y12 Z17:AB17 Y17:Y20">
    <cfRule type="expression" dxfId="1" priority="10">
      <formula>F$3="Sun"</formula>
    </cfRule>
  </conditionalFormatting>
  <conditionalFormatting sqref="W3:X3 W5:X30">
    <cfRule type="expression" dxfId="0" priority="11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Class-II (Girls)</vt:lpstr>
      <vt:lpstr>Class-II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2024-09-30T06:33:53Z</dcterms:modified>
</cp:coreProperties>
</file>