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3\"/>
    </mc:Choice>
  </mc:AlternateContent>
  <xr:revisionPtr revIDLastSave="0" documentId="13_ncr:1_{6359C089-B1A2-4D4A-9BB3-A6564022C0E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" i="18" l="1"/>
  <c r="AJ33" i="7"/>
  <c r="AK33" i="7"/>
  <c r="AN18" i="18"/>
  <c r="AM18" i="18"/>
  <c r="AN10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K5" i="18"/>
  <c r="AJ5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AK32" i="7"/>
  <c r="AJ32" i="7"/>
  <c r="AK31" i="7"/>
  <c r="AJ31" i="7"/>
  <c r="AK30" i="7"/>
  <c r="AJ30" i="7"/>
  <c r="AK29" i="7"/>
  <c r="AJ29" i="7"/>
  <c r="AK28" i="7"/>
  <c r="AJ28" i="7"/>
  <c r="AK27" i="7"/>
  <c r="AJ27" i="7"/>
  <c r="AK26" i="7"/>
  <c r="AJ26" i="7"/>
  <c r="AK25" i="7"/>
  <c r="AJ25" i="7"/>
  <c r="AK24" i="7"/>
  <c r="AJ24" i="7"/>
  <c r="AK23" i="7"/>
  <c r="AJ23" i="7"/>
  <c r="AK22" i="7"/>
  <c r="AJ22" i="7"/>
  <c r="AK21" i="7"/>
  <c r="AJ21" i="7"/>
  <c r="AK20" i="7"/>
  <c r="AJ20" i="7"/>
  <c r="AK19" i="7"/>
  <c r="AJ19" i="7"/>
  <c r="AN18" i="7"/>
  <c r="AM18" i="7"/>
  <c r="AK18" i="7"/>
  <c r="AJ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AK11" i="7"/>
  <c r="AJ11" i="7"/>
  <c r="AN10" i="7"/>
  <c r="AM10" i="7"/>
  <c r="AK10" i="7"/>
  <c r="AJ10" i="7"/>
  <c r="AK9" i="7"/>
  <c r="AJ9" i="7"/>
  <c r="AK8" i="7"/>
  <c r="AJ8" i="7"/>
  <c r="AK7" i="7"/>
  <c r="AJ7" i="7"/>
  <c r="AK6" i="7"/>
  <c r="AJ6" i="7"/>
  <c r="AM11" i="7" s="1"/>
  <c r="AK5" i="7"/>
  <c r="AJ5" i="7"/>
  <c r="AN11" i="7" s="1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M11" i="18" l="1"/>
  <c r="AM12" i="18" s="1"/>
  <c r="AO10" i="18"/>
  <c r="AN11" i="18"/>
  <c r="AO18" i="18"/>
  <c r="AM19" i="18"/>
  <c r="AM19" i="7"/>
  <c r="AO10" i="7"/>
  <c r="AO18" i="7"/>
  <c r="AN12" i="7"/>
  <c r="AO11" i="18" l="1"/>
  <c r="AO12" i="18" s="1"/>
  <c r="AN19" i="18"/>
  <c r="AN20" i="18" s="1"/>
  <c r="AN12" i="18"/>
  <c r="AM20" i="18"/>
  <c r="AM12" i="7"/>
  <c r="AN19" i="7"/>
  <c r="AN20" i="7" s="1"/>
  <c r="AM20" i="7"/>
  <c r="AO11" i="7"/>
  <c r="AO12" i="7" s="1"/>
  <c r="AO19" i="18" l="1"/>
  <c r="AO20" i="18" s="1"/>
  <c r="AO19" i="7"/>
  <c r="AO20" i="7" s="1"/>
</calcChain>
</file>

<file path=xl/sharedStrings.xml><?xml version="1.0" encoding="utf-8"?>
<sst xmlns="http://schemas.openxmlformats.org/spreadsheetml/2006/main" count="1488" uniqueCount="132">
  <si>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</si>
  <si>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</si>
  <si>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</si>
  <si>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</si>
  <si>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</si>
  <si>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</si>
  <si>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</si>
  <si>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</si>
  <si>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</si>
  <si>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</si>
  <si>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</si>
  <si>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</si>
  <si>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</si>
  <si>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</si>
  <si>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</si>
  <si>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</si>
  <si>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</si>
  <si>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</si>
  <si>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</si>
  <si>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</si>
  <si>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</si>
  <si>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</si>
  <si>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</si>
  <si>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</si>
  <si>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</si>
  <si>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</si>
  <si>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</si>
  <si>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</si>
  <si>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</si>
  <si>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</si>
  <si>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</si>
  <si>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</si>
  <si>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A</t>
  </si>
  <si>
    <t>P</t>
  </si>
  <si>
    <t>L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</si>
  <si>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</si>
  <si>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</si>
  <si>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</si>
  <si>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</si>
  <si>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</si>
  <si>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</si>
  <si>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</si>
  <si>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</si>
  <si>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</si>
  <si>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</si>
  <si>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</si>
  <si>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</si>
  <si>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</si>
  <si>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</si>
  <si>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</si>
  <si>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</si>
  <si>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</si>
  <si>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</si>
  <si>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</si>
  <si>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</si>
  <si>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</si>
  <si>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</si>
  <si>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</si>
  <si>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</si>
  <si>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</si>
  <si>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</si>
  <si>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</si>
  <si>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</si>
  <si>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</si>
  <si>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</si>
  <si>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</si>
  <si>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</si>
  <si>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</si>
  <si>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</si>
  <si>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</si>
  <si>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</si>
  <si>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</si>
  <si>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</si>
  <si>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</si>
  <si>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</si>
  <si>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</si>
  <si>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</si>
  <si>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</si>
  <si>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</si>
  <si>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</si>
  <si>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</si>
  <si>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</si>
  <si>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</si>
  <si>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</si>
  <si>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</si>
  <si>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</si>
  <si>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</si>
  <si>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</si>
  <si>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</si>
  <si>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</si>
  <si>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</si>
  <si>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</si>
  <si>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</si>
  <si>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</si>
  <si>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</si>
  <si>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</si>
  <si>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</si>
  <si>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</si>
  <si>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</si>
  <si>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</si>
  <si>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</si>
  <si>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</si>
  <si>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</si>
  <si>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</si>
  <si>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</si>
  <si>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</si>
  <si>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</si>
  <si>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</si>
  <si>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</si>
  <si>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</si>
  <si>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</si>
  <si>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</si>
  <si>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</si>
  <si>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</si>
  <si>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</si>
  <si>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</si>
  <si>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</si>
  <si>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</si>
  <si>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</si>
  <si>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</si>
  <si>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</si>
  <si>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</si>
  <si>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</si>
  <si>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</si>
  <si>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</si>
  <si>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</si>
  <si>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</si>
  <si>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</si>
  <si>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</si>
  <si>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</t>
  </si>
  <si>
    <t>12 RABI UL AWWAL</t>
  </si>
  <si>
    <t>Monthly Attendence Month of September-2024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</si>
</sst>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O33"/>
  <sheetViews>
    <sheetView workbookViewId="0">
      <selection activeCell="F5" sqref="F5:F3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41" ht="17.25" x14ac:dyDescent="0.3">
      <c r="A2" s="35" t="s">
        <v>131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R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ref="S3:AI3" si="1">TEXT(S4,"ddd")</f>
        <v>Sat</v>
      </c>
      <c r="T3" s="2" t="str">
        <f t="shared" si="1"/>
        <v>Sun</v>
      </c>
      <c r="U3" s="2" t="str">
        <f t="shared" si="1"/>
        <v>Mon</v>
      </c>
      <c r="V3" s="2" t="str">
        <f t="shared" si="1"/>
        <v>Tue</v>
      </c>
      <c r="W3" s="2" t="str">
        <f t="shared" si="1"/>
        <v>Wed</v>
      </c>
      <c r="X3" s="2" t="str">
        <f t="shared" si="1"/>
        <v>Thu</v>
      </c>
      <c r="Y3" s="2" t="str">
        <f t="shared" si="1"/>
        <v>Fri</v>
      </c>
      <c r="Z3" s="2" t="str">
        <f t="shared" si="1"/>
        <v>Sat</v>
      </c>
      <c r="AA3" s="2" t="str">
        <f t="shared" si="1"/>
        <v>Sun</v>
      </c>
      <c r="AB3" s="2" t="str">
        <f t="shared" si="1"/>
        <v>Mon</v>
      </c>
      <c r="AC3" s="2" t="str">
        <f t="shared" si="1"/>
        <v>Tue</v>
      </c>
      <c r="AD3" s="2" t="str">
        <f t="shared" si="1"/>
        <v>Wed</v>
      </c>
      <c r="AE3" s="2" t="str">
        <f t="shared" si="1"/>
        <v>Thu</v>
      </c>
      <c r="AF3" s="2" t="str">
        <f t="shared" si="1"/>
        <v>Fri</v>
      </c>
      <c r="AG3" s="2" t="str">
        <f t="shared" si="1"/>
        <v>Sat</v>
      </c>
      <c r="AH3" s="2" t="str">
        <f t="shared" si="1"/>
        <v>Sun</v>
      </c>
      <c r="AI3" s="2" t="str">
        <f t="shared" si="1"/>
        <v>Mon</v>
      </c>
      <c r="AJ3" s="31" t="s">
        <v>5</v>
      </c>
      <c r="AK3" s="31" t="s">
        <v>6</v>
      </c>
      <c r="AL3" s="32" t="s">
        <v>21</v>
      </c>
      <c r="AM3" s="33"/>
      <c r="AN3" s="3"/>
      <c r="AO3" s="3"/>
    </row>
    <row r="4" spans="1:41" ht="36" x14ac:dyDescent="0.25">
      <c r="A4" s="30"/>
      <c r="B4" s="30"/>
      <c r="C4" s="30"/>
      <c r="D4" s="30"/>
      <c r="E4" s="30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1"/>
      <c r="AK4" s="31"/>
      <c r="AL4" s="4" t="s">
        <v>7</v>
      </c>
      <c r="AM4" s="5">
        <v>31</v>
      </c>
      <c r="AN4" s="3"/>
      <c r="AO4" s="3"/>
    </row>
    <row r="5" spans="1:41" x14ac:dyDescent="0.25">
      <c r="A5" s="6">
        <v>1</v>
      </c>
      <c r="B5" s="7">
        <v>490</v>
      </c>
      <c r="C5" s="8" t="s">
        <v>51</v>
      </c>
      <c r="D5" s="9" t="s">
        <v>52</v>
      </c>
      <c r="E5" s="10" t="s">
        <v>20</v>
      </c>
      <c r="F5" s="22" t="s">
        <v>129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22" t="s">
        <v>129</v>
      </c>
      <c r="N5" s="11" t="s">
        <v>33</v>
      </c>
      <c r="O5" s="11" t="s">
        <v>33</v>
      </c>
      <c r="P5" s="11" t="s">
        <v>33</v>
      </c>
      <c r="Q5" s="11" t="s">
        <v>32</v>
      </c>
      <c r="R5" s="11" t="s">
        <v>33</v>
      </c>
      <c r="S5" s="11" t="s">
        <v>33</v>
      </c>
      <c r="T5" s="22" t="s">
        <v>129</v>
      </c>
      <c r="U5" s="11" t="s">
        <v>33</v>
      </c>
      <c r="V5" s="25" t="s">
        <v>130</v>
      </c>
      <c r="W5" s="11" t="s">
        <v>33</v>
      </c>
      <c r="X5" s="11" t="s">
        <v>33</v>
      </c>
      <c r="Y5" s="11" t="s">
        <v>33</v>
      </c>
      <c r="Z5" s="11" t="s">
        <v>33</v>
      </c>
      <c r="AA5" s="22" t="s">
        <v>129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22" t="s">
        <v>129</v>
      </c>
      <c r="AI5" s="11" t="s">
        <v>33</v>
      </c>
      <c r="AJ5" s="5">
        <f t="shared" ref="AJ5:AJ33" si="2">COUNTIF(F5:AI5,"P")</f>
        <v>23</v>
      </c>
      <c r="AK5" s="5">
        <f t="shared" ref="AK5:AK33" si="3">COUNTIF(F5:AI5,"A")</f>
        <v>1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12">
        <v>2</v>
      </c>
      <c r="B6" s="14">
        <v>646</v>
      </c>
      <c r="C6" s="15" t="s">
        <v>53</v>
      </c>
      <c r="D6" s="16" t="s">
        <v>42</v>
      </c>
      <c r="E6" s="10" t="s">
        <v>20</v>
      </c>
      <c r="F6" s="23"/>
      <c r="G6" s="11" t="s">
        <v>33</v>
      </c>
      <c r="H6" s="11" t="s">
        <v>33</v>
      </c>
      <c r="I6" s="11" t="s">
        <v>33</v>
      </c>
      <c r="J6" s="11" t="s">
        <v>33</v>
      </c>
      <c r="K6" s="11" t="s">
        <v>33</v>
      </c>
      <c r="L6" s="11" t="s">
        <v>33</v>
      </c>
      <c r="M6" s="23"/>
      <c r="N6" s="11" t="s">
        <v>33</v>
      </c>
      <c r="O6" s="11" t="s">
        <v>33</v>
      </c>
      <c r="P6" s="11" t="s">
        <v>33</v>
      </c>
      <c r="Q6" s="11" t="s">
        <v>33</v>
      </c>
      <c r="R6" s="11" t="s">
        <v>33</v>
      </c>
      <c r="S6" s="11" t="s">
        <v>33</v>
      </c>
      <c r="T6" s="23"/>
      <c r="U6" s="11" t="s">
        <v>32</v>
      </c>
      <c r="V6" s="26"/>
      <c r="W6" s="11" t="s">
        <v>33</v>
      </c>
      <c r="X6" s="11" t="s">
        <v>33</v>
      </c>
      <c r="Y6" s="11" t="s">
        <v>33</v>
      </c>
      <c r="Z6" s="11" t="s">
        <v>33</v>
      </c>
      <c r="AA6" s="23"/>
      <c r="AB6" s="11" t="s">
        <v>33</v>
      </c>
      <c r="AC6" s="11" t="s">
        <v>33</v>
      </c>
      <c r="AD6" s="11" t="s">
        <v>33</v>
      </c>
      <c r="AE6" s="11" t="s">
        <v>33</v>
      </c>
      <c r="AF6" s="11" t="s">
        <v>33</v>
      </c>
      <c r="AG6" s="11" t="s">
        <v>33</v>
      </c>
      <c r="AH6" s="23"/>
      <c r="AI6" s="11" t="s">
        <v>33</v>
      </c>
      <c r="AJ6" s="5">
        <f t="shared" si="2"/>
        <v>23</v>
      </c>
      <c r="AK6" s="5">
        <f t="shared" si="3"/>
        <v>1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>
        <v>690</v>
      </c>
      <c r="C7" s="15" t="s">
        <v>54</v>
      </c>
      <c r="D7" s="16" t="s">
        <v>55</v>
      </c>
      <c r="E7" s="10" t="s">
        <v>20</v>
      </c>
      <c r="F7" s="23"/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  <c r="L7" s="11" t="s">
        <v>33</v>
      </c>
      <c r="M7" s="23"/>
      <c r="N7" s="11" t="s">
        <v>33</v>
      </c>
      <c r="O7" s="11" t="s">
        <v>33</v>
      </c>
      <c r="P7" s="11" t="s">
        <v>33</v>
      </c>
      <c r="Q7" s="11" t="s">
        <v>33</v>
      </c>
      <c r="R7" s="11" t="s">
        <v>33</v>
      </c>
      <c r="S7" s="11" t="s">
        <v>33</v>
      </c>
      <c r="T7" s="23"/>
      <c r="U7" s="11" t="s">
        <v>33</v>
      </c>
      <c r="V7" s="26"/>
      <c r="W7" s="11" t="s">
        <v>33</v>
      </c>
      <c r="X7" s="11" t="s">
        <v>33</v>
      </c>
      <c r="Y7" s="11" t="s">
        <v>33</v>
      </c>
      <c r="Z7" s="11" t="s">
        <v>33</v>
      </c>
      <c r="AA7" s="23"/>
      <c r="AB7" s="11" t="s">
        <v>33</v>
      </c>
      <c r="AC7" s="11" t="s">
        <v>33</v>
      </c>
      <c r="AD7" s="11" t="s">
        <v>33</v>
      </c>
      <c r="AE7" s="11" t="s">
        <v>33</v>
      </c>
      <c r="AF7" s="11" t="s">
        <v>33</v>
      </c>
      <c r="AG7" s="11" t="s">
        <v>33</v>
      </c>
      <c r="AH7" s="23"/>
      <c r="AI7" s="11" t="s">
        <v>33</v>
      </c>
      <c r="AJ7" s="5">
        <f t="shared" si="2"/>
        <v>24</v>
      </c>
      <c r="AK7" s="5">
        <f t="shared" si="3"/>
        <v>0</v>
      </c>
      <c r="AL7" s="3"/>
      <c r="AM7" s="3"/>
      <c r="AN7" s="3"/>
      <c r="AO7" s="3"/>
    </row>
    <row r="8" spans="1:41" ht="15.75" x14ac:dyDescent="0.25">
      <c r="A8" s="12">
        <v>4</v>
      </c>
      <c r="B8" s="14">
        <v>684</v>
      </c>
      <c r="C8" s="15" t="s">
        <v>56</v>
      </c>
      <c r="D8" s="16" t="s">
        <v>50</v>
      </c>
      <c r="E8" s="10" t="s">
        <v>20</v>
      </c>
      <c r="F8" s="23"/>
      <c r="G8" s="11" t="s">
        <v>33</v>
      </c>
      <c r="H8" s="11" t="s">
        <v>33</v>
      </c>
      <c r="I8" s="11" t="s">
        <v>33</v>
      </c>
      <c r="J8" s="11" t="s">
        <v>33</v>
      </c>
      <c r="K8" s="11" t="s">
        <v>33</v>
      </c>
      <c r="L8" s="11" t="s">
        <v>32</v>
      </c>
      <c r="M8" s="23"/>
      <c r="N8" s="11" t="s">
        <v>32</v>
      </c>
      <c r="O8" s="11" t="s">
        <v>33</v>
      </c>
      <c r="P8" s="11" t="s">
        <v>33</v>
      </c>
      <c r="Q8" s="11" t="s">
        <v>33</v>
      </c>
      <c r="R8" s="11" t="s">
        <v>33</v>
      </c>
      <c r="S8" s="11" t="s">
        <v>33</v>
      </c>
      <c r="T8" s="23"/>
      <c r="U8" s="11" t="s">
        <v>32</v>
      </c>
      <c r="V8" s="26"/>
      <c r="W8" s="11" t="s">
        <v>33</v>
      </c>
      <c r="X8" s="11" t="s">
        <v>33</v>
      </c>
      <c r="Y8" s="11" t="s">
        <v>33</v>
      </c>
      <c r="Z8" s="11" t="s">
        <v>32</v>
      </c>
      <c r="AA8" s="23"/>
      <c r="AB8" s="11" t="s">
        <v>33</v>
      </c>
      <c r="AC8" s="11" t="s">
        <v>33</v>
      </c>
      <c r="AD8" s="11" t="s">
        <v>33</v>
      </c>
      <c r="AE8" s="11" t="s">
        <v>33</v>
      </c>
      <c r="AF8" s="11" t="s">
        <v>33</v>
      </c>
      <c r="AG8" s="11" t="s">
        <v>33</v>
      </c>
      <c r="AH8" s="23"/>
      <c r="AI8" s="11" t="s">
        <v>33</v>
      </c>
      <c r="AJ8" s="5">
        <f t="shared" si="2"/>
        <v>20</v>
      </c>
      <c r="AK8" s="5">
        <f t="shared" si="3"/>
        <v>4</v>
      </c>
      <c r="AL8" s="32" t="s">
        <v>11</v>
      </c>
      <c r="AM8" s="33"/>
      <c r="AN8" s="33"/>
      <c r="AO8" s="34"/>
    </row>
    <row r="9" spans="1:41" x14ac:dyDescent="0.25">
      <c r="A9" s="6">
        <v>5</v>
      </c>
      <c r="B9" s="14">
        <v>551</v>
      </c>
      <c r="C9" s="15" t="s">
        <v>45</v>
      </c>
      <c r="D9" s="16" t="s">
        <v>57</v>
      </c>
      <c r="E9" s="10" t="s">
        <v>20</v>
      </c>
      <c r="F9" s="23"/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  <c r="L9" s="11" t="s">
        <v>33</v>
      </c>
      <c r="M9" s="23"/>
      <c r="N9" s="11" t="s">
        <v>33</v>
      </c>
      <c r="O9" s="11" t="s">
        <v>33</v>
      </c>
      <c r="P9" s="11" t="s">
        <v>33</v>
      </c>
      <c r="Q9" s="11" t="s">
        <v>33</v>
      </c>
      <c r="R9" s="11" t="s">
        <v>33</v>
      </c>
      <c r="S9" s="11" t="s">
        <v>33</v>
      </c>
      <c r="T9" s="23"/>
      <c r="U9" s="11" t="s">
        <v>33</v>
      </c>
      <c r="V9" s="26"/>
      <c r="W9" s="11" t="s">
        <v>33</v>
      </c>
      <c r="X9" s="11" t="s">
        <v>33</v>
      </c>
      <c r="Y9" s="11" t="s">
        <v>33</v>
      </c>
      <c r="Z9" s="11" t="s">
        <v>33</v>
      </c>
      <c r="AA9" s="23"/>
      <c r="AB9" s="11" t="s">
        <v>33</v>
      </c>
      <c r="AC9" s="11" t="s">
        <v>33</v>
      </c>
      <c r="AD9" s="11" t="s">
        <v>33</v>
      </c>
      <c r="AE9" s="11" t="s">
        <v>33</v>
      </c>
      <c r="AF9" s="11" t="s">
        <v>33</v>
      </c>
      <c r="AG9" s="11" t="s">
        <v>33</v>
      </c>
      <c r="AH9" s="23"/>
      <c r="AI9" s="11" t="s">
        <v>33</v>
      </c>
      <c r="AJ9" s="5">
        <f t="shared" si="2"/>
        <v>24</v>
      </c>
      <c r="AK9" s="5">
        <f t="shared" si="3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>
        <v>647</v>
      </c>
      <c r="C10" s="15" t="s">
        <v>58</v>
      </c>
      <c r="D10" s="16" t="s">
        <v>59</v>
      </c>
      <c r="E10" s="10" t="s">
        <v>20</v>
      </c>
      <c r="F10" s="23"/>
      <c r="G10" s="11" t="s">
        <v>33</v>
      </c>
      <c r="H10" s="11" t="s">
        <v>33</v>
      </c>
      <c r="I10" s="11" t="s">
        <v>33</v>
      </c>
      <c r="J10" s="11" t="s">
        <v>33</v>
      </c>
      <c r="K10" s="11" t="s">
        <v>33</v>
      </c>
      <c r="L10" s="11" t="s">
        <v>33</v>
      </c>
      <c r="M10" s="23"/>
      <c r="N10" s="11" t="s">
        <v>33</v>
      </c>
      <c r="O10" s="11" t="s">
        <v>33</v>
      </c>
      <c r="P10" s="11" t="s">
        <v>33</v>
      </c>
      <c r="Q10" s="11" t="s">
        <v>33</v>
      </c>
      <c r="R10" s="11" t="s">
        <v>33</v>
      </c>
      <c r="S10" s="11" t="s">
        <v>33</v>
      </c>
      <c r="T10" s="23"/>
      <c r="U10" s="11" t="s">
        <v>33</v>
      </c>
      <c r="V10" s="26"/>
      <c r="W10" s="11" t="s">
        <v>33</v>
      </c>
      <c r="X10" s="11" t="s">
        <v>33</v>
      </c>
      <c r="Y10" s="11" t="s">
        <v>33</v>
      </c>
      <c r="Z10" s="11" t="s">
        <v>33</v>
      </c>
      <c r="AA10" s="23"/>
      <c r="AB10" s="11" t="s">
        <v>33</v>
      </c>
      <c r="AC10" s="11" t="s">
        <v>33</v>
      </c>
      <c r="AD10" s="11" t="s">
        <v>33</v>
      </c>
      <c r="AE10" s="11" t="s">
        <v>33</v>
      </c>
      <c r="AF10" s="11" t="s">
        <v>33</v>
      </c>
      <c r="AG10" s="11" t="s">
        <v>33</v>
      </c>
      <c r="AH10" s="23"/>
      <c r="AI10" s="11" t="s">
        <v>33</v>
      </c>
      <c r="AJ10" s="5">
        <f t="shared" si="2"/>
        <v>24</v>
      </c>
      <c r="AK10" s="5">
        <f t="shared" si="3"/>
        <v>0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>
        <v>585</v>
      </c>
      <c r="C11" s="15" t="s">
        <v>60</v>
      </c>
      <c r="D11" s="16" t="s">
        <v>24</v>
      </c>
      <c r="E11" s="10" t="s">
        <v>20</v>
      </c>
      <c r="F11" s="23"/>
      <c r="G11" s="11" t="s">
        <v>33</v>
      </c>
      <c r="H11" s="11" t="s">
        <v>33</v>
      </c>
      <c r="I11" s="11" t="s">
        <v>32</v>
      </c>
      <c r="J11" s="11" t="s">
        <v>33</v>
      </c>
      <c r="K11" s="11" t="s">
        <v>33</v>
      </c>
      <c r="L11" s="11" t="s">
        <v>33</v>
      </c>
      <c r="M11" s="23"/>
      <c r="N11" s="11" t="s">
        <v>33</v>
      </c>
      <c r="O11" s="11" t="s">
        <v>33</v>
      </c>
      <c r="P11" s="11" t="s">
        <v>33</v>
      </c>
      <c r="Q11" s="11" t="s">
        <v>33</v>
      </c>
      <c r="R11" s="11" t="s">
        <v>33</v>
      </c>
      <c r="S11" s="11" t="s">
        <v>33</v>
      </c>
      <c r="T11" s="23"/>
      <c r="U11" s="11" t="s">
        <v>33</v>
      </c>
      <c r="V11" s="26"/>
      <c r="W11" s="11" t="s">
        <v>32</v>
      </c>
      <c r="X11" s="11" t="s">
        <v>33</v>
      </c>
      <c r="Y11" s="11" t="s">
        <v>33</v>
      </c>
      <c r="Z11" s="11" t="s">
        <v>33</v>
      </c>
      <c r="AA11" s="23"/>
      <c r="AB11" s="11" t="s">
        <v>33</v>
      </c>
      <c r="AC11" s="11" t="s">
        <v>33</v>
      </c>
      <c r="AD11" s="11" t="s">
        <v>33</v>
      </c>
      <c r="AE11" s="11" t="s">
        <v>33</v>
      </c>
      <c r="AF11" s="11" t="s">
        <v>33</v>
      </c>
      <c r="AG11" s="11" t="s">
        <v>33</v>
      </c>
      <c r="AH11" s="23"/>
      <c r="AI11" s="11" t="s">
        <v>33</v>
      </c>
      <c r="AJ11" s="5">
        <f t="shared" si="2"/>
        <v>22</v>
      </c>
      <c r="AK11" s="5">
        <f t="shared" si="3"/>
        <v>2</v>
      </c>
      <c r="AL11" s="5" t="s">
        <v>17</v>
      </c>
      <c r="AM11" s="12">
        <f>AJ6+AJ7+AJ8+AJ11+AJ12+AJ13+AJ15+AJ19+AJ20+AJ21+AJ22+AJ23+AJ24+AJ25+AJ26+AJ28+AJ29+AJ31</f>
        <v>328</v>
      </c>
      <c r="AN11" s="12">
        <f>AJ5+AJ9+AJ10+AJ14+AJ16+AJ17+AJ18+AJ27+AJ30+AJ32</f>
        <v>206</v>
      </c>
      <c r="AO11" s="12">
        <f>AM11+AN11</f>
        <v>534</v>
      </c>
    </row>
    <row r="12" spans="1:41" x14ac:dyDescent="0.25">
      <c r="A12" s="12">
        <v>8</v>
      </c>
      <c r="B12" s="14">
        <v>579</v>
      </c>
      <c r="C12" s="15" t="s">
        <v>44</v>
      </c>
      <c r="D12" s="16" t="s">
        <v>61</v>
      </c>
      <c r="E12" s="10" t="s">
        <v>20</v>
      </c>
      <c r="F12" s="23"/>
      <c r="G12" s="11" t="s">
        <v>32</v>
      </c>
      <c r="H12" s="11" t="s">
        <v>32</v>
      </c>
      <c r="I12" s="11" t="s">
        <v>32</v>
      </c>
      <c r="J12" s="11" t="s">
        <v>32</v>
      </c>
      <c r="K12" s="11"/>
      <c r="L12" s="11" t="s">
        <v>32</v>
      </c>
      <c r="M12" s="23"/>
      <c r="N12" s="11" t="s">
        <v>32</v>
      </c>
      <c r="O12" s="11" t="s">
        <v>32</v>
      </c>
      <c r="P12" s="11" t="s">
        <v>32</v>
      </c>
      <c r="Q12" s="11" t="s">
        <v>32</v>
      </c>
      <c r="R12" s="11" t="s">
        <v>32</v>
      </c>
      <c r="S12" s="11" t="s">
        <v>32</v>
      </c>
      <c r="T12" s="23"/>
      <c r="U12" s="11" t="s">
        <v>32</v>
      </c>
      <c r="V12" s="26"/>
      <c r="W12" s="11" t="s">
        <v>32</v>
      </c>
      <c r="X12" s="11" t="s">
        <v>32</v>
      </c>
      <c r="Y12" s="11" t="s">
        <v>32</v>
      </c>
      <c r="Z12" s="11" t="s">
        <v>32</v>
      </c>
      <c r="AA12" s="23"/>
      <c r="AB12" s="11" t="s">
        <v>32</v>
      </c>
      <c r="AC12" s="11" t="s">
        <v>32</v>
      </c>
      <c r="AD12" s="11" t="s">
        <v>32</v>
      </c>
      <c r="AE12" s="11" t="s">
        <v>32</v>
      </c>
      <c r="AF12" s="11" t="s">
        <v>32</v>
      </c>
      <c r="AG12" s="11" t="s">
        <v>32</v>
      </c>
      <c r="AH12" s="23"/>
      <c r="AI12" s="11" t="s">
        <v>32</v>
      </c>
      <c r="AJ12" s="5">
        <f t="shared" si="2"/>
        <v>0</v>
      </c>
      <c r="AK12" s="5">
        <f t="shared" si="3"/>
        <v>23</v>
      </c>
      <c r="AL12" s="5" t="s">
        <v>18</v>
      </c>
      <c r="AM12" s="12">
        <f>AM11/AM10</f>
        <v>0.66396761133603244</v>
      </c>
      <c r="AN12" s="12">
        <f>AN11/AN10</f>
        <v>0.37728937728937728</v>
      </c>
      <c r="AO12" s="12">
        <f>AO11/AO10</f>
        <v>0.51346153846153841</v>
      </c>
    </row>
    <row r="13" spans="1:41" x14ac:dyDescent="0.25">
      <c r="A13" s="6">
        <v>9</v>
      </c>
      <c r="B13" s="14">
        <v>555</v>
      </c>
      <c r="C13" s="15" t="s">
        <v>25</v>
      </c>
      <c r="D13" s="16" t="s">
        <v>43</v>
      </c>
      <c r="E13" s="10" t="s">
        <v>20</v>
      </c>
      <c r="F13" s="23"/>
      <c r="G13" s="11" t="s">
        <v>33</v>
      </c>
      <c r="H13" s="11" t="s">
        <v>33</v>
      </c>
      <c r="I13" s="11" t="s">
        <v>32</v>
      </c>
      <c r="J13" s="11" t="s">
        <v>33</v>
      </c>
      <c r="K13" s="11" t="s">
        <v>33</v>
      </c>
      <c r="L13" s="11" t="s">
        <v>32</v>
      </c>
      <c r="M13" s="23"/>
      <c r="N13" s="11" t="s">
        <v>33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23"/>
      <c r="U13" s="11" t="s">
        <v>33</v>
      </c>
      <c r="V13" s="26"/>
      <c r="W13" s="11" t="s">
        <v>33</v>
      </c>
      <c r="X13" s="11" t="s">
        <v>33</v>
      </c>
      <c r="Y13" s="11" t="s">
        <v>32</v>
      </c>
      <c r="Z13" s="11" t="s">
        <v>32</v>
      </c>
      <c r="AA13" s="23"/>
      <c r="AB13" s="11" t="s">
        <v>33</v>
      </c>
      <c r="AC13" s="11" t="s">
        <v>33</v>
      </c>
      <c r="AD13" s="11" t="s">
        <v>32</v>
      </c>
      <c r="AE13" s="11" t="s">
        <v>32</v>
      </c>
      <c r="AF13" s="11" t="s">
        <v>33</v>
      </c>
      <c r="AG13" s="11" t="s">
        <v>32</v>
      </c>
      <c r="AH13" s="23"/>
      <c r="AI13" s="11" t="s">
        <v>33</v>
      </c>
      <c r="AJ13" s="5">
        <f t="shared" si="2"/>
        <v>17</v>
      </c>
      <c r="AK13" s="5">
        <f t="shared" si="3"/>
        <v>7</v>
      </c>
      <c r="AL13" s="3"/>
      <c r="AM13" s="17"/>
      <c r="AN13" s="17"/>
      <c r="AO13" s="17"/>
    </row>
    <row r="14" spans="1:41" x14ac:dyDescent="0.25">
      <c r="A14" s="12">
        <v>10</v>
      </c>
      <c r="B14" s="18">
        <v>691</v>
      </c>
      <c r="C14" s="15" t="s">
        <v>62</v>
      </c>
      <c r="D14" s="16" t="s">
        <v>63</v>
      </c>
      <c r="E14" s="10" t="s">
        <v>20</v>
      </c>
      <c r="F14" s="23"/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  <c r="L14" s="11" t="s">
        <v>33</v>
      </c>
      <c r="M14" s="23"/>
      <c r="N14" s="11" t="s">
        <v>33</v>
      </c>
      <c r="O14" s="11" t="s">
        <v>33</v>
      </c>
      <c r="P14" s="11" t="s">
        <v>32</v>
      </c>
      <c r="Q14" s="11" t="s">
        <v>33</v>
      </c>
      <c r="R14" s="11" t="s">
        <v>33</v>
      </c>
      <c r="S14" s="11" t="s">
        <v>33</v>
      </c>
      <c r="T14" s="23"/>
      <c r="U14" s="11" t="s">
        <v>32</v>
      </c>
      <c r="V14" s="26"/>
      <c r="W14" s="11" t="s">
        <v>33</v>
      </c>
      <c r="X14" s="11" t="s">
        <v>33</v>
      </c>
      <c r="Y14" s="11" t="s">
        <v>33</v>
      </c>
      <c r="Z14" s="11" t="s">
        <v>32</v>
      </c>
      <c r="AA14" s="23"/>
      <c r="AB14" s="11" t="s">
        <v>33</v>
      </c>
      <c r="AC14" s="11" t="s">
        <v>33</v>
      </c>
      <c r="AD14" s="11" t="s">
        <v>33</v>
      </c>
      <c r="AE14" s="11" t="s">
        <v>33</v>
      </c>
      <c r="AF14" s="11" t="s">
        <v>32</v>
      </c>
      <c r="AG14" s="11" t="s">
        <v>32</v>
      </c>
      <c r="AH14" s="23"/>
      <c r="AI14" s="11" t="s">
        <v>33</v>
      </c>
      <c r="AJ14" s="5">
        <f t="shared" si="2"/>
        <v>19</v>
      </c>
      <c r="AK14" s="5">
        <f t="shared" si="3"/>
        <v>5</v>
      </c>
      <c r="AL14" s="19"/>
      <c r="AM14" s="19"/>
      <c r="AN14" s="19"/>
      <c r="AO14" s="19"/>
    </row>
    <row r="15" spans="1:41" x14ac:dyDescent="0.25">
      <c r="A15" s="6">
        <v>11</v>
      </c>
      <c r="B15" s="14">
        <v>528</v>
      </c>
      <c r="C15" s="15" t="s">
        <v>64</v>
      </c>
      <c r="D15" s="16" t="s">
        <v>65</v>
      </c>
      <c r="E15" s="10" t="s">
        <v>20</v>
      </c>
      <c r="F15" s="23"/>
      <c r="G15" s="11" t="s">
        <v>33</v>
      </c>
      <c r="H15" s="11" t="s">
        <v>33</v>
      </c>
      <c r="I15" s="11" t="s">
        <v>33</v>
      </c>
      <c r="J15" s="11" t="s">
        <v>32</v>
      </c>
      <c r="K15" s="11" t="s">
        <v>33</v>
      </c>
      <c r="L15" s="11" t="s">
        <v>32</v>
      </c>
      <c r="M15" s="23"/>
      <c r="N15" s="11" t="s">
        <v>33</v>
      </c>
      <c r="O15" s="11" t="s">
        <v>32</v>
      </c>
      <c r="P15" s="11" t="s">
        <v>32</v>
      </c>
      <c r="Q15" s="11" t="s">
        <v>32</v>
      </c>
      <c r="R15" s="11" t="s">
        <v>32</v>
      </c>
      <c r="S15" s="11" t="s">
        <v>32</v>
      </c>
      <c r="T15" s="23"/>
      <c r="U15" s="11" t="s">
        <v>32</v>
      </c>
      <c r="V15" s="26"/>
      <c r="W15" s="11" t="s">
        <v>33</v>
      </c>
      <c r="X15" s="11" t="s">
        <v>32</v>
      </c>
      <c r="Y15" s="11" t="s">
        <v>33</v>
      </c>
      <c r="Z15" s="11" t="s">
        <v>32</v>
      </c>
      <c r="AA15" s="23"/>
      <c r="AB15" s="11" t="s">
        <v>33</v>
      </c>
      <c r="AC15" s="11" t="s">
        <v>33</v>
      </c>
      <c r="AD15" s="11" t="s">
        <v>33</v>
      </c>
      <c r="AE15" s="11" t="s">
        <v>33</v>
      </c>
      <c r="AF15" s="11" t="s">
        <v>32</v>
      </c>
      <c r="AG15" s="11" t="s">
        <v>32</v>
      </c>
      <c r="AH15" s="23"/>
      <c r="AI15" s="11" t="s">
        <v>33</v>
      </c>
      <c r="AJ15" s="5">
        <f t="shared" si="2"/>
        <v>12</v>
      </c>
      <c r="AK15" s="5">
        <f t="shared" si="3"/>
        <v>12</v>
      </c>
      <c r="AL15" s="3"/>
      <c r="AM15" s="3"/>
      <c r="AN15" s="3"/>
      <c r="AO15" s="3"/>
    </row>
    <row r="16" spans="1:41" ht="15.75" x14ac:dyDescent="0.25">
      <c r="A16" s="12">
        <v>12</v>
      </c>
      <c r="B16" s="14">
        <v>689</v>
      </c>
      <c r="C16" s="15" t="s">
        <v>66</v>
      </c>
      <c r="D16" s="16" t="s">
        <v>29</v>
      </c>
      <c r="E16" s="10" t="s">
        <v>20</v>
      </c>
      <c r="F16" s="23"/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  <c r="L16" s="11" t="s">
        <v>33</v>
      </c>
      <c r="M16" s="23"/>
      <c r="N16" s="11" t="s">
        <v>33</v>
      </c>
      <c r="O16" s="11" t="s">
        <v>33</v>
      </c>
      <c r="P16" s="11" t="s">
        <v>33</v>
      </c>
      <c r="Q16" s="11" t="s">
        <v>33</v>
      </c>
      <c r="R16" s="11" t="s">
        <v>32</v>
      </c>
      <c r="S16" s="11" t="s">
        <v>32</v>
      </c>
      <c r="T16" s="23"/>
      <c r="U16" s="11" t="s">
        <v>32</v>
      </c>
      <c r="V16" s="26"/>
      <c r="W16" s="11" t="s">
        <v>33</v>
      </c>
      <c r="X16" s="11" t="s">
        <v>33</v>
      </c>
      <c r="Y16" s="11" t="s">
        <v>33</v>
      </c>
      <c r="Z16" s="11" t="s">
        <v>32</v>
      </c>
      <c r="AA16" s="23"/>
      <c r="AB16" s="11" t="s">
        <v>33</v>
      </c>
      <c r="AC16" s="11" t="s">
        <v>33</v>
      </c>
      <c r="AD16" s="11" t="s">
        <v>33</v>
      </c>
      <c r="AE16" s="11" t="s">
        <v>33</v>
      </c>
      <c r="AF16" s="11" t="s">
        <v>33</v>
      </c>
      <c r="AG16" s="11" t="s">
        <v>33</v>
      </c>
      <c r="AH16" s="23"/>
      <c r="AI16" s="11" t="s">
        <v>33</v>
      </c>
      <c r="AJ16" s="5">
        <f t="shared" si="2"/>
        <v>20</v>
      </c>
      <c r="AK16" s="5">
        <f t="shared" si="3"/>
        <v>4</v>
      </c>
      <c r="AL16" s="32" t="s">
        <v>6</v>
      </c>
      <c r="AM16" s="33"/>
      <c r="AN16" s="33"/>
      <c r="AO16" s="34"/>
    </row>
    <row r="17" spans="1:41" x14ac:dyDescent="0.25">
      <c r="A17" s="6">
        <v>13</v>
      </c>
      <c r="B17" s="14">
        <v>479</v>
      </c>
      <c r="C17" s="15" t="s">
        <v>67</v>
      </c>
      <c r="D17" s="16" t="s">
        <v>68</v>
      </c>
      <c r="E17" s="10" t="s">
        <v>20</v>
      </c>
      <c r="F17" s="23"/>
      <c r="G17" s="11" t="s">
        <v>33</v>
      </c>
      <c r="H17" s="11" t="s">
        <v>33</v>
      </c>
      <c r="I17" s="11" t="s">
        <v>33</v>
      </c>
      <c r="J17" s="11" t="s">
        <v>32</v>
      </c>
      <c r="K17" s="11" t="s">
        <v>33</v>
      </c>
      <c r="L17" s="11" t="s">
        <v>33</v>
      </c>
      <c r="M17" s="23"/>
      <c r="N17" s="11" t="s">
        <v>33</v>
      </c>
      <c r="O17" s="11" t="s">
        <v>32</v>
      </c>
      <c r="P17" s="11" t="s">
        <v>33</v>
      </c>
      <c r="Q17" s="11" t="s">
        <v>33</v>
      </c>
      <c r="R17" s="11" t="s">
        <v>33</v>
      </c>
      <c r="S17" s="11" t="s">
        <v>33</v>
      </c>
      <c r="T17" s="23"/>
      <c r="U17" s="11" t="s">
        <v>33</v>
      </c>
      <c r="V17" s="26"/>
      <c r="W17" s="11" t="s">
        <v>33</v>
      </c>
      <c r="X17" s="11" t="s">
        <v>33</v>
      </c>
      <c r="Y17" s="11" t="s">
        <v>33</v>
      </c>
      <c r="Z17" s="11" t="s">
        <v>32</v>
      </c>
      <c r="AA17" s="23"/>
      <c r="AB17" s="11" t="s">
        <v>33</v>
      </c>
      <c r="AC17" s="11" t="s">
        <v>33</v>
      </c>
      <c r="AD17" s="11" t="s">
        <v>33</v>
      </c>
      <c r="AE17" s="11" t="s">
        <v>33</v>
      </c>
      <c r="AF17" s="11" t="s">
        <v>33</v>
      </c>
      <c r="AG17" s="11" t="s">
        <v>32</v>
      </c>
      <c r="AH17" s="23"/>
      <c r="AI17" s="11" t="s">
        <v>33</v>
      </c>
      <c r="AJ17" s="5">
        <f t="shared" si="2"/>
        <v>20</v>
      </c>
      <c r="AK17" s="5">
        <f t="shared" si="3"/>
        <v>4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>
        <v>648</v>
      </c>
      <c r="C18" s="15" t="s">
        <v>69</v>
      </c>
      <c r="D18" s="16" t="s">
        <v>27</v>
      </c>
      <c r="E18" s="10" t="s">
        <v>20</v>
      </c>
      <c r="F18" s="23"/>
      <c r="G18" s="11" t="s">
        <v>33</v>
      </c>
      <c r="H18" s="11" t="s">
        <v>33</v>
      </c>
      <c r="I18" s="11" t="s">
        <v>33</v>
      </c>
      <c r="J18" s="11" t="s">
        <v>33</v>
      </c>
      <c r="K18" s="11" t="s">
        <v>33</v>
      </c>
      <c r="L18" s="11" t="s">
        <v>32</v>
      </c>
      <c r="M18" s="23"/>
      <c r="N18" s="11" t="s">
        <v>33</v>
      </c>
      <c r="O18" s="11" t="s">
        <v>33</v>
      </c>
      <c r="P18" s="11" t="s">
        <v>33</v>
      </c>
      <c r="Q18" s="11" t="s">
        <v>33</v>
      </c>
      <c r="R18" s="11" t="s">
        <v>33</v>
      </c>
      <c r="S18" s="11" t="s">
        <v>33</v>
      </c>
      <c r="T18" s="23"/>
      <c r="U18" s="11" t="s">
        <v>33</v>
      </c>
      <c r="V18" s="26"/>
      <c r="W18" s="11" t="s">
        <v>33</v>
      </c>
      <c r="X18" s="11" t="s">
        <v>33</v>
      </c>
      <c r="Y18" s="11" t="s">
        <v>33</v>
      </c>
      <c r="Z18" s="11" t="s">
        <v>33</v>
      </c>
      <c r="AA18" s="23"/>
      <c r="AB18" s="11" t="s">
        <v>33</v>
      </c>
      <c r="AC18" s="11" t="s">
        <v>33</v>
      </c>
      <c r="AD18" s="11" t="s">
        <v>33</v>
      </c>
      <c r="AE18" s="11" t="s">
        <v>33</v>
      </c>
      <c r="AF18" s="11" t="s">
        <v>33</v>
      </c>
      <c r="AG18" s="11" t="s">
        <v>33</v>
      </c>
      <c r="AH18" s="23"/>
      <c r="AI18" s="11" t="s">
        <v>33</v>
      </c>
      <c r="AJ18" s="5">
        <f t="shared" si="2"/>
        <v>23</v>
      </c>
      <c r="AK18" s="5">
        <f t="shared" si="3"/>
        <v>1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>
        <v>578</v>
      </c>
      <c r="C19" s="15" t="s">
        <v>70</v>
      </c>
      <c r="D19" s="16" t="s">
        <v>40</v>
      </c>
      <c r="E19" s="10" t="s">
        <v>20</v>
      </c>
      <c r="F19" s="23"/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  <c r="L19" s="11" t="s">
        <v>33</v>
      </c>
      <c r="M19" s="23"/>
      <c r="N19" s="11" t="s">
        <v>33</v>
      </c>
      <c r="O19" s="11" t="s">
        <v>33</v>
      </c>
      <c r="P19" s="11" t="s">
        <v>33</v>
      </c>
      <c r="Q19" s="11" t="s">
        <v>33</v>
      </c>
      <c r="R19" s="11" t="s">
        <v>33</v>
      </c>
      <c r="S19" s="11" t="s">
        <v>33</v>
      </c>
      <c r="T19" s="23"/>
      <c r="U19" s="11" t="s">
        <v>33</v>
      </c>
      <c r="V19" s="26"/>
      <c r="W19" s="11" t="s">
        <v>33</v>
      </c>
      <c r="X19" s="11" t="s">
        <v>33</v>
      </c>
      <c r="Y19" s="11" t="s">
        <v>33</v>
      </c>
      <c r="Z19" s="11" t="s">
        <v>32</v>
      </c>
      <c r="AA19" s="23"/>
      <c r="AB19" s="11" t="s">
        <v>33</v>
      </c>
      <c r="AC19" s="11" t="s">
        <v>33</v>
      </c>
      <c r="AD19" s="11" t="s">
        <v>33</v>
      </c>
      <c r="AE19" s="11" t="s">
        <v>33</v>
      </c>
      <c r="AF19" s="11" t="s">
        <v>33</v>
      </c>
      <c r="AG19" s="11" t="s">
        <v>33</v>
      </c>
      <c r="AH19" s="23"/>
      <c r="AI19" s="11" t="s">
        <v>33</v>
      </c>
      <c r="AJ19" s="5">
        <f t="shared" si="2"/>
        <v>23</v>
      </c>
      <c r="AK19" s="5">
        <f t="shared" si="3"/>
        <v>1</v>
      </c>
      <c r="AL19" s="5" t="s">
        <v>19</v>
      </c>
      <c r="AM19" s="12">
        <f>AM18-AM11</f>
        <v>166</v>
      </c>
      <c r="AN19" s="12">
        <f>AN18-AN11</f>
        <v>340</v>
      </c>
      <c r="AO19" s="12">
        <f>AM19+AN19</f>
        <v>506</v>
      </c>
    </row>
    <row r="20" spans="1:41" x14ac:dyDescent="0.25">
      <c r="A20" s="12">
        <v>16</v>
      </c>
      <c r="B20" s="14">
        <v>573</v>
      </c>
      <c r="C20" s="15" t="s">
        <v>31</v>
      </c>
      <c r="D20" s="16" t="s">
        <v>28</v>
      </c>
      <c r="E20" s="10" t="s">
        <v>20</v>
      </c>
      <c r="F20" s="23"/>
      <c r="G20" s="11" t="s">
        <v>33</v>
      </c>
      <c r="H20" s="11" t="s">
        <v>33</v>
      </c>
      <c r="I20" s="11" t="s">
        <v>33</v>
      </c>
      <c r="J20" s="11" t="s">
        <v>33</v>
      </c>
      <c r="K20" s="11" t="s">
        <v>33</v>
      </c>
      <c r="L20" s="11" t="s">
        <v>33</v>
      </c>
      <c r="M20" s="23"/>
      <c r="N20" s="11" t="s">
        <v>33</v>
      </c>
      <c r="O20" s="11" t="s">
        <v>33</v>
      </c>
      <c r="P20" s="11" t="s">
        <v>33</v>
      </c>
      <c r="Q20" s="11" t="s">
        <v>33</v>
      </c>
      <c r="R20" s="11" t="s">
        <v>33</v>
      </c>
      <c r="S20" s="11" t="s">
        <v>33</v>
      </c>
      <c r="T20" s="23"/>
      <c r="U20" s="11" t="s">
        <v>32</v>
      </c>
      <c r="V20" s="26"/>
      <c r="W20" s="11" t="s">
        <v>33</v>
      </c>
      <c r="X20" s="11" t="s">
        <v>33</v>
      </c>
      <c r="Y20" s="11" t="s">
        <v>33</v>
      </c>
      <c r="Z20" s="11" t="s">
        <v>33</v>
      </c>
      <c r="AA20" s="23"/>
      <c r="AB20" s="11" t="s">
        <v>33</v>
      </c>
      <c r="AC20" s="11" t="s">
        <v>33</v>
      </c>
      <c r="AD20" s="11" t="s">
        <v>33</v>
      </c>
      <c r="AE20" s="11" t="s">
        <v>32</v>
      </c>
      <c r="AF20" s="11" t="s">
        <v>32</v>
      </c>
      <c r="AG20" s="11" t="s">
        <v>33</v>
      </c>
      <c r="AH20" s="23"/>
      <c r="AI20" s="11" t="s">
        <v>33</v>
      </c>
      <c r="AJ20" s="5">
        <f t="shared" si="2"/>
        <v>21</v>
      </c>
      <c r="AK20" s="5">
        <f t="shared" si="3"/>
        <v>3</v>
      </c>
      <c r="AL20" s="5" t="s">
        <v>15</v>
      </c>
      <c r="AM20" s="20">
        <f>AM19/AM18</f>
        <v>0.33603238866396762</v>
      </c>
      <c r="AN20" s="20">
        <f>AN19/AN18</f>
        <v>0.62271062271062272</v>
      </c>
      <c r="AO20" s="20">
        <f>AO19/AO18</f>
        <v>0.48653846153846153</v>
      </c>
    </row>
    <row r="21" spans="1:41" x14ac:dyDescent="0.25">
      <c r="A21" s="6">
        <v>17</v>
      </c>
      <c r="B21" s="14">
        <v>587</v>
      </c>
      <c r="C21" s="15" t="s">
        <v>71</v>
      </c>
      <c r="D21" s="16" t="s">
        <v>72</v>
      </c>
      <c r="E21" s="10" t="s">
        <v>20</v>
      </c>
      <c r="F21" s="23"/>
      <c r="G21" s="11" t="s">
        <v>32</v>
      </c>
      <c r="H21" s="11" t="s">
        <v>32</v>
      </c>
      <c r="I21" s="11" t="s">
        <v>32</v>
      </c>
      <c r="J21" s="11" t="s">
        <v>32</v>
      </c>
      <c r="K21" s="11" t="s">
        <v>33</v>
      </c>
      <c r="L21" s="11" t="s">
        <v>32</v>
      </c>
      <c r="M21" s="23"/>
      <c r="N21" s="11" t="s">
        <v>32</v>
      </c>
      <c r="O21" s="11" t="s">
        <v>32</v>
      </c>
      <c r="P21" s="11" t="s">
        <v>32</v>
      </c>
      <c r="Q21" s="11" t="s">
        <v>32</v>
      </c>
      <c r="R21" s="11" t="s">
        <v>32</v>
      </c>
      <c r="S21" s="11" t="s">
        <v>32</v>
      </c>
      <c r="T21" s="23"/>
      <c r="U21" s="11" t="s">
        <v>32</v>
      </c>
      <c r="V21" s="26"/>
      <c r="W21" s="11" t="s">
        <v>32</v>
      </c>
      <c r="X21" s="11" t="s">
        <v>32</v>
      </c>
      <c r="Y21" s="11" t="s">
        <v>32</v>
      </c>
      <c r="Z21" s="11" t="s">
        <v>32</v>
      </c>
      <c r="AA21" s="23"/>
      <c r="AB21" s="11" t="s">
        <v>32</v>
      </c>
      <c r="AC21" s="11" t="s">
        <v>32</v>
      </c>
      <c r="AD21" s="11" t="s">
        <v>32</v>
      </c>
      <c r="AE21" s="11" t="s">
        <v>32</v>
      </c>
      <c r="AF21" s="11" t="s">
        <v>32</v>
      </c>
      <c r="AG21" s="11" t="s">
        <v>32</v>
      </c>
      <c r="AH21" s="23"/>
      <c r="AI21" s="11" t="s">
        <v>32</v>
      </c>
      <c r="AJ21" s="5">
        <f t="shared" si="2"/>
        <v>1</v>
      </c>
      <c r="AK21" s="5">
        <f t="shared" si="3"/>
        <v>23</v>
      </c>
    </row>
    <row r="22" spans="1:41" x14ac:dyDescent="0.25">
      <c r="A22" s="12">
        <v>18</v>
      </c>
      <c r="B22" s="14">
        <v>575</v>
      </c>
      <c r="C22" s="15" t="s">
        <v>73</v>
      </c>
      <c r="D22" s="16" t="s">
        <v>74</v>
      </c>
      <c r="E22" s="10" t="s">
        <v>20</v>
      </c>
      <c r="F22" s="23"/>
      <c r="G22" s="11" t="s">
        <v>33</v>
      </c>
      <c r="H22" s="11" t="s">
        <v>33</v>
      </c>
      <c r="I22" s="11" t="s">
        <v>33</v>
      </c>
      <c r="J22" s="11" t="s">
        <v>33</v>
      </c>
      <c r="K22" s="11" t="s">
        <v>33</v>
      </c>
      <c r="L22" s="11" t="s">
        <v>33</v>
      </c>
      <c r="M22" s="23"/>
      <c r="N22" s="11" t="s">
        <v>33</v>
      </c>
      <c r="O22" s="11" t="s">
        <v>33</v>
      </c>
      <c r="P22" s="11" t="s">
        <v>32</v>
      </c>
      <c r="Q22" s="11" t="s">
        <v>33</v>
      </c>
      <c r="R22" s="11" t="s">
        <v>33</v>
      </c>
      <c r="S22" s="11" t="s">
        <v>33</v>
      </c>
      <c r="T22" s="23"/>
      <c r="U22" s="11" t="s">
        <v>33</v>
      </c>
      <c r="V22" s="26"/>
      <c r="W22" s="11" t="s">
        <v>33</v>
      </c>
      <c r="X22" s="11" t="s">
        <v>33</v>
      </c>
      <c r="Y22" s="11" t="s">
        <v>33</v>
      </c>
      <c r="Z22" s="11" t="s">
        <v>33</v>
      </c>
      <c r="AA22" s="23"/>
      <c r="AB22" s="11" t="s">
        <v>33</v>
      </c>
      <c r="AC22" s="11" t="s">
        <v>33</v>
      </c>
      <c r="AD22" s="11" t="s">
        <v>33</v>
      </c>
      <c r="AE22" s="11" t="s">
        <v>32</v>
      </c>
      <c r="AF22" s="11" t="s">
        <v>33</v>
      </c>
      <c r="AG22" s="11" t="s">
        <v>33</v>
      </c>
      <c r="AH22" s="23"/>
      <c r="AI22" s="11" t="s">
        <v>33</v>
      </c>
      <c r="AJ22" s="5">
        <f t="shared" si="2"/>
        <v>22</v>
      </c>
      <c r="AK22" s="5">
        <f t="shared" si="3"/>
        <v>2</v>
      </c>
    </row>
    <row r="23" spans="1:41" x14ac:dyDescent="0.25">
      <c r="A23" s="6">
        <v>19</v>
      </c>
      <c r="B23" s="14">
        <v>586</v>
      </c>
      <c r="C23" s="15" t="s">
        <v>26</v>
      </c>
      <c r="D23" s="16" t="s">
        <v>75</v>
      </c>
      <c r="E23" s="10" t="s">
        <v>20</v>
      </c>
      <c r="F23" s="23"/>
      <c r="G23" s="11" t="s">
        <v>33</v>
      </c>
      <c r="H23" s="11" t="s">
        <v>33</v>
      </c>
      <c r="I23" s="11" t="s">
        <v>33</v>
      </c>
      <c r="J23" s="11" t="s">
        <v>33</v>
      </c>
      <c r="K23" s="11" t="s">
        <v>33</v>
      </c>
      <c r="L23" s="11" t="s">
        <v>32</v>
      </c>
      <c r="M23" s="23"/>
      <c r="N23" s="11" t="s">
        <v>33</v>
      </c>
      <c r="O23" s="11" t="s">
        <v>33</v>
      </c>
      <c r="P23" s="11" t="s">
        <v>33</v>
      </c>
      <c r="Q23" s="11" t="s">
        <v>33</v>
      </c>
      <c r="R23" s="11" t="s">
        <v>33</v>
      </c>
      <c r="S23" s="11" t="s">
        <v>33</v>
      </c>
      <c r="T23" s="23"/>
      <c r="U23" s="11" t="s">
        <v>33</v>
      </c>
      <c r="V23" s="26"/>
      <c r="W23" s="11" t="s">
        <v>33</v>
      </c>
      <c r="X23" s="11" t="s">
        <v>33</v>
      </c>
      <c r="Y23" s="11" t="s">
        <v>33</v>
      </c>
      <c r="Z23" s="11" t="s">
        <v>33</v>
      </c>
      <c r="AA23" s="23"/>
      <c r="AB23" s="11" t="s">
        <v>33</v>
      </c>
      <c r="AC23" s="11" t="s">
        <v>33</v>
      </c>
      <c r="AD23" s="11" t="s">
        <v>33</v>
      </c>
      <c r="AE23" s="11" t="s">
        <v>33</v>
      </c>
      <c r="AF23" s="11" t="s">
        <v>33</v>
      </c>
      <c r="AG23" s="11" t="s">
        <v>33</v>
      </c>
      <c r="AH23" s="23"/>
      <c r="AI23" s="11" t="s">
        <v>33</v>
      </c>
      <c r="AJ23" s="5">
        <f t="shared" si="2"/>
        <v>23</v>
      </c>
      <c r="AK23" s="5">
        <f t="shared" si="3"/>
        <v>1</v>
      </c>
    </row>
    <row r="24" spans="1:41" x14ac:dyDescent="0.25">
      <c r="A24" s="12">
        <v>20</v>
      </c>
      <c r="B24" s="14">
        <v>583</v>
      </c>
      <c r="C24" s="15" t="s">
        <v>76</v>
      </c>
      <c r="D24" s="16" t="s">
        <v>23</v>
      </c>
      <c r="E24" s="10" t="s">
        <v>20</v>
      </c>
      <c r="F24" s="23"/>
      <c r="G24" s="11" t="s">
        <v>33</v>
      </c>
      <c r="H24" s="11" t="s">
        <v>33</v>
      </c>
      <c r="I24" s="11" t="s">
        <v>33</v>
      </c>
      <c r="J24" s="11" t="s">
        <v>33</v>
      </c>
      <c r="K24" s="11" t="s">
        <v>33</v>
      </c>
      <c r="L24" s="11" t="s">
        <v>32</v>
      </c>
      <c r="M24" s="23"/>
      <c r="N24" s="11" t="s">
        <v>33</v>
      </c>
      <c r="O24" s="11" t="s">
        <v>33</v>
      </c>
      <c r="P24" s="11" t="s">
        <v>33</v>
      </c>
      <c r="Q24" s="11" t="s">
        <v>33</v>
      </c>
      <c r="R24" s="11" t="s">
        <v>33</v>
      </c>
      <c r="S24" s="11" t="s">
        <v>32</v>
      </c>
      <c r="T24" s="23"/>
      <c r="U24" s="11" t="s">
        <v>33</v>
      </c>
      <c r="V24" s="26"/>
      <c r="W24" s="11" t="s">
        <v>33</v>
      </c>
      <c r="X24" s="11" t="s">
        <v>33</v>
      </c>
      <c r="Y24" s="11" t="s">
        <v>33</v>
      </c>
      <c r="Z24" s="11" t="s">
        <v>33</v>
      </c>
      <c r="AA24" s="23"/>
      <c r="AB24" s="11" t="s">
        <v>33</v>
      </c>
      <c r="AC24" s="11" t="s">
        <v>33</v>
      </c>
      <c r="AD24" s="11" t="s">
        <v>33</v>
      </c>
      <c r="AE24" s="11" t="s">
        <v>33</v>
      </c>
      <c r="AF24" s="11" t="s">
        <v>33</v>
      </c>
      <c r="AG24" s="11" t="s">
        <v>33</v>
      </c>
      <c r="AH24" s="23"/>
      <c r="AI24" s="11" t="s">
        <v>33</v>
      </c>
      <c r="AJ24" s="5">
        <f t="shared" si="2"/>
        <v>22</v>
      </c>
      <c r="AK24" s="5">
        <f t="shared" si="3"/>
        <v>2</v>
      </c>
    </row>
    <row r="25" spans="1:41" x14ac:dyDescent="0.25">
      <c r="A25" s="6">
        <v>21</v>
      </c>
      <c r="B25" s="14">
        <v>580</v>
      </c>
      <c r="C25" s="15" t="s">
        <v>77</v>
      </c>
      <c r="D25" s="16" t="s">
        <v>78</v>
      </c>
      <c r="E25" s="10" t="s">
        <v>20</v>
      </c>
      <c r="F25" s="23"/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33</v>
      </c>
      <c r="L25" s="11" t="s">
        <v>33</v>
      </c>
      <c r="M25" s="23"/>
      <c r="N25" s="11" t="s">
        <v>33</v>
      </c>
      <c r="O25" s="11" t="s">
        <v>33</v>
      </c>
      <c r="P25" s="11" t="s">
        <v>33</v>
      </c>
      <c r="Q25" s="11" t="s">
        <v>33</v>
      </c>
      <c r="R25" s="11" t="s">
        <v>33</v>
      </c>
      <c r="S25" s="11" t="s">
        <v>33</v>
      </c>
      <c r="T25" s="23"/>
      <c r="U25" s="11" t="s">
        <v>33</v>
      </c>
      <c r="V25" s="26"/>
      <c r="W25" s="11" t="s">
        <v>33</v>
      </c>
      <c r="X25" s="11" t="s">
        <v>33</v>
      </c>
      <c r="Y25" s="11" t="s">
        <v>33</v>
      </c>
      <c r="Z25" s="11" t="s">
        <v>33</v>
      </c>
      <c r="AA25" s="23"/>
      <c r="AB25" s="11" t="s">
        <v>33</v>
      </c>
      <c r="AC25" s="11" t="s">
        <v>33</v>
      </c>
      <c r="AD25" s="11" t="s">
        <v>33</v>
      </c>
      <c r="AE25" s="11" t="s">
        <v>33</v>
      </c>
      <c r="AF25" s="11" t="s">
        <v>33</v>
      </c>
      <c r="AG25" s="11" t="s">
        <v>34</v>
      </c>
      <c r="AH25" s="23"/>
      <c r="AI25" s="11" t="s">
        <v>33</v>
      </c>
      <c r="AJ25" s="5">
        <f t="shared" si="2"/>
        <v>23</v>
      </c>
      <c r="AK25" s="5">
        <f t="shared" si="3"/>
        <v>0</v>
      </c>
    </row>
    <row r="26" spans="1:41" x14ac:dyDescent="0.25">
      <c r="A26" s="12">
        <v>22</v>
      </c>
      <c r="B26" s="14">
        <v>480</v>
      </c>
      <c r="C26" s="15" t="s">
        <v>79</v>
      </c>
      <c r="D26" s="16" t="s">
        <v>41</v>
      </c>
      <c r="E26" s="10" t="s">
        <v>20</v>
      </c>
      <c r="F26" s="23"/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33</v>
      </c>
      <c r="L26" s="11" t="s">
        <v>32</v>
      </c>
      <c r="M26" s="23"/>
      <c r="N26" s="11" t="s">
        <v>32</v>
      </c>
      <c r="O26" s="11" t="s">
        <v>32</v>
      </c>
      <c r="P26" s="11" t="s">
        <v>32</v>
      </c>
      <c r="Q26" s="11" t="s">
        <v>32</v>
      </c>
      <c r="R26" s="11" t="s">
        <v>33</v>
      </c>
      <c r="S26" s="11" t="s">
        <v>33</v>
      </c>
      <c r="T26" s="23"/>
      <c r="U26" s="11" t="s">
        <v>33</v>
      </c>
      <c r="V26" s="26"/>
      <c r="W26" s="11" t="s">
        <v>33</v>
      </c>
      <c r="X26" s="11" t="s">
        <v>33</v>
      </c>
      <c r="Y26" s="11" t="s">
        <v>33</v>
      </c>
      <c r="Z26" s="11" t="s">
        <v>33</v>
      </c>
      <c r="AA26" s="23"/>
      <c r="AB26" s="11" t="s">
        <v>33</v>
      </c>
      <c r="AC26" s="11" t="s">
        <v>33</v>
      </c>
      <c r="AD26" s="11" t="s">
        <v>33</v>
      </c>
      <c r="AE26" s="11" t="s">
        <v>33</v>
      </c>
      <c r="AF26" s="11" t="s">
        <v>33</v>
      </c>
      <c r="AG26" s="11" t="s">
        <v>33</v>
      </c>
      <c r="AH26" s="23"/>
      <c r="AI26" s="11" t="s">
        <v>33</v>
      </c>
      <c r="AJ26" s="5">
        <f t="shared" si="2"/>
        <v>19</v>
      </c>
      <c r="AK26" s="5">
        <f t="shared" si="3"/>
        <v>5</v>
      </c>
    </row>
    <row r="27" spans="1:41" x14ac:dyDescent="0.25">
      <c r="A27" s="6">
        <v>23</v>
      </c>
      <c r="B27" s="14">
        <v>576</v>
      </c>
      <c r="C27" s="15" t="s">
        <v>47</v>
      </c>
      <c r="D27" s="16" t="s">
        <v>41</v>
      </c>
      <c r="E27" s="10" t="s">
        <v>20</v>
      </c>
      <c r="F27" s="23"/>
      <c r="G27" s="11" t="s">
        <v>33</v>
      </c>
      <c r="H27" s="11" t="s">
        <v>33</v>
      </c>
      <c r="I27" s="11" t="s">
        <v>33</v>
      </c>
      <c r="J27" s="11" t="s">
        <v>33</v>
      </c>
      <c r="K27" s="11" t="s">
        <v>33</v>
      </c>
      <c r="L27" s="11" t="s">
        <v>33</v>
      </c>
      <c r="M27" s="23"/>
      <c r="N27" s="11" t="s">
        <v>33</v>
      </c>
      <c r="O27" s="11" t="s">
        <v>33</v>
      </c>
      <c r="P27" s="11" t="s">
        <v>33</v>
      </c>
      <c r="Q27" s="11" t="s">
        <v>33</v>
      </c>
      <c r="R27" s="11" t="s">
        <v>33</v>
      </c>
      <c r="S27" s="11" t="s">
        <v>33</v>
      </c>
      <c r="T27" s="23"/>
      <c r="U27" s="11" t="s">
        <v>33</v>
      </c>
      <c r="V27" s="26"/>
      <c r="W27" s="11" t="s">
        <v>33</v>
      </c>
      <c r="X27" s="11" t="s">
        <v>33</v>
      </c>
      <c r="Y27" s="11" t="s">
        <v>33</v>
      </c>
      <c r="Z27" s="11" t="s">
        <v>33</v>
      </c>
      <c r="AA27" s="23"/>
      <c r="AB27" s="11" t="s">
        <v>33</v>
      </c>
      <c r="AC27" s="11" t="s">
        <v>33</v>
      </c>
      <c r="AD27" s="11" t="s">
        <v>33</v>
      </c>
      <c r="AE27" s="11" t="s">
        <v>33</v>
      </c>
      <c r="AF27" s="11" t="s">
        <v>33</v>
      </c>
      <c r="AG27" s="11" t="s">
        <v>33</v>
      </c>
      <c r="AH27" s="23"/>
      <c r="AI27" s="11" t="s">
        <v>33</v>
      </c>
      <c r="AJ27" s="5">
        <f t="shared" si="2"/>
        <v>24</v>
      </c>
      <c r="AK27" s="5">
        <f t="shared" si="3"/>
        <v>0</v>
      </c>
    </row>
    <row r="28" spans="1:41" x14ac:dyDescent="0.25">
      <c r="A28" s="12">
        <v>24</v>
      </c>
      <c r="B28" s="14">
        <v>685</v>
      </c>
      <c r="C28" s="15" t="s">
        <v>80</v>
      </c>
      <c r="D28" s="16" t="s">
        <v>81</v>
      </c>
      <c r="E28" s="10" t="s">
        <v>20</v>
      </c>
      <c r="F28" s="23"/>
      <c r="G28" s="11" t="s">
        <v>33</v>
      </c>
      <c r="H28" s="11" t="s">
        <v>33</v>
      </c>
      <c r="I28" s="11" t="s">
        <v>33</v>
      </c>
      <c r="J28" s="11" t="s">
        <v>33</v>
      </c>
      <c r="K28" s="11" t="s">
        <v>33</v>
      </c>
      <c r="L28" s="11" t="s">
        <v>32</v>
      </c>
      <c r="M28" s="23"/>
      <c r="N28" s="11" t="s">
        <v>33</v>
      </c>
      <c r="O28" s="11" t="s">
        <v>33</v>
      </c>
      <c r="P28" s="11" t="s">
        <v>32</v>
      </c>
      <c r="Q28" s="11" t="s">
        <v>33</v>
      </c>
      <c r="R28" s="11" t="s">
        <v>32</v>
      </c>
      <c r="S28" s="11" t="s">
        <v>32</v>
      </c>
      <c r="T28" s="23"/>
      <c r="U28" s="11" t="s">
        <v>33</v>
      </c>
      <c r="V28" s="26"/>
      <c r="W28" s="11" t="s">
        <v>32</v>
      </c>
      <c r="X28" s="11" t="s">
        <v>33</v>
      </c>
      <c r="Y28" s="11" t="s">
        <v>33</v>
      </c>
      <c r="Z28" s="11" t="s">
        <v>32</v>
      </c>
      <c r="AA28" s="23"/>
      <c r="AB28" s="11" t="s">
        <v>32</v>
      </c>
      <c r="AC28" s="11" t="s">
        <v>32</v>
      </c>
      <c r="AD28" s="11" t="s">
        <v>33</v>
      </c>
      <c r="AE28" s="11" t="s">
        <v>33</v>
      </c>
      <c r="AF28" s="11" t="s">
        <v>33</v>
      </c>
      <c r="AG28" s="11" t="s">
        <v>33</v>
      </c>
      <c r="AH28" s="23"/>
      <c r="AI28" s="11" t="s">
        <v>33</v>
      </c>
      <c r="AJ28" s="5">
        <f t="shared" si="2"/>
        <v>16</v>
      </c>
      <c r="AK28" s="5">
        <f t="shared" si="3"/>
        <v>8</v>
      </c>
    </row>
    <row r="29" spans="1:41" x14ac:dyDescent="0.25">
      <c r="A29" s="6">
        <v>25</v>
      </c>
      <c r="B29" s="14">
        <v>688</v>
      </c>
      <c r="C29" s="15" t="s">
        <v>82</v>
      </c>
      <c r="D29" s="16" t="s">
        <v>26</v>
      </c>
      <c r="E29" s="10" t="s">
        <v>20</v>
      </c>
      <c r="F29" s="23"/>
      <c r="G29" s="11" t="s">
        <v>33</v>
      </c>
      <c r="H29" s="11" t="s">
        <v>33</v>
      </c>
      <c r="I29" s="11" t="s">
        <v>32</v>
      </c>
      <c r="J29" s="11" t="s">
        <v>33</v>
      </c>
      <c r="K29" s="11" t="s">
        <v>33</v>
      </c>
      <c r="L29" s="11" t="s">
        <v>33</v>
      </c>
      <c r="M29" s="23"/>
      <c r="N29" s="11" t="s">
        <v>33</v>
      </c>
      <c r="O29" s="11" t="s">
        <v>32</v>
      </c>
      <c r="P29" s="11" t="s">
        <v>33</v>
      </c>
      <c r="Q29" s="11" t="s">
        <v>33</v>
      </c>
      <c r="R29" s="11" t="s">
        <v>32</v>
      </c>
      <c r="S29" s="11" t="s">
        <v>32</v>
      </c>
      <c r="T29" s="23"/>
      <c r="U29" s="11" t="s">
        <v>33</v>
      </c>
      <c r="V29" s="26"/>
      <c r="W29" s="11" t="s">
        <v>33</v>
      </c>
      <c r="X29" s="11" t="s">
        <v>33</v>
      </c>
      <c r="Y29" s="11" t="s">
        <v>33</v>
      </c>
      <c r="Z29" s="11" t="s">
        <v>32</v>
      </c>
      <c r="AA29" s="23"/>
      <c r="AB29" s="11" t="s">
        <v>33</v>
      </c>
      <c r="AC29" s="11" t="s">
        <v>33</v>
      </c>
      <c r="AD29" s="11" t="s">
        <v>33</v>
      </c>
      <c r="AE29" s="11" t="s">
        <v>33</v>
      </c>
      <c r="AF29" s="11" t="s">
        <v>32</v>
      </c>
      <c r="AG29" s="11" t="s">
        <v>33</v>
      </c>
      <c r="AH29" s="23"/>
      <c r="AI29" s="11" t="s">
        <v>32</v>
      </c>
      <c r="AJ29" s="5">
        <f t="shared" si="2"/>
        <v>17</v>
      </c>
      <c r="AK29" s="5">
        <f t="shared" si="3"/>
        <v>7</v>
      </c>
    </row>
    <row r="30" spans="1:41" x14ac:dyDescent="0.25">
      <c r="A30" s="12">
        <v>26</v>
      </c>
      <c r="B30" s="14">
        <v>546</v>
      </c>
      <c r="C30" s="15" t="s">
        <v>82</v>
      </c>
      <c r="D30" s="16" t="s">
        <v>83</v>
      </c>
      <c r="E30" s="10" t="s">
        <v>20</v>
      </c>
      <c r="F30" s="23"/>
      <c r="G30" s="11" t="s">
        <v>32</v>
      </c>
      <c r="H30" s="11" t="s">
        <v>32</v>
      </c>
      <c r="I30" s="11" t="s">
        <v>32</v>
      </c>
      <c r="J30" s="11" t="s">
        <v>32</v>
      </c>
      <c r="K30" s="11" t="s">
        <v>32</v>
      </c>
      <c r="L30" s="11" t="s">
        <v>32</v>
      </c>
      <c r="M30" s="23"/>
      <c r="N30" s="11" t="s">
        <v>32</v>
      </c>
      <c r="O30" s="11" t="s">
        <v>32</v>
      </c>
      <c r="P30" s="11" t="s">
        <v>32</v>
      </c>
      <c r="Q30" s="11" t="s">
        <v>32</v>
      </c>
      <c r="R30" s="11" t="s">
        <v>32</v>
      </c>
      <c r="S30" s="11" t="s">
        <v>32</v>
      </c>
      <c r="T30" s="23"/>
      <c r="U30" s="11" t="s">
        <v>32</v>
      </c>
      <c r="V30" s="26"/>
      <c r="W30" s="11" t="s">
        <v>32</v>
      </c>
      <c r="X30" s="11" t="s">
        <v>32</v>
      </c>
      <c r="Y30" s="11" t="s">
        <v>32</v>
      </c>
      <c r="Z30" s="11" t="s">
        <v>32</v>
      </c>
      <c r="AA30" s="23"/>
      <c r="AB30" s="11" t="s">
        <v>32</v>
      </c>
      <c r="AC30" s="11" t="s">
        <v>33</v>
      </c>
      <c r="AD30" s="11" t="s">
        <v>33</v>
      </c>
      <c r="AE30" s="11" t="s">
        <v>33</v>
      </c>
      <c r="AF30" s="11" t="s">
        <v>33</v>
      </c>
      <c r="AG30" s="11" t="s">
        <v>33</v>
      </c>
      <c r="AH30" s="23"/>
      <c r="AI30" s="11" t="s">
        <v>33</v>
      </c>
      <c r="AJ30" s="5">
        <f t="shared" si="2"/>
        <v>6</v>
      </c>
      <c r="AK30" s="5">
        <f t="shared" si="3"/>
        <v>18</v>
      </c>
    </row>
    <row r="31" spans="1:41" x14ac:dyDescent="0.25">
      <c r="A31" s="6">
        <v>27</v>
      </c>
      <c r="B31" s="14"/>
      <c r="C31" s="15" t="s">
        <v>84</v>
      </c>
      <c r="D31" s="16" t="s">
        <v>85</v>
      </c>
      <c r="E31" s="10" t="s">
        <v>20</v>
      </c>
      <c r="F31" s="23"/>
      <c r="G31" s="11" t="s">
        <v>33</v>
      </c>
      <c r="H31" s="11" t="s">
        <v>33</v>
      </c>
      <c r="I31" s="11" t="s">
        <v>33</v>
      </c>
      <c r="J31" s="11" t="s">
        <v>33</v>
      </c>
      <c r="K31" s="11" t="s">
        <v>33</v>
      </c>
      <c r="L31" s="11" t="s">
        <v>33</v>
      </c>
      <c r="M31" s="23"/>
      <c r="N31" s="11" t="s">
        <v>33</v>
      </c>
      <c r="O31" s="11" t="s">
        <v>33</v>
      </c>
      <c r="P31" s="11" t="s">
        <v>33</v>
      </c>
      <c r="Q31" s="11" t="s">
        <v>33</v>
      </c>
      <c r="R31" s="11" t="s">
        <v>33</v>
      </c>
      <c r="S31" s="11" t="s">
        <v>33</v>
      </c>
      <c r="T31" s="23"/>
      <c r="U31" s="11" t="s">
        <v>32</v>
      </c>
      <c r="V31" s="26"/>
      <c r="W31" s="11" t="s">
        <v>33</v>
      </c>
      <c r="X31" s="11" t="s">
        <v>33</v>
      </c>
      <c r="Y31" s="11" t="s">
        <v>33</v>
      </c>
      <c r="Z31" s="11" t="s">
        <v>33</v>
      </c>
      <c r="AA31" s="23"/>
      <c r="AB31" s="11" t="s">
        <v>33</v>
      </c>
      <c r="AC31" s="11" t="s">
        <v>33</v>
      </c>
      <c r="AD31" s="11" t="s">
        <v>33</v>
      </c>
      <c r="AE31" s="11" t="s">
        <v>33</v>
      </c>
      <c r="AF31" s="11" t="s">
        <v>33</v>
      </c>
      <c r="AG31" s="11" t="s">
        <v>33</v>
      </c>
      <c r="AH31" s="23"/>
      <c r="AI31" s="11" t="s">
        <v>33</v>
      </c>
      <c r="AJ31" s="5">
        <f t="shared" si="2"/>
        <v>23</v>
      </c>
      <c r="AK31" s="5">
        <f t="shared" si="3"/>
        <v>1</v>
      </c>
    </row>
    <row r="32" spans="1:41" x14ac:dyDescent="0.25">
      <c r="A32" s="12">
        <v>28</v>
      </c>
      <c r="B32" s="14"/>
      <c r="C32" s="15" t="s">
        <v>86</v>
      </c>
      <c r="D32" s="16" t="s">
        <v>85</v>
      </c>
      <c r="E32" s="10" t="s">
        <v>20</v>
      </c>
      <c r="F32" s="23"/>
      <c r="G32" s="11" t="s">
        <v>33</v>
      </c>
      <c r="H32" s="11" t="s">
        <v>33</v>
      </c>
      <c r="I32" s="11" t="s">
        <v>33</v>
      </c>
      <c r="J32" s="11" t="s">
        <v>33</v>
      </c>
      <c r="K32" s="11" t="s">
        <v>33</v>
      </c>
      <c r="L32" s="11" t="s">
        <v>33</v>
      </c>
      <c r="M32" s="23"/>
      <c r="N32" s="11" t="s">
        <v>33</v>
      </c>
      <c r="O32" s="11" t="s">
        <v>33</v>
      </c>
      <c r="P32" s="11" t="s">
        <v>33</v>
      </c>
      <c r="Q32" s="11" t="s">
        <v>33</v>
      </c>
      <c r="R32" s="11" t="s">
        <v>33</v>
      </c>
      <c r="S32" s="11" t="s">
        <v>33</v>
      </c>
      <c r="T32" s="23"/>
      <c r="U32" s="11" t="s">
        <v>32</v>
      </c>
      <c r="V32" s="26"/>
      <c r="W32" s="11" t="s">
        <v>33</v>
      </c>
      <c r="X32" s="11" t="s">
        <v>33</v>
      </c>
      <c r="Y32" s="11" t="s">
        <v>33</v>
      </c>
      <c r="Z32" s="11" t="s">
        <v>33</v>
      </c>
      <c r="AA32" s="23"/>
      <c r="AB32" s="11" t="s">
        <v>33</v>
      </c>
      <c r="AC32" s="11" t="s">
        <v>33</v>
      </c>
      <c r="AD32" s="11" t="s">
        <v>33</v>
      </c>
      <c r="AE32" s="11" t="s">
        <v>33</v>
      </c>
      <c r="AF32" s="11" t="s">
        <v>33</v>
      </c>
      <c r="AG32" s="11" t="s">
        <v>33</v>
      </c>
      <c r="AH32" s="23"/>
      <c r="AI32" s="11" t="s">
        <v>33</v>
      </c>
      <c r="AJ32" s="5">
        <f t="shared" si="2"/>
        <v>23</v>
      </c>
      <c r="AK32" s="5">
        <f t="shared" si="3"/>
        <v>1</v>
      </c>
    </row>
    <row r="33" spans="1:37" x14ac:dyDescent="0.25">
      <c r="A33" s="12">
        <v>29</v>
      </c>
      <c r="B33" s="14"/>
      <c r="C33" s="15" t="s">
        <v>121</v>
      </c>
      <c r="D33" s="16" t="s">
        <v>122</v>
      </c>
      <c r="E33" s="10" t="s">
        <v>20</v>
      </c>
      <c r="F33" s="24"/>
      <c r="G33" s="11"/>
      <c r="H33" s="11"/>
      <c r="I33" s="11"/>
      <c r="J33" s="11"/>
      <c r="K33" s="11"/>
      <c r="L33" s="11"/>
      <c r="M33" s="24"/>
      <c r="N33" s="11"/>
      <c r="O33" s="11"/>
      <c r="P33" s="11"/>
      <c r="Q33" s="11"/>
      <c r="R33" s="11"/>
      <c r="S33" s="11"/>
      <c r="T33" s="24"/>
      <c r="U33" s="11"/>
      <c r="V33" s="27"/>
      <c r="W33" s="11"/>
      <c r="X33" s="11"/>
      <c r="Y33" s="11"/>
      <c r="Z33" s="11"/>
      <c r="AA33" s="24"/>
      <c r="AB33" s="11" t="s">
        <v>33</v>
      </c>
      <c r="AC33" s="11" t="s">
        <v>33</v>
      </c>
      <c r="AD33" s="11" t="s">
        <v>33</v>
      </c>
      <c r="AE33" s="11" t="s">
        <v>33</v>
      </c>
      <c r="AF33" s="11" t="s">
        <v>33</v>
      </c>
      <c r="AG33" s="11" t="s">
        <v>33</v>
      </c>
      <c r="AH33" s="24"/>
      <c r="AI33" s="11" t="s">
        <v>33</v>
      </c>
      <c r="AJ33" s="5">
        <f t="shared" si="2"/>
        <v>7</v>
      </c>
      <c r="AK33" s="5">
        <f t="shared" si="3"/>
        <v>0</v>
      </c>
    </row>
  </sheetData>
  <mergeCells count="18">
    <mergeCell ref="AJ3:AJ4"/>
    <mergeCell ref="AK3:AK4"/>
    <mergeCell ref="AL3:AM3"/>
    <mergeCell ref="AL8:AO8"/>
    <mergeCell ref="AL16:AO16"/>
    <mergeCell ref="A3:A4"/>
    <mergeCell ref="B3:B4"/>
    <mergeCell ref="C3:C4"/>
    <mergeCell ref="D3:D4"/>
    <mergeCell ref="E3:E4"/>
    <mergeCell ref="A2:AI2"/>
    <mergeCell ref="A1:AI1"/>
    <mergeCell ref="AA5:AA33"/>
    <mergeCell ref="AH5:AH33"/>
    <mergeCell ref="V5:V33"/>
    <mergeCell ref="F5:F33"/>
    <mergeCell ref="M5:M33"/>
    <mergeCell ref="T5:T33"/>
  </mergeCells>
  <conditionalFormatting sqref="B5:B33">
    <cfRule type="duplicateValues" dxfId="24" priority="23"/>
  </conditionalFormatting>
  <conditionalFormatting sqref="F5 M5 T5 V5 AA5 AH5 G5:L33 N5:S33 U5:U33 W5:Z33 AB5:AG33 AI5:AI33 F4:AI4">
    <cfRule type="expression" dxfId="23" priority="15">
      <formula>IF(F$4=TODAY(),TRUE,FALSE)</formula>
    </cfRule>
  </conditionalFormatting>
  <conditionalFormatting sqref="F5 M5 T5 V5 AA5 AH5 G5:L33 N5:S33 U5:U33 W5:Z33 AB5:AG33 AI5:AI33">
    <cfRule type="cellIs" dxfId="22" priority="1" operator="equal">
      <formula>"L"</formula>
    </cfRule>
    <cfRule type="cellIs" dxfId="21" priority="2" operator="equal">
      <formula>"A"</formula>
    </cfRule>
    <cfRule type="cellIs" dxfId="20" priority="3" operator="equal">
      <formula>"P"</formula>
    </cfRule>
  </conditionalFormatting>
  <conditionalFormatting sqref="F3:AI4 F5 M5 T5 V5 AA5 AH5 G5:L33 N5:S33 U5:U33 W5:Z33 AB5:AG33 AI5:AI33 AL4:AM4">
    <cfRule type="expression" dxfId="19" priority="16">
      <formula>F$3="Sun"</formula>
    </cfRule>
  </conditionalFormatting>
  <conditionalFormatting sqref="AJ3:AK3 AJ5:AK33">
    <cfRule type="expression" dxfId="18" priority="17">
      <formula>#REF!="Sun"</formula>
    </cfRule>
  </conditionalFormatting>
  <conditionalFormatting sqref="AL5:AL6">
    <cfRule type="expression" dxfId="17" priority="13">
      <formula>AL$3="Sun"</formula>
    </cfRule>
  </conditionalFormatting>
  <conditionalFormatting sqref="AL9:AL12">
    <cfRule type="expression" dxfId="16" priority="7">
      <formula>AL$3="Sun"</formula>
    </cfRule>
  </conditionalFormatting>
  <conditionalFormatting sqref="AL17:AL20">
    <cfRule type="expression" dxfId="15" priority="6">
      <formula>AL$3="Sun"</formula>
    </cfRule>
  </conditionalFormatting>
  <conditionalFormatting sqref="AM9:AO9">
    <cfRule type="expression" dxfId="14" priority="8">
      <formula>AM$3="Sun"</formula>
    </cfRule>
  </conditionalFormatting>
  <conditionalFormatting sqref="AM17:AO17">
    <cfRule type="expression" dxfId="13" priority="5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O30"/>
  <sheetViews>
    <sheetView tabSelected="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41" ht="17.25" x14ac:dyDescent="0.3">
      <c r="A2" s="35" t="s">
        <v>131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spans="1:41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1" t="s">
        <v>5</v>
      </c>
      <c r="AK3" s="31" t="s">
        <v>6</v>
      </c>
      <c r="AL3" s="32" t="s">
        <v>21</v>
      </c>
      <c r="AM3" s="33"/>
      <c r="AN3" s="3"/>
      <c r="AO3" s="3"/>
    </row>
    <row r="4" spans="1:41" ht="36" x14ac:dyDescent="0.25">
      <c r="A4" s="30"/>
      <c r="B4" s="30"/>
      <c r="C4" s="30"/>
      <c r="D4" s="30"/>
      <c r="E4" s="30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1"/>
      <c r="AK4" s="31"/>
      <c r="AL4" s="4" t="s">
        <v>7</v>
      </c>
      <c r="AM4" s="5">
        <v>31</v>
      </c>
      <c r="AN4" s="3"/>
      <c r="AO4" s="3"/>
    </row>
    <row r="5" spans="1:41" x14ac:dyDescent="0.25">
      <c r="A5" s="6">
        <v>1</v>
      </c>
      <c r="B5" s="14">
        <v>544</v>
      </c>
      <c r="C5" s="15" t="s">
        <v>87</v>
      </c>
      <c r="D5" s="16" t="s">
        <v>88</v>
      </c>
      <c r="E5" s="10" t="s">
        <v>20</v>
      </c>
      <c r="F5" s="22" t="s">
        <v>129</v>
      </c>
      <c r="G5" s="11" t="s">
        <v>33</v>
      </c>
      <c r="H5" s="11" t="s">
        <v>33</v>
      </c>
      <c r="I5" s="11" t="s">
        <v>32</v>
      </c>
      <c r="J5" s="11" t="s">
        <v>33</v>
      </c>
      <c r="K5" s="11" t="s">
        <v>33</v>
      </c>
      <c r="L5" s="11" t="s">
        <v>33</v>
      </c>
      <c r="M5" s="22" t="s">
        <v>129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22" t="s">
        <v>129</v>
      </c>
      <c r="U5" s="11" t="s">
        <v>33</v>
      </c>
      <c r="V5" s="25" t="s">
        <v>130</v>
      </c>
      <c r="W5" s="11" t="s">
        <v>32</v>
      </c>
      <c r="X5" s="11" t="s">
        <v>33</v>
      </c>
      <c r="Y5" s="11" t="s">
        <v>33</v>
      </c>
      <c r="Z5" s="11" t="s">
        <v>33</v>
      </c>
      <c r="AA5" s="22" t="s">
        <v>129</v>
      </c>
      <c r="AB5" s="11" t="s">
        <v>33</v>
      </c>
      <c r="AC5" s="11" t="s">
        <v>33</v>
      </c>
      <c r="AD5" s="11" t="s">
        <v>33</v>
      </c>
      <c r="AE5" s="11" t="s">
        <v>32</v>
      </c>
      <c r="AF5" s="11" t="s">
        <v>33</v>
      </c>
      <c r="AG5" s="11" t="s">
        <v>33</v>
      </c>
      <c r="AH5" s="22" t="s">
        <v>129</v>
      </c>
      <c r="AI5" s="11" t="s">
        <v>33</v>
      </c>
      <c r="AJ5" s="5">
        <f t="shared" ref="AJ5:AJ30" si="1">COUNTIF(F5:AI5,"P")</f>
        <v>21</v>
      </c>
      <c r="AK5" s="5">
        <f t="shared" ref="AK5:AK30" si="2">COUNTIF(F5:AI5,"A")</f>
        <v>3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12">
        <v>2</v>
      </c>
      <c r="B6" s="14">
        <v>780</v>
      </c>
      <c r="C6" s="15" t="s">
        <v>89</v>
      </c>
      <c r="D6" s="16" t="s">
        <v>90</v>
      </c>
      <c r="E6" s="10" t="s">
        <v>20</v>
      </c>
      <c r="F6" s="23"/>
      <c r="G6" s="11" t="s">
        <v>33</v>
      </c>
      <c r="H6" s="11" t="s">
        <v>33</v>
      </c>
      <c r="I6" s="11" t="s">
        <v>33</v>
      </c>
      <c r="J6" s="11" t="s">
        <v>33</v>
      </c>
      <c r="K6" s="11" t="s">
        <v>33</v>
      </c>
      <c r="L6" s="11" t="s">
        <v>33</v>
      </c>
      <c r="M6" s="23"/>
      <c r="N6" s="11" t="s">
        <v>33</v>
      </c>
      <c r="O6" s="11" t="s">
        <v>33</v>
      </c>
      <c r="P6" s="11" t="s">
        <v>33</v>
      </c>
      <c r="Q6" s="11" t="s">
        <v>33</v>
      </c>
      <c r="R6" s="11" t="s">
        <v>33</v>
      </c>
      <c r="S6" s="11" t="s">
        <v>33</v>
      </c>
      <c r="T6" s="23"/>
      <c r="U6" s="11" t="s">
        <v>33</v>
      </c>
      <c r="V6" s="26"/>
      <c r="W6" s="11" t="s">
        <v>33</v>
      </c>
      <c r="X6" s="11" t="s">
        <v>33</v>
      </c>
      <c r="Y6" s="11" t="s">
        <v>33</v>
      </c>
      <c r="Z6" s="11" t="s">
        <v>33</v>
      </c>
      <c r="AA6" s="23"/>
      <c r="AB6" s="11" t="s">
        <v>33</v>
      </c>
      <c r="AC6" s="11" t="s">
        <v>33</v>
      </c>
      <c r="AD6" s="11" t="s">
        <v>33</v>
      </c>
      <c r="AE6" s="11" t="s">
        <v>33</v>
      </c>
      <c r="AF6" s="11" t="s">
        <v>32</v>
      </c>
      <c r="AG6" s="11" t="s">
        <v>33</v>
      </c>
      <c r="AH6" s="23"/>
      <c r="AI6" s="11" t="s">
        <v>33</v>
      </c>
      <c r="AJ6" s="5">
        <f t="shared" si="1"/>
        <v>23</v>
      </c>
      <c r="AK6" s="5">
        <f t="shared" si="2"/>
        <v>1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>
        <v>569</v>
      </c>
      <c r="C7" s="15" t="s">
        <v>91</v>
      </c>
      <c r="D7" s="16" t="s">
        <v>92</v>
      </c>
      <c r="E7" s="10" t="s">
        <v>20</v>
      </c>
      <c r="F7" s="23"/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  <c r="L7" s="11" t="s">
        <v>33</v>
      </c>
      <c r="M7" s="23"/>
      <c r="N7" s="11" t="s">
        <v>33</v>
      </c>
      <c r="O7" s="11" t="s">
        <v>33</v>
      </c>
      <c r="P7" s="11" t="s">
        <v>33</v>
      </c>
      <c r="Q7" s="11" t="s">
        <v>33</v>
      </c>
      <c r="R7" s="11" t="s">
        <v>33</v>
      </c>
      <c r="S7" s="11" t="s">
        <v>33</v>
      </c>
      <c r="T7" s="23"/>
      <c r="U7" s="11" t="s">
        <v>33</v>
      </c>
      <c r="V7" s="26"/>
      <c r="W7" s="11" t="s">
        <v>33</v>
      </c>
      <c r="X7" s="11" t="s">
        <v>33</v>
      </c>
      <c r="Y7" s="11" t="s">
        <v>33</v>
      </c>
      <c r="Z7" s="11" t="s">
        <v>33</v>
      </c>
      <c r="AA7" s="23"/>
      <c r="AB7" s="11" t="s">
        <v>33</v>
      </c>
      <c r="AC7" s="11" t="s">
        <v>33</v>
      </c>
      <c r="AD7" s="11" t="s">
        <v>33</v>
      </c>
      <c r="AE7" s="11" t="s">
        <v>33</v>
      </c>
      <c r="AF7" s="11" t="s">
        <v>33</v>
      </c>
      <c r="AG7" s="11" t="s">
        <v>33</v>
      </c>
      <c r="AH7" s="23"/>
      <c r="AI7" s="11" t="s">
        <v>33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12">
        <v>4</v>
      </c>
      <c r="B8" s="14">
        <v>582</v>
      </c>
      <c r="C8" s="15" t="s">
        <v>30</v>
      </c>
      <c r="D8" s="16" t="s">
        <v>93</v>
      </c>
      <c r="E8" s="10" t="s">
        <v>20</v>
      </c>
      <c r="F8" s="23"/>
      <c r="G8" s="11" t="s">
        <v>33</v>
      </c>
      <c r="H8" s="11" t="s">
        <v>33</v>
      </c>
      <c r="I8" s="11" t="s">
        <v>33</v>
      </c>
      <c r="J8" s="11" t="s">
        <v>33</v>
      </c>
      <c r="K8" s="11" t="s">
        <v>33</v>
      </c>
      <c r="L8" s="11" t="s">
        <v>33</v>
      </c>
      <c r="M8" s="23"/>
      <c r="N8" s="11" t="s">
        <v>33</v>
      </c>
      <c r="O8" s="11" t="s">
        <v>33</v>
      </c>
      <c r="P8" s="11" t="s">
        <v>33</v>
      </c>
      <c r="Q8" s="11" t="s">
        <v>33</v>
      </c>
      <c r="R8" s="11" t="s">
        <v>33</v>
      </c>
      <c r="S8" s="11" t="s">
        <v>33</v>
      </c>
      <c r="T8" s="23"/>
      <c r="U8" s="11" t="s">
        <v>32</v>
      </c>
      <c r="V8" s="26"/>
      <c r="W8" s="11" t="s">
        <v>33</v>
      </c>
      <c r="X8" s="11" t="s">
        <v>33</v>
      </c>
      <c r="Y8" s="11" t="s">
        <v>33</v>
      </c>
      <c r="Z8" s="11" t="s">
        <v>33</v>
      </c>
      <c r="AA8" s="23"/>
      <c r="AB8" s="11" t="s">
        <v>33</v>
      </c>
      <c r="AC8" s="11" t="s">
        <v>32</v>
      </c>
      <c r="AD8" s="11" t="s">
        <v>33</v>
      </c>
      <c r="AE8" s="11" t="s">
        <v>33</v>
      </c>
      <c r="AF8" s="11" t="s">
        <v>33</v>
      </c>
      <c r="AG8" s="11" t="s">
        <v>32</v>
      </c>
      <c r="AH8" s="23"/>
      <c r="AI8" s="11" t="s">
        <v>33</v>
      </c>
      <c r="AJ8" s="5">
        <f t="shared" si="1"/>
        <v>21</v>
      </c>
      <c r="AK8" s="5">
        <f t="shared" si="2"/>
        <v>3</v>
      </c>
      <c r="AL8" s="32" t="s">
        <v>11</v>
      </c>
      <c r="AM8" s="33"/>
      <c r="AN8" s="33"/>
      <c r="AO8" s="34"/>
    </row>
    <row r="9" spans="1:41" x14ac:dyDescent="0.25">
      <c r="A9" s="6">
        <v>5</v>
      </c>
      <c r="B9" s="14">
        <v>574</v>
      </c>
      <c r="C9" s="15" t="s">
        <v>94</v>
      </c>
      <c r="D9" s="16" t="s">
        <v>95</v>
      </c>
      <c r="E9" s="10" t="s">
        <v>20</v>
      </c>
      <c r="F9" s="23"/>
      <c r="G9" s="11" t="s">
        <v>33</v>
      </c>
      <c r="H9" s="11" t="s">
        <v>33</v>
      </c>
      <c r="I9" s="11" t="s">
        <v>33</v>
      </c>
      <c r="J9" s="11" t="s">
        <v>33</v>
      </c>
      <c r="K9" s="11" t="s">
        <v>33</v>
      </c>
      <c r="L9" s="11" t="s">
        <v>33</v>
      </c>
      <c r="M9" s="23"/>
      <c r="N9" s="11" t="s">
        <v>33</v>
      </c>
      <c r="O9" s="11" t="s">
        <v>32</v>
      </c>
      <c r="P9" s="11" t="s">
        <v>33</v>
      </c>
      <c r="Q9" s="11" t="s">
        <v>33</v>
      </c>
      <c r="R9" s="11" t="s">
        <v>33</v>
      </c>
      <c r="S9" s="11" t="s">
        <v>33</v>
      </c>
      <c r="T9" s="23"/>
      <c r="U9" s="11" t="s">
        <v>32</v>
      </c>
      <c r="V9" s="26"/>
      <c r="W9" s="11" t="s">
        <v>33</v>
      </c>
      <c r="X9" s="11" t="s">
        <v>33</v>
      </c>
      <c r="Y9" s="11" t="s">
        <v>33</v>
      </c>
      <c r="Z9" s="11" t="s">
        <v>33</v>
      </c>
      <c r="AA9" s="23"/>
      <c r="AB9" s="11" t="s">
        <v>33</v>
      </c>
      <c r="AC9" s="11" t="s">
        <v>33</v>
      </c>
      <c r="AD9" s="11" t="s">
        <v>33</v>
      </c>
      <c r="AE9" s="11" t="s">
        <v>33</v>
      </c>
      <c r="AF9" s="11" t="s">
        <v>33</v>
      </c>
      <c r="AG9" s="11" t="s">
        <v>33</v>
      </c>
      <c r="AH9" s="23"/>
      <c r="AI9" s="11" t="s">
        <v>33</v>
      </c>
      <c r="AJ9" s="5">
        <f t="shared" si="1"/>
        <v>22</v>
      </c>
      <c r="AK9" s="5">
        <f t="shared" si="2"/>
        <v>2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>
        <v>571</v>
      </c>
      <c r="C10" s="15" t="s">
        <v>96</v>
      </c>
      <c r="D10" s="16" t="s">
        <v>97</v>
      </c>
      <c r="E10" s="10" t="s">
        <v>20</v>
      </c>
      <c r="F10" s="23"/>
      <c r="G10" s="11" t="s">
        <v>33</v>
      </c>
      <c r="H10" s="11" t="s">
        <v>33</v>
      </c>
      <c r="I10" s="11" t="s">
        <v>33</v>
      </c>
      <c r="J10" s="11" t="s">
        <v>33</v>
      </c>
      <c r="K10" s="11" t="s">
        <v>33</v>
      </c>
      <c r="L10" s="11" t="s">
        <v>33</v>
      </c>
      <c r="M10" s="23"/>
      <c r="N10" s="11" t="s">
        <v>33</v>
      </c>
      <c r="O10" s="11" t="s">
        <v>33</v>
      </c>
      <c r="P10" s="11" t="s">
        <v>32</v>
      </c>
      <c r="Q10" s="11" t="s">
        <v>33</v>
      </c>
      <c r="R10" s="11" t="s">
        <v>33</v>
      </c>
      <c r="S10" s="11" t="s">
        <v>33</v>
      </c>
      <c r="T10" s="23"/>
      <c r="U10" s="11" t="s">
        <v>32</v>
      </c>
      <c r="V10" s="26"/>
      <c r="W10" s="11" t="s">
        <v>33</v>
      </c>
      <c r="X10" s="11" t="s">
        <v>33</v>
      </c>
      <c r="Y10" s="11" t="s">
        <v>33</v>
      </c>
      <c r="Z10" s="11" t="s">
        <v>33</v>
      </c>
      <c r="AA10" s="23"/>
      <c r="AB10" s="11" t="s">
        <v>33</v>
      </c>
      <c r="AC10" s="11" t="s">
        <v>33</v>
      </c>
      <c r="AD10" s="11" t="s">
        <v>33</v>
      </c>
      <c r="AE10" s="11" t="s">
        <v>33</v>
      </c>
      <c r="AF10" s="11" t="s">
        <v>33</v>
      </c>
      <c r="AG10" s="11" t="s">
        <v>33</v>
      </c>
      <c r="AH10" s="23"/>
      <c r="AI10" s="11" t="s">
        <v>33</v>
      </c>
      <c r="AJ10" s="5">
        <f t="shared" si="1"/>
        <v>22</v>
      </c>
      <c r="AK10" s="5">
        <f t="shared" si="2"/>
        <v>2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>
        <v>526</v>
      </c>
      <c r="C11" s="15" t="s">
        <v>98</v>
      </c>
      <c r="D11" s="16" t="s">
        <v>46</v>
      </c>
      <c r="E11" s="10" t="s">
        <v>20</v>
      </c>
      <c r="F11" s="23"/>
      <c r="G11" s="11" t="s">
        <v>33</v>
      </c>
      <c r="H11" s="11" t="s">
        <v>33</v>
      </c>
      <c r="I11" s="11" t="s">
        <v>33</v>
      </c>
      <c r="J11" s="11" t="s">
        <v>33</v>
      </c>
      <c r="K11" s="11" t="s">
        <v>33</v>
      </c>
      <c r="L11" s="11" t="s">
        <v>33</v>
      </c>
      <c r="M11" s="23"/>
      <c r="N11" s="11" t="s">
        <v>33</v>
      </c>
      <c r="O11" s="11" t="s">
        <v>33</v>
      </c>
      <c r="P11" s="11" t="s">
        <v>33</v>
      </c>
      <c r="Q11" s="11" t="s">
        <v>33</v>
      </c>
      <c r="R11" s="11" t="s">
        <v>33</v>
      </c>
      <c r="S11" s="11" t="s">
        <v>33</v>
      </c>
      <c r="T11" s="23"/>
      <c r="U11" s="11" t="s">
        <v>33</v>
      </c>
      <c r="V11" s="26"/>
      <c r="W11" s="11" t="s">
        <v>33</v>
      </c>
      <c r="X11" s="11" t="s">
        <v>33</v>
      </c>
      <c r="Y11" s="11" t="s">
        <v>34</v>
      </c>
      <c r="Z11" s="11" t="s">
        <v>33</v>
      </c>
      <c r="AA11" s="23"/>
      <c r="AB11" s="11" t="s">
        <v>33</v>
      </c>
      <c r="AC11" s="11" t="s">
        <v>33</v>
      </c>
      <c r="AD11" s="11" t="s">
        <v>33</v>
      </c>
      <c r="AE11" s="11" t="s">
        <v>33</v>
      </c>
      <c r="AF11" s="11" t="s">
        <v>33</v>
      </c>
      <c r="AG11" s="11" t="s">
        <v>33</v>
      </c>
      <c r="AH11" s="23"/>
      <c r="AI11" s="11" t="s">
        <v>33</v>
      </c>
      <c r="AJ11" s="5">
        <f t="shared" si="1"/>
        <v>23</v>
      </c>
      <c r="AK11" s="5">
        <f t="shared" si="2"/>
        <v>0</v>
      </c>
      <c r="AL11" s="5" t="s">
        <v>17</v>
      </c>
      <c r="AM11" s="12">
        <f>SUM(AJ5:AJ30)</f>
        <v>476</v>
      </c>
      <c r="AN11" s="12">
        <f>SUM(AJ5:AJ30)</f>
        <v>476</v>
      </c>
      <c r="AO11" s="12">
        <f>AM11+AN11</f>
        <v>952</v>
      </c>
    </row>
    <row r="12" spans="1:41" x14ac:dyDescent="0.25">
      <c r="A12" s="12">
        <v>8</v>
      </c>
      <c r="B12" s="14">
        <v>537</v>
      </c>
      <c r="C12" s="15" t="s">
        <v>99</v>
      </c>
      <c r="D12" s="16" t="s">
        <v>100</v>
      </c>
      <c r="E12" s="10" t="s">
        <v>20</v>
      </c>
      <c r="F12" s="23"/>
      <c r="G12" s="11" t="s">
        <v>33</v>
      </c>
      <c r="H12" s="11" t="s">
        <v>33</v>
      </c>
      <c r="I12" s="11" t="s">
        <v>33</v>
      </c>
      <c r="J12" s="11" t="s">
        <v>32</v>
      </c>
      <c r="K12" s="11" t="s">
        <v>33</v>
      </c>
      <c r="L12" s="11" t="s">
        <v>33</v>
      </c>
      <c r="M12" s="23"/>
      <c r="N12" s="11" t="s">
        <v>33</v>
      </c>
      <c r="O12" s="11" t="s">
        <v>33</v>
      </c>
      <c r="P12" s="11" t="s">
        <v>33</v>
      </c>
      <c r="Q12" s="11" t="s">
        <v>33</v>
      </c>
      <c r="R12" s="11" t="s">
        <v>33</v>
      </c>
      <c r="S12" s="11" t="s">
        <v>33</v>
      </c>
      <c r="T12" s="23"/>
      <c r="U12" s="11" t="s">
        <v>32</v>
      </c>
      <c r="V12" s="26"/>
      <c r="W12" s="11" t="s">
        <v>33</v>
      </c>
      <c r="X12" s="11" t="s">
        <v>33</v>
      </c>
      <c r="Y12" s="11" t="s">
        <v>33</v>
      </c>
      <c r="Z12" s="11" t="s">
        <v>33</v>
      </c>
      <c r="AA12" s="23"/>
      <c r="AB12" s="11" t="s">
        <v>33</v>
      </c>
      <c r="AC12" s="11" t="s">
        <v>33</v>
      </c>
      <c r="AD12" s="11" t="s">
        <v>33</v>
      </c>
      <c r="AE12" s="11" t="s">
        <v>33</v>
      </c>
      <c r="AF12" s="11" t="s">
        <v>33</v>
      </c>
      <c r="AG12" s="11" t="s">
        <v>33</v>
      </c>
      <c r="AH12" s="23"/>
      <c r="AI12" s="11" t="s">
        <v>33</v>
      </c>
      <c r="AJ12" s="5">
        <f t="shared" si="1"/>
        <v>22</v>
      </c>
      <c r="AK12" s="5">
        <f t="shared" si="2"/>
        <v>2</v>
      </c>
      <c r="AL12" s="5" t="s">
        <v>18</v>
      </c>
      <c r="AM12" s="12">
        <f>AM11/AM10</f>
        <v>0.96356275303643724</v>
      </c>
      <c r="AN12" s="12">
        <f>AN11/AN10</f>
        <v>0.87179487179487181</v>
      </c>
      <c r="AO12" s="12">
        <f>AO11/AO10</f>
        <v>0.91538461538461535</v>
      </c>
    </row>
    <row r="13" spans="1:41" x14ac:dyDescent="0.25">
      <c r="A13" s="6">
        <v>9</v>
      </c>
      <c r="B13" s="14">
        <v>584</v>
      </c>
      <c r="C13" s="15" t="s">
        <v>48</v>
      </c>
      <c r="D13" s="16" t="s">
        <v>49</v>
      </c>
      <c r="E13" s="10" t="s">
        <v>20</v>
      </c>
      <c r="F13" s="23"/>
      <c r="G13" s="11" t="s">
        <v>33</v>
      </c>
      <c r="H13" s="11" t="s">
        <v>33</v>
      </c>
      <c r="I13" s="11" t="s">
        <v>33</v>
      </c>
      <c r="J13" s="11" t="s">
        <v>33</v>
      </c>
      <c r="K13" s="11" t="s">
        <v>33</v>
      </c>
      <c r="L13" s="11" t="s">
        <v>33</v>
      </c>
      <c r="M13" s="23"/>
      <c r="N13" s="11" t="s">
        <v>33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23"/>
      <c r="U13" s="11" t="s">
        <v>33</v>
      </c>
      <c r="V13" s="26"/>
      <c r="W13" s="11" t="s">
        <v>32</v>
      </c>
      <c r="X13" s="11" t="s">
        <v>33</v>
      </c>
      <c r="Y13" s="11" t="s">
        <v>33</v>
      </c>
      <c r="Z13" s="11" t="s">
        <v>32</v>
      </c>
      <c r="AA13" s="23"/>
      <c r="AB13" s="11" t="s">
        <v>33</v>
      </c>
      <c r="AC13" s="11" t="s">
        <v>33</v>
      </c>
      <c r="AD13" s="11" t="s">
        <v>33</v>
      </c>
      <c r="AE13" s="11" t="s">
        <v>33</v>
      </c>
      <c r="AF13" s="11" t="s">
        <v>33</v>
      </c>
      <c r="AG13" s="11" t="s">
        <v>33</v>
      </c>
      <c r="AH13" s="23"/>
      <c r="AI13" s="11" t="s">
        <v>33</v>
      </c>
      <c r="AJ13" s="5">
        <f t="shared" si="1"/>
        <v>22</v>
      </c>
      <c r="AK13" s="5">
        <f t="shared" si="2"/>
        <v>2</v>
      </c>
      <c r="AL13" s="3"/>
      <c r="AM13" s="17"/>
      <c r="AN13" s="17"/>
      <c r="AO13" s="17"/>
    </row>
    <row r="14" spans="1:41" x14ac:dyDescent="0.25">
      <c r="A14" s="12">
        <v>10</v>
      </c>
      <c r="B14" s="14">
        <v>520</v>
      </c>
      <c r="C14" s="15" t="s">
        <v>48</v>
      </c>
      <c r="D14" s="16" t="s">
        <v>101</v>
      </c>
      <c r="E14" s="10" t="s">
        <v>20</v>
      </c>
      <c r="F14" s="23"/>
      <c r="G14" s="11" t="s">
        <v>33</v>
      </c>
      <c r="H14" s="11" t="s">
        <v>32</v>
      </c>
      <c r="I14" s="11" t="s">
        <v>33</v>
      </c>
      <c r="J14" s="11" t="s">
        <v>33</v>
      </c>
      <c r="K14" s="11" t="s">
        <v>33</v>
      </c>
      <c r="L14" s="11" t="s">
        <v>33</v>
      </c>
      <c r="M14" s="23"/>
      <c r="N14" s="11" t="s">
        <v>33</v>
      </c>
      <c r="O14" s="11" t="s">
        <v>33</v>
      </c>
      <c r="P14" s="11" t="s">
        <v>33</v>
      </c>
      <c r="Q14" s="11" t="s">
        <v>33</v>
      </c>
      <c r="R14" s="11" t="s">
        <v>33</v>
      </c>
      <c r="S14" s="11" t="s">
        <v>32</v>
      </c>
      <c r="T14" s="23"/>
      <c r="U14" s="11" t="s">
        <v>33</v>
      </c>
      <c r="V14" s="26"/>
      <c r="W14" s="11" t="s">
        <v>32</v>
      </c>
      <c r="X14" s="11" t="s">
        <v>33</v>
      </c>
      <c r="Y14" s="11" t="s">
        <v>33</v>
      </c>
      <c r="Z14" s="11" t="s">
        <v>32</v>
      </c>
      <c r="AA14" s="23"/>
      <c r="AB14" s="11" t="s">
        <v>33</v>
      </c>
      <c r="AC14" s="11" t="s">
        <v>33</v>
      </c>
      <c r="AD14" s="11" t="s">
        <v>33</v>
      </c>
      <c r="AE14" s="11" t="s">
        <v>32</v>
      </c>
      <c r="AF14" s="11" t="s">
        <v>33</v>
      </c>
      <c r="AG14" s="11" t="s">
        <v>33</v>
      </c>
      <c r="AH14" s="23"/>
      <c r="AI14" s="11" t="s">
        <v>33</v>
      </c>
      <c r="AJ14" s="5">
        <f t="shared" si="1"/>
        <v>19</v>
      </c>
      <c r="AK14" s="5">
        <f t="shared" si="2"/>
        <v>5</v>
      </c>
      <c r="AL14" s="19"/>
      <c r="AM14" s="19"/>
      <c r="AN14" s="19"/>
      <c r="AO14" s="19"/>
    </row>
    <row r="15" spans="1:41" x14ac:dyDescent="0.25">
      <c r="A15" s="6">
        <v>11</v>
      </c>
      <c r="B15" s="14">
        <v>570</v>
      </c>
      <c r="C15" s="15" t="s">
        <v>102</v>
      </c>
      <c r="D15" s="16" t="s">
        <v>35</v>
      </c>
      <c r="E15" s="10" t="s">
        <v>20</v>
      </c>
      <c r="F15" s="23"/>
      <c r="G15" s="11" t="s">
        <v>32</v>
      </c>
      <c r="H15" s="11" t="s">
        <v>32</v>
      </c>
      <c r="I15" s="11" t="s">
        <v>32</v>
      </c>
      <c r="J15" s="11" t="s">
        <v>32</v>
      </c>
      <c r="K15" s="11" t="s">
        <v>32</v>
      </c>
      <c r="L15" s="11" t="s">
        <v>32</v>
      </c>
      <c r="M15" s="23"/>
      <c r="N15" s="11" t="s">
        <v>32</v>
      </c>
      <c r="O15" s="11" t="s">
        <v>32</v>
      </c>
      <c r="P15" s="11" t="s">
        <v>32</v>
      </c>
      <c r="Q15" s="11" t="s">
        <v>32</v>
      </c>
      <c r="R15" s="11" t="s">
        <v>32</v>
      </c>
      <c r="S15" s="11" t="s">
        <v>32</v>
      </c>
      <c r="T15" s="23"/>
      <c r="U15" s="11" t="s">
        <v>32</v>
      </c>
      <c r="V15" s="26"/>
      <c r="W15" s="11" t="s">
        <v>32</v>
      </c>
      <c r="X15" s="11" t="s">
        <v>32</v>
      </c>
      <c r="Y15" s="11" t="s">
        <v>32</v>
      </c>
      <c r="Z15" s="11" t="s">
        <v>32</v>
      </c>
      <c r="AA15" s="23"/>
      <c r="AB15" s="11" t="s">
        <v>32</v>
      </c>
      <c r="AC15" s="11" t="s">
        <v>32</v>
      </c>
      <c r="AD15" s="11" t="s">
        <v>32</v>
      </c>
      <c r="AE15" s="11" t="s">
        <v>32</v>
      </c>
      <c r="AF15" s="11" t="s">
        <v>32</v>
      </c>
      <c r="AG15" s="11" t="s">
        <v>32</v>
      </c>
      <c r="AH15" s="23"/>
      <c r="AI15" s="11" t="s">
        <v>33</v>
      </c>
      <c r="AJ15" s="5">
        <f t="shared" si="1"/>
        <v>1</v>
      </c>
      <c r="AK15" s="5">
        <f t="shared" si="2"/>
        <v>23</v>
      </c>
      <c r="AL15" s="3"/>
      <c r="AM15" s="3"/>
      <c r="AN15" s="3"/>
      <c r="AO15" s="3"/>
    </row>
    <row r="16" spans="1:41" ht="15.75" x14ac:dyDescent="0.25">
      <c r="A16" s="12">
        <v>12</v>
      </c>
      <c r="B16" s="14">
        <v>687</v>
      </c>
      <c r="C16" s="15" t="s">
        <v>103</v>
      </c>
      <c r="D16" s="16" t="s">
        <v>104</v>
      </c>
      <c r="E16" s="10" t="s">
        <v>20</v>
      </c>
      <c r="F16" s="23"/>
      <c r="G16" s="11" t="s">
        <v>33</v>
      </c>
      <c r="H16" s="11" t="s">
        <v>33</v>
      </c>
      <c r="I16" s="11" t="s">
        <v>33</v>
      </c>
      <c r="J16" s="11" t="s">
        <v>33</v>
      </c>
      <c r="K16" s="11" t="s">
        <v>33</v>
      </c>
      <c r="L16" s="11" t="s">
        <v>33</v>
      </c>
      <c r="M16" s="23"/>
      <c r="N16" s="11" t="s">
        <v>33</v>
      </c>
      <c r="O16" s="11" t="s">
        <v>33</v>
      </c>
      <c r="P16" s="11" t="s">
        <v>33</v>
      </c>
      <c r="Q16" s="11" t="s">
        <v>33</v>
      </c>
      <c r="R16" s="11" t="s">
        <v>33</v>
      </c>
      <c r="S16" s="11" t="s">
        <v>33</v>
      </c>
      <c r="T16" s="23"/>
      <c r="U16" s="11" t="s">
        <v>33</v>
      </c>
      <c r="V16" s="26"/>
      <c r="W16" s="11" t="s">
        <v>33</v>
      </c>
      <c r="X16" s="11" t="s">
        <v>33</v>
      </c>
      <c r="Y16" s="11" t="s">
        <v>33</v>
      </c>
      <c r="Z16" s="11" t="s">
        <v>33</v>
      </c>
      <c r="AA16" s="23"/>
      <c r="AB16" s="11" t="s">
        <v>33</v>
      </c>
      <c r="AC16" s="11" t="s">
        <v>33</v>
      </c>
      <c r="AD16" s="11" t="s">
        <v>33</v>
      </c>
      <c r="AE16" s="11" t="s">
        <v>33</v>
      </c>
      <c r="AF16" s="11" t="s">
        <v>33</v>
      </c>
      <c r="AG16" s="11" t="s">
        <v>32</v>
      </c>
      <c r="AH16" s="23"/>
      <c r="AI16" s="11" t="s">
        <v>33</v>
      </c>
      <c r="AJ16" s="5">
        <f t="shared" si="1"/>
        <v>23</v>
      </c>
      <c r="AK16" s="5">
        <f t="shared" si="2"/>
        <v>1</v>
      </c>
      <c r="AL16" s="32" t="s">
        <v>6</v>
      </c>
      <c r="AM16" s="33"/>
      <c r="AN16" s="33"/>
      <c r="AO16" s="34"/>
    </row>
    <row r="17" spans="1:41" x14ac:dyDescent="0.25">
      <c r="A17" s="6">
        <v>13</v>
      </c>
      <c r="B17" s="14">
        <v>581</v>
      </c>
      <c r="C17" s="15" t="s">
        <v>105</v>
      </c>
      <c r="D17" s="16" t="s">
        <v>38</v>
      </c>
      <c r="E17" s="10" t="s">
        <v>20</v>
      </c>
      <c r="F17" s="23"/>
      <c r="G17" s="11" t="s">
        <v>33</v>
      </c>
      <c r="H17" s="11" t="s">
        <v>33</v>
      </c>
      <c r="I17" s="11" t="s">
        <v>33</v>
      </c>
      <c r="J17" s="11" t="s">
        <v>32</v>
      </c>
      <c r="K17" s="11" t="s">
        <v>33</v>
      </c>
      <c r="L17" s="11" t="s">
        <v>33</v>
      </c>
      <c r="M17" s="23"/>
      <c r="N17" s="11" t="s">
        <v>33</v>
      </c>
      <c r="O17" s="11" t="s">
        <v>33</v>
      </c>
      <c r="P17" s="11" t="s">
        <v>33</v>
      </c>
      <c r="Q17" s="11" t="s">
        <v>33</v>
      </c>
      <c r="R17" s="11" t="s">
        <v>33</v>
      </c>
      <c r="S17" s="11" t="s">
        <v>33</v>
      </c>
      <c r="T17" s="23"/>
      <c r="U17" s="11" t="s">
        <v>32</v>
      </c>
      <c r="V17" s="26"/>
      <c r="W17" s="11" t="s">
        <v>33</v>
      </c>
      <c r="X17" s="11" t="s">
        <v>33</v>
      </c>
      <c r="Y17" s="11" t="s">
        <v>33</v>
      </c>
      <c r="Z17" s="11" t="s">
        <v>33</v>
      </c>
      <c r="AA17" s="23"/>
      <c r="AB17" s="11" t="s">
        <v>32</v>
      </c>
      <c r="AC17" s="11" t="s">
        <v>33</v>
      </c>
      <c r="AD17" s="11" t="s">
        <v>33</v>
      </c>
      <c r="AE17" s="11" t="s">
        <v>33</v>
      </c>
      <c r="AF17" s="11" t="s">
        <v>33</v>
      </c>
      <c r="AG17" s="11" t="s">
        <v>33</v>
      </c>
      <c r="AH17" s="23"/>
      <c r="AI17" s="11" t="s">
        <v>33</v>
      </c>
      <c r="AJ17" s="5">
        <f t="shared" si="1"/>
        <v>21</v>
      </c>
      <c r="AK17" s="5">
        <f t="shared" si="2"/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>
        <v>588</v>
      </c>
      <c r="C18" s="15" t="s">
        <v>106</v>
      </c>
      <c r="D18" s="16" t="s">
        <v>107</v>
      </c>
      <c r="E18" s="10" t="s">
        <v>20</v>
      </c>
      <c r="F18" s="23"/>
      <c r="G18" s="11" t="s">
        <v>32</v>
      </c>
      <c r="H18" s="11" t="s">
        <v>32</v>
      </c>
      <c r="I18" s="11" t="s">
        <v>32</v>
      </c>
      <c r="J18" s="11" t="s">
        <v>32</v>
      </c>
      <c r="K18" s="11" t="s">
        <v>32</v>
      </c>
      <c r="L18" s="11" t="s">
        <v>32</v>
      </c>
      <c r="M18" s="23"/>
      <c r="N18" s="11" t="s">
        <v>32</v>
      </c>
      <c r="O18" s="11" t="s">
        <v>32</v>
      </c>
      <c r="P18" s="11" t="s">
        <v>32</v>
      </c>
      <c r="Q18" s="11" t="s">
        <v>32</v>
      </c>
      <c r="R18" s="11" t="s">
        <v>32</v>
      </c>
      <c r="S18" s="11" t="s">
        <v>32</v>
      </c>
      <c r="T18" s="23"/>
      <c r="U18" s="11" t="s">
        <v>32</v>
      </c>
      <c r="V18" s="26"/>
      <c r="W18" s="11" t="s">
        <v>33</v>
      </c>
      <c r="X18" s="11" t="s">
        <v>33</v>
      </c>
      <c r="Y18" s="11" t="s">
        <v>33</v>
      </c>
      <c r="Z18" s="11" t="s">
        <v>33</v>
      </c>
      <c r="AA18" s="23"/>
      <c r="AB18" s="11" t="s">
        <v>33</v>
      </c>
      <c r="AC18" s="11" t="s">
        <v>33</v>
      </c>
      <c r="AD18" s="11" t="s">
        <v>33</v>
      </c>
      <c r="AE18" s="11" t="s">
        <v>33</v>
      </c>
      <c r="AF18" s="11" t="s">
        <v>32</v>
      </c>
      <c r="AG18" s="11" t="s">
        <v>33</v>
      </c>
      <c r="AH18" s="23"/>
      <c r="AI18" s="11" t="s">
        <v>33</v>
      </c>
      <c r="AJ18" s="5">
        <f t="shared" si="1"/>
        <v>10</v>
      </c>
      <c r="AK18" s="5">
        <f t="shared" si="2"/>
        <v>14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>
        <v>686</v>
      </c>
      <c r="C19" s="15" t="s">
        <v>108</v>
      </c>
      <c r="D19" s="16" t="s">
        <v>37</v>
      </c>
      <c r="E19" s="10" t="s">
        <v>20</v>
      </c>
      <c r="F19" s="23"/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  <c r="L19" s="11" t="s">
        <v>33</v>
      </c>
      <c r="M19" s="23"/>
      <c r="N19" s="11" t="s">
        <v>33</v>
      </c>
      <c r="O19" s="11" t="s">
        <v>33</v>
      </c>
      <c r="P19" s="11" t="s">
        <v>33</v>
      </c>
      <c r="Q19" s="11" t="s">
        <v>33</v>
      </c>
      <c r="R19" s="11" t="s">
        <v>33</v>
      </c>
      <c r="S19" s="11" t="s">
        <v>33</v>
      </c>
      <c r="T19" s="23"/>
      <c r="U19" s="11" t="s">
        <v>33</v>
      </c>
      <c r="V19" s="26"/>
      <c r="W19" s="11" t="s">
        <v>33</v>
      </c>
      <c r="X19" s="11" t="s">
        <v>33</v>
      </c>
      <c r="Y19" s="11" t="s">
        <v>33</v>
      </c>
      <c r="Z19" s="11" t="s">
        <v>33</v>
      </c>
      <c r="AA19" s="23"/>
      <c r="AB19" s="11" t="s">
        <v>33</v>
      </c>
      <c r="AC19" s="11" t="s">
        <v>33</v>
      </c>
      <c r="AD19" s="11" t="s">
        <v>33</v>
      </c>
      <c r="AE19" s="11" t="s">
        <v>33</v>
      </c>
      <c r="AF19" s="11" t="s">
        <v>32</v>
      </c>
      <c r="AG19" s="11" t="s">
        <v>33</v>
      </c>
      <c r="AH19" s="23"/>
      <c r="AI19" s="11" t="s">
        <v>33</v>
      </c>
      <c r="AJ19" s="5">
        <f t="shared" si="1"/>
        <v>23</v>
      </c>
      <c r="AK19" s="5">
        <f t="shared" si="2"/>
        <v>1</v>
      </c>
      <c r="AL19" s="5" t="s">
        <v>19</v>
      </c>
      <c r="AM19" s="12">
        <f>AM18-AM11</f>
        <v>18</v>
      </c>
      <c r="AN19" s="12">
        <f>AN18-AN11</f>
        <v>70</v>
      </c>
      <c r="AO19" s="12">
        <f>AM19+AN19</f>
        <v>88</v>
      </c>
    </row>
    <row r="20" spans="1:41" x14ac:dyDescent="0.25">
      <c r="A20" s="12">
        <v>16</v>
      </c>
      <c r="B20" s="14">
        <v>525</v>
      </c>
      <c r="C20" s="15" t="s">
        <v>109</v>
      </c>
      <c r="D20" s="16" t="s">
        <v>110</v>
      </c>
      <c r="E20" s="10" t="s">
        <v>20</v>
      </c>
      <c r="F20" s="23"/>
      <c r="G20" s="11" t="s">
        <v>33</v>
      </c>
      <c r="H20" s="11" t="s">
        <v>33</v>
      </c>
      <c r="I20" s="11" t="s">
        <v>33</v>
      </c>
      <c r="J20" s="11" t="s">
        <v>33</v>
      </c>
      <c r="K20" s="11" t="s">
        <v>33</v>
      </c>
      <c r="L20" s="11" t="s">
        <v>33</v>
      </c>
      <c r="M20" s="23"/>
      <c r="N20" s="11" t="s">
        <v>33</v>
      </c>
      <c r="O20" s="11" t="s">
        <v>33</v>
      </c>
      <c r="P20" s="11" t="s">
        <v>33</v>
      </c>
      <c r="Q20" s="11" t="s">
        <v>33</v>
      </c>
      <c r="R20" s="11" t="s">
        <v>33</v>
      </c>
      <c r="S20" s="11" t="s">
        <v>33</v>
      </c>
      <c r="T20" s="23"/>
      <c r="U20" s="11" t="s">
        <v>32</v>
      </c>
      <c r="V20" s="26"/>
      <c r="W20" s="11" t="s">
        <v>33</v>
      </c>
      <c r="X20" s="11" t="s">
        <v>33</v>
      </c>
      <c r="Y20" s="11" t="s">
        <v>33</v>
      </c>
      <c r="Z20" s="11" t="s">
        <v>32</v>
      </c>
      <c r="AA20" s="23"/>
      <c r="AB20" s="11" t="s">
        <v>33</v>
      </c>
      <c r="AC20" s="11" t="s">
        <v>33</v>
      </c>
      <c r="AD20" s="11" t="s">
        <v>33</v>
      </c>
      <c r="AE20" s="11" t="s">
        <v>33</v>
      </c>
      <c r="AF20" s="11" t="s">
        <v>33</v>
      </c>
      <c r="AG20" s="11" t="s">
        <v>33</v>
      </c>
      <c r="AH20" s="23"/>
      <c r="AI20" s="11" t="s">
        <v>33</v>
      </c>
      <c r="AJ20" s="5">
        <f t="shared" si="1"/>
        <v>22</v>
      </c>
      <c r="AK20" s="5">
        <f t="shared" si="2"/>
        <v>2</v>
      </c>
      <c r="AL20" s="5" t="s">
        <v>15</v>
      </c>
      <c r="AM20" s="20">
        <f>AM19/AM18</f>
        <v>3.643724696356275E-2</v>
      </c>
      <c r="AN20" s="20">
        <f>AN19/AN18</f>
        <v>0.12820512820512819</v>
      </c>
      <c r="AO20" s="20">
        <f>AO19/AO18</f>
        <v>8.461538461538462E-2</v>
      </c>
    </row>
    <row r="21" spans="1:41" x14ac:dyDescent="0.25">
      <c r="A21" s="6">
        <v>17</v>
      </c>
      <c r="B21" s="14">
        <v>577</v>
      </c>
      <c r="C21" s="15" t="s">
        <v>111</v>
      </c>
      <c r="D21" s="16" t="s">
        <v>112</v>
      </c>
      <c r="E21" s="10" t="s">
        <v>20</v>
      </c>
      <c r="F21" s="23"/>
      <c r="G21" s="11" t="s">
        <v>33</v>
      </c>
      <c r="H21" s="11" t="s">
        <v>33</v>
      </c>
      <c r="I21" s="11" t="s">
        <v>32</v>
      </c>
      <c r="J21" s="11" t="s">
        <v>33</v>
      </c>
      <c r="K21" s="11" t="s">
        <v>33</v>
      </c>
      <c r="L21" s="11" t="s">
        <v>33</v>
      </c>
      <c r="M21" s="23"/>
      <c r="N21" s="11" t="s">
        <v>33</v>
      </c>
      <c r="O21" s="11" t="s">
        <v>33</v>
      </c>
      <c r="P21" s="11" t="s">
        <v>33</v>
      </c>
      <c r="Q21" s="11" t="s">
        <v>32</v>
      </c>
      <c r="R21" s="11" t="s">
        <v>33</v>
      </c>
      <c r="S21" s="11" t="s">
        <v>32</v>
      </c>
      <c r="T21" s="23"/>
      <c r="U21" s="11" t="s">
        <v>33</v>
      </c>
      <c r="V21" s="26"/>
      <c r="W21" s="11" t="s">
        <v>33</v>
      </c>
      <c r="X21" s="11" t="s">
        <v>33</v>
      </c>
      <c r="Y21" s="11" t="s">
        <v>33</v>
      </c>
      <c r="Z21" s="11" t="s">
        <v>33</v>
      </c>
      <c r="AA21" s="23"/>
      <c r="AB21" s="11" t="s">
        <v>33</v>
      </c>
      <c r="AC21" s="11" t="s">
        <v>33</v>
      </c>
      <c r="AD21" s="11" t="s">
        <v>33</v>
      </c>
      <c r="AE21" s="11" t="s">
        <v>33</v>
      </c>
      <c r="AF21" s="11" t="s">
        <v>33</v>
      </c>
      <c r="AG21" s="11" t="s">
        <v>33</v>
      </c>
      <c r="AH21" s="23"/>
      <c r="AI21" s="11" t="s">
        <v>33</v>
      </c>
      <c r="AJ21" s="5">
        <f t="shared" si="1"/>
        <v>21</v>
      </c>
      <c r="AK21" s="5">
        <f t="shared" si="2"/>
        <v>3</v>
      </c>
    </row>
    <row r="22" spans="1:41" x14ac:dyDescent="0.25">
      <c r="A22" s="12">
        <v>18</v>
      </c>
      <c r="B22" s="14">
        <v>589</v>
      </c>
      <c r="C22" s="15" t="s">
        <v>113</v>
      </c>
      <c r="D22" s="16" t="s">
        <v>114</v>
      </c>
      <c r="E22" s="10" t="s">
        <v>20</v>
      </c>
      <c r="F22" s="23"/>
      <c r="G22" s="11" t="s">
        <v>33</v>
      </c>
      <c r="H22" s="11" t="s">
        <v>34</v>
      </c>
      <c r="I22" s="11" t="s">
        <v>34</v>
      </c>
      <c r="J22" s="11" t="s">
        <v>33</v>
      </c>
      <c r="K22" s="11" t="s">
        <v>33</v>
      </c>
      <c r="L22" s="11" t="s">
        <v>33</v>
      </c>
      <c r="M22" s="23"/>
      <c r="N22" s="11" t="s">
        <v>33</v>
      </c>
      <c r="O22" s="11" t="s">
        <v>33</v>
      </c>
      <c r="P22" s="11" t="s">
        <v>33</v>
      </c>
      <c r="Q22" s="11" t="s">
        <v>32</v>
      </c>
      <c r="R22" s="11" t="s">
        <v>33</v>
      </c>
      <c r="S22" s="11" t="s">
        <v>33</v>
      </c>
      <c r="T22" s="23"/>
      <c r="U22" s="11" t="s">
        <v>33</v>
      </c>
      <c r="V22" s="26"/>
      <c r="W22" s="11" t="s">
        <v>33</v>
      </c>
      <c r="X22" s="11" t="s">
        <v>32</v>
      </c>
      <c r="Y22" s="11" t="s">
        <v>33</v>
      </c>
      <c r="Z22" s="11" t="s">
        <v>33</v>
      </c>
      <c r="AA22" s="23"/>
      <c r="AB22" s="11" t="s">
        <v>33</v>
      </c>
      <c r="AC22" s="11" t="s">
        <v>33</v>
      </c>
      <c r="AD22" s="11" t="s">
        <v>32</v>
      </c>
      <c r="AE22" s="11" t="s">
        <v>33</v>
      </c>
      <c r="AF22" s="11" t="s">
        <v>33</v>
      </c>
      <c r="AG22" s="11" t="s">
        <v>33</v>
      </c>
      <c r="AH22" s="23"/>
      <c r="AI22" s="11" t="s">
        <v>33</v>
      </c>
      <c r="AJ22" s="5">
        <f t="shared" si="1"/>
        <v>19</v>
      </c>
      <c r="AK22" s="5">
        <f t="shared" si="2"/>
        <v>3</v>
      </c>
    </row>
    <row r="23" spans="1:41" x14ac:dyDescent="0.25">
      <c r="A23" s="6">
        <v>19</v>
      </c>
      <c r="B23" s="14"/>
      <c r="C23" s="15" t="s">
        <v>115</v>
      </c>
      <c r="D23" s="16" t="s">
        <v>116</v>
      </c>
      <c r="E23" s="10" t="s">
        <v>20</v>
      </c>
      <c r="F23" s="23"/>
      <c r="G23" s="11" t="s">
        <v>33</v>
      </c>
      <c r="H23" s="11" t="s">
        <v>32</v>
      </c>
      <c r="I23" s="11" t="s">
        <v>33</v>
      </c>
      <c r="J23" s="11" t="s">
        <v>32</v>
      </c>
      <c r="K23" s="11" t="s">
        <v>33</v>
      </c>
      <c r="L23" s="11" t="s">
        <v>32</v>
      </c>
      <c r="M23" s="23"/>
      <c r="N23" s="11" t="s">
        <v>33</v>
      </c>
      <c r="O23" s="11" t="s">
        <v>33</v>
      </c>
      <c r="P23" s="11" t="s">
        <v>32</v>
      </c>
      <c r="Q23" s="11" t="s">
        <v>33</v>
      </c>
      <c r="R23" s="11" t="s">
        <v>33</v>
      </c>
      <c r="S23" s="11" t="s">
        <v>33</v>
      </c>
      <c r="T23" s="23"/>
      <c r="U23" s="11" t="s">
        <v>32</v>
      </c>
      <c r="V23" s="26"/>
      <c r="W23" s="11" t="s">
        <v>33</v>
      </c>
      <c r="X23" s="11" t="s">
        <v>33</v>
      </c>
      <c r="Y23" s="11" t="s">
        <v>33</v>
      </c>
      <c r="Z23" s="11" t="s">
        <v>32</v>
      </c>
      <c r="AA23" s="23"/>
      <c r="AB23" s="11" t="s">
        <v>33</v>
      </c>
      <c r="AC23" s="11" t="s">
        <v>33</v>
      </c>
      <c r="AD23" s="11" t="s">
        <v>33</v>
      </c>
      <c r="AE23" s="11" t="s">
        <v>33</v>
      </c>
      <c r="AF23" s="11" t="s">
        <v>33</v>
      </c>
      <c r="AG23" s="11" t="s">
        <v>33</v>
      </c>
      <c r="AH23" s="23"/>
      <c r="AI23" s="11" t="s">
        <v>33</v>
      </c>
      <c r="AJ23" s="5">
        <f t="shared" si="1"/>
        <v>18</v>
      </c>
      <c r="AK23" s="5">
        <f t="shared" si="2"/>
        <v>6</v>
      </c>
    </row>
    <row r="24" spans="1:41" x14ac:dyDescent="0.25">
      <c r="A24" s="12">
        <v>20</v>
      </c>
      <c r="B24" s="14"/>
      <c r="C24" s="15" t="s">
        <v>36</v>
      </c>
      <c r="D24" s="16" t="s">
        <v>39</v>
      </c>
      <c r="E24" s="10" t="s">
        <v>20</v>
      </c>
      <c r="F24" s="23"/>
      <c r="G24" s="11" t="s">
        <v>33</v>
      </c>
      <c r="H24" s="11" t="s">
        <v>33</v>
      </c>
      <c r="I24" s="11" t="s">
        <v>33</v>
      </c>
      <c r="J24" s="11" t="s">
        <v>33</v>
      </c>
      <c r="K24" s="11" t="s">
        <v>33</v>
      </c>
      <c r="L24" s="11" t="s">
        <v>33</v>
      </c>
      <c r="M24" s="23"/>
      <c r="N24" s="11" t="s">
        <v>33</v>
      </c>
      <c r="O24" s="11" t="s">
        <v>33</v>
      </c>
      <c r="P24" s="11" t="s">
        <v>33</v>
      </c>
      <c r="Q24" s="11" t="s">
        <v>33</v>
      </c>
      <c r="R24" s="11" t="s">
        <v>33</v>
      </c>
      <c r="S24" s="11" t="s">
        <v>33</v>
      </c>
      <c r="T24" s="23"/>
      <c r="U24" s="11" t="s">
        <v>33</v>
      </c>
      <c r="V24" s="26"/>
      <c r="W24" s="11" t="s">
        <v>33</v>
      </c>
      <c r="X24" s="11" t="s">
        <v>33</v>
      </c>
      <c r="Y24" s="11" t="s">
        <v>33</v>
      </c>
      <c r="Z24" s="11" t="s">
        <v>33</v>
      </c>
      <c r="AA24" s="23"/>
      <c r="AB24" s="11" t="s">
        <v>33</v>
      </c>
      <c r="AC24" s="11" t="s">
        <v>33</v>
      </c>
      <c r="AD24" s="11" t="s">
        <v>33</v>
      </c>
      <c r="AE24" s="11" t="s">
        <v>33</v>
      </c>
      <c r="AF24" s="11" t="s">
        <v>32</v>
      </c>
      <c r="AG24" s="11" t="s">
        <v>32</v>
      </c>
      <c r="AH24" s="23"/>
      <c r="AI24" s="11" t="s">
        <v>33</v>
      </c>
      <c r="AJ24" s="5">
        <f t="shared" si="1"/>
        <v>22</v>
      </c>
      <c r="AK24" s="5">
        <f t="shared" si="2"/>
        <v>2</v>
      </c>
    </row>
    <row r="25" spans="1:41" x14ac:dyDescent="0.25">
      <c r="A25" s="6">
        <v>21</v>
      </c>
      <c r="B25" s="14"/>
      <c r="C25" s="15" t="s">
        <v>117</v>
      </c>
      <c r="D25" s="16" t="s">
        <v>39</v>
      </c>
      <c r="E25" s="10" t="s">
        <v>20</v>
      </c>
      <c r="F25" s="23"/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32</v>
      </c>
      <c r="L25" s="11" t="s">
        <v>33</v>
      </c>
      <c r="M25" s="23"/>
      <c r="N25" s="11" t="s">
        <v>33</v>
      </c>
      <c r="O25" s="11" t="s">
        <v>33</v>
      </c>
      <c r="P25" s="11" t="s">
        <v>33</v>
      </c>
      <c r="Q25" s="11" t="s">
        <v>33</v>
      </c>
      <c r="R25" s="11" t="s">
        <v>33</v>
      </c>
      <c r="S25" s="11" t="s">
        <v>33</v>
      </c>
      <c r="T25" s="23"/>
      <c r="U25" s="11" t="s">
        <v>33</v>
      </c>
      <c r="V25" s="26"/>
      <c r="W25" s="11" t="s">
        <v>33</v>
      </c>
      <c r="X25" s="11" t="s">
        <v>33</v>
      </c>
      <c r="Y25" s="11" t="s">
        <v>33</v>
      </c>
      <c r="Z25" s="11" t="s">
        <v>33</v>
      </c>
      <c r="AA25" s="23"/>
      <c r="AB25" s="11" t="s">
        <v>33</v>
      </c>
      <c r="AC25" s="11" t="s">
        <v>33</v>
      </c>
      <c r="AD25" s="11" t="s">
        <v>33</v>
      </c>
      <c r="AE25" s="11" t="s">
        <v>33</v>
      </c>
      <c r="AF25" s="11" t="s">
        <v>32</v>
      </c>
      <c r="AG25" s="11" t="s">
        <v>32</v>
      </c>
      <c r="AH25" s="23"/>
      <c r="AI25" s="11" t="s">
        <v>33</v>
      </c>
      <c r="AJ25" s="5">
        <f t="shared" si="1"/>
        <v>21</v>
      </c>
      <c r="AK25" s="5">
        <f t="shared" si="2"/>
        <v>3</v>
      </c>
    </row>
    <row r="26" spans="1:41" x14ac:dyDescent="0.25">
      <c r="A26" s="12">
        <v>22</v>
      </c>
      <c r="B26" s="14">
        <v>572</v>
      </c>
      <c r="C26" s="15" t="s">
        <v>118</v>
      </c>
      <c r="D26" s="16" t="s">
        <v>28</v>
      </c>
      <c r="E26" s="10" t="s">
        <v>20</v>
      </c>
      <c r="F26" s="23"/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32</v>
      </c>
      <c r="L26" s="11" t="s">
        <v>33</v>
      </c>
      <c r="M26" s="23"/>
      <c r="N26" s="11" t="s">
        <v>33</v>
      </c>
      <c r="O26" s="11" t="s">
        <v>33</v>
      </c>
      <c r="P26" s="11" t="s">
        <v>33</v>
      </c>
      <c r="Q26" s="11" t="s">
        <v>33</v>
      </c>
      <c r="R26" s="11" t="s">
        <v>33</v>
      </c>
      <c r="S26" s="11" t="s">
        <v>33</v>
      </c>
      <c r="T26" s="23"/>
      <c r="U26" s="11" t="s">
        <v>32</v>
      </c>
      <c r="V26" s="26"/>
      <c r="W26" s="11" t="s">
        <v>33</v>
      </c>
      <c r="X26" s="11" t="s">
        <v>33</v>
      </c>
      <c r="Y26" s="11" t="s">
        <v>33</v>
      </c>
      <c r="Z26" s="11" t="s">
        <v>33</v>
      </c>
      <c r="AA26" s="23"/>
      <c r="AB26" s="11" t="s">
        <v>33</v>
      </c>
      <c r="AC26" s="11" t="s">
        <v>33</v>
      </c>
      <c r="AD26" s="11" t="s">
        <v>33</v>
      </c>
      <c r="AE26" s="11" t="s">
        <v>32</v>
      </c>
      <c r="AF26" s="11" t="s">
        <v>32</v>
      </c>
      <c r="AG26" s="11" t="s">
        <v>33</v>
      </c>
      <c r="AH26" s="23"/>
      <c r="AI26" s="11" t="s">
        <v>33</v>
      </c>
      <c r="AJ26" s="5">
        <f t="shared" si="1"/>
        <v>20</v>
      </c>
      <c r="AK26" s="5">
        <f t="shared" si="2"/>
        <v>4</v>
      </c>
    </row>
    <row r="27" spans="1:41" x14ac:dyDescent="0.25">
      <c r="A27" s="6">
        <v>23</v>
      </c>
      <c r="B27" s="14">
        <v>649</v>
      </c>
      <c r="C27" s="15" t="s">
        <v>119</v>
      </c>
      <c r="D27" s="16" t="s">
        <v>120</v>
      </c>
      <c r="E27" s="10" t="s">
        <v>20</v>
      </c>
      <c r="F27" s="23"/>
      <c r="G27" s="11" t="s">
        <v>33</v>
      </c>
      <c r="H27" s="11" t="s">
        <v>33</v>
      </c>
      <c r="I27" s="11" t="s">
        <v>33</v>
      </c>
      <c r="J27" s="11" t="s">
        <v>33</v>
      </c>
      <c r="K27" s="11" t="s">
        <v>32</v>
      </c>
      <c r="L27" s="11" t="s">
        <v>33</v>
      </c>
      <c r="M27" s="23"/>
      <c r="N27" s="11" t="s">
        <v>32</v>
      </c>
      <c r="O27" s="11" t="s">
        <v>33</v>
      </c>
      <c r="P27" s="11" t="s">
        <v>33</v>
      </c>
      <c r="Q27" s="11" t="s">
        <v>33</v>
      </c>
      <c r="R27" s="11" t="s">
        <v>33</v>
      </c>
      <c r="S27" s="11" t="s">
        <v>33</v>
      </c>
      <c r="T27" s="23"/>
      <c r="U27" s="11" t="s">
        <v>32</v>
      </c>
      <c r="V27" s="26"/>
      <c r="W27" s="11" t="s">
        <v>33</v>
      </c>
      <c r="X27" s="11" t="s">
        <v>33</v>
      </c>
      <c r="Y27" s="11" t="s">
        <v>33</v>
      </c>
      <c r="Z27" s="11" t="s">
        <v>33</v>
      </c>
      <c r="AA27" s="23"/>
      <c r="AB27" s="11" t="s">
        <v>33</v>
      </c>
      <c r="AC27" s="11" t="s">
        <v>33</v>
      </c>
      <c r="AD27" s="11" t="s">
        <v>33</v>
      </c>
      <c r="AE27" s="11" t="s">
        <v>33</v>
      </c>
      <c r="AF27" s="11" t="s">
        <v>33</v>
      </c>
      <c r="AG27" s="11" t="s">
        <v>33</v>
      </c>
      <c r="AH27" s="23"/>
      <c r="AI27" s="11" t="s">
        <v>33</v>
      </c>
      <c r="AJ27" s="5">
        <f t="shared" si="1"/>
        <v>21</v>
      </c>
      <c r="AK27" s="5">
        <f t="shared" si="2"/>
        <v>3</v>
      </c>
    </row>
    <row r="28" spans="1:41" x14ac:dyDescent="0.25">
      <c r="A28" s="12">
        <v>24</v>
      </c>
      <c r="B28" s="14"/>
      <c r="C28" s="15" t="s">
        <v>123</v>
      </c>
      <c r="D28" s="16" t="s">
        <v>124</v>
      </c>
      <c r="E28" s="10" t="s">
        <v>20</v>
      </c>
      <c r="F28" s="23"/>
      <c r="G28" s="11"/>
      <c r="H28" s="11"/>
      <c r="I28" s="11"/>
      <c r="J28" s="11"/>
      <c r="K28" s="11"/>
      <c r="L28" s="11"/>
      <c r="M28" s="23"/>
      <c r="N28" s="11"/>
      <c r="O28" s="11"/>
      <c r="P28" s="11"/>
      <c r="Q28" s="11"/>
      <c r="R28" s="11"/>
      <c r="S28" s="11"/>
      <c r="T28" s="23"/>
      <c r="U28" s="11" t="s">
        <v>33</v>
      </c>
      <c r="V28" s="26"/>
      <c r="W28" s="11" t="s">
        <v>32</v>
      </c>
      <c r="X28" s="11" t="s">
        <v>32</v>
      </c>
      <c r="Y28" s="11" t="s">
        <v>32</v>
      </c>
      <c r="Z28" s="11" t="s">
        <v>32</v>
      </c>
      <c r="AA28" s="23"/>
      <c r="AB28" s="11" t="s">
        <v>33</v>
      </c>
      <c r="AC28" s="11" t="s">
        <v>33</v>
      </c>
      <c r="AD28" s="11" t="s">
        <v>33</v>
      </c>
      <c r="AE28" s="11" t="s">
        <v>33</v>
      </c>
      <c r="AF28" s="11" t="s">
        <v>33</v>
      </c>
      <c r="AG28" s="11" t="s">
        <v>32</v>
      </c>
      <c r="AH28" s="23"/>
      <c r="AI28" s="11" t="s">
        <v>33</v>
      </c>
      <c r="AJ28" s="5">
        <f t="shared" si="1"/>
        <v>7</v>
      </c>
      <c r="AK28" s="5">
        <f t="shared" si="2"/>
        <v>5</v>
      </c>
    </row>
    <row r="29" spans="1:41" x14ac:dyDescent="0.25">
      <c r="A29" s="6">
        <v>25</v>
      </c>
      <c r="B29" s="14"/>
      <c r="C29" s="15" t="s">
        <v>125</v>
      </c>
      <c r="D29" s="16" t="s">
        <v>126</v>
      </c>
      <c r="E29" s="10" t="s">
        <v>20</v>
      </c>
      <c r="F29" s="23"/>
      <c r="G29" s="11"/>
      <c r="H29" s="11"/>
      <c r="I29" s="11"/>
      <c r="J29" s="11"/>
      <c r="K29" s="11"/>
      <c r="L29" s="11"/>
      <c r="M29" s="23"/>
      <c r="N29" s="11"/>
      <c r="O29" s="11"/>
      <c r="P29" s="11"/>
      <c r="Q29" s="11"/>
      <c r="R29" s="11"/>
      <c r="S29" s="11"/>
      <c r="T29" s="23"/>
      <c r="U29" s="11"/>
      <c r="V29" s="26"/>
      <c r="W29" s="11"/>
      <c r="X29" s="11"/>
      <c r="Y29" s="11"/>
      <c r="Z29" s="11"/>
      <c r="AA29" s="23"/>
      <c r="AB29" s="11"/>
      <c r="AC29" s="11"/>
      <c r="AD29" s="11" t="s">
        <v>33</v>
      </c>
      <c r="AE29" s="11" t="s">
        <v>33</v>
      </c>
      <c r="AF29" s="11" t="s">
        <v>33</v>
      </c>
      <c r="AG29" s="11" t="s">
        <v>32</v>
      </c>
      <c r="AH29" s="23"/>
      <c r="AI29" s="11" t="s">
        <v>33</v>
      </c>
      <c r="AJ29" s="5">
        <f t="shared" si="1"/>
        <v>4</v>
      </c>
      <c r="AK29" s="5">
        <f t="shared" si="2"/>
        <v>1</v>
      </c>
    </row>
    <row r="30" spans="1:41" x14ac:dyDescent="0.25">
      <c r="A30" s="12">
        <v>26</v>
      </c>
      <c r="B30" s="14"/>
      <c r="C30" s="15" t="s">
        <v>127</v>
      </c>
      <c r="D30" s="16" t="s">
        <v>128</v>
      </c>
      <c r="E30" s="10" t="s">
        <v>20</v>
      </c>
      <c r="F30" s="24"/>
      <c r="G30" s="11"/>
      <c r="H30" s="11"/>
      <c r="I30" s="11"/>
      <c r="J30" s="11"/>
      <c r="K30" s="11"/>
      <c r="L30" s="11"/>
      <c r="M30" s="24"/>
      <c r="N30" s="11"/>
      <c r="O30" s="11"/>
      <c r="P30" s="11"/>
      <c r="Q30" s="11"/>
      <c r="R30" s="11"/>
      <c r="S30" s="11"/>
      <c r="T30" s="24"/>
      <c r="U30" s="11"/>
      <c r="V30" s="27"/>
      <c r="W30" s="11"/>
      <c r="X30" s="11"/>
      <c r="Y30" s="11"/>
      <c r="Z30" s="11"/>
      <c r="AA30" s="24"/>
      <c r="AB30" s="11"/>
      <c r="AC30" s="11"/>
      <c r="AD30" s="11"/>
      <c r="AE30" s="11" t="s">
        <v>33</v>
      </c>
      <c r="AF30" s="11" t="s">
        <v>33</v>
      </c>
      <c r="AG30" s="11" t="s">
        <v>33</v>
      </c>
      <c r="AH30" s="24"/>
      <c r="AI30" s="11" t="s">
        <v>33</v>
      </c>
      <c r="AJ30" s="5">
        <f t="shared" si="1"/>
        <v>4</v>
      </c>
      <c r="AK30" s="5">
        <f t="shared" si="2"/>
        <v>0</v>
      </c>
    </row>
  </sheetData>
  <mergeCells count="18">
    <mergeCell ref="AJ3:AJ4"/>
    <mergeCell ref="AK3:AK4"/>
    <mergeCell ref="AL3:AM3"/>
    <mergeCell ref="A3:A4"/>
    <mergeCell ref="B3:B4"/>
    <mergeCell ref="C3:C4"/>
    <mergeCell ref="D3:D4"/>
    <mergeCell ref="E3:E4"/>
    <mergeCell ref="A2:AI2"/>
    <mergeCell ref="A1:AI1"/>
    <mergeCell ref="V5:V30"/>
    <mergeCell ref="AL8:AO8"/>
    <mergeCell ref="AL16:AO16"/>
    <mergeCell ref="F5:F30"/>
    <mergeCell ref="M5:M30"/>
    <mergeCell ref="T5:T30"/>
    <mergeCell ref="AA5:AA30"/>
    <mergeCell ref="AH5:AH30"/>
  </mergeCells>
  <conditionalFormatting sqref="B5:B30">
    <cfRule type="duplicateValues" dxfId="12" priority="25"/>
  </conditionalFormatting>
  <conditionalFormatting sqref="F5:M5 T5 V5 AA5 AH5 N5:S30 U5:U30 W5:Z30 AB5:AG30 AI5:AI30 G6:L30 F4:AI4">
    <cfRule type="expression" dxfId="11" priority="15">
      <formula>IF(F$4=TODAY(),TRUE,FALSE)</formula>
    </cfRule>
  </conditionalFormatting>
  <conditionalFormatting sqref="F5:M5 T5 V5 AA5 AH5 N5:S30 U5:U30 W5:Z30 AB5:AG30 AI5:AI30 G6:L30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F3:AI4 F5:M5 T5 V5 AA5 AH5 N5:S30 U5:U30 W5:Z30 AB5:AG30 AI5:AI30 G6:L30">
    <cfRule type="expression" dxfId="7" priority="16">
      <formula>F$3="Sun"</formula>
    </cfRule>
  </conditionalFormatting>
  <conditionalFormatting sqref="AJ3:AK3 AJ5:AK30">
    <cfRule type="expression" dxfId="6" priority="17">
      <formula>#REF!="Sun"</formula>
    </cfRule>
  </conditionalFormatting>
  <conditionalFormatting sqref="AL5:AL6">
    <cfRule type="expression" dxfId="5" priority="5">
      <formula>#REF!="Sun"</formula>
    </cfRule>
  </conditionalFormatting>
  <conditionalFormatting sqref="AL9:AL12">
    <cfRule type="expression" dxfId="4" priority="3">
      <formula>#REF!="Sun"</formula>
    </cfRule>
  </conditionalFormatting>
  <conditionalFormatting sqref="AL17:AL20">
    <cfRule type="expression" dxfId="3" priority="2">
      <formula>#REF!="Sun"</formula>
    </cfRule>
  </conditionalFormatting>
  <conditionalFormatting sqref="AL4:AM4">
    <cfRule type="expression" dxfId="2" priority="6">
      <formula>#REF!="Sun"</formula>
    </cfRule>
  </conditionalFormatting>
  <conditionalFormatting sqref="AM9:AO9">
    <cfRule type="expression" dxfId="1" priority="4">
      <formula>#REF!="Sun"</formula>
    </cfRule>
  </conditionalFormatting>
  <conditionalFormatting sqref="AM17:AO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2024-09-30T06:30:07Z</dcterms:modified>
</cp:coreProperties>
</file>