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E:\Government-High-School\Jonail Jail\Student Attendance\"/>
    </mc:Choice>
  </mc:AlternateContent>
  <xr:revisionPtr revIDLastSave="0" documentId="13_ncr:1_{4902EF74-9851-4F8E-B50A-44C45E1B54E3}" xr6:coauthVersionLast="47" xr6:coauthVersionMax="47" xr10:uidLastSave="{00000000-0000-0000-0000-000000000000}"/>
  <bookViews>
    <workbookView xWindow="30" yWindow="30" windowWidth="20460" windowHeight="10890" activeTab="1" xr2:uid="{00000000-000D-0000-FFFF-FFFF00000000}"/>
  </bookViews>
  <sheets>
    <sheet name="Compile Sheet-November-2024" sheetId="18" r:id="rId1"/>
    <sheet name="KG" sheetId="21" r:id="rId2"/>
    <sheet name="Sheet1" sheetId="32" r:id="rId3"/>
    <sheet name="Class-1" sheetId="27" r:id="rId4"/>
    <sheet name="Class-2" sheetId="28" r:id="rId5"/>
    <sheet name="Class-3" sheetId="29" r:id="rId6"/>
    <sheet name="Class-4" sheetId="30" r:id="rId7"/>
    <sheet name="Class-5" sheetId="3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41" i="21" l="1"/>
  <c r="AK41" i="21"/>
  <c r="AJ42" i="21"/>
  <c r="AK42" i="21"/>
  <c r="AN13" i="31"/>
  <c r="AM13" i="31"/>
  <c r="AK13" i="31"/>
  <c r="AJ13" i="31"/>
  <c r="AK12" i="31"/>
  <c r="AJ12" i="31"/>
  <c r="AK11" i="31"/>
  <c r="AJ11" i="31"/>
  <c r="AK10" i="31"/>
  <c r="AJ10" i="31"/>
  <c r="AK9" i="31"/>
  <c r="AJ9" i="31"/>
  <c r="AK8" i="31"/>
  <c r="AJ8" i="31"/>
  <c r="AK7" i="31"/>
  <c r="AJ7" i="31"/>
  <c r="AK6" i="31"/>
  <c r="AJ6" i="31"/>
  <c r="AK5" i="31"/>
  <c r="AJ5" i="31"/>
  <c r="AM4" i="31"/>
  <c r="AI3" i="31"/>
  <c r="AH3" i="31"/>
  <c r="AG3" i="31"/>
  <c r="AF3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M4" i="30"/>
  <c r="AI3" i="30"/>
  <c r="AH3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AK17" i="29"/>
  <c r="AJ17" i="29"/>
  <c r="AK16" i="29"/>
  <c r="AJ16" i="29"/>
  <c r="AK15" i="29"/>
  <c r="AJ15" i="29"/>
  <c r="AN14" i="29"/>
  <c r="AN15" i="29" s="1"/>
  <c r="AM14" i="29"/>
  <c r="AK14" i="29"/>
  <c r="AJ14" i="29"/>
  <c r="AO13" i="29"/>
  <c r="AN13" i="29"/>
  <c r="AM13" i="29"/>
  <c r="AK13" i="29"/>
  <c r="AJ13" i="29"/>
  <c r="AK12" i="29"/>
  <c r="AJ12" i="29"/>
  <c r="AK11" i="29"/>
  <c r="AJ11" i="29"/>
  <c r="AK10" i="29"/>
  <c r="AJ10" i="29"/>
  <c r="AK9" i="29"/>
  <c r="AJ9" i="29"/>
  <c r="AK8" i="29"/>
  <c r="AJ8" i="29"/>
  <c r="AK7" i="29"/>
  <c r="AJ7" i="29"/>
  <c r="AK6" i="29"/>
  <c r="AJ6" i="29"/>
  <c r="AK5" i="29"/>
  <c r="AJ5" i="29"/>
  <c r="AM4" i="29"/>
  <c r="AI3" i="29"/>
  <c r="AH3" i="29"/>
  <c r="AG3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AK18" i="28"/>
  <c r="AJ18" i="28"/>
  <c r="AK17" i="28"/>
  <c r="AJ17" i="28"/>
  <c r="AK16" i="28"/>
  <c r="AJ16" i="28"/>
  <c r="AK15" i="28"/>
  <c r="AJ15" i="28"/>
  <c r="AN14" i="28"/>
  <c r="AN15" i="28" s="1"/>
  <c r="AM14" i="28"/>
  <c r="AK14" i="28"/>
  <c r="AJ14" i="28"/>
  <c r="AN13" i="28"/>
  <c r="AM13" i="28"/>
  <c r="AO13" i="28" s="1"/>
  <c r="AK13" i="28"/>
  <c r="AJ13" i="28"/>
  <c r="AK12" i="28"/>
  <c r="AJ12" i="28"/>
  <c r="AK11" i="28"/>
  <c r="AJ11" i="28"/>
  <c r="AK10" i="28"/>
  <c r="AJ10" i="28"/>
  <c r="AK9" i="28"/>
  <c r="AJ9" i="28"/>
  <c r="AK8" i="28"/>
  <c r="AJ8" i="28"/>
  <c r="AK7" i="28"/>
  <c r="AJ7" i="28"/>
  <c r="AK6" i="28"/>
  <c r="AJ6" i="28"/>
  <c r="AK5" i="28"/>
  <c r="AJ5" i="28"/>
  <c r="AM4" i="28"/>
  <c r="AI3" i="28"/>
  <c r="AH3" i="28"/>
  <c r="AG3" i="28"/>
  <c r="AF3" i="28"/>
  <c r="AE3" i="28"/>
  <c r="AD3" i="28"/>
  <c r="AC3" i="28"/>
  <c r="AB3" i="28"/>
  <c r="AA3" i="28"/>
  <c r="Z3" i="28"/>
  <c r="Y3" i="28"/>
  <c r="X3" i="28"/>
  <c r="W3" i="28"/>
  <c r="V3" i="28"/>
  <c r="U3" i="28"/>
  <c r="T3" i="28"/>
  <c r="S3" i="28"/>
  <c r="R3" i="28"/>
  <c r="Q3" i="28"/>
  <c r="P3" i="28"/>
  <c r="O3" i="28"/>
  <c r="N3" i="28"/>
  <c r="M3" i="28"/>
  <c r="L3" i="28"/>
  <c r="K3" i="28"/>
  <c r="J3" i="28"/>
  <c r="I3" i="28"/>
  <c r="H3" i="28"/>
  <c r="G3" i="28"/>
  <c r="F3" i="28"/>
  <c r="AK35" i="27"/>
  <c r="AJ35" i="27"/>
  <c r="AK34" i="27"/>
  <c r="AJ34" i="27"/>
  <c r="AK33" i="27"/>
  <c r="AJ33" i="27"/>
  <c r="AK32" i="27"/>
  <c r="AJ32" i="27"/>
  <c r="AK31" i="27"/>
  <c r="AJ31" i="27"/>
  <c r="AK30" i="27"/>
  <c r="AJ30" i="27"/>
  <c r="AK29" i="27"/>
  <c r="AJ29" i="27"/>
  <c r="AK28" i="27"/>
  <c r="AJ28" i="27"/>
  <c r="AK27" i="27"/>
  <c r="AJ27" i="27"/>
  <c r="AK26" i="27"/>
  <c r="AJ26" i="27"/>
  <c r="AK25" i="27"/>
  <c r="AJ25" i="27"/>
  <c r="AK24" i="27"/>
  <c r="AJ24" i="27"/>
  <c r="AK23" i="27"/>
  <c r="AJ23" i="27"/>
  <c r="AK22" i="27"/>
  <c r="AJ22" i="27"/>
  <c r="AN21" i="27"/>
  <c r="AM21" i="27"/>
  <c r="AO21" i="27" s="1"/>
  <c r="AK21" i="27"/>
  <c r="AJ21" i="27"/>
  <c r="AK20" i="27"/>
  <c r="AJ20" i="27"/>
  <c r="AK19" i="27"/>
  <c r="AJ19" i="27"/>
  <c r="AK18" i="27"/>
  <c r="AJ18" i="27"/>
  <c r="AK17" i="27"/>
  <c r="AJ17" i="27"/>
  <c r="AK16" i="27"/>
  <c r="AJ16" i="27"/>
  <c r="AK15" i="27"/>
  <c r="AJ15" i="27"/>
  <c r="AN14" i="27"/>
  <c r="AM14" i="27"/>
  <c r="AK14" i="27"/>
  <c r="AJ14" i="27"/>
  <c r="AN13" i="27"/>
  <c r="AM13" i="27"/>
  <c r="AO13" i="27" s="1"/>
  <c r="AK13" i="27"/>
  <c r="AJ13" i="27"/>
  <c r="AK12" i="27"/>
  <c r="AJ12" i="27"/>
  <c r="AK11" i="27"/>
  <c r="AJ11" i="27"/>
  <c r="AK10" i="27"/>
  <c r="AJ10" i="27"/>
  <c r="AK9" i="27"/>
  <c r="AJ9" i="27"/>
  <c r="AK8" i="27"/>
  <c r="AJ8" i="27"/>
  <c r="AK7" i="27"/>
  <c r="AJ7" i="27"/>
  <c r="AK6" i="27"/>
  <c r="AJ6" i="27"/>
  <c r="AK5" i="27"/>
  <c r="AJ5" i="27"/>
  <c r="AM4" i="27"/>
  <c r="AI3" i="27"/>
  <c r="AH3" i="27"/>
  <c r="AG3" i="27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G3" i="21"/>
  <c r="H3" i="21"/>
  <c r="I3" i="21"/>
  <c r="J3" i="21"/>
  <c r="K3" i="21"/>
  <c r="L3" i="21"/>
  <c r="M3" i="21"/>
  <c r="N3" i="21"/>
  <c r="O3" i="21"/>
  <c r="P3" i="21"/>
  <c r="Q3" i="21"/>
  <c r="R3" i="21"/>
  <c r="S3" i="21"/>
  <c r="T3" i="21"/>
  <c r="U3" i="21"/>
  <c r="V3" i="21"/>
  <c r="W3" i="21"/>
  <c r="X3" i="21"/>
  <c r="Y3" i="21"/>
  <c r="Z3" i="21"/>
  <c r="AA3" i="21"/>
  <c r="AB3" i="21"/>
  <c r="AC3" i="21"/>
  <c r="AD3" i="21"/>
  <c r="AE3" i="21"/>
  <c r="AF3" i="21"/>
  <c r="AG3" i="21"/>
  <c r="AH3" i="21"/>
  <c r="AI3" i="21"/>
  <c r="F3" i="21"/>
  <c r="AO13" i="31" l="1"/>
  <c r="AO14" i="27"/>
  <c r="AO15" i="27" s="1"/>
  <c r="AO14" i="29"/>
  <c r="AO15" i="29" s="1"/>
  <c r="AM15" i="29"/>
  <c r="AO14" i="28"/>
  <c r="AO15" i="28" s="1"/>
  <c r="AM15" i="28"/>
  <c r="AN15" i="27"/>
  <c r="AN22" i="27"/>
  <c r="AN23" i="27" s="1"/>
  <c r="AM15" i="27"/>
  <c r="AM22" i="27"/>
  <c r="AM23" i="27" l="1"/>
  <c r="AO22" i="27"/>
  <c r="AO23" i="27" s="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K10" i="21"/>
  <c r="AJ10" i="21"/>
  <c r="AK9" i="21"/>
  <c r="AJ9" i="21"/>
  <c r="AK8" i="21"/>
  <c r="AJ8" i="21"/>
  <c r="AK7" i="21"/>
  <c r="AJ7" i="21"/>
  <c r="AK6" i="21"/>
  <c r="AJ6" i="21"/>
  <c r="AK5" i="21"/>
  <c r="AJ5" i="21"/>
  <c r="AN21" i="21" l="1"/>
  <c r="AM21" i="21"/>
  <c r="AO21" i="21" s="1"/>
  <c r="AN14" i="21"/>
  <c r="AN15" i="21" s="1"/>
  <c r="AM14" i="21"/>
  <c r="AM22" i="21" s="1"/>
  <c r="AN13" i="21"/>
  <c r="AM13" i="21"/>
  <c r="AO13" i="21" s="1"/>
  <c r="AM4" i="21"/>
  <c r="E12" i="18"/>
  <c r="C12" i="18"/>
  <c r="B12" i="18"/>
  <c r="G11" i="18"/>
  <c r="F11" i="18"/>
  <c r="D11" i="18"/>
  <c r="G10" i="18"/>
  <c r="F10" i="18"/>
  <c r="D10" i="18"/>
  <c r="G9" i="18"/>
  <c r="F9" i="18"/>
  <c r="D9" i="18"/>
  <c r="G8" i="18"/>
  <c r="F8" i="18"/>
  <c r="D8" i="18"/>
  <c r="G7" i="18"/>
  <c r="F7" i="18"/>
  <c r="D7" i="18"/>
  <c r="G6" i="18"/>
  <c r="F6" i="18"/>
  <c r="D6" i="18"/>
  <c r="AO14" i="21" l="1"/>
  <c r="AO15" i="21" s="1"/>
  <c r="AN22" i="21"/>
  <c r="AN23" i="21" s="1"/>
  <c r="AM23" i="21"/>
  <c r="AM15" i="21"/>
  <c r="H11" i="18"/>
  <c r="H9" i="18"/>
  <c r="F12" i="18"/>
  <c r="H10" i="18"/>
  <c r="G12" i="18"/>
  <c r="H7" i="18"/>
  <c r="H6" i="18"/>
  <c r="D12" i="18"/>
  <c r="H8" i="18"/>
  <c r="AO22" i="21" l="1"/>
  <c r="AO23" i="21" s="1"/>
  <c r="H12" i="18"/>
  <c r="J11" i="18" l="1"/>
  <c r="L11" i="18" s="1"/>
  <c r="I11" i="18"/>
  <c r="M11" i="18" l="1"/>
  <c r="O11" i="18" s="1"/>
  <c r="K11" i="18"/>
  <c r="N11" i="18" s="1"/>
  <c r="I10" i="18" l="1"/>
  <c r="M10" i="18" s="1"/>
  <c r="J10" i="18"/>
  <c r="K10" i="18" l="1"/>
  <c r="N10" i="18" s="1"/>
  <c r="L10" i="18"/>
  <c r="O10" i="18" s="1"/>
  <c r="J9" i="18" l="1"/>
  <c r="L9" i="18" s="1"/>
  <c r="I9" i="18"/>
  <c r="K9" i="18" l="1"/>
  <c r="N9" i="18" s="1"/>
  <c r="M9" i="18"/>
  <c r="O9" i="18" s="1"/>
  <c r="J8" i="18"/>
  <c r="L8" i="18" s="1"/>
  <c r="I8" i="18" l="1"/>
  <c r="K8" i="18" l="1"/>
  <c r="N8" i="18" s="1"/>
  <c r="M8" i="18"/>
  <c r="O8" i="18" s="1"/>
  <c r="J7" i="18" l="1"/>
  <c r="L7" i="18" s="1"/>
  <c r="I7" i="18"/>
  <c r="M7" i="18" l="1"/>
  <c r="O7" i="18" s="1"/>
  <c r="K7" i="18"/>
  <c r="N7" i="18" s="1"/>
  <c r="I6" i="18" l="1"/>
  <c r="K6" i="18" l="1"/>
  <c r="I12" i="18"/>
  <c r="M6" i="18"/>
  <c r="J6" i="18"/>
  <c r="J12" i="18" l="1"/>
  <c r="L6" i="18"/>
  <c r="O6" i="18" s="1"/>
  <c r="O12" i="18" s="1"/>
  <c r="I13" i="18"/>
  <c r="M12" i="18"/>
  <c r="N6" i="18"/>
  <c r="N12" i="18" s="1"/>
  <c r="K12" i="18"/>
  <c r="K13" i="18" s="1"/>
  <c r="J13" i="18" l="1"/>
  <c r="L12" i="18"/>
  <c r="O13" i="18" s="1"/>
</calcChain>
</file>

<file path=xl/sharedStrings.xml><?xml version="1.0" encoding="utf-8"?>
<sst xmlns="http://schemas.openxmlformats.org/spreadsheetml/2006/main" count="3513" uniqueCount="213">
  <si>
    <t>S.No</t>
  </si>
  <si>
    <t>Student Name</t>
  </si>
  <si>
    <t>Father Name</t>
  </si>
  <si>
    <t>Class</t>
  </si>
  <si>
    <t>Present</t>
  </si>
  <si>
    <t>Absent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</si>
  <si>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</si>
  <si>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</si>
  <si>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</si>
  <si>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</si>
  <si>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</si>
  <si>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</si>
  <si>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</si>
  <si>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</si>
  <si>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</si>
  <si>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</si>
  <si>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</si>
  <si>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P</t>
  </si>
  <si>
    <t>Abdullah</t>
  </si>
  <si>
    <t>Year 2024</t>
  </si>
  <si>
    <t>Total days</t>
  </si>
  <si>
    <t>PTM</t>
  </si>
  <si>
    <t>Absent Days Details</t>
  </si>
  <si>
    <t>Iqbal Day</t>
  </si>
  <si>
    <t>Dua</t>
  </si>
  <si>
    <t>Two</t>
  </si>
  <si>
    <t>Muhammad Ali</t>
  </si>
  <si>
    <t>Three</t>
  </si>
  <si>
    <t>Bushra</t>
  </si>
  <si>
    <t>Four</t>
  </si>
  <si>
    <t>Five</t>
  </si>
  <si>
    <t>Muskan</t>
  </si>
  <si>
    <t>Sania</t>
  </si>
  <si>
    <t>Faizan Ali</t>
  </si>
  <si>
    <t>Saima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</si>
  <si>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</si>
  <si>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</si>
  <si>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</si>
  <si>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</si>
  <si>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</si>
  <si>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</si>
  <si>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</si>
  <si>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</si>
  <si>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</si>
  <si>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</si>
  <si>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 xml:space="preserve">One </t>
  </si>
  <si>
    <t>Total Enrolment &amp; Attendance November-24</t>
  </si>
  <si>
    <t>Gul Sher</t>
  </si>
  <si>
    <t>Iqra Bibi</t>
  </si>
  <si>
    <t>Bashir Ahmed</t>
  </si>
  <si>
    <t>Salman Ali</t>
  </si>
  <si>
    <t>Muhammad Hussain</t>
  </si>
  <si>
    <t>Hajira</t>
  </si>
  <si>
    <t>Ejaz Ali</t>
  </si>
  <si>
    <t>Sumaiya</t>
  </si>
  <si>
    <t>Nawaz Ali</t>
  </si>
  <si>
    <t>Ali Abbas</t>
  </si>
  <si>
    <t>Benazeer</t>
  </si>
  <si>
    <t>KG</t>
  </si>
  <si>
    <t>Goverment Boys Primary School Juvinile Jail</t>
  </si>
  <si>
    <t>Monthly Attendence Month of November-2024</t>
  </si>
  <si>
    <t>Areeba Bibi</t>
  </si>
  <si>
    <t>Syed Karim</t>
  </si>
  <si>
    <t>Gul Zameen Khan</t>
  </si>
  <si>
    <t>Sonaina</t>
  </si>
  <si>
    <t>Sohail Ali</t>
  </si>
  <si>
    <t>Shabana</t>
  </si>
  <si>
    <t>Nadeem Hussain</t>
  </si>
  <si>
    <t>Rehmat Khatoon</t>
  </si>
  <si>
    <t>Dua Fatima</t>
  </si>
  <si>
    <t>Maqbool Ahmed</t>
  </si>
  <si>
    <t>Zahra Fatima</t>
  </si>
  <si>
    <t>Muhammad Younus</t>
  </si>
  <si>
    <t>Mehboob</t>
  </si>
  <si>
    <t>Ayan</t>
  </si>
  <si>
    <t>Sher Muhammad</t>
  </si>
  <si>
    <t>Anam</t>
  </si>
  <si>
    <t>Mai Haleema</t>
  </si>
  <si>
    <t>Muhammad Nawaz</t>
  </si>
  <si>
    <t>Hizbullah</t>
  </si>
  <si>
    <t>Qanbar Ali</t>
  </si>
  <si>
    <t>Hamza</t>
  </si>
  <si>
    <t>Kubra</t>
  </si>
  <si>
    <t>Rasheed Ali</t>
  </si>
  <si>
    <t>Muntasha Zahra</t>
  </si>
  <si>
    <t>Abdul Jabbar</t>
  </si>
  <si>
    <t>Javed</t>
  </si>
  <si>
    <t>Tahir</t>
  </si>
  <si>
    <t>Muhammad Anas</t>
  </si>
  <si>
    <t>Muhammad Asghar</t>
  </si>
  <si>
    <t>Aazan Hussain</t>
  </si>
  <si>
    <t>Sajjad Hussain</t>
  </si>
  <si>
    <t>Muhmmad Salman</t>
  </si>
  <si>
    <t>Tufail Ahmed</t>
  </si>
  <si>
    <t>Musawir</t>
  </si>
  <si>
    <t>Amjad Ali</t>
  </si>
  <si>
    <t>Uzma</t>
  </si>
  <si>
    <t>Qasir Nawaz</t>
  </si>
  <si>
    <t>Aiza Batool</t>
  </si>
  <si>
    <t>Anwar Ali</t>
  </si>
  <si>
    <t xml:space="preserve">Yasir </t>
  </si>
  <si>
    <t>Habeebullah</t>
  </si>
  <si>
    <t>Saliya</t>
  </si>
  <si>
    <t>Ghulam Qadir</t>
  </si>
  <si>
    <t>Ali Waris</t>
  </si>
  <si>
    <t>Naseebullah</t>
  </si>
  <si>
    <t>Anabia Rehman</t>
  </si>
  <si>
    <t>Mujeeb-ur-Rehman</t>
  </si>
  <si>
    <t>Umme Rubab</t>
  </si>
  <si>
    <t>Gulzar Ahmed</t>
  </si>
  <si>
    <t>Kashif Ali</t>
  </si>
  <si>
    <t>GR</t>
  </si>
  <si>
    <t>Yousuf Ali</t>
  </si>
  <si>
    <t>Maqsood Ali</t>
  </si>
  <si>
    <t>Suneela</t>
  </si>
  <si>
    <t>Abdul Ghafoor</t>
  </si>
  <si>
    <t>Saeed Ahmed</t>
  </si>
  <si>
    <t>Tahira</t>
  </si>
  <si>
    <t>Muhammad Ahmed</t>
  </si>
  <si>
    <t>Kiran Bibi</t>
  </si>
  <si>
    <t>Muhammad Sameer</t>
  </si>
  <si>
    <t>Muhammad Sajid</t>
  </si>
  <si>
    <t>Yasir Ali</t>
  </si>
  <si>
    <t>Sabir Hussain</t>
  </si>
  <si>
    <t>Muhammad Ibraheem</t>
  </si>
  <si>
    <t>Sher Khan</t>
  </si>
  <si>
    <t>Ishaq</t>
  </si>
  <si>
    <t>Zoya</t>
  </si>
  <si>
    <t>Amir Bux</t>
  </si>
  <si>
    <t>Zaheer Ali</t>
  </si>
  <si>
    <t>Zain Ali</t>
  </si>
  <si>
    <t>Zohaib Ali</t>
  </si>
  <si>
    <t>Emanawaile</t>
  </si>
  <si>
    <t>Imran Maseh</t>
  </si>
  <si>
    <t>Iezik</t>
  </si>
  <si>
    <t>Tania</t>
  </si>
  <si>
    <t>Sakina</t>
  </si>
  <si>
    <t>Ghulam Shabbir</t>
  </si>
  <si>
    <t>Hussain Ahmed</t>
  </si>
  <si>
    <t>Suhaila</t>
  </si>
  <si>
    <t>Talib</t>
  </si>
  <si>
    <t>Sassui</t>
  </si>
  <si>
    <t>Sikander</t>
  </si>
  <si>
    <t>Zikra Batool</t>
  </si>
  <si>
    <t>Niaz Muhammad</t>
  </si>
  <si>
    <t>Muntazir</t>
  </si>
  <si>
    <t>Israr Ali</t>
  </si>
  <si>
    <t>Rehmatullah</t>
  </si>
  <si>
    <t>Rehan Ali</t>
  </si>
  <si>
    <t>Imamuddin</t>
  </si>
  <si>
    <t>Ghulam Nabi</t>
  </si>
  <si>
    <t>Riaz</t>
  </si>
  <si>
    <t>Gul Zameen</t>
  </si>
  <si>
    <t>Danyal</t>
  </si>
  <si>
    <t>Junaid</t>
  </si>
  <si>
    <t>Atif Ali</t>
  </si>
  <si>
    <t>Sikandar khan</t>
  </si>
  <si>
    <t>Zamin</t>
  </si>
  <si>
    <t>Sheharyar</t>
  </si>
  <si>
    <t>Subhan Ali</t>
  </si>
  <si>
    <t>Marvi</t>
  </si>
  <si>
    <t>Aleeza Zahid</t>
  </si>
  <si>
    <t>Zahid Hussain</t>
  </si>
  <si>
    <t>Ayat</t>
  </si>
  <si>
    <t>Amjid Ali</t>
  </si>
  <si>
    <t>Tatheer Fatima</t>
  </si>
  <si>
    <t>Aajiz</t>
  </si>
  <si>
    <t>Ayaz Ali</t>
  </si>
  <si>
    <t>Shah Zaib</t>
  </si>
  <si>
    <t>Ameer Bux</t>
  </si>
  <si>
    <t>Noor Fatima</t>
  </si>
  <si>
    <t>Tariq Aziz Lashari</t>
  </si>
  <si>
    <t>Amanat Ali</t>
  </si>
  <si>
    <t>Muhammad Adil</t>
  </si>
  <si>
    <t>Naina Batool</t>
  </si>
  <si>
    <t>Suhana Khan</t>
  </si>
  <si>
    <t>Patang Ali</t>
  </si>
  <si>
    <t>Basit Hussain</t>
  </si>
  <si>
    <t>Muhammad Faraz</t>
  </si>
  <si>
    <t>Abul Ahad</t>
  </si>
  <si>
    <t>Muhammad Bilawal</t>
  </si>
  <si>
    <t>Fayaz</t>
  </si>
  <si>
    <t>Nadir Ali</t>
  </si>
  <si>
    <t>Umair Ali</t>
  </si>
  <si>
    <t>Nena</t>
  </si>
  <si>
    <t>One</t>
  </si>
  <si>
    <t>Shah Zain</t>
  </si>
  <si>
    <t>Manthar Ali</t>
  </si>
  <si>
    <t>Bilawal</t>
  </si>
  <si>
    <t>Moosa Gul</t>
  </si>
  <si>
    <t>Waheed Gul</t>
  </si>
  <si>
    <t>Hasnain Ali</t>
  </si>
  <si>
    <t>Ali Khan</t>
  </si>
  <si>
    <t>Dil Nawaz</t>
  </si>
  <si>
    <t>SUNDAY - SUNDAY</t>
  </si>
  <si>
    <t>SUNDAY</t>
  </si>
  <si>
    <t>SUNDAY - SUNDAY - SUNDAY - SUNDAY</t>
  </si>
  <si>
    <t>Urooj</t>
  </si>
  <si>
    <t>Tahira Bibi</t>
  </si>
  <si>
    <t>Syed Kareem</t>
  </si>
  <si>
    <t>Qehar(Late)</t>
  </si>
  <si>
    <t>Shazia</t>
  </si>
  <si>
    <t>Muhammad Shareef</t>
  </si>
  <si>
    <t>Israr Khan</t>
  </si>
  <si>
    <t>Umar</t>
  </si>
  <si>
    <t>Abdul Samad</t>
  </si>
  <si>
    <t>Sabir</t>
  </si>
  <si>
    <t>Muhafiz Hussain</t>
  </si>
  <si>
    <t>Abdul Wahid Bukhsh</t>
  </si>
  <si>
    <t>Muhammad Shareef Channa</t>
  </si>
  <si>
    <t>Aijaz</t>
  </si>
  <si>
    <t>A</t>
  </si>
  <si>
    <t>IQBAL DAY - IQBAL DAY - IQBAL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</si>
</sst>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,mmm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  <font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6" fillId="0" borderId="0"/>
    <xf numFmtId="0" fontId="17" fillId="0" borderId="0">
      <protection locked="0"/>
    </xf>
  </cellStyleXfs>
  <cellXfs count="106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7" fillId="0" borderId="0" xfId="0" applyFont="1" applyAlignment="1">
      <alignment vertical="center"/>
    </xf>
    <xf numFmtId="0" fontId="7" fillId="0" borderId="1" xfId="0" applyFont="1" applyBorder="1"/>
    <xf numFmtId="0" fontId="11" fillId="0" borderId="3" xfId="0" applyFont="1" applyBorder="1"/>
    <xf numFmtId="0" fontId="12" fillId="0" borderId="3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9" fontId="12" fillId="0" borderId="5" xfId="1" applyFont="1" applyFill="1" applyBorder="1" applyAlignment="1">
      <alignment horizontal="center" vertical="center"/>
    </xf>
    <xf numFmtId="9" fontId="12" fillId="0" borderId="3" xfId="1" applyFont="1" applyFill="1" applyBorder="1" applyAlignment="1">
      <alignment horizontal="center" vertical="center"/>
    </xf>
    <xf numFmtId="9" fontId="12" fillId="0" borderId="4" xfId="1" applyFont="1" applyFill="1" applyBorder="1" applyAlignment="1">
      <alignment horizontal="center" vertical="center"/>
    </xf>
    <xf numFmtId="9" fontId="12" fillId="3" borderId="16" xfId="1" applyFont="1" applyFill="1" applyBorder="1"/>
    <xf numFmtId="9" fontId="12" fillId="0" borderId="19" xfId="1" applyFont="1" applyFill="1" applyBorder="1" applyAlignment="1">
      <alignment horizontal="center" vertical="center"/>
    </xf>
    <xf numFmtId="9" fontId="12" fillId="3" borderId="20" xfId="1" applyFont="1" applyFill="1" applyBorder="1"/>
    <xf numFmtId="0" fontId="13" fillId="0" borderId="15" xfId="0" applyFont="1" applyBorder="1" applyAlignment="1">
      <alignment horizontal="center"/>
    </xf>
    <xf numFmtId="0" fontId="11" fillId="0" borderId="11" xfId="0" applyFont="1" applyBorder="1"/>
    <xf numFmtId="0" fontId="13" fillId="0" borderId="11" xfId="0" applyFont="1" applyBorder="1" applyAlignment="1">
      <alignment horizontal="center"/>
    </xf>
    <xf numFmtId="9" fontId="12" fillId="0" borderId="11" xfId="1" applyFont="1" applyFill="1" applyBorder="1" applyAlignment="1">
      <alignment horizontal="center" vertical="center"/>
    </xf>
    <xf numFmtId="9" fontId="12" fillId="3" borderId="14" xfId="1" applyFont="1" applyFill="1" applyBorder="1"/>
    <xf numFmtId="0" fontId="14" fillId="0" borderId="18" xfId="0" applyFont="1" applyBorder="1" applyAlignment="1">
      <alignment horizontal="center"/>
    </xf>
    <xf numFmtId="9" fontId="14" fillId="0" borderId="19" xfId="1" applyFont="1" applyFill="1" applyBorder="1" applyAlignment="1">
      <alignment horizontal="center"/>
    </xf>
    <xf numFmtId="9" fontId="15" fillId="0" borderId="19" xfId="1" applyFont="1" applyFill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9" fontId="15" fillId="0" borderId="21" xfId="1" applyFont="1" applyFill="1" applyBorder="1" applyAlignment="1">
      <alignment horizontal="center" vertical="center" wrapText="1"/>
    </xf>
    <xf numFmtId="9" fontId="12" fillId="0" borderId="10" xfId="1" applyFont="1" applyFill="1" applyBorder="1" applyAlignment="1">
      <alignment horizontal="center" vertical="center"/>
    </xf>
    <xf numFmtId="9" fontId="3" fillId="0" borderId="23" xfId="1" applyFont="1" applyFill="1" applyBorder="1" applyAlignment="1">
      <alignment horizontal="center" vertical="center"/>
    </xf>
    <xf numFmtId="9" fontId="15" fillId="0" borderId="18" xfId="1" applyFont="1" applyFill="1" applyBorder="1" applyAlignment="1">
      <alignment horizontal="center" vertical="center" wrapText="1"/>
    </xf>
    <xf numFmtId="9" fontId="15" fillId="0" borderId="20" xfId="1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3" fillId="0" borderId="25" xfId="0" applyFont="1" applyBorder="1"/>
    <xf numFmtId="0" fontId="3" fillId="3" borderId="26" xfId="0" applyFont="1" applyFill="1" applyBorder="1"/>
    <xf numFmtId="0" fontId="3" fillId="0" borderId="26" xfId="0" applyFont="1" applyBorder="1"/>
    <xf numFmtId="0" fontId="11" fillId="0" borderId="6" xfId="0" applyFont="1" applyBorder="1"/>
    <xf numFmtId="0" fontId="12" fillId="0" borderId="7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9" fontId="12" fillId="0" borderId="7" xfId="1" applyFont="1" applyFill="1" applyBorder="1" applyAlignment="1">
      <alignment horizontal="center" vertical="center"/>
    </xf>
    <xf numFmtId="9" fontId="12" fillId="0" borderId="6" xfId="1" applyFont="1" applyFill="1" applyBorder="1" applyAlignment="1">
      <alignment horizontal="center" vertical="center"/>
    </xf>
    <xf numFmtId="9" fontId="12" fillId="0" borderId="17" xfId="1" applyFont="1" applyFill="1" applyBorder="1" applyAlignment="1">
      <alignment horizontal="center" vertical="center"/>
    </xf>
    <xf numFmtId="9" fontId="12" fillId="3" borderId="28" xfId="1" applyFont="1" applyFill="1" applyBorder="1"/>
    <xf numFmtId="0" fontId="9" fillId="0" borderId="19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9" fillId="4" borderId="29" xfId="0" applyFont="1" applyFill="1" applyBorder="1" applyAlignment="1">
      <alignment horizontal="center" vertical="center" wrapText="1"/>
    </xf>
    <xf numFmtId="0" fontId="9" fillId="4" borderId="30" xfId="0" applyFont="1" applyFill="1" applyBorder="1" applyAlignment="1">
      <alignment horizontal="center" vertical="center" wrapText="1"/>
    </xf>
    <xf numFmtId="0" fontId="9" fillId="4" borderId="31" xfId="0" applyFont="1" applyFill="1" applyBorder="1" applyAlignment="1">
      <alignment horizontal="center" vertical="center" wrapText="1"/>
    </xf>
    <xf numFmtId="0" fontId="3" fillId="4" borderId="27" xfId="0" applyFont="1" applyFill="1" applyBorder="1"/>
    <xf numFmtId="0" fontId="3" fillId="4" borderId="6" xfId="0" applyFont="1" applyFill="1" applyBorder="1"/>
    <xf numFmtId="0" fontId="3" fillId="4" borderId="28" xfId="0" applyFont="1" applyFill="1" applyBorder="1"/>
    <xf numFmtId="0" fontId="3" fillId="4" borderId="22" xfId="0" applyFont="1" applyFill="1" applyBorder="1"/>
    <xf numFmtId="0" fontId="3" fillId="4" borderId="3" xfId="0" applyFont="1" applyFill="1" applyBorder="1"/>
    <xf numFmtId="0" fontId="3" fillId="4" borderId="16" xfId="0" applyFont="1" applyFill="1" applyBorder="1"/>
    <xf numFmtId="0" fontId="13" fillId="4" borderId="15" xfId="0" applyFont="1" applyFill="1" applyBorder="1" applyAlignment="1">
      <alignment horizontal="center"/>
    </xf>
    <xf numFmtId="0" fontId="13" fillId="4" borderId="11" xfId="0" applyFont="1" applyFill="1" applyBorder="1" applyAlignment="1">
      <alignment horizontal="center"/>
    </xf>
    <xf numFmtId="0" fontId="13" fillId="4" borderId="14" xfId="0" applyFont="1" applyFill="1" applyBorder="1" applyAlignment="1">
      <alignment horizontal="center"/>
    </xf>
    <xf numFmtId="0" fontId="9" fillId="4" borderId="23" xfId="0" applyFont="1" applyFill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9" fillId="4" borderId="20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49" fontId="20" fillId="3" borderId="6" xfId="0" applyNumberFormat="1" applyFont="1" applyFill="1" applyBorder="1" applyAlignment="1">
      <alignment horizontal="center" vertical="center"/>
    </xf>
    <xf numFmtId="49" fontId="20" fillId="7" borderId="6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vertical="center" textRotation="255"/>
    </xf>
    <xf numFmtId="0" fontId="0" fillId="8" borderId="3" xfId="0" applyFill="1" applyBorder="1" applyAlignment="1">
      <alignment horizontal="center" vertical="center"/>
    </xf>
    <xf numFmtId="49" fontId="20" fillId="7" borderId="3" xfId="0" applyNumberFormat="1" applyFont="1" applyFill="1" applyBorder="1" applyAlignment="1">
      <alignment horizontal="center" vertical="center"/>
    </xf>
    <xf numFmtId="49" fontId="20" fillId="3" borderId="3" xfId="0" applyNumberFormat="1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17" fontId="10" fillId="0" borderId="24" xfId="0" applyNumberFormat="1" applyFont="1" applyBorder="1" applyAlignment="1">
      <alignment horizontal="center"/>
    </xf>
    <xf numFmtId="17" fontId="10" fillId="0" borderId="12" xfId="0" applyNumberFormat="1" applyFont="1" applyBorder="1" applyAlignment="1">
      <alignment horizontal="center"/>
    </xf>
    <xf numFmtId="17" fontId="10" fillId="0" borderId="11" xfId="0" applyNumberFormat="1" applyFont="1" applyBorder="1" applyAlignment="1">
      <alignment horizontal="center"/>
    </xf>
    <xf numFmtId="17" fontId="10" fillId="0" borderId="13" xfId="0" applyNumberFormat="1" applyFont="1" applyBorder="1" applyAlignment="1">
      <alignment horizontal="center"/>
    </xf>
    <xf numFmtId="17" fontId="10" fillId="0" borderId="14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textRotation="255"/>
    </xf>
    <xf numFmtId="0" fontId="2" fillId="6" borderId="9" xfId="0" applyFont="1" applyFill="1" applyBorder="1" applyAlignment="1">
      <alignment horizontal="center" vertical="center" textRotation="255"/>
    </xf>
    <xf numFmtId="0" fontId="4" fillId="0" borderId="3" xfId="0" applyFont="1" applyBorder="1" applyAlignment="1">
      <alignment horizontal="center" vertical="center"/>
    </xf>
    <xf numFmtId="17" fontId="8" fillId="2" borderId="4" xfId="0" applyNumberFormat="1" applyFont="1" applyFill="1" applyBorder="1" applyAlignment="1">
      <alignment horizontal="center" vertical="center"/>
    </xf>
    <xf numFmtId="17" fontId="8" fillId="2" borderId="8" xfId="0" applyNumberFormat="1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0" fillId="7" borderId="5" xfId="0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textRotation="255"/>
    </xf>
    <xf numFmtId="0" fontId="2" fillId="9" borderId="3" xfId="0" applyFont="1" applyFill="1" applyBorder="1" applyAlignment="1">
      <alignment horizontal="center" vertical="center" textRotation="255"/>
    </xf>
  </cellXfs>
  <cellStyles count="4">
    <cellStyle name="Normal" xfId="0" builtinId="0"/>
    <cellStyle name="Normal 2" xfId="3" xr:uid="{010AB91E-D090-4692-815D-BDCEF2C4C5C3}"/>
    <cellStyle name="Normal 3" xfId="2" xr:uid="{D01529DD-DBD0-4DD1-A870-353143804F43}"/>
    <cellStyle name="Percent" xfId="1" builtinId="5"/>
  </cellStyles>
  <dxfs count="340"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291C1222-C7B9-4B9A-A9C3-110AAEA8F73E}">
      <tableStyleElement type="wholeTable" dxfId="339"/>
      <tableStyleElement type="headerRow" dxfId="338"/>
      <tableStyleElement type="totalRow" dxfId="337"/>
      <tableStyleElement type="firstColumn" dxfId="336"/>
      <tableStyleElement type="lastColumn" dxfId="335"/>
      <tableStyleElement type="firstRowStripe" dxfId="334"/>
      <tableStyleElement type="firstColumnStripe" dxfId="333"/>
    </tableStyle>
    <tableStyle name="PivotStylePreset2_Accent1" table="0" count="10" xr9:uid="{40508A4A-A46F-4E18-BA94-D1C2B66BBA21}">
      <tableStyleElement type="headerRow" dxfId="332"/>
      <tableStyleElement type="totalRow" dxfId="331"/>
      <tableStyleElement type="firstRowStripe" dxfId="330"/>
      <tableStyleElement type="firstColumnStripe" dxfId="329"/>
      <tableStyleElement type="firstSubtotalRow" dxfId="328"/>
      <tableStyleElement type="secondSubtotalRow" dxfId="327"/>
      <tableStyleElement type="firstRowSubheading" dxfId="326"/>
      <tableStyleElement type="secondRowSubheading" dxfId="325"/>
      <tableStyleElement type="pageFieldLabels" dxfId="324"/>
      <tableStyleElement type="pageFieldValues" dxfId="32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AB969-B87D-4540-B048-C5AD2B9E6653}">
  <dimension ref="A3:O13"/>
  <sheetViews>
    <sheetView topLeftCell="A3" workbookViewId="0">
      <selection activeCell="A12" sqref="A12:XFD12"/>
    </sheetView>
  </sheetViews>
  <sheetFormatPr defaultRowHeight="15"/>
  <cols>
    <col min="1" max="1" width="14.85546875" bestFit="1" customWidth="1"/>
  </cols>
  <sheetData>
    <row r="3" spans="1:15" ht="15.75" thickBot="1"/>
    <row r="4" spans="1:15" ht="16.5" thickBot="1">
      <c r="A4" s="85" t="s">
        <v>3</v>
      </c>
      <c r="B4" s="87" t="s">
        <v>46</v>
      </c>
      <c r="C4" s="88"/>
      <c r="D4" s="88"/>
      <c r="E4" s="89"/>
      <c r="F4" s="89"/>
      <c r="G4" s="89"/>
      <c r="H4" s="89"/>
      <c r="I4" s="88"/>
      <c r="J4" s="88"/>
      <c r="K4" s="88"/>
      <c r="L4" s="89"/>
      <c r="M4" s="89"/>
      <c r="N4" s="90"/>
      <c r="O4" s="91"/>
    </row>
    <row r="5" spans="1:15" ht="34.5" thickBot="1">
      <c r="A5" s="86"/>
      <c r="B5" s="47" t="s">
        <v>10</v>
      </c>
      <c r="C5" s="47" t="s">
        <v>11</v>
      </c>
      <c r="D5" s="47" t="s">
        <v>12</v>
      </c>
      <c r="E5" s="48" t="s">
        <v>35</v>
      </c>
      <c r="F5" s="47" t="s">
        <v>36</v>
      </c>
      <c r="G5" s="47" t="s">
        <v>37</v>
      </c>
      <c r="H5" s="49" t="s">
        <v>38</v>
      </c>
      <c r="I5" s="50" t="s">
        <v>39</v>
      </c>
      <c r="J5" s="51" t="s">
        <v>40</v>
      </c>
      <c r="K5" s="52" t="s">
        <v>41</v>
      </c>
      <c r="L5" s="62" t="s">
        <v>42</v>
      </c>
      <c r="M5" s="63" t="s">
        <v>43</v>
      </c>
      <c r="N5" s="63" t="s">
        <v>43</v>
      </c>
      <c r="O5" s="64" t="s">
        <v>44</v>
      </c>
    </row>
    <row r="6" spans="1:15" ht="18.75">
      <c r="A6" s="36" t="s">
        <v>58</v>
      </c>
      <c r="B6" s="39">
        <v>27</v>
      </c>
      <c r="C6" s="39">
        <v>27</v>
      </c>
      <c r="D6" s="39">
        <f>SUM(B6:C6)</f>
        <v>54</v>
      </c>
      <c r="E6" s="40">
        <v>24</v>
      </c>
      <c r="F6" s="41">
        <f>B6*E6</f>
        <v>648</v>
      </c>
      <c r="G6" s="41">
        <f t="shared" ref="G6:G11" si="0">C6*E6</f>
        <v>648</v>
      </c>
      <c r="H6" s="42">
        <f>SUM(F6:G6)</f>
        <v>1296</v>
      </c>
      <c r="I6" s="53" t="e">
        <f>#REF!</f>
        <v>#REF!</v>
      </c>
      <c r="J6" s="54" t="e">
        <f>#REF!</f>
        <v>#REF!</v>
      </c>
      <c r="K6" s="55" t="e">
        <f>SUM(I6:J6)</f>
        <v>#REF!</v>
      </c>
      <c r="L6" s="43" t="e">
        <f>J6/G6</f>
        <v>#REF!</v>
      </c>
      <c r="M6" s="44" t="e">
        <f>I6/F6</f>
        <v>#REF!</v>
      </c>
      <c r="N6" s="45" t="e">
        <f>K6/H6</f>
        <v>#REF!</v>
      </c>
      <c r="O6" s="46" t="e">
        <f>AVERAGE(L6:M6)</f>
        <v>#REF!</v>
      </c>
    </row>
    <row r="7" spans="1:15" ht="18.75">
      <c r="A7" s="37" t="s">
        <v>45</v>
      </c>
      <c r="B7" s="12">
        <v>32</v>
      </c>
      <c r="C7" s="12">
        <v>24</v>
      </c>
      <c r="D7" s="12">
        <f t="shared" ref="D7:D11" si="1">SUM(B7:C7)</f>
        <v>56</v>
      </c>
      <c r="E7" s="35">
        <v>24</v>
      </c>
      <c r="F7" s="13">
        <f t="shared" ref="F7:F11" si="2">B7*E7</f>
        <v>768</v>
      </c>
      <c r="G7" s="13">
        <f t="shared" si="0"/>
        <v>576</v>
      </c>
      <c r="H7" s="14">
        <f t="shared" ref="H7:H11" si="3">SUM(F7:G7)</f>
        <v>1344</v>
      </c>
      <c r="I7" s="56" t="e">
        <f>#REF!</f>
        <v>#REF!</v>
      </c>
      <c r="J7" s="57" t="e">
        <f>#REF!</f>
        <v>#REF!</v>
      </c>
      <c r="K7" s="58" t="e">
        <f t="shared" ref="K7:K11" si="4">SUM(I7:J7)</f>
        <v>#REF!</v>
      </c>
      <c r="L7" s="15" t="e">
        <f t="shared" ref="L7:L11" si="5">J7/G7</f>
        <v>#REF!</v>
      </c>
      <c r="M7" s="16" t="e">
        <f t="shared" ref="M7:M11" si="6">I7/F7</f>
        <v>#REF!</v>
      </c>
      <c r="N7" s="17" t="e">
        <f t="shared" ref="N7:N11" si="7">K7/H7</f>
        <v>#REF!</v>
      </c>
      <c r="O7" s="18" t="e">
        <f t="shared" ref="O7:O11" si="8">AVERAGE(L7:M7)</f>
        <v>#REF!</v>
      </c>
    </row>
    <row r="8" spans="1:15" ht="18.75">
      <c r="A8" s="38" t="s">
        <v>25</v>
      </c>
      <c r="B8" s="12">
        <v>26</v>
      </c>
      <c r="C8" s="12">
        <v>26</v>
      </c>
      <c r="D8" s="12">
        <f t="shared" si="1"/>
        <v>52</v>
      </c>
      <c r="E8" s="35">
        <v>24</v>
      </c>
      <c r="F8" s="13">
        <f t="shared" si="2"/>
        <v>624</v>
      </c>
      <c r="G8" s="13">
        <f t="shared" si="0"/>
        <v>624</v>
      </c>
      <c r="H8" s="14">
        <f t="shared" si="3"/>
        <v>1248</v>
      </c>
      <c r="I8" s="56" t="e">
        <f>#REF!</f>
        <v>#REF!</v>
      </c>
      <c r="J8" s="57" t="e">
        <f>#REF!</f>
        <v>#REF!</v>
      </c>
      <c r="K8" s="58" t="e">
        <f t="shared" si="4"/>
        <v>#REF!</v>
      </c>
      <c r="L8" s="15" t="e">
        <f t="shared" si="5"/>
        <v>#REF!</v>
      </c>
      <c r="M8" s="16" t="e">
        <f t="shared" si="6"/>
        <v>#REF!</v>
      </c>
      <c r="N8" s="17" t="e">
        <f t="shared" si="7"/>
        <v>#REF!</v>
      </c>
      <c r="O8" s="18" t="e">
        <f t="shared" si="8"/>
        <v>#REF!</v>
      </c>
    </row>
    <row r="9" spans="1:15" ht="18.75">
      <c r="A9" s="37" t="s">
        <v>27</v>
      </c>
      <c r="B9" s="12">
        <v>28</v>
      </c>
      <c r="C9" s="12">
        <v>24</v>
      </c>
      <c r="D9" s="12">
        <f t="shared" si="1"/>
        <v>52</v>
      </c>
      <c r="E9" s="13">
        <v>24</v>
      </c>
      <c r="F9" s="13">
        <f t="shared" si="2"/>
        <v>672</v>
      </c>
      <c r="G9" s="13">
        <f t="shared" si="0"/>
        <v>576</v>
      </c>
      <c r="H9" s="14">
        <f t="shared" si="3"/>
        <v>1248</v>
      </c>
      <c r="I9" s="56" t="e">
        <f>#REF!</f>
        <v>#REF!</v>
      </c>
      <c r="J9" s="57" t="e">
        <f>#REF!</f>
        <v>#REF!</v>
      </c>
      <c r="K9" s="58" t="e">
        <f>SUM(I9:J9)</f>
        <v>#REF!</v>
      </c>
      <c r="L9" s="15" t="e">
        <f t="shared" si="5"/>
        <v>#REF!</v>
      </c>
      <c r="M9" s="16" t="e">
        <f t="shared" si="6"/>
        <v>#REF!</v>
      </c>
      <c r="N9" s="17" t="e">
        <f>K9/H9</f>
        <v>#REF!</v>
      </c>
      <c r="O9" s="18" t="e">
        <f t="shared" si="8"/>
        <v>#REF!</v>
      </c>
    </row>
    <row r="10" spans="1:15" ht="18.75">
      <c r="A10" s="37" t="s">
        <v>29</v>
      </c>
      <c r="B10" s="12">
        <v>21</v>
      </c>
      <c r="C10" s="12">
        <v>32</v>
      </c>
      <c r="D10" s="12">
        <f t="shared" si="1"/>
        <v>53</v>
      </c>
      <c r="E10" s="13">
        <v>24</v>
      </c>
      <c r="F10" s="13">
        <f t="shared" si="2"/>
        <v>504</v>
      </c>
      <c r="G10" s="13">
        <f t="shared" si="0"/>
        <v>768</v>
      </c>
      <c r="H10" s="14">
        <f t="shared" si="3"/>
        <v>1272</v>
      </c>
      <c r="I10" s="56" t="e">
        <f>#REF!</f>
        <v>#REF!</v>
      </c>
      <c r="J10" s="57" t="e">
        <f>#REF!</f>
        <v>#REF!</v>
      </c>
      <c r="K10" s="58" t="e">
        <f t="shared" si="4"/>
        <v>#REF!</v>
      </c>
      <c r="L10" s="15" t="e">
        <f t="shared" si="5"/>
        <v>#REF!</v>
      </c>
      <c r="M10" s="16" t="e">
        <f t="shared" si="6"/>
        <v>#REF!</v>
      </c>
      <c r="N10" s="17" t="e">
        <f t="shared" si="7"/>
        <v>#REF!</v>
      </c>
      <c r="O10" s="18" t="e">
        <f t="shared" si="8"/>
        <v>#REF!</v>
      </c>
    </row>
    <row r="11" spans="1:15" ht="19.5" thickBot="1">
      <c r="A11" s="37" t="s">
        <v>30</v>
      </c>
      <c r="B11" s="12">
        <v>23</v>
      </c>
      <c r="C11" s="12">
        <v>23</v>
      </c>
      <c r="D11" s="12">
        <f t="shared" si="1"/>
        <v>46</v>
      </c>
      <c r="E11" s="13">
        <v>24</v>
      </c>
      <c r="F11" s="13">
        <f t="shared" si="2"/>
        <v>552</v>
      </c>
      <c r="G11" s="13">
        <f t="shared" si="0"/>
        <v>552</v>
      </c>
      <c r="H11" s="14">
        <f t="shared" si="3"/>
        <v>1104</v>
      </c>
      <c r="I11" s="56" t="e">
        <f>#REF!</f>
        <v>#REF!</v>
      </c>
      <c r="J11" s="57" t="e">
        <f>#REF!</f>
        <v>#REF!</v>
      </c>
      <c r="K11" s="58" t="e">
        <f t="shared" si="4"/>
        <v>#REF!</v>
      </c>
      <c r="L11" s="15" t="e">
        <f t="shared" si="5"/>
        <v>#REF!</v>
      </c>
      <c r="M11" s="16" t="e">
        <f t="shared" si="6"/>
        <v>#REF!</v>
      </c>
      <c r="N11" s="17" t="e">
        <f t="shared" si="7"/>
        <v>#REF!</v>
      </c>
      <c r="O11" s="18" t="e">
        <f t="shared" si="8"/>
        <v>#REF!</v>
      </c>
    </row>
    <row r="12" spans="1:15" ht="18.75">
      <c r="A12" s="21" t="s">
        <v>12</v>
      </c>
      <c r="B12" s="22">
        <f t="shared" ref="B12:K12" si="9">SUM(B6:B11)</f>
        <v>157</v>
      </c>
      <c r="C12" s="22">
        <f t="shared" si="9"/>
        <v>156</v>
      </c>
      <c r="D12" s="22">
        <f t="shared" si="9"/>
        <v>313</v>
      </c>
      <c r="E12" s="23">
        <f t="shared" si="9"/>
        <v>144</v>
      </c>
      <c r="F12" s="23">
        <f t="shared" si="9"/>
        <v>3768</v>
      </c>
      <c r="G12" s="23">
        <f t="shared" si="9"/>
        <v>3744</v>
      </c>
      <c r="H12" s="29">
        <f t="shared" si="9"/>
        <v>7512</v>
      </c>
      <c r="I12" s="59" t="e">
        <f t="shared" si="9"/>
        <v>#REF!</v>
      </c>
      <c r="J12" s="60" t="e">
        <f t="shared" si="9"/>
        <v>#REF!</v>
      </c>
      <c r="K12" s="61" t="e">
        <f t="shared" si="9"/>
        <v>#REF!</v>
      </c>
      <c r="L12" s="31" t="e">
        <f>J12/G12</f>
        <v>#REF!</v>
      </c>
      <c r="M12" s="24" t="e">
        <f>I12/F12</f>
        <v>#REF!</v>
      </c>
      <c r="N12" s="24" t="e">
        <f>AVERAGE(N6:N11)</f>
        <v>#REF!</v>
      </c>
      <c r="O12" s="25" t="e">
        <f>AVERAGE(O6:O11)</f>
        <v>#REF!</v>
      </c>
    </row>
    <row r="13" spans="1:15" ht="15.75" thickBot="1">
      <c r="A13" s="26" t="s">
        <v>15</v>
      </c>
      <c r="B13" s="27">
        <v>1</v>
      </c>
      <c r="C13" s="27">
        <v>1</v>
      </c>
      <c r="D13" s="28">
        <v>1</v>
      </c>
      <c r="E13" s="27">
        <v>1</v>
      </c>
      <c r="F13" s="27">
        <v>1</v>
      </c>
      <c r="G13" s="28">
        <v>1</v>
      </c>
      <c r="H13" s="30">
        <v>1</v>
      </c>
      <c r="I13" s="33" t="e">
        <f>I12/F12</f>
        <v>#REF!</v>
      </c>
      <c r="J13" s="28" t="e">
        <f>J12/G12</f>
        <v>#REF!</v>
      </c>
      <c r="K13" s="34" t="e">
        <f>K12/H12</f>
        <v>#REF!</v>
      </c>
      <c r="L13" s="32">
        <v>0.54</v>
      </c>
      <c r="M13" s="19">
        <v>0.56000000000000005</v>
      </c>
      <c r="N13" s="19">
        <v>0.55000000000000004</v>
      </c>
      <c r="O13" s="20" t="e">
        <f>AVERAGE(L12:M12)</f>
        <v>#REF!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53FF-FEAE-4C2F-91B6-E3AECEBDD145}">
  <dimension ref="A1:AO42"/>
  <sheetViews>
    <sheetView tabSelected="1" zoomScale="98" zoomScaleNormal="98" workbookViewId="0">
      <selection activeCell="N43" sqref="N43"/>
    </sheetView>
  </sheetViews>
  <sheetFormatPr defaultColWidth="3.85546875" defaultRowHeight="1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9" width="3.7109375" style="1" bestFit="1" customWidth="1"/>
    <col min="10" max="10" width="3.85546875" style="1"/>
    <col min="11" max="11" width="4.5703125" style="1" bestFit="1" customWidth="1"/>
    <col min="12" max="12" width="3.85546875" style="1"/>
    <col min="13" max="13" width="4.85546875" style="1" customWidth="1"/>
    <col min="14" max="15" width="3.7109375" style="1" bestFit="1" customWidth="1"/>
    <col min="16" max="16" width="3.85546875" style="1"/>
    <col min="17" max="17" width="4.5703125" style="1" bestFit="1" customWidth="1"/>
    <col min="18" max="19" width="4.5703125" style="1" customWidth="1"/>
    <col min="20" max="20" width="4.7109375" style="1" bestFit="1" customWidth="1"/>
    <col min="21" max="22" width="3.7109375" style="1" bestFit="1" customWidth="1"/>
    <col min="23" max="23" width="3.85546875" style="1"/>
    <col min="24" max="24" width="4.5703125" style="1" bestFit="1" customWidth="1"/>
    <col min="25" max="25" width="3.85546875" style="1"/>
    <col min="26" max="26" width="4.7109375" style="1" bestFit="1" customWidth="1"/>
    <col min="27" max="27" width="3.85546875" style="1"/>
    <col min="28" max="29" width="3.7109375" style="1" bestFit="1" customWidth="1"/>
    <col min="30" max="30" width="3.85546875" style="1"/>
    <col min="31" max="31" width="4.5703125" style="1" bestFit="1" customWidth="1"/>
    <col min="32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10"/>
      <c r="AK1" s="10"/>
    </row>
    <row r="2" spans="1:41" ht="17.25">
      <c r="A2" s="92" t="s">
        <v>60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11"/>
      <c r="AK2" s="11"/>
      <c r="AL2" s="11"/>
    </row>
    <row r="3" spans="1:41" ht="15.75">
      <c r="A3" s="102" t="s">
        <v>0</v>
      </c>
      <c r="B3" s="94" t="s">
        <v>111</v>
      </c>
      <c r="C3" s="102" t="s">
        <v>1</v>
      </c>
      <c r="D3" s="102" t="s">
        <v>2</v>
      </c>
      <c r="E3" s="102" t="s">
        <v>3</v>
      </c>
      <c r="F3" s="2" t="str">
        <f>TEXT(F4,"ddd")</f>
        <v>Fri</v>
      </c>
      <c r="G3" s="2" t="str">
        <f t="shared" ref="G3:AI3" si="0">TEXT(G4,"ddd")</f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98" t="s">
        <v>4</v>
      </c>
      <c r="AK3" s="98" t="s">
        <v>5</v>
      </c>
      <c r="AL3" s="99" t="s">
        <v>19</v>
      </c>
      <c r="AM3" s="100"/>
      <c r="AN3" s="3"/>
      <c r="AO3" s="3"/>
    </row>
    <row r="4" spans="1:41" ht="37.5">
      <c r="A4" s="102"/>
      <c r="B4" s="95"/>
      <c r="C4" s="102"/>
      <c r="D4" s="102"/>
      <c r="E4" s="102"/>
      <c r="F4" s="9">
        <v>45597</v>
      </c>
      <c r="G4" s="9">
        <v>45598</v>
      </c>
      <c r="H4" s="9">
        <v>45599</v>
      </c>
      <c r="I4" s="9">
        <v>45600</v>
      </c>
      <c r="J4" s="9">
        <v>45601</v>
      </c>
      <c r="K4" s="9">
        <v>45602</v>
      </c>
      <c r="L4" s="9">
        <v>45603</v>
      </c>
      <c r="M4" s="9">
        <v>45604</v>
      </c>
      <c r="N4" s="9">
        <v>45605</v>
      </c>
      <c r="O4" s="9">
        <v>45606</v>
      </c>
      <c r="P4" s="9">
        <v>45607</v>
      </c>
      <c r="Q4" s="9">
        <v>45608</v>
      </c>
      <c r="R4" s="9">
        <v>45609</v>
      </c>
      <c r="S4" s="9">
        <v>45610</v>
      </c>
      <c r="T4" s="9">
        <v>45611</v>
      </c>
      <c r="U4" s="9">
        <v>45612</v>
      </c>
      <c r="V4" s="9">
        <v>45613</v>
      </c>
      <c r="W4" s="9">
        <v>45614</v>
      </c>
      <c r="X4" s="9">
        <v>45615</v>
      </c>
      <c r="Y4" s="9">
        <v>45616</v>
      </c>
      <c r="Z4" s="9">
        <v>45617</v>
      </c>
      <c r="AA4" s="9">
        <v>45618</v>
      </c>
      <c r="AB4" s="9">
        <v>45619</v>
      </c>
      <c r="AC4" s="9">
        <v>45620</v>
      </c>
      <c r="AD4" s="9">
        <v>45621</v>
      </c>
      <c r="AE4" s="9">
        <v>45622</v>
      </c>
      <c r="AF4" s="9">
        <v>45623</v>
      </c>
      <c r="AG4" s="9">
        <v>45624</v>
      </c>
      <c r="AH4" s="9">
        <v>45625</v>
      </c>
      <c r="AI4" s="9">
        <v>45626</v>
      </c>
      <c r="AJ4" s="98"/>
      <c r="AK4" s="98"/>
      <c r="AL4" s="4" t="s">
        <v>20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72">
        <v>856</v>
      </c>
      <c r="C5" s="71" t="s">
        <v>90</v>
      </c>
      <c r="D5" s="103" t="s">
        <v>91</v>
      </c>
      <c r="E5" s="5" t="s">
        <v>58</v>
      </c>
      <c r="F5" s="79" t="s">
        <v>211</v>
      </c>
      <c r="G5" s="79" t="s">
        <v>17</v>
      </c>
      <c r="H5" s="104" t="s">
        <v>196</v>
      </c>
      <c r="I5" s="79" t="s">
        <v>17</v>
      </c>
      <c r="J5" s="79" t="s">
        <v>17</v>
      </c>
      <c r="K5" s="79" t="s">
        <v>17</v>
      </c>
      <c r="L5" s="79" t="s">
        <v>17</v>
      </c>
      <c r="M5" s="79" t="s">
        <v>17</v>
      </c>
      <c r="N5" s="105" t="s">
        <v>212</v>
      </c>
      <c r="O5" s="104" t="s">
        <v>196</v>
      </c>
      <c r="P5" s="79" t="s">
        <v>17</v>
      </c>
      <c r="Q5" s="79" t="s">
        <v>17</v>
      </c>
      <c r="R5" s="79" t="s">
        <v>17</v>
      </c>
      <c r="S5" s="79" t="s">
        <v>17</v>
      </c>
      <c r="T5" s="79" t="s">
        <v>17</v>
      </c>
      <c r="U5" s="79" t="s">
        <v>17</v>
      </c>
      <c r="V5" s="104" t="s">
        <v>196</v>
      </c>
      <c r="W5" s="79" t="s">
        <v>17</v>
      </c>
      <c r="X5" s="79" t="s">
        <v>17</v>
      </c>
      <c r="Y5" s="79" t="s">
        <v>17</v>
      </c>
      <c r="Z5" s="79" t="s">
        <v>17</v>
      </c>
      <c r="AA5" s="79" t="s">
        <v>17</v>
      </c>
      <c r="AB5" s="79" t="s">
        <v>17</v>
      </c>
      <c r="AC5" s="104" t="s">
        <v>196</v>
      </c>
      <c r="AD5" s="79" t="s">
        <v>17</v>
      </c>
      <c r="AE5" s="79" t="s">
        <v>17</v>
      </c>
      <c r="AF5" s="79" t="s">
        <v>17</v>
      </c>
      <c r="AG5" s="79" t="s">
        <v>17</v>
      </c>
      <c r="AH5" s="79" t="s">
        <v>17</v>
      </c>
      <c r="AI5" s="79" t="s">
        <v>17</v>
      </c>
      <c r="AJ5" s="4">
        <f t="shared" ref="AJ5:AJ40" si="1">COUNTIF(F5:AI5,"P")</f>
        <v>24</v>
      </c>
      <c r="AK5" s="4">
        <f t="shared" ref="AK5:AK40" si="2">COUNTIF(F5:AI5,"A")</f>
        <v>1</v>
      </c>
      <c r="AL5" s="65" t="s">
        <v>6</v>
      </c>
      <c r="AM5" s="6">
        <v>24</v>
      </c>
      <c r="AN5" s="7"/>
      <c r="AO5" s="3"/>
    </row>
    <row r="6" spans="1:41" ht="16.5">
      <c r="A6" s="6">
        <v>2</v>
      </c>
      <c r="B6" s="71">
        <v>887</v>
      </c>
      <c r="C6" s="78" t="s">
        <v>100</v>
      </c>
      <c r="D6" s="73" t="s">
        <v>101</v>
      </c>
      <c r="E6" s="5" t="s">
        <v>58</v>
      </c>
      <c r="F6" s="79" t="s">
        <v>17</v>
      </c>
      <c r="G6" s="79" t="s">
        <v>17</v>
      </c>
      <c r="H6" s="104"/>
      <c r="I6" s="79" t="s">
        <v>17</v>
      </c>
      <c r="J6" s="79" t="s">
        <v>17</v>
      </c>
      <c r="K6" s="79" t="s">
        <v>17</v>
      </c>
      <c r="L6" s="79" t="s">
        <v>17</v>
      </c>
      <c r="M6" s="79" t="s">
        <v>17</v>
      </c>
      <c r="N6" s="105"/>
      <c r="O6" s="104"/>
      <c r="P6" s="79" t="s">
        <v>17</v>
      </c>
      <c r="Q6" s="79" t="s">
        <v>17</v>
      </c>
      <c r="R6" s="79" t="s">
        <v>17</v>
      </c>
      <c r="S6" s="79" t="s">
        <v>17</v>
      </c>
      <c r="T6" s="79" t="s">
        <v>17</v>
      </c>
      <c r="U6" s="79" t="s">
        <v>17</v>
      </c>
      <c r="V6" s="104"/>
      <c r="W6" s="79" t="s">
        <v>17</v>
      </c>
      <c r="X6" s="79" t="s">
        <v>17</v>
      </c>
      <c r="Y6" s="79" t="s">
        <v>17</v>
      </c>
      <c r="Z6" s="79" t="s">
        <v>17</v>
      </c>
      <c r="AA6" s="79" t="s">
        <v>17</v>
      </c>
      <c r="AB6" s="79" t="s">
        <v>17</v>
      </c>
      <c r="AC6" s="104"/>
      <c r="AD6" s="79" t="s">
        <v>17</v>
      </c>
      <c r="AE6" s="79" t="s">
        <v>17</v>
      </c>
      <c r="AF6" s="79" t="s">
        <v>17</v>
      </c>
      <c r="AG6" s="79" t="s">
        <v>17</v>
      </c>
      <c r="AH6" s="79" t="s">
        <v>17</v>
      </c>
      <c r="AI6" s="79" t="s">
        <v>17</v>
      </c>
      <c r="AJ6" s="4">
        <f t="shared" si="1"/>
        <v>25</v>
      </c>
      <c r="AK6" s="4">
        <f t="shared" si="2"/>
        <v>0</v>
      </c>
      <c r="AL6" s="65" t="s">
        <v>7</v>
      </c>
      <c r="AM6" s="6">
        <v>4</v>
      </c>
      <c r="AN6" s="3"/>
      <c r="AO6" s="3"/>
    </row>
    <row r="7" spans="1:41" ht="16.5">
      <c r="A7" s="6">
        <v>3</v>
      </c>
      <c r="B7" s="71">
        <v>886</v>
      </c>
      <c r="C7" s="78" t="s">
        <v>105</v>
      </c>
      <c r="D7" s="73" t="s">
        <v>101</v>
      </c>
      <c r="E7" s="5" t="s">
        <v>58</v>
      </c>
      <c r="F7" s="79" t="s">
        <v>17</v>
      </c>
      <c r="G7" s="79" t="s">
        <v>17</v>
      </c>
      <c r="H7" s="104"/>
      <c r="I7" s="79" t="s">
        <v>17</v>
      </c>
      <c r="J7" s="79" t="s">
        <v>17</v>
      </c>
      <c r="K7" s="79" t="s">
        <v>17</v>
      </c>
      <c r="L7" s="79" t="s">
        <v>17</v>
      </c>
      <c r="M7" s="79" t="s">
        <v>17</v>
      </c>
      <c r="N7" s="105"/>
      <c r="O7" s="104"/>
      <c r="P7" s="79" t="s">
        <v>17</v>
      </c>
      <c r="Q7" s="79" t="s">
        <v>17</v>
      </c>
      <c r="R7" s="79" t="s">
        <v>17</v>
      </c>
      <c r="S7" s="79" t="s">
        <v>17</v>
      </c>
      <c r="T7" s="79" t="s">
        <v>17</v>
      </c>
      <c r="U7" s="79" t="s">
        <v>17</v>
      </c>
      <c r="V7" s="104"/>
      <c r="W7" s="79" t="s">
        <v>17</v>
      </c>
      <c r="X7" s="79" t="s">
        <v>17</v>
      </c>
      <c r="Y7" s="79" t="s">
        <v>17</v>
      </c>
      <c r="Z7" s="79" t="s">
        <v>17</v>
      </c>
      <c r="AA7" s="79" t="s">
        <v>17</v>
      </c>
      <c r="AB7" s="79" t="s">
        <v>17</v>
      </c>
      <c r="AC7" s="104"/>
      <c r="AD7" s="79" t="s">
        <v>17</v>
      </c>
      <c r="AE7" s="79" t="s">
        <v>17</v>
      </c>
      <c r="AF7" s="79" t="s">
        <v>17</v>
      </c>
      <c r="AG7" s="79" t="s">
        <v>17</v>
      </c>
      <c r="AH7" s="79" t="s">
        <v>17</v>
      </c>
      <c r="AI7" s="79" t="s">
        <v>17</v>
      </c>
      <c r="AJ7" s="4">
        <f t="shared" si="1"/>
        <v>25</v>
      </c>
      <c r="AK7" s="4">
        <f t="shared" si="2"/>
        <v>0</v>
      </c>
      <c r="AL7" s="65" t="s">
        <v>23</v>
      </c>
      <c r="AM7" s="6">
        <v>1</v>
      </c>
      <c r="AN7" s="3"/>
      <c r="AO7" s="3"/>
    </row>
    <row r="8" spans="1:41" ht="16.5">
      <c r="A8" s="6">
        <v>4</v>
      </c>
      <c r="B8" s="74">
        <v>877</v>
      </c>
      <c r="C8" s="77" t="s">
        <v>104</v>
      </c>
      <c r="D8" s="76" t="s">
        <v>103</v>
      </c>
      <c r="E8" s="5" t="s">
        <v>58</v>
      </c>
      <c r="F8" s="79" t="s">
        <v>17</v>
      </c>
      <c r="G8" s="79" t="s">
        <v>17</v>
      </c>
      <c r="H8" s="104"/>
      <c r="I8" s="79" t="s">
        <v>17</v>
      </c>
      <c r="J8" s="79" t="s">
        <v>17</v>
      </c>
      <c r="K8" s="79" t="s">
        <v>17</v>
      </c>
      <c r="L8" s="79" t="s">
        <v>17</v>
      </c>
      <c r="M8" s="79" t="s">
        <v>17</v>
      </c>
      <c r="N8" s="105"/>
      <c r="O8" s="104"/>
      <c r="P8" s="79" t="s">
        <v>17</v>
      </c>
      <c r="Q8" s="79" t="s">
        <v>17</v>
      </c>
      <c r="R8" s="79" t="s">
        <v>17</v>
      </c>
      <c r="S8" s="79" t="s">
        <v>17</v>
      </c>
      <c r="T8" s="79" t="s">
        <v>17</v>
      </c>
      <c r="U8" s="79" t="s">
        <v>17</v>
      </c>
      <c r="V8" s="104"/>
      <c r="W8" s="79" t="s">
        <v>17</v>
      </c>
      <c r="X8" s="79" t="s">
        <v>17</v>
      </c>
      <c r="Y8" s="79" t="s">
        <v>17</v>
      </c>
      <c r="Z8" s="79" t="s">
        <v>17</v>
      </c>
      <c r="AA8" s="79" t="s">
        <v>17</v>
      </c>
      <c r="AB8" s="79" t="s">
        <v>17</v>
      </c>
      <c r="AC8" s="104"/>
      <c r="AD8" s="79" t="s">
        <v>17</v>
      </c>
      <c r="AE8" s="79" t="s">
        <v>17</v>
      </c>
      <c r="AF8" s="79" t="s">
        <v>17</v>
      </c>
      <c r="AG8" s="79" t="s">
        <v>17</v>
      </c>
      <c r="AH8" s="79" t="s">
        <v>17</v>
      </c>
      <c r="AI8" s="79" t="s">
        <v>17</v>
      </c>
      <c r="AJ8" s="4">
        <f t="shared" si="1"/>
        <v>25</v>
      </c>
      <c r="AK8" s="4">
        <f t="shared" si="2"/>
        <v>0</v>
      </c>
      <c r="AL8" s="65" t="s">
        <v>21</v>
      </c>
      <c r="AM8" s="6">
        <v>1</v>
      </c>
      <c r="AN8"/>
      <c r="AO8"/>
    </row>
    <row r="9" spans="1:41" ht="16.5">
      <c r="A9" s="6">
        <v>5</v>
      </c>
      <c r="B9" s="74">
        <v>894</v>
      </c>
      <c r="C9" s="75" t="s">
        <v>97</v>
      </c>
      <c r="D9" s="76" t="s">
        <v>78</v>
      </c>
      <c r="E9" s="5" t="s">
        <v>58</v>
      </c>
      <c r="F9" s="79" t="s">
        <v>211</v>
      </c>
      <c r="G9" s="79" t="s">
        <v>211</v>
      </c>
      <c r="H9" s="104"/>
      <c r="I9" s="79" t="s">
        <v>17</v>
      </c>
      <c r="J9" s="79" t="s">
        <v>17</v>
      </c>
      <c r="K9" s="79" t="s">
        <v>17</v>
      </c>
      <c r="L9" s="79" t="s">
        <v>17</v>
      </c>
      <c r="M9" s="79" t="s">
        <v>17</v>
      </c>
      <c r="N9" s="105"/>
      <c r="O9" s="104"/>
      <c r="P9" s="79" t="s">
        <v>17</v>
      </c>
      <c r="Q9" s="79" t="s">
        <v>17</v>
      </c>
      <c r="R9" s="79" t="s">
        <v>17</v>
      </c>
      <c r="S9" s="79" t="s">
        <v>17</v>
      </c>
      <c r="T9" s="79" t="s">
        <v>17</v>
      </c>
      <c r="U9" s="79" t="s">
        <v>17</v>
      </c>
      <c r="V9" s="104"/>
      <c r="W9" s="79" t="s">
        <v>17</v>
      </c>
      <c r="X9" s="79" t="s">
        <v>17</v>
      </c>
      <c r="Y9" s="79" t="s">
        <v>17</v>
      </c>
      <c r="Z9" s="79" t="s">
        <v>17</v>
      </c>
      <c r="AA9" s="79" t="s">
        <v>17</v>
      </c>
      <c r="AB9" s="79" t="s">
        <v>17</v>
      </c>
      <c r="AC9" s="104"/>
      <c r="AD9" s="79" t="s">
        <v>17</v>
      </c>
      <c r="AE9" s="79" t="s">
        <v>17</v>
      </c>
      <c r="AF9" s="79" t="s">
        <v>17</v>
      </c>
      <c r="AG9" s="79" t="s">
        <v>17</v>
      </c>
      <c r="AH9" s="79" t="s">
        <v>17</v>
      </c>
      <c r="AI9" s="79" t="s">
        <v>17</v>
      </c>
      <c r="AJ9" s="4">
        <f t="shared" si="1"/>
        <v>23</v>
      </c>
      <c r="AK9" s="4">
        <f t="shared" si="2"/>
        <v>2</v>
      </c>
      <c r="AL9" s="65"/>
      <c r="AM9" s="6"/>
    </row>
    <row r="10" spans="1:41" ht="16.5">
      <c r="A10" s="6">
        <v>6</v>
      </c>
      <c r="B10" s="70">
        <v>921</v>
      </c>
      <c r="C10" s="68" t="s">
        <v>74</v>
      </c>
      <c r="D10" s="69" t="s">
        <v>73</v>
      </c>
      <c r="E10" s="5" t="s">
        <v>58</v>
      </c>
      <c r="F10" s="79" t="s">
        <v>17</v>
      </c>
      <c r="G10" s="79" t="s">
        <v>17</v>
      </c>
      <c r="H10" s="104"/>
      <c r="I10" s="79" t="s">
        <v>17</v>
      </c>
      <c r="J10" s="79" t="s">
        <v>17</v>
      </c>
      <c r="K10" s="79" t="s">
        <v>17</v>
      </c>
      <c r="L10" s="79" t="s">
        <v>17</v>
      </c>
      <c r="M10" s="79" t="s">
        <v>17</v>
      </c>
      <c r="N10" s="105"/>
      <c r="O10" s="104"/>
      <c r="P10" s="79" t="s">
        <v>17</v>
      </c>
      <c r="Q10" s="79" t="s">
        <v>17</v>
      </c>
      <c r="R10" s="79" t="s">
        <v>17</v>
      </c>
      <c r="S10" s="79" t="s">
        <v>17</v>
      </c>
      <c r="T10" s="79" t="s">
        <v>17</v>
      </c>
      <c r="U10" s="79" t="s">
        <v>17</v>
      </c>
      <c r="V10" s="104"/>
      <c r="W10" s="79" t="s">
        <v>17</v>
      </c>
      <c r="X10" s="79" t="s">
        <v>17</v>
      </c>
      <c r="Y10" s="79" t="s">
        <v>17</v>
      </c>
      <c r="Z10" s="79" t="s">
        <v>17</v>
      </c>
      <c r="AA10" s="79" t="s">
        <v>17</v>
      </c>
      <c r="AB10" s="79" t="s">
        <v>17</v>
      </c>
      <c r="AC10" s="104"/>
      <c r="AD10" s="79" t="s">
        <v>17</v>
      </c>
      <c r="AE10" s="79" t="s">
        <v>17</v>
      </c>
      <c r="AF10" s="79" t="s">
        <v>17</v>
      </c>
      <c r="AG10" s="79" t="s">
        <v>17</v>
      </c>
      <c r="AH10" s="79" t="s">
        <v>17</v>
      </c>
      <c r="AI10" s="79" t="s">
        <v>17</v>
      </c>
      <c r="AJ10" s="4">
        <f t="shared" si="1"/>
        <v>25</v>
      </c>
      <c r="AK10" s="4">
        <f t="shared" si="2"/>
        <v>0</v>
      </c>
    </row>
    <row r="11" spans="1:41" ht="16.5">
      <c r="A11" s="6">
        <v>7</v>
      </c>
      <c r="B11" s="70">
        <v>922</v>
      </c>
      <c r="C11" s="68" t="s">
        <v>56</v>
      </c>
      <c r="D11" s="69" t="s">
        <v>75</v>
      </c>
      <c r="E11" s="5" t="s">
        <v>58</v>
      </c>
      <c r="F11" s="79" t="s">
        <v>211</v>
      </c>
      <c r="G11" s="79" t="s">
        <v>211</v>
      </c>
      <c r="H11" s="104"/>
      <c r="I11" s="79" t="s">
        <v>17</v>
      </c>
      <c r="J11" s="79" t="s">
        <v>17</v>
      </c>
      <c r="K11" s="79" t="s">
        <v>17</v>
      </c>
      <c r="L11" s="79" t="s">
        <v>17</v>
      </c>
      <c r="M11" s="79" t="s">
        <v>17</v>
      </c>
      <c r="N11" s="105"/>
      <c r="O11" s="104"/>
      <c r="P11" s="79" t="s">
        <v>17</v>
      </c>
      <c r="Q11" s="79" t="s">
        <v>17</v>
      </c>
      <c r="R11" s="79" t="s">
        <v>17</v>
      </c>
      <c r="S11" s="79" t="s">
        <v>17</v>
      </c>
      <c r="T11" s="79" t="s">
        <v>17</v>
      </c>
      <c r="U11" s="79" t="s">
        <v>17</v>
      </c>
      <c r="V11" s="104"/>
      <c r="W11" s="79" t="s">
        <v>17</v>
      </c>
      <c r="X11" s="79" t="s">
        <v>17</v>
      </c>
      <c r="Y11" s="79" t="s">
        <v>17</v>
      </c>
      <c r="Z11" s="79" t="s">
        <v>17</v>
      </c>
      <c r="AA11" s="79" t="s">
        <v>17</v>
      </c>
      <c r="AB11" s="79" t="s">
        <v>17</v>
      </c>
      <c r="AC11" s="104"/>
      <c r="AD11" s="79" t="s">
        <v>17</v>
      </c>
      <c r="AE11" s="79" t="s">
        <v>17</v>
      </c>
      <c r="AF11" s="79" t="s">
        <v>17</v>
      </c>
      <c r="AG11" s="79" t="s">
        <v>17</v>
      </c>
      <c r="AH11" s="79" t="s">
        <v>17</v>
      </c>
      <c r="AI11" s="79" t="s">
        <v>17</v>
      </c>
      <c r="AJ11" s="4">
        <f t="shared" si="1"/>
        <v>23</v>
      </c>
      <c r="AK11" s="4">
        <f t="shared" si="2"/>
        <v>2</v>
      </c>
      <c r="AL11" s="100" t="s">
        <v>8</v>
      </c>
      <c r="AM11" s="100"/>
      <c r="AN11" s="100"/>
      <c r="AO11" s="101"/>
    </row>
    <row r="12" spans="1:41" ht="16.5">
      <c r="A12" s="6">
        <v>8</v>
      </c>
      <c r="B12" s="70">
        <v>928</v>
      </c>
      <c r="C12" s="68" t="s">
        <v>79</v>
      </c>
      <c r="D12" s="69" t="s">
        <v>80</v>
      </c>
      <c r="E12" s="5" t="s">
        <v>58</v>
      </c>
      <c r="F12" s="79" t="s">
        <v>17</v>
      </c>
      <c r="G12" s="79" t="s">
        <v>17</v>
      </c>
      <c r="H12" s="104"/>
      <c r="I12" s="79" t="s">
        <v>17</v>
      </c>
      <c r="J12" s="79" t="s">
        <v>17</v>
      </c>
      <c r="K12" s="79" t="s">
        <v>17</v>
      </c>
      <c r="L12" s="79" t="s">
        <v>17</v>
      </c>
      <c r="M12" s="79" t="s">
        <v>17</v>
      </c>
      <c r="N12" s="105"/>
      <c r="O12" s="104"/>
      <c r="P12" s="79" t="s">
        <v>17</v>
      </c>
      <c r="Q12" s="79" t="s">
        <v>17</v>
      </c>
      <c r="R12" s="79" t="s">
        <v>17</v>
      </c>
      <c r="S12" s="79" t="s">
        <v>17</v>
      </c>
      <c r="T12" s="79" t="s">
        <v>17</v>
      </c>
      <c r="U12" s="79" t="s">
        <v>17</v>
      </c>
      <c r="V12" s="104"/>
      <c r="W12" s="79" t="s">
        <v>17</v>
      </c>
      <c r="X12" s="79" t="s">
        <v>17</v>
      </c>
      <c r="Y12" s="79" t="s">
        <v>17</v>
      </c>
      <c r="Z12" s="79" t="s">
        <v>17</v>
      </c>
      <c r="AA12" s="79" t="s">
        <v>17</v>
      </c>
      <c r="AB12" s="79" t="s">
        <v>17</v>
      </c>
      <c r="AC12" s="104"/>
      <c r="AD12" s="79" t="s">
        <v>17</v>
      </c>
      <c r="AE12" s="79" t="s">
        <v>17</v>
      </c>
      <c r="AF12" s="79" t="s">
        <v>17</v>
      </c>
      <c r="AG12" s="79" t="s">
        <v>17</v>
      </c>
      <c r="AH12" s="79" t="s">
        <v>17</v>
      </c>
      <c r="AI12" s="79" t="s">
        <v>17</v>
      </c>
      <c r="AJ12" s="4">
        <f t="shared" si="1"/>
        <v>25</v>
      </c>
      <c r="AK12" s="4">
        <f t="shared" si="2"/>
        <v>0</v>
      </c>
      <c r="AL12" s="65" t="s">
        <v>9</v>
      </c>
      <c r="AM12" s="4" t="s">
        <v>10</v>
      </c>
      <c r="AN12" s="4" t="s">
        <v>11</v>
      </c>
      <c r="AO12" s="4" t="s">
        <v>12</v>
      </c>
    </row>
    <row r="13" spans="1:41" ht="16.5">
      <c r="A13" s="6">
        <v>9</v>
      </c>
      <c r="B13" s="71">
        <v>865</v>
      </c>
      <c r="C13" s="72" t="s">
        <v>92</v>
      </c>
      <c r="D13" s="73" t="s">
        <v>93</v>
      </c>
      <c r="E13" s="5" t="s">
        <v>58</v>
      </c>
      <c r="F13" s="79" t="s">
        <v>17</v>
      </c>
      <c r="G13" s="79" t="s">
        <v>17</v>
      </c>
      <c r="H13" s="104"/>
      <c r="I13" s="79" t="s">
        <v>17</v>
      </c>
      <c r="J13" s="79" t="s">
        <v>17</v>
      </c>
      <c r="K13" s="79" t="s">
        <v>17</v>
      </c>
      <c r="L13" s="79" t="s">
        <v>17</v>
      </c>
      <c r="M13" s="79" t="s">
        <v>17</v>
      </c>
      <c r="N13" s="105"/>
      <c r="O13" s="104"/>
      <c r="P13" s="79" t="s">
        <v>17</v>
      </c>
      <c r="Q13" s="79" t="s">
        <v>17</v>
      </c>
      <c r="R13" s="79" t="s">
        <v>17</v>
      </c>
      <c r="S13" s="79" t="s">
        <v>17</v>
      </c>
      <c r="T13" s="79" t="s">
        <v>17</v>
      </c>
      <c r="U13" s="79" t="s">
        <v>17</v>
      </c>
      <c r="V13" s="104"/>
      <c r="W13" s="79" t="s">
        <v>17</v>
      </c>
      <c r="X13" s="79" t="s">
        <v>17</v>
      </c>
      <c r="Y13" s="79" t="s">
        <v>17</v>
      </c>
      <c r="Z13" s="79" t="s">
        <v>17</v>
      </c>
      <c r="AA13" s="79" t="s">
        <v>17</v>
      </c>
      <c r="AB13" s="79" t="s">
        <v>17</v>
      </c>
      <c r="AC13" s="104"/>
      <c r="AD13" s="79" t="s">
        <v>17</v>
      </c>
      <c r="AE13" s="79" t="s">
        <v>17</v>
      </c>
      <c r="AF13" s="79" t="s">
        <v>17</v>
      </c>
      <c r="AG13" s="79" t="s">
        <v>17</v>
      </c>
      <c r="AH13" s="79" t="s">
        <v>17</v>
      </c>
      <c r="AI13" s="79" t="s">
        <v>17</v>
      </c>
      <c r="AJ13" s="4">
        <f t="shared" si="1"/>
        <v>25</v>
      </c>
      <c r="AK13" s="4">
        <f t="shared" si="2"/>
        <v>0</v>
      </c>
      <c r="AL13" s="65" t="s">
        <v>13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70">
        <v>929</v>
      </c>
      <c r="C14" s="68" t="s">
        <v>81</v>
      </c>
      <c r="D14" s="69" t="s">
        <v>18</v>
      </c>
      <c r="E14" s="5" t="s">
        <v>58</v>
      </c>
      <c r="F14" s="79" t="s">
        <v>17</v>
      </c>
      <c r="G14" s="79" t="s">
        <v>17</v>
      </c>
      <c r="H14" s="104"/>
      <c r="I14" s="79" t="s">
        <v>17</v>
      </c>
      <c r="J14" s="79" t="s">
        <v>17</v>
      </c>
      <c r="K14" s="79" t="s">
        <v>17</v>
      </c>
      <c r="L14" s="79" t="s">
        <v>17</v>
      </c>
      <c r="M14" s="79" t="s">
        <v>17</v>
      </c>
      <c r="N14" s="105"/>
      <c r="O14" s="104"/>
      <c r="P14" s="79" t="s">
        <v>17</v>
      </c>
      <c r="Q14" s="79" t="s">
        <v>17</v>
      </c>
      <c r="R14" s="79" t="s">
        <v>17</v>
      </c>
      <c r="S14" s="79" t="s">
        <v>17</v>
      </c>
      <c r="T14" s="79" t="s">
        <v>17</v>
      </c>
      <c r="U14" s="79" t="s">
        <v>17</v>
      </c>
      <c r="V14" s="104"/>
      <c r="W14" s="79" t="s">
        <v>17</v>
      </c>
      <c r="X14" s="79" t="s">
        <v>17</v>
      </c>
      <c r="Y14" s="79" t="s">
        <v>17</v>
      </c>
      <c r="Z14" s="79" t="s">
        <v>17</v>
      </c>
      <c r="AA14" s="79" t="s">
        <v>17</v>
      </c>
      <c r="AB14" s="79" t="s">
        <v>17</v>
      </c>
      <c r="AC14" s="104"/>
      <c r="AD14" s="79" t="s">
        <v>17</v>
      </c>
      <c r="AE14" s="79" t="s">
        <v>17</v>
      </c>
      <c r="AF14" s="79" t="s">
        <v>17</v>
      </c>
      <c r="AG14" s="79" t="s">
        <v>17</v>
      </c>
      <c r="AH14" s="79" t="s">
        <v>17</v>
      </c>
      <c r="AI14" s="79" t="s">
        <v>17</v>
      </c>
      <c r="AJ14" s="4">
        <f t="shared" si="1"/>
        <v>25</v>
      </c>
      <c r="AK14" s="4">
        <f t="shared" si="2"/>
        <v>0</v>
      </c>
      <c r="AL14" s="65" t="s">
        <v>14</v>
      </c>
      <c r="AM14" s="6" t="e">
        <f>SUM(AJ6,AJ9,AJ11,AJ13,AJ16,AJ21,AJ22,AJ23,AJ24,AJ25,AJ26,AJ27,AJ32,AJ34,AJ36,AJ40,#REF!,#REF!,#REF!,#REF!,#REF!,#REF!,#REF!,#REF!,#REF!,#REF!,#REF!)</f>
        <v>#REF!</v>
      </c>
      <c r="AN14" s="6" t="e">
        <f>SUM(AJ5,AJ7,AJ8,AJ10,AJ12,AJ14,AJ15,AJ17,AJ18,AJ19,AJ20,AJ28,AJ29,AJ30,AJ31,AJ33,AJ35,AJ37,AJ38,AJ39,#REF!,#REF!,#REF!,#REF!,#REF!,#REF!,#REF!)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67">
        <v>919</v>
      </c>
      <c r="C15" s="68" t="s">
        <v>72</v>
      </c>
      <c r="D15" s="69" t="s">
        <v>73</v>
      </c>
      <c r="E15" s="5" t="s">
        <v>58</v>
      </c>
      <c r="F15" s="79" t="s">
        <v>17</v>
      </c>
      <c r="G15" s="79" t="s">
        <v>17</v>
      </c>
      <c r="H15" s="104"/>
      <c r="I15" s="79" t="s">
        <v>17</v>
      </c>
      <c r="J15" s="79" t="s">
        <v>17</v>
      </c>
      <c r="K15" s="79" t="s">
        <v>17</v>
      </c>
      <c r="L15" s="79" t="s">
        <v>17</v>
      </c>
      <c r="M15" s="79" t="s">
        <v>17</v>
      </c>
      <c r="N15" s="105"/>
      <c r="O15" s="104"/>
      <c r="P15" s="79" t="s">
        <v>17</v>
      </c>
      <c r="Q15" s="79" t="s">
        <v>17</v>
      </c>
      <c r="R15" s="79" t="s">
        <v>17</v>
      </c>
      <c r="S15" s="79" t="s">
        <v>17</v>
      </c>
      <c r="T15" s="79" t="s">
        <v>17</v>
      </c>
      <c r="U15" s="79" t="s">
        <v>17</v>
      </c>
      <c r="V15" s="104"/>
      <c r="W15" s="79" t="s">
        <v>17</v>
      </c>
      <c r="X15" s="79" t="s">
        <v>17</v>
      </c>
      <c r="Y15" s="79" t="s">
        <v>17</v>
      </c>
      <c r="Z15" s="79" t="s">
        <v>17</v>
      </c>
      <c r="AA15" s="79" t="s">
        <v>17</v>
      </c>
      <c r="AB15" s="79" t="s">
        <v>17</v>
      </c>
      <c r="AC15" s="104"/>
      <c r="AD15" s="79" t="s">
        <v>17</v>
      </c>
      <c r="AE15" s="79" t="s">
        <v>17</v>
      </c>
      <c r="AF15" s="79" t="s">
        <v>17</v>
      </c>
      <c r="AG15" s="79" t="s">
        <v>17</v>
      </c>
      <c r="AH15" s="79" t="s">
        <v>17</v>
      </c>
      <c r="AI15" s="79" t="s">
        <v>17</v>
      </c>
      <c r="AJ15" s="4">
        <f t="shared" si="1"/>
        <v>25</v>
      </c>
      <c r="AK15" s="4">
        <f t="shared" si="2"/>
        <v>0</v>
      </c>
      <c r="AL15" s="65" t="s">
        <v>15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67">
        <v>940</v>
      </c>
      <c r="C16" s="68" t="s">
        <v>87</v>
      </c>
      <c r="D16" s="69" t="s">
        <v>86</v>
      </c>
      <c r="E16" s="5" t="s">
        <v>58</v>
      </c>
      <c r="F16" s="79" t="s">
        <v>17</v>
      </c>
      <c r="G16" s="79" t="s">
        <v>17</v>
      </c>
      <c r="H16" s="104"/>
      <c r="I16" s="79" t="s">
        <v>17</v>
      </c>
      <c r="J16" s="79" t="s">
        <v>17</v>
      </c>
      <c r="K16" s="79" t="s">
        <v>17</v>
      </c>
      <c r="L16" s="79" t="s">
        <v>17</v>
      </c>
      <c r="M16" s="79" t="s">
        <v>17</v>
      </c>
      <c r="N16" s="105"/>
      <c r="O16" s="104"/>
      <c r="P16" s="79" t="s">
        <v>17</v>
      </c>
      <c r="Q16" s="79" t="s">
        <v>17</v>
      </c>
      <c r="R16" s="79" t="s">
        <v>17</v>
      </c>
      <c r="S16" s="79" t="s">
        <v>17</v>
      </c>
      <c r="T16" s="79" t="s">
        <v>17</v>
      </c>
      <c r="U16" s="79" t="s">
        <v>17</v>
      </c>
      <c r="V16" s="104"/>
      <c r="W16" s="79" t="s">
        <v>17</v>
      </c>
      <c r="X16" s="79" t="s">
        <v>17</v>
      </c>
      <c r="Y16" s="79" t="s">
        <v>17</v>
      </c>
      <c r="Z16" s="79" t="s">
        <v>17</v>
      </c>
      <c r="AA16" s="79" t="s">
        <v>17</v>
      </c>
      <c r="AB16" s="79" t="s">
        <v>17</v>
      </c>
      <c r="AC16" s="104"/>
      <c r="AD16" s="79" t="s">
        <v>17</v>
      </c>
      <c r="AE16" s="79" t="s">
        <v>17</v>
      </c>
      <c r="AF16" s="79" t="s">
        <v>17</v>
      </c>
      <c r="AG16" s="79" t="s">
        <v>17</v>
      </c>
      <c r="AH16" s="79" t="s">
        <v>17</v>
      </c>
      <c r="AI16" s="79" t="s">
        <v>17</v>
      </c>
      <c r="AJ16" s="4">
        <f t="shared" si="1"/>
        <v>25</v>
      </c>
      <c r="AK16" s="4">
        <f t="shared" si="2"/>
        <v>0</v>
      </c>
      <c r="AL16"/>
      <c r="AM16"/>
      <c r="AN16"/>
      <c r="AO16"/>
    </row>
    <row r="17" spans="1:41" ht="16.5">
      <c r="A17" s="6">
        <v>13</v>
      </c>
      <c r="B17" s="67">
        <v>943</v>
      </c>
      <c r="C17" s="68" t="s">
        <v>88</v>
      </c>
      <c r="D17" s="69" t="s">
        <v>89</v>
      </c>
      <c r="E17" s="5" t="s">
        <v>58</v>
      </c>
      <c r="F17" s="79" t="s">
        <v>17</v>
      </c>
      <c r="G17" s="79" t="s">
        <v>17</v>
      </c>
      <c r="H17" s="104"/>
      <c r="I17" s="79" t="s">
        <v>17</v>
      </c>
      <c r="J17" s="79" t="s">
        <v>17</v>
      </c>
      <c r="K17" s="79" t="s">
        <v>17</v>
      </c>
      <c r="L17" s="79" t="s">
        <v>17</v>
      </c>
      <c r="M17" s="79" t="s">
        <v>17</v>
      </c>
      <c r="N17" s="105"/>
      <c r="O17" s="104"/>
      <c r="P17" s="79" t="s">
        <v>17</v>
      </c>
      <c r="Q17" s="79" t="s">
        <v>17</v>
      </c>
      <c r="R17" s="79" t="s">
        <v>17</v>
      </c>
      <c r="S17" s="79" t="s">
        <v>17</v>
      </c>
      <c r="T17" s="79" t="s">
        <v>17</v>
      </c>
      <c r="U17" s="79" t="s">
        <v>17</v>
      </c>
      <c r="V17" s="104"/>
      <c r="W17" s="79" t="s">
        <v>17</v>
      </c>
      <c r="X17" s="79" t="s">
        <v>17</v>
      </c>
      <c r="Y17" s="79" t="s">
        <v>17</v>
      </c>
      <c r="Z17" s="79" t="s">
        <v>17</v>
      </c>
      <c r="AA17" s="79" t="s">
        <v>17</v>
      </c>
      <c r="AB17" s="79" t="s">
        <v>17</v>
      </c>
      <c r="AC17" s="104"/>
      <c r="AD17" s="79" t="s">
        <v>17</v>
      </c>
      <c r="AE17" s="79" t="s">
        <v>17</v>
      </c>
      <c r="AF17" s="79" t="s">
        <v>17</v>
      </c>
      <c r="AG17" s="79" t="s">
        <v>17</v>
      </c>
      <c r="AH17" s="79" t="s">
        <v>17</v>
      </c>
      <c r="AI17" s="79" t="s">
        <v>17</v>
      </c>
      <c r="AJ17" s="4">
        <f t="shared" si="1"/>
        <v>25</v>
      </c>
      <c r="AK17" s="4">
        <f t="shared" si="2"/>
        <v>0</v>
      </c>
      <c r="AL17"/>
      <c r="AM17"/>
      <c r="AN17"/>
      <c r="AO17"/>
    </row>
    <row r="18" spans="1:41" ht="16.5">
      <c r="A18" s="6">
        <v>14</v>
      </c>
      <c r="B18" s="74">
        <v>899</v>
      </c>
      <c r="C18" s="75" t="s">
        <v>94</v>
      </c>
      <c r="D18" s="76" t="s">
        <v>95</v>
      </c>
      <c r="E18" s="5" t="s">
        <v>58</v>
      </c>
      <c r="F18" s="79" t="s">
        <v>211</v>
      </c>
      <c r="G18" s="79" t="s">
        <v>211</v>
      </c>
      <c r="H18" s="104"/>
      <c r="I18" s="79" t="s">
        <v>17</v>
      </c>
      <c r="J18" s="79" t="s">
        <v>17</v>
      </c>
      <c r="K18" s="79" t="s">
        <v>17</v>
      </c>
      <c r="L18" s="79" t="s">
        <v>17</v>
      </c>
      <c r="M18" s="79" t="s">
        <v>17</v>
      </c>
      <c r="N18" s="105"/>
      <c r="O18" s="104"/>
      <c r="P18" s="79" t="s">
        <v>17</v>
      </c>
      <c r="Q18" s="79" t="s">
        <v>17</v>
      </c>
      <c r="R18" s="79" t="s">
        <v>17</v>
      </c>
      <c r="S18" s="79" t="s">
        <v>17</v>
      </c>
      <c r="T18" s="79" t="s">
        <v>17</v>
      </c>
      <c r="U18" s="79" t="s">
        <v>17</v>
      </c>
      <c r="V18" s="104"/>
      <c r="W18" s="79" t="s">
        <v>17</v>
      </c>
      <c r="X18" s="79" t="s">
        <v>17</v>
      </c>
      <c r="Y18" s="79" t="s">
        <v>17</v>
      </c>
      <c r="Z18" s="79" t="s">
        <v>17</v>
      </c>
      <c r="AA18" s="79" t="s">
        <v>17</v>
      </c>
      <c r="AB18" s="79" t="s">
        <v>17</v>
      </c>
      <c r="AC18" s="104"/>
      <c r="AD18" s="79" t="s">
        <v>17</v>
      </c>
      <c r="AE18" s="79" t="s">
        <v>17</v>
      </c>
      <c r="AF18" s="79" t="s">
        <v>17</v>
      </c>
      <c r="AG18" s="79" t="s">
        <v>17</v>
      </c>
      <c r="AH18" s="79" t="s">
        <v>17</v>
      </c>
      <c r="AI18" s="79" t="s">
        <v>17</v>
      </c>
      <c r="AJ18" s="4">
        <f t="shared" si="1"/>
        <v>23</v>
      </c>
      <c r="AK18" s="4">
        <f t="shared" si="2"/>
        <v>2</v>
      </c>
      <c r="AL18"/>
      <c r="AM18"/>
      <c r="AN18"/>
      <c r="AO18"/>
    </row>
    <row r="19" spans="1:41" ht="16.5">
      <c r="A19" s="6">
        <v>15</v>
      </c>
      <c r="B19" s="74">
        <v>947</v>
      </c>
      <c r="C19" s="75" t="s">
        <v>110</v>
      </c>
      <c r="D19" s="76" t="s">
        <v>53</v>
      </c>
      <c r="E19" s="5" t="s">
        <v>58</v>
      </c>
      <c r="F19" s="79" t="s">
        <v>17</v>
      </c>
      <c r="G19" s="79" t="s">
        <v>17</v>
      </c>
      <c r="H19" s="104"/>
      <c r="I19" s="79" t="s">
        <v>17</v>
      </c>
      <c r="J19" s="79" t="s">
        <v>17</v>
      </c>
      <c r="K19" s="79" t="s">
        <v>17</v>
      </c>
      <c r="L19" s="79" t="s">
        <v>17</v>
      </c>
      <c r="M19" s="79" t="s">
        <v>17</v>
      </c>
      <c r="N19" s="105"/>
      <c r="O19" s="104"/>
      <c r="P19" s="79" t="s">
        <v>17</v>
      </c>
      <c r="Q19" s="79" t="s">
        <v>17</v>
      </c>
      <c r="R19" s="79" t="s">
        <v>17</v>
      </c>
      <c r="S19" s="79" t="s">
        <v>17</v>
      </c>
      <c r="T19" s="79" t="s">
        <v>17</v>
      </c>
      <c r="U19" s="79" t="s">
        <v>17</v>
      </c>
      <c r="V19" s="104"/>
      <c r="W19" s="79" t="s">
        <v>17</v>
      </c>
      <c r="X19" s="79" t="s">
        <v>17</v>
      </c>
      <c r="Y19" s="79" t="s">
        <v>17</v>
      </c>
      <c r="Z19" s="79" t="s">
        <v>17</v>
      </c>
      <c r="AA19" s="79" t="s">
        <v>17</v>
      </c>
      <c r="AB19" s="79" t="s">
        <v>17</v>
      </c>
      <c r="AC19" s="104"/>
      <c r="AD19" s="79" t="s">
        <v>17</v>
      </c>
      <c r="AE19" s="79" t="s">
        <v>17</v>
      </c>
      <c r="AF19" s="79" t="s">
        <v>17</v>
      </c>
      <c r="AG19" s="79" t="s">
        <v>17</v>
      </c>
      <c r="AH19" s="79" t="s">
        <v>17</v>
      </c>
      <c r="AI19" s="79" t="s">
        <v>17</v>
      </c>
      <c r="AJ19" s="4">
        <f t="shared" si="1"/>
        <v>25</v>
      </c>
      <c r="AK19" s="4">
        <f t="shared" si="2"/>
        <v>0</v>
      </c>
      <c r="AL19" s="100" t="s">
        <v>22</v>
      </c>
      <c r="AM19" s="100"/>
      <c r="AN19" s="100"/>
      <c r="AO19" s="101"/>
    </row>
    <row r="20" spans="1:41" ht="16.5">
      <c r="A20" s="6">
        <v>16</v>
      </c>
      <c r="B20" s="74">
        <v>859</v>
      </c>
      <c r="C20" s="75" t="s">
        <v>208</v>
      </c>
      <c r="D20" s="76" t="s">
        <v>209</v>
      </c>
      <c r="E20" s="5" t="s">
        <v>58</v>
      </c>
      <c r="F20" s="79" t="s">
        <v>17</v>
      </c>
      <c r="G20" s="79" t="s">
        <v>211</v>
      </c>
      <c r="H20" s="104"/>
      <c r="I20" s="79" t="s">
        <v>17</v>
      </c>
      <c r="J20" s="79" t="s">
        <v>17</v>
      </c>
      <c r="K20" s="79" t="s">
        <v>17</v>
      </c>
      <c r="L20" s="79" t="s">
        <v>17</v>
      </c>
      <c r="M20" s="79" t="s">
        <v>17</v>
      </c>
      <c r="N20" s="105"/>
      <c r="O20" s="104"/>
      <c r="P20" s="79" t="s">
        <v>17</v>
      </c>
      <c r="Q20" s="79" t="s">
        <v>17</v>
      </c>
      <c r="R20" s="79" t="s">
        <v>17</v>
      </c>
      <c r="S20" s="79" t="s">
        <v>17</v>
      </c>
      <c r="T20" s="79" t="s">
        <v>17</v>
      </c>
      <c r="U20" s="79" t="s">
        <v>17</v>
      </c>
      <c r="V20" s="104"/>
      <c r="W20" s="79" t="s">
        <v>17</v>
      </c>
      <c r="X20" s="79" t="s">
        <v>17</v>
      </c>
      <c r="Y20" s="79" t="s">
        <v>17</v>
      </c>
      <c r="Z20" s="79" t="s">
        <v>17</v>
      </c>
      <c r="AA20" s="79" t="s">
        <v>17</v>
      </c>
      <c r="AB20" s="79" t="s">
        <v>17</v>
      </c>
      <c r="AC20" s="104"/>
      <c r="AD20" s="79" t="s">
        <v>17</v>
      </c>
      <c r="AE20" s="79" t="s">
        <v>17</v>
      </c>
      <c r="AF20" s="79" t="s">
        <v>17</v>
      </c>
      <c r="AG20" s="79" t="s">
        <v>17</v>
      </c>
      <c r="AH20" s="79" t="s">
        <v>17</v>
      </c>
      <c r="AI20" s="79" t="s">
        <v>17</v>
      </c>
      <c r="AJ20" s="4">
        <f t="shared" si="1"/>
        <v>24</v>
      </c>
      <c r="AK20" s="4">
        <f t="shared" si="2"/>
        <v>1</v>
      </c>
      <c r="AL20" s="65" t="s">
        <v>9</v>
      </c>
      <c r="AM20" s="4" t="s">
        <v>10</v>
      </c>
      <c r="AN20" s="4" t="s">
        <v>11</v>
      </c>
      <c r="AO20" s="4" t="s">
        <v>12</v>
      </c>
    </row>
    <row r="21" spans="1:41" ht="16.5">
      <c r="A21" s="6">
        <v>1</v>
      </c>
      <c r="B21" s="67">
        <v>934</v>
      </c>
      <c r="C21" s="68" t="s">
        <v>52</v>
      </c>
      <c r="D21" s="69" t="s">
        <v>80</v>
      </c>
      <c r="E21" s="5" t="s">
        <v>58</v>
      </c>
      <c r="F21" s="79" t="s">
        <v>17</v>
      </c>
      <c r="G21" s="79" t="s">
        <v>17</v>
      </c>
      <c r="H21" s="104"/>
      <c r="I21" s="79" t="s">
        <v>17</v>
      </c>
      <c r="J21" s="79" t="s">
        <v>17</v>
      </c>
      <c r="K21" s="79" t="s">
        <v>17</v>
      </c>
      <c r="L21" s="79" t="s">
        <v>17</v>
      </c>
      <c r="M21" s="79" t="s">
        <v>17</v>
      </c>
      <c r="N21" s="105"/>
      <c r="O21" s="104"/>
      <c r="P21" s="79" t="s">
        <v>17</v>
      </c>
      <c r="Q21" s="79" t="s">
        <v>17</v>
      </c>
      <c r="R21" s="79" t="s">
        <v>17</v>
      </c>
      <c r="S21" s="79" t="s">
        <v>17</v>
      </c>
      <c r="T21" s="79" t="s">
        <v>17</v>
      </c>
      <c r="U21" s="79" t="s">
        <v>17</v>
      </c>
      <c r="V21" s="104"/>
      <c r="W21" s="79" t="s">
        <v>17</v>
      </c>
      <c r="X21" s="79" t="s">
        <v>17</v>
      </c>
      <c r="Y21" s="79" t="s">
        <v>17</v>
      </c>
      <c r="Z21" s="79" t="s">
        <v>17</v>
      </c>
      <c r="AA21" s="79" t="s">
        <v>17</v>
      </c>
      <c r="AB21" s="79" t="s">
        <v>17</v>
      </c>
      <c r="AC21" s="104"/>
      <c r="AD21" s="79" t="s">
        <v>17</v>
      </c>
      <c r="AE21" s="79" t="s">
        <v>17</v>
      </c>
      <c r="AF21" s="79" t="s">
        <v>17</v>
      </c>
      <c r="AG21" s="79" t="s">
        <v>17</v>
      </c>
      <c r="AH21" s="79" t="s">
        <v>17</v>
      </c>
      <c r="AI21" s="79" t="s">
        <v>17</v>
      </c>
      <c r="AJ21" s="4">
        <f t="shared" si="1"/>
        <v>25</v>
      </c>
      <c r="AK21" s="4">
        <f t="shared" si="2"/>
        <v>0</v>
      </c>
      <c r="AL21" s="65" t="s">
        <v>13</v>
      </c>
      <c r="AM21" s="6">
        <f>27*$AM$5</f>
        <v>648</v>
      </c>
      <c r="AN21" s="6">
        <f>27*$AM$5</f>
        <v>648</v>
      </c>
      <c r="AO21" s="6">
        <f>AM21+AN21</f>
        <v>1296</v>
      </c>
    </row>
    <row r="22" spans="1:41" ht="16.5">
      <c r="A22" s="6">
        <v>2</v>
      </c>
      <c r="B22" s="74">
        <v>882</v>
      </c>
      <c r="C22" s="77" t="s">
        <v>34</v>
      </c>
      <c r="D22" s="76" t="s">
        <v>99</v>
      </c>
      <c r="E22" s="5" t="s">
        <v>58</v>
      </c>
      <c r="F22" s="79" t="s">
        <v>17</v>
      </c>
      <c r="G22" s="79" t="s">
        <v>17</v>
      </c>
      <c r="H22" s="104"/>
      <c r="I22" s="79" t="s">
        <v>17</v>
      </c>
      <c r="J22" s="79" t="s">
        <v>17</v>
      </c>
      <c r="K22" s="79" t="s">
        <v>17</v>
      </c>
      <c r="L22" s="79" t="s">
        <v>17</v>
      </c>
      <c r="M22" s="79" t="s">
        <v>17</v>
      </c>
      <c r="N22" s="105"/>
      <c r="O22" s="104"/>
      <c r="P22" s="79" t="s">
        <v>17</v>
      </c>
      <c r="Q22" s="79" t="s">
        <v>17</v>
      </c>
      <c r="R22" s="79" t="s">
        <v>17</v>
      </c>
      <c r="S22" s="79" t="s">
        <v>17</v>
      </c>
      <c r="T22" s="79" t="s">
        <v>17</v>
      </c>
      <c r="U22" s="79" t="s">
        <v>17</v>
      </c>
      <c r="V22" s="104"/>
      <c r="W22" s="79" t="s">
        <v>17</v>
      </c>
      <c r="X22" s="79" t="s">
        <v>17</v>
      </c>
      <c r="Y22" s="79" t="s">
        <v>17</v>
      </c>
      <c r="Z22" s="79" t="s">
        <v>17</v>
      </c>
      <c r="AA22" s="79" t="s">
        <v>17</v>
      </c>
      <c r="AB22" s="79" t="s">
        <v>17</v>
      </c>
      <c r="AC22" s="104"/>
      <c r="AD22" s="79" t="s">
        <v>17</v>
      </c>
      <c r="AE22" s="79" t="s">
        <v>17</v>
      </c>
      <c r="AF22" s="79" t="s">
        <v>17</v>
      </c>
      <c r="AG22" s="79" t="s">
        <v>17</v>
      </c>
      <c r="AH22" s="79" t="s">
        <v>17</v>
      </c>
      <c r="AI22" s="79" t="s">
        <v>17</v>
      </c>
      <c r="AJ22" s="4">
        <f t="shared" si="1"/>
        <v>25</v>
      </c>
      <c r="AK22" s="4">
        <f t="shared" si="2"/>
        <v>0</v>
      </c>
      <c r="AL22" s="65" t="s">
        <v>16</v>
      </c>
      <c r="AM22" s="6" t="e">
        <f>AM21-AM14</f>
        <v>#REF!</v>
      </c>
      <c r="AN22" s="6" t="e">
        <f>AN21-AN14</f>
        <v>#REF!</v>
      </c>
      <c r="AO22" s="6" t="e">
        <f>AM22+AN22</f>
        <v>#REF!</v>
      </c>
    </row>
    <row r="23" spans="1:41" ht="16.5">
      <c r="A23" s="6">
        <v>3</v>
      </c>
      <c r="B23" s="71">
        <v>875</v>
      </c>
      <c r="C23" s="78" t="s">
        <v>102</v>
      </c>
      <c r="D23" s="73" t="s">
        <v>103</v>
      </c>
      <c r="E23" s="5" t="s">
        <v>58</v>
      </c>
      <c r="F23" s="79" t="s">
        <v>17</v>
      </c>
      <c r="G23" s="79" t="s">
        <v>17</v>
      </c>
      <c r="H23" s="104"/>
      <c r="I23" s="79" t="s">
        <v>17</v>
      </c>
      <c r="J23" s="79" t="s">
        <v>17</v>
      </c>
      <c r="K23" s="79" t="s">
        <v>17</v>
      </c>
      <c r="L23" s="79" t="s">
        <v>17</v>
      </c>
      <c r="M23" s="79" t="s">
        <v>17</v>
      </c>
      <c r="N23" s="105"/>
      <c r="O23" s="104"/>
      <c r="P23" s="79" t="s">
        <v>17</v>
      </c>
      <c r="Q23" s="79" t="s">
        <v>17</v>
      </c>
      <c r="R23" s="79" t="s">
        <v>17</v>
      </c>
      <c r="S23" s="79" t="s">
        <v>17</v>
      </c>
      <c r="T23" s="79" t="s">
        <v>17</v>
      </c>
      <c r="U23" s="79" t="s">
        <v>17</v>
      </c>
      <c r="V23" s="104"/>
      <c r="W23" s="79" t="s">
        <v>17</v>
      </c>
      <c r="X23" s="79" t="s">
        <v>17</v>
      </c>
      <c r="Y23" s="79" t="s">
        <v>17</v>
      </c>
      <c r="Z23" s="79" t="s">
        <v>17</v>
      </c>
      <c r="AA23" s="79" t="s">
        <v>17</v>
      </c>
      <c r="AB23" s="79" t="s">
        <v>17</v>
      </c>
      <c r="AC23" s="104"/>
      <c r="AD23" s="79" t="s">
        <v>17</v>
      </c>
      <c r="AE23" s="79" t="s">
        <v>17</v>
      </c>
      <c r="AF23" s="79" t="s">
        <v>17</v>
      </c>
      <c r="AG23" s="79" t="s">
        <v>17</v>
      </c>
      <c r="AH23" s="79" t="s">
        <v>17</v>
      </c>
      <c r="AI23" s="79" t="s">
        <v>17</v>
      </c>
      <c r="AJ23" s="4">
        <f t="shared" si="1"/>
        <v>25</v>
      </c>
      <c r="AK23" s="4">
        <f t="shared" si="2"/>
        <v>0</v>
      </c>
      <c r="AL23" s="65" t="s">
        <v>15</v>
      </c>
      <c r="AM23" s="8" t="e">
        <f>AM22/AM21</f>
        <v>#REF!</v>
      </c>
      <c r="AN23" s="8" t="e">
        <f>AN22/AN21</f>
        <v>#REF!</v>
      </c>
      <c r="AO23" s="8" t="e">
        <f>AO22/AO21</f>
        <v>#REF!</v>
      </c>
    </row>
    <row r="24" spans="1:41" ht="16.5">
      <c r="A24" s="6">
        <v>4</v>
      </c>
      <c r="B24" s="71">
        <v>893</v>
      </c>
      <c r="C24" s="72" t="s">
        <v>96</v>
      </c>
      <c r="D24" s="73" t="s">
        <v>78</v>
      </c>
      <c r="E24" s="5" t="s">
        <v>58</v>
      </c>
      <c r="F24" s="79" t="s">
        <v>17</v>
      </c>
      <c r="G24" s="79" t="s">
        <v>17</v>
      </c>
      <c r="H24" s="104"/>
      <c r="I24" s="79" t="s">
        <v>17</v>
      </c>
      <c r="J24" s="79" t="s">
        <v>17</v>
      </c>
      <c r="K24" s="79" t="s">
        <v>17</v>
      </c>
      <c r="L24" s="79" t="s">
        <v>17</v>
      </c>
      <c r="M24" s="79" t="s">
        <v>17</v>
      </c>
      <c r="N24" s="105"/>
      <c r="O24" s="104"/>
      <c r="P24" s="79" t="s">
        <v>17</v>
      </c>
      <c r="Q24" s="79" t="s">
        <v>17</v>
      </c>
      <c r="R24" s="79" t="s">
        <v>17</v>
      </c>
      <c r="S24" s="79" t="s">
        <v>17</v>
      </c>
      <c r="T24" s="79" t="s">
        <v>17</v>
      </c>
      <c r="U24" s="79" t="s">
        <v>17</v>
      </c>
      <c r="V24" s="104"/>
      <c r="W24" s="79" t="s">
        <v>17</v>
      </c>
      <c r="X24" s="79" t="s">
        <v>17</v>
      </c>
      <c r="Y24" s="79" t="s">
        <v>17</v>
      </c>
      <c r="Z24" s="79" t="s">
        <v>17</v>
      </c>
      <c r="AA24" s="79" t="s">
        <v>17</v>
      </c>
      <c r="AB24" s="79" t="s">
        <v>17</v>
      </c>
      <c r="AC24" s="104"/>
      <c r="AD24" s="79" t="s">
        <v>17</v>
      </c>
      <c r="AE24" s="79" t="s">
        <v>17</v>
      </c>
      <c r="AF24" s="79" t="s">
        <v>17</v>
      </c>
      <c r="AG24" s="79" t="s">
        <v>17</v>
      </c>
      <c r="AH24" s="79" t="s">
        <v>17</v>
      </c>
      <c r="AI24" s="79" t="s">
        <v>17</v>
      </c>
      <c r="AJ24" s="4">
        <f t="shared" si="1"/>
        <v>25</v>
      </c>
      <c r="AK24" s="4">
        <f t="shared" si="2"/>
        <v>0</v>
      </c>
    </row>
    <row r="25" spans="1:41" ht="16.5">
      <c r="A25" s="6">
        <v>5</v>
      </c>
      <c r="B25" s="74">
        <v>889</v>
      </c>
      <c r="C25" s="77" t="s">
        <v>98</v>
      </c>
      <c r="D25" s="76" t="s">
        <v>26</v>
      </c>
      <c r="E25" s="5" t="s">
        <v>58</v>
      </c>
      <c r="F25" s="79" t="s">
        <v>17</v>
      </c>
      <c r="G25" s="79" t="s">
        <v>17</v>
      </c>
      <c r="H25" s="104"/>
      <c r="I25" s="79" t="s">
        <v>17</v>
      </c>
      <c r="J25" s="79" t="s">
        <v>17</v>
      </c>
      <c r="K25" s="79" t="s">
        <v>17</v>
      </c>
      <c r="L25" s="79" t="s">
        <v>17</v>
      </c>
      <c r="M25" s="79" t="s">
        <v>17</v>
      </c>
      <c r="N25" s="105"/>
      <c r="O25" s="104"/>
      <c r="P25" s="79" t="s">
        <v>17</v>
      </c>
      <c r="Q25" s="79" t="s">
        <v>17</v>
      </c>
      <c r="R25" s="79" t="s">
        <v>17</v>
      </c>
      <c r="S25" s="79" t="s">
        <v>17</v>
      </c>
      <c r="T25" s="79" t="s">
        <v>17</v>
      </c>
      <c r="U25" s="79" t="s">
        <v>17</v>
      </c>
      <c r="V25" s="104"/>
      <c r="W25" s="79" t="s">
        <v>17</v>
      </c>
      <c r="X25" s="79" t="s">
        <v>17</v>
      </c>
      <c r="Y25" s="79" t="s">
        <v>17</v>
      </c>
      <c r="Z25" s="79" t="s">
        <v>17</v>
      </c>
      <c r="AA25" s="79" t="s">
        <v>17</v>
      </c>
      <c r="AB25" s="79" t="s">
        <v>17</v>
      </c>
      <c r="AC25" s="104"/>
      <c r="AD25" s="79" t="s">
        <v>17</v>
      </c>
      <c r="AE25" s="79" t="s">
        <v>17</v>
      </c>
      <c r="AF25" s="79" t="s">
        <v>17</v>
      </c>
      <c r="AG25" s="79" t="s">
        <v>17</v>
      </c>
      <c r="AH25" s="79" t="s">
        <v>17</v>
      </c>
      <c r="AI25" s="79" t="s">
        <v>17</v>
      </c>
      <c r="AJ25" s="4">
        <f t="shared" si="1"/>
        <v>25</v>
      </c>
      <c r="AK25" s="4">
        <f t="shared" si="2"/>
        <v>0</v>
      </c>
    </row>
    <row r="26" spans="1:41" ht="16.5">
      <c r="A26" s="6">
        <v>6</v>
      </c>
      <c r="B26" s="67">
        <v>911</v>
      </c>
      <c r="C26" s="68" t="s">
        <v>54</v>
      </c>
      <c r="D26" s="69" t="s">
        <v>63</v>
      </c>
      <c r="E26" s="5" t="s">
        <v>58</v>
      </c>
      <c r="F26" s="79" t="s">
        <v>17</v>
      </c>
      <c r="G26" s="79" t="s">
        <v>17</v>
      </c>
      <c r="H26" s="104"/>
      <c r="I26" s="79" t="s">
        <v>17</v>
      </c>
      <c r="J26" s="79" t="s">
        <v>17</v>
      </c>
      <c r="K26" s="79" t="s">
        <v>17</v>
      </c>
      <c r="L26" s="79" t="s">
        <v>17</v>
      </c>
      <c r="M26" s="79" t="s">
        <v>17</v>
      </c>
      <c r="N26" s="105"/>
      <c r="O26" s="104"/>
      <c r="P26" s="79" t="s">
        <v>17</v>
      </c>
      <c r="Q26" s="79" t="s">
        <v>17</v>
      </c>
      <c r="R26" s="79" t="s">
        <v>17</v>
      </c>
      <c r="S26" s="79" t="s">
        <v>17</v>
      </c>
      <c r="T26" s="79" t="s">
        <v>17</v>
      </c>
      <c r="U26" s="79" t="s">
        <v>17</v>
      </c>
      <c r="V26" s="104"/>
      <c r="W26" s="79" t="s">
        <v>17</v>
      </c>
      <c r="X26" s="79" t="s">
        <v>17</v>
      </c>
      <c r="Y26" s="79" t="s">
        <v>17</v>
      </c>
      <c r="Z26" s="79" t="s">
        <v>17</v>
      </c>
      <c r="AA26" s="79" t="s">
        <v>17</v>
      </c>
      <c r="AB26" s="79" t="s">
        <v>17</v>
      </c>
      <c r="AC26" s="104"/>
      <c r="AD26" s="79" t="s">
        <v>17</v>
      </c>
      <c r="AE26" s="79" t="s">
        <v>17</v>
      </c>
      <c r="AF26" s="79" t="s">
        <v>17</v>
      </c>
      <c r="AG26" s="79" t="s">
        <v>17</v>
      </c>
      <c r="AH26" s="79" t="s">
        <v>17</v>
      </c>
      <c r="AI26" s="79" t="s">
        <v>17</v>
      </c>
      <c r="AJ26" s="4">
        <f t="shared" si="1"/>
        <v>25</v>
      </c>
      <c r="AK26" s="4">
        <f t="shared" si="2"/>
        <v>0</v>
      </c>
    </row>
    <row r="27" spans="1:41" ht="16.5">
      <c r="A27" s="6">
        <v>7</v>
      </c>
      <c r="B27" s="67">
        <v>910</v>
      </c>
      <c r="C27" s="68" t="s">
        <v>61</v>
      </c>
      <c r="D27" s="69" t="s">
        <v>62</v>
      </c>
      <c r="E27" s="5" t="s">
        <v>58</v>
      </c>
      <c r="F27" s="79" t="s">
        <v>17</v>
      </c>
      <c r="G27" s="79" t="s">
        <v>17</v>
      </c>
      <c r="H27" s="104"/>
      <c r="I27" s="79" t="s">
        <v>17</v>
      </c>
      <c r="J27" s="79" t="s">
        <v>17</v>
      </c>
      <c r="K27" s="79" t="s">
        <v>17</v>
      </c>
      <c r="L27" s="79" t="s">
        <v>17</v>
      </c>
      <c r="M27" s="79" t="s">
        <v>17</v>
      </c>
      <c r="N27" s="105"/>
      <c r="O27" s="104"/>
      <c r="P27" s="79" t="s">
        <v>17</v>
      </c>
      <c r="Q27" s="79" t="s">
        <v>17</v>
      </c>
      <c r="R27" s="79" t="s">
        <v>17</v>
      </c>
      <c r="S27" s="79" t="s">
        <v>17</v>
      </c>
      <c r="T27" s="79" t="s">
        <v>17</v>
      </c>
      <c r="U27" s="79" t="s">
        <v>17</v>
      </c>
      <c r="V27" s="104"/>
      <c r="W27" s="79" t="s">
        <v>17</v>
      </c>
      <c r="X27" s="79" t="s">
        <v>17</v>
      </c>
      <c r="Y27" s="79" t="s">
        <v>17</v>
      </c>
      <c r="Z27" s="79" t="s">
        <v>17</v>
      </c>
      <c r="AA27" s="79" t="s">
        <v>17</v>
      </c>
      <c r="AB27" s="79" t="s">
        <v>17</v>
      </c>
      <c r="AC27" s="104"/>
      <c r="AD27" s="79" t="s">
        <v>17</v>
      </c>
      <c r="AE27" s="79" t="s">
        <v>17</v>
      </c>
      <c r="AF27" s="79" t="s">
        <v>17</v>
      </c>
      <c r="AG27" s="79" t="s">
        <v>17</v>
      </c>
      <c r="AH27" s="79" t="s">
        <v>17</v>
      </c>
      <c r="AI27" s="79" t="s">
        <v>17</v>
      </c>
      <c r="AJ27" s="4">
        <f t="shared" si="1"/>
        <v>25</v>
      </c>
      <c r="AK27" s="4">
        <f t="shared" si="2"/>
        <v>0</v>
      </c>
    </row>
    <row r="28" spans="1:41" ht="16.5">
      <c r="A28" s="6">
        <v>8</v>
      </c>
      <c r="B28" s="67">
        <v>913</v>
      </c>
      <c r="C28" s="68" t="s">
        <v>64</v>
      </c>
      <c r="D28" s="69" t="s">
        <v>65</v>
      </c>
      <c r="E28" s="5" t="s">
        <v>58</v>
      </c>
      <c r="F28" s="79" t="s">
        <v>17</v>
      </c>
      <c r="G28" s="79" t="s">
        <v>17</v>
      </c>
      <c r="H28" s="104"/>
      <c r="I28" s="79" t="s">
        <v>17</v>
      </c>
      <c r="J28" s="79" t="s">
        <v>17</v>
      </c>
      <c r="K28" s="79" t="s">
        <v>17</v>
      </c>
      <c r="L28" s="79" t="s">
        <v>17</v>
      </c>
      <c r="M28" s="79" t="s">
        <v>17</v>
      </c>
      <c r="N28" s="105"/>
      <c r="O28" s="104"/>
      <c r="P28" s="79" t="s">
        <v>17</v>
      </c>
      <c r="Q28" s="79" t="s">
        <v>17</v>
      </c>
      <c r="R28" s="79" t="s">
        <v>17</v>
      </c>
      <c r="S28" s="79" t="s">
        <v>17</v>
      </c>
      <c r="T28" s="79" t="s">
        <v>17</v>
      </c>
      <c r="U28" s="79" t="s">
        <v>17</v>
      </c>
      <c r="V28" s="104"/>
      <c r="W28" s="79" t="s">
        <v>17</v>
      </c>
      <c r="X28" s="79" t="s">
        <v>17</v>
      </c>
      <c r="Y28" s="79" t="s">
        <v>17</v>
      </c>
      <c r="Z28" s="79" t="s">
        <v>17</v>
      </c>
      <c r="AA28" s="79" t="s">
        <v>17</v>
      </c>
      <c r="AB28" s="79" t="s">
        <v>17</v>
      </c>
      <c r="AC28" s="104"/>
      <c r="AD28" s="79" t="s">
        <v>17</v>
      </c>
      <c r="AE28" s="79" t="s">
        <v>17</v>
      </c>
      <c r="AF28" s="79" t="s">
        <v>17</v>
      </c>
      <c r="AG28" s="79" t="s">
        <v>17</v>
      </c>
      <c r="AH28" s="79" t="s">
        <v>17</v>
      </c>
      <c r="AI28" s="79" t="s">
        <v>17</v>
      </c>
      <c r="AJ28" s="4">
        <f t="shared" si="1"/>
        <v>25</v>
      </c>
      <c r="AK28" s="4">
        <f t="shared" si="2"/>
        <v>0</v>
      </c>
    </row>
    <row r="29" spans="1:41" ht="16.5">
      <c r="A29" s="6">
        <v>9</v>
      </c>
      <c r="B29" s="74">
        <v>860</v>
      </c>
      <c r="C29" s="75" t="s">
        <v>106</v>
      </c>
      <c r="D29" s="76" t="s">
        <v>107</v>
      </c>
      <c r="E29" s="5" t="s">
        <v>58</v>
      </c>
      <c r="F29" s="79" t="s">
        <v>17</v>
      </c>
      <c r="G29" s="79" t="s">
        <v>17</v>
      </c>
      <c r="H29" s="104"/>
      <c r="I29" s="79" t="s">
        <v>17</v>
      </c>
      <c r="J29" s="79" t="s">
        <v>17</v>
      </c>
      <c r="K29" s="79" t="s">
        <v>17</v>
      </c>
      <c r="L29" s="79" t="s">
        <v>17</v>
      </c>
      <c r="M29" s="79" t="s">
        <v>17</v>
      </c>
      <c r="N29" s="105"/>
      <c r="O29" s="104"/>
      <c r="P29" s="79" t="s">
        <v>17</v>
      </c>
      <c r="Q29" s="79" t="s">
        <v>17</v>
      </c>
      <c r="R29" s="79" t="s">
        <v>17</v>
      </c>
      <c r="S29" s="79" t="s">
        <v>17</v>
      </c>
      <c r="T29" s="79" t="s">
        <v>17</v>
      </c>
      <c r="U29" s="79" t="s">
        <v>17</v>
      </c>
      <c r="V29" s="104"/>
      <c r="W29" s="79" t="s">
        <v>17</v>
      </c>
      <c r="X29" s="79" t="s">
        <v>17</v>
      </c>
      <c r="Y29" s="79" t="s">
        <v>17</v>
      </c>
      <c r="Z29" s="79" t="s">
        <v>17</v>
      </c>
      <c r="AA29" s="79" t="s">
        <v>17</v>
      </c>
      <c r="AB29" s="79" t="s">
        <v>17</v>
      </c>
      <c r="AC29" s="104"/>
      <c r="AD29" s="79" t="s">
        <v>17</v>
      </c>
      <c r="AE29" s="79" t="s">
        <v>17</v>
      </c>
      <c r="AF29" s="79" t="s">
        <v>17</v>
      </c>
      <c r="AG29" s="79" t="s">
        <v>17</v>
      </c>
      <c r="AH29" s="79" t="s">
        <v>17</v>
      </c>
      <c r="AI29" s="79" t="s">
        <v>17</v>
      </c>
      <c r="AJ29" s="4">
        <f t="shared" si="1"/>
        <v>25</v>
      </c>
      <c r="AK29" s="4">
        <f t="shared" si="2"/>
        <v>0</v>
      </c>
    </row>
    <row r="30" spans="1:41" ht="16.5">
      <c r="A30" s="6">
        <v>10</v>
      </c>
      <c r="B30" s="67">
        <v>914</v>
      </c>
      <c r="C30" s="68" t="s">
        <v>66</v>
      </c>
      <c r="D30" s="69" t="s">
        <v>67</v>
      </c>
      <c r="E30" s="5" t="s">
        <v>58</v>
      </c>
      <c r="F30" s="79" t="s">
        <v>17</v>
      </c>
      <c r="G30" s="79" t="s">
        <v>17</v>
      </c>
      <c r="H30" s="104"/>
      <c r="I30" s="79" t="s">
        <v>17</v>
      </c>
      <c r="J30" s="79" t="s">
        <v>17</v>
      </c>
      <c r="K30" s="79" t="s">
        <v>17</v>
      </c>
      <c r="L30" s="79" t="s">
        <v>17</v>
      </c>
      <c r="M30" s="79" t="s">
        <v>17</v>
      </c>
      <c r="N30" s="105"/>
      <c r="O30" s="104"/>
      <c r="P30" s="79" t="s">
        <v>17</v>
      </c>
      <c r="Q30" s="79" t="s">
        <v>17</v>
      </c>
      <c r="R30" s="79" t="s">
        <v>17</v>
      </c>
      <c r="S30" s="79" t="s">
        <v>17</v>
      </c>
      <c r="T30" s="79" t="s">
        <v>17</v>
      </c>
      <c r="U30" s="79" t="s">
        <v>17</v>
      </c>
      <c r="V30" s="104"/>
      <c r="W30" s="79" t="s">
        <v>17</v>
      </c>
      <c r="X30" s="79" t="s">
        <v>17</v>
      </c>
      <c r="Y30" s="79" t="s">
        <v>17</v>
      </c>
      <c r="Z30" s="79" t="s">
        <v>17</v>
      </c>
      <c r="AA30" s="79" t="s">
        <v>17</v>
      </c>
      <c r="AB30" s="79" t="s">
        <v>17</v>
      </c>
      <c r="AC30" s="104"/>
      <c r="AD30" s="79" t="s">
        <v>17</v>
      </c>
      <c r="AE30" s="79" t="s">
        <v>17</v>
      </c>
      <c r="AF30" s="79" t="s">
        <v>17</v>
      </c>
      <c r="AG30" s="79" t="s">
        <v>17</v>
      </c>
      <c r="AH30" s="79" t="s">
        <v>17</v>
      </c>
      <c r="AI30" s="79" t="s">
        <v>17</v>
      </c>
      <c r="AJ30" s="4">
        <f t="shared" si="1"/>
        <v>25</v>
      </c>
      <c r="AK30" s="4">
        <f t="shared" si="2"/>
        <v>0</v>
      </c>
    </row>
    <row r="31" spans="1:41" ht="16.5">
      <c r="A31" s="6">
        <v>11</v>
      </c>
      <c r="B31" s="67">
        <v>916</v>
      </c>
      <c r="C31" s="68" t="s">
        <v>68</v>
      </c>
      <c r="D31" s="69" t="s">
        <v>49</v>
      </c>
      <c r="E31" s="5" t="s">
        <v>58</v>
      </c>
      <c r="F31" s="79" t="s">
        <v>17</v>
      </c>
      <c r="G31" s="79" t="s">
        <v>17</v>
      </c>
      <c r="H31" s="104"/>
      <c r="I31" s="79" t="s">
        <v>17</v>
      </c>
      <c r="J31" s="79" t="s">
        <v>17</v>
      </c>
      <c r="K31" s="79" t="s">
        <v>17</v>
      </c>
      <c r="L31" s="79" t="s">
        <v>17</v>
      </c>
      <c r="M31" s="79" t="s">
        <v>17</v>
      </c>
      <c r="N31" s="105"/>
      <c r="O31" s="104"/>
      <c r="P31" s="79" t="s">
        <v>17</v>
      </c>
      <c r="Q31" s="79" t="s">
        <v>17</v>
      </c>
      <c r="R31" s="79" t="s">
        <v>17</v>
      </c>
      <c r="S31" s="79" t="s">
        <v>17</v>
      </c>
      <c r="T31" s="79" t="s">
        <v>17</v>
      </c>
      <c r="U31" s="79" t="s">
        <v>17</v>
      </c>
      <c r="V31" s="104"/>
      <c r="W31" s="79" t="s">
        <v>17</v>
      </c>
      <c r="X31" s="79" t="s">
        <v>17</v>
      </c>
      <c r="Y31" s="79" t="s">
        <v>17</v>
      </c>
      <c r="Z31" s="79" t="s">
        <v>17</v>
      </c>
      <c r="AA31" s="79" t="s">
        <v>17</v>
      </c>
      <c r="AB31" s="79" t="s">
        <v>17</v>
      </c>
      <c r="AC31" s="104"/>
      <c r="AD31" s="79" t="s">
        <v>17</v>
      </c>
      <c r="AE31" s="79" t="s">
        <v>17</v>
      </c>
      <c r="AF31" s="79" t="s">
        <v>17</v>
      </c>
      <c r="AG31" s="79" t="s">
        <v>17</v>
      </c>
      <c r="AH31" s="79" t="s">
        <v>17</v>
      </c>
      <c r="AI31" s="79" t="s">
        <v>17</v>
      </c>
      <c r="AJ31" s="4">
        <f t="shared" si="1"/>
        <v>25</v>
      </c>
      <c r="AK31" s="4">
        <f t="shared" si="2"/>
        <v>0</v>
      </c>
    </row>
    <row r="32" spans="1:41" ht="16.5">
      <c r="A32" s="6">
        <v>12</v>
      </c>
      <c r="B32" s="67">
        <v>917</v>
      </c>
      <c r="C32" s="68" t="s">
        <v>69</v>
      </c>
      <c r="D32" s="69" t="s">
        <v>70</v>
      </c>
      <c r="E32" s="5" t="s">
        <v>58</v>
      </c>
      <c r="F32" s="79" t="s">
        <v>17</v>
      </c>
      <c r="G32" s="79" t="s">
        <v>17</v>
      </c>
      <c r="H32" s="104"/>
      <c r="I32" s="79" t="s">
        <v>17</v>
      </c>
      <c r="J32" s="79" t="s">
        <v>17</v>
      </c>
      <c r="K32" s="79" t="s">
        <v>17</v>
      </c>
      <c r="L32" s="79" t="s">
        <v>17</v>
      </c>
      <c r="M32" s="79" t="s">
        <v>17</v>
      </c>
      <c r="N32" s="105"/>
      <c r="O32" s="104"/>
      <c r="P32" s="79" t="s">
        <v>17</v>
      </c>
      <c r="Q32" s="79" t="s">
        <v>17</v>
      </c>
      <c r="R32" s="79" t="s">
        <v>17</v>
      </c>
      <c r="S32" s="79" t="s">
        <v>17</v>
      </c>
      <c r="T32" s="79" t="s">
        <v>17</v>
      </c>
      <c r="U32" s="79" t="s">
        <v>17</v>
      </c>
      <c r="V32" s="104"/>
      <c r="W32" s="79" t="s">
        <v>17</v>
      </c>
      <c r="X32" s="79" t="s">
        <v>17</v>
      </c>
      <c r="Y32" s="79" t="s">
        <v>17</v>
      </c>
      <c r="Z32" s="79" t="s">
        <v>17</v>
      </c>
      <c r="AA32" s="79" t="s">
        <v>17</v>
      </c>
      <c r="AB32" s="79" t="s">
        <v>17</v>
      </c>
      <c r="AC32" s="104"/>
      <c r="AD32" s="79" t="s">
        <v>17</v>
      </c>
      <c r="AE32" s="79" t="s">
        <v>17</v>
      </c>
      <c r="AF32" s="79" t="s">
        <v>17</v>
      </c>
      <c r="AG32" s="79" t="s">
        <v>17</v>
      </c>
      <c r="AH32" s="79" t="s">
        <v>17</v>
      </c>
      <c r="AI32" s="79" t="s">
        <v>17</v>
      </c>
      <c r="AJ32" s="4">
        <f t="shared" si="1"/>
        <v>25</v>
      </c>
      <c r="AK32" s="4">
        <f t="shared" si="2"/>
        <v>0</v>
      </c>
    </row>
    <row r="33" spans="1:37" ht="16.5">
      <c r="A33" s="6">
        <v>13</v>
      </c>
      <c r="B33" s="67">
        <v>918</v>
      </c>
      <c r="C33" s="68" t="s">
        <v>71</v>
      </c>
      <c r="D33" s="69" t="s">
        <v>70</v>
      </c>
      <c r="E33" s="5" t="s">
        <v>58</v>
      </c>
      <c r="F33" s="79" t="s">
        <v>17</v>
      </c>
      <c r="G33" s="79" t="s">
        <v>17</v>
      </c>
      <c r="H33" s="104"/>
      <c r="I33" s="79" t="s">
        <v>17</v>
      </c>
      <c r="J33" s="79" t="s">
        <v>17</v>
      </c>
      <c r="K33" s="79" t="s">
        <v>17</v>
      </c>
      <c r="L33" s="79" t="s">
        <v>17</v>
      </c>
      <c r="M33" s="79" t="s">
        <v>17</v>
      </c>
      <c r="N33" s="105"/>
      <c r="O33" s="104"/>
      <c r="P33" s="79" t="s">
        <v>17</v>
      </c>
      <c r="Q33" s="79" t="s">
        <v>17</v>
      </c>
      <c r="R33" s="79" t="s">
        <v>17</v>
      </c>
      <c r="S33" s="79" t="s">
        <v>17</v>
      </c>
      <c r="T33" s="79" t="s">
        <v>17</v>
      </c>
      <c r="U33" s="79" t="s">
        <v>17</v>
      </c>
      <c r="V33" s="104"/>
      <c r="W33" s="79" t="s">
        <v>17</v>
      </c>
      <c r="X33" s="79" t="s">
        <v>17</v>
      </c>
      <c r="Y33" s="79" t="s">
        <v>17</v>
      </c>
      <c r="Z33" s="79" t="s">
        <v>17</v>
      </c>
      <c r="AA33" s="79" t="s">
        <v>17</v>
      </c>
      <c r="AB33" s="79" t="s">
        <v>17</v>
      </c>
      <c r="AC33" s="104"/>
      <c r="AD33" s="79" t="s">
        <v>17</v>
      </c>
      <c r="AE33" s="79" t="s">
        <v>17</v>
      </c>
      <c r="AF33" s="79" t="s">
        <v>17</v>
      </c>
      <c r="AG33" s="79" t="s">
        <v>17</v>
      </c>
      <c r="AH33" s="79" t="s">
        <v>17</v>
      </c>
      <c r="AI33" s="79" t="s">
        <v>17</v>
      </c>
      <c r="AJ33" s="4">
        <f t="shared" si="1"/>
        <v>25</v>
      </c>
      <c r="AK33" s="4">
        <f t="shared" si="2"/>
        <v>0</v>
      </c>
    </row>
    <row r="34" spans="1:37" ht="16.5">
      <c r="A34" s="6">
        <v>14</v>
      </c>
      <c r="B34" s="70">
        <v>924</v>
      </c>
      <c r="C34" s="68" t="s">
        <v>77</v>
      </c>
      <c r="D34" s="69" t="s">
        <v>78</v>
      </c>
      <c r="E34" s="5" t="s">
        <v>58</v>
      </c>
      <c r="F34" s="79" t="s">
        <v>17</v>
      </c>
      <c r="G34" s="79" t="s">
        <v>17</v>
      </c>
      <c r="H34" s="104"/>
      <c r="I34" s="79" t="s">
        <v>17</v>
      </c>
      <c r="J34" s="79" t="s">
        <v>17</v>
      </c>
      <c r="K34" s="79" t="s">
        <v>17</v>
      </c>
      <c r="L34" s="79" t="s">
        <v>17</v>
      </c>
      <c r="M34" s="79" t="s">
        <v>17</v>
      </c>
      <c r="N34" s="105"/>
      <c r="O34" s="104"/>
      <c r="P34" s="79" t="s">
        <v>17</v>
      </c>
      <c r="Q34" s="79" t="s">
        <v>17</v>
      </c>
      <c r="R34" s="79" t="s">
        <v>17</v>
      </c>
      <c r="S34" s="79" t="s">
        <v>17</v>
      </c>
      <c r="T34" s="79" t="s">
        <v>17</v>
      </c>
      <c r="U34" s="79" t="s">
        <v>17</v>
      </c>
      <c r="V34" s="104"/>
      <c r="W34" s="79" t="s">
        <v>17</v>
      </c>
      <c r="X34" s="79" t="s">
        <v>17</v>
      </c>
      <c r="Y34" s="79" t="s">
        <v>17</v>
      </c>
      <c r="Z34" s="79" t="s">
        <v>17</v>
      </c>
      <c r="AA34" s="79" t="s">
        <v>17</v>
      </c>
      <c r="AB34" s="79" t="s">
        <v>17</v>
      </c>
      <c r="AC34" s="104"/>
      <c r="AD34" s="79" t="s">
        <v>17</v>
      </c>
      <c r="AE34" s="79" t="s">
        <v>17</v>
      </c>
      <c r="AF34" s="79" t="s">
        <v>17</v>
      </c>
      <c r="AG34" s="79" t="s">
        <v>17</v>
      </c>
      <c r="AH34" s="79" t="s">
        <v>17</v>
      </c>
      <c r="AI34" s="79" t="s">
        <v>17</v>
      </c>
      <c r="AJ34" s="4">
        <f t="shared" si="1"/>
        <v>25</v>
      </c>
      <c r="AK34" s="4">
        <f t="shared" si="2"/>
        <v>0</v>
      </c>
    </row>
    <row r="35" spans="1:37" ht="16.5">
      <c r="A35" s="6">
        <v>15</v>
      </c>
      <c r="B35" s="70">
        <v>923</v>
      </c>
      <c r="C35" s="68" t="s">
        <v>76</v>
      </c>
      <c r="D35" s="69" t="s">
        <v>75</v>
      </c>
      <c r="E35" s="5" t="s">
        <v>58</v>
      </c>
      <c r="F35" s="79" t="s">
        <v>17</v>
      </c>
      <c r="G35" s="79" t="s">
        <v>17</v>
      </c>
      <c r="H35" s="104"/>
      <c r="I35" s="79" t="s">
        <v>17</v>
      </c>
      <c r="J35" s="79" t="s">
        <v>17</v>
      </c>
      <c r="K35" s="79" t="s">
        <v>17</v>
      </c>
      <c r="L35" s="79" t="s">
        <v>17</v>
      </c>
      <c r="M35" s="79" t="s">
        <v>17</v>
      </c>
      <c r="N35" s="105"/>
      <c r="O35" s="104"/>
      <c r="P35" s="79" t="s">
        <v>17</v>
      </c>
      <c r="Q35" s="79" t="s">
        <v>17</v>
      </c>
      <c r="R35" s="79" t="s">
        <v>17</v>
      </c>
      <c r="S35" s="79" t="s">
        <v>17</v>
      </c>
      <c r="T35" s="79" t="s">
        <v>17</v>
      </c>
      <c r="U35" s="79" t="s">
        <v>17</v>
      </c>
      <c r="V35" s="104"/>
      <c r="W35" s="79" t="s">
        <v>17</v>
      </c>
      <c r="X35" s="79" t="s">
        <v>17</v>
      </c>
      <c r="Y35" s="79" t="s">
        <v>17</v>
      </c>
      <c r="Z35" s="79" t="s">
        <v>17</v>
      </c>
      <c r="AA35" s="79" t="s">
        <v>17</v>
      </c>
      <c r="AB35" s="79" t="s">
        <v>17</v>
      </c>
      <c r="AC35" s="104"/>
      <c r="AD35" s="79" t="s">
        <v>17</v>
      </c>
      <c r="AE35" s="79" t="s">
        <v>17</v>
      </c>
      <c r="AF35" s="79" t="s">
        <v>17</v>
      </c>
      <c r="AG35" s="79" t="s">
        <v>17</v>
      </c>
      <c r="AH35" s="79" t="s">
        <v>17</v>
      </c>
      <c r="AI35" s="79" t="s">
        <v>17</v>
      </c>
      <c r="AJ35" s="4">
        <f t="shared" si="1"/>
        <v>25</v>
      </c>
      <c r="AK35" s="4">
        <f t="shared" si="2"/>
        <v>0</v>
      </c>
    </row>
    <row r="36" spans="1:37" ht="16.5">
      <c r="A36" s="6">
        <v>16</v>
      </c>
      <c r="B36" s="67">
        <v>939</v>
      </c>
      <c r="C36" s="68" t="s">
        <v>28</v>
      </c>
      <c r="D36" s="69" t="s">
        <v>86</v>
      </c>
      <c r="E36" s="5" t="s">
        <v>58</v>
      </c>
      <c r="F36" s="79" t="s">
        <v>17</v>
      </c>
      <c r="G36" s="79" t="s">
        <v>17</v>
      </c>
      <c r="H36" s="104"/>
      <c r="I36" s="79" t="s">
        <v>17</v>
      </c>
      <c r="J36" s="79" t="s">
        <v>17</v>
      </c>
      <c r="K36" s="79" t="s">
        <v>17</v>
      </c>
      <c r="L36" s="79" t="s">
        <v>17</v>
      </c>
      <c r="M36" s="79" t="s">
        <v>17</v>
      </c>
      <c r="N36" s="105"/>
      <c r="O36" s="104"/>
      <c r="P36" s="79" t="s">
        <v>17</v>
      </c>
      <c r="Q36" s="79" t="s">
        <v>17</v>
      </c>
      <c r="R36" s="79" t="s">
        <v>17</v>
      </c>
      <c r="S36" s="79" t="s">
        <v>17</v>
      </c>
      <c r="T36" s="79" t="s">
        <v>17</v>
      </c>
      <c r="U36" s="79" t="s">
        <v>17</v>
      </c>
      <c r="V36" s="104"/>
      <c r="W36" s="79" t="s">
        <v>17</v>
      </c>
      <c r="X36" s="79" t="s">
        <v>17</v>
      </c>
      <c r="Y36" s="79" t="s">
        <v>17</v>
      </c>
      <c r="Z36" s="79" t="s">
        <v>17</v>
      </c>
      <c r="AA36" s="79" t="s">
        <v>17</v>
      </c>
      <c r="AB36" s="79" t="s">
        <v>17</v>
      </c>
      <c r="AC36" s="104"/>
      <c r="AD36" s="79" t="s">
        <v>17</v>
      </c>
      <c r="AE36" s="79" t="s">
        <v>17</v>
      </c>
      <c r="AF36" s="79" t="s">
        <v>17</v>
      </c>
      <c r="AG36" s="79" t="s">
        <v>17</v>
      </c>
      <c r="AH36" s="79" t="s">
        <v>17</v>
      </c>
      <c r="AI36" s="79" t="s">
        <v>17</v>
      </c>
      <c r="AJ36" s="4">
        <f t="shared" si="1"/>
        <v>25</v>
      </c>
      <c r="AK36" s="4">
        <f t="shared" si="2"/>
        <v>0</v>
      </c>
    </row>
    <row r="37" spans="1:37" ht="16.5">
      <c r="A37" s="6">
        <v>17</v>
      </c>
      <c r="B37" s="70">
        <v>930</v>
      </c>
      <c r="C37" s="68" t="s">
        <v>31</v>
      </c>
      <c r="D37" s="69" t="s">
        <v>18</v>
      </c>
      <c r="E37" s="5" t="s">
        <v>58</v>
      </c>
      <c r="F37" s="79" t="s">
        <v>17</v>
      </c>
      <c r="G37" s="79" t="s">
        <v>17</v>
      </c>
      <c r="H37" s="104"/>
      <c r="I37" s="79" t="s">
        <v>17</v>
      </c>
      <c r="J37" s="79" t="s">
        <v>17</v>
      </c>
      <c r="K37" s="79" t="s">
        <v>17</v>
      </c>
      <c r="L37" s="79" t="s">
        <v>17</v>
      </c>
      <c r="M37" s="79" t="s">
        <v>17</v>
      </c>
      <c r="N37" s="105"/>
      <c r="O37" s="104"/>
      <c r="P37" s="79" t="s">
        <v>17</v>
      </c>
      <c r="Q37" s="79" t="s">
        <v>17</v>
      </c>
      <c r="R37" s="79" t="s">
        <v>17</v>
      </c>
      <c r="S37" s="79" t="s">
        <v>17</v>
      </c>
      <c r="T37" s="79" t="s">
        <v>17</v>
      </c>
      <c r="U37" s="79" t="s">
        <v>17</v>
      </c>
      <c r="V37" s="104"/>
      <c r="W37" s="79" t="s">
        <v>17</v>
      </c>
      <c r="X37" s="79" t="s">
        <v>17</v>
      </c>
      <c r="Y37" s="79" t="s">
        <v>17</v>
      </c>
      <c r="Z37" s="79" t="s">
        <v>17</v>
      </c>
      <c r="AA37" s="79" t="s">
        <v>17</v>
      </c>
      <c r="AB37" s="79" t="s">
        <v>17</v>
      </c>
      <c r="AC37" s="104"/>
      <c r="AD37" s="79" t="s">
        <v>17</v>
      </c>
      <c r="AE37" s="79" t="s">
        <v>17</v>
      </c>
      <c r="AF37" s="79" t="s">
        <v>17</v>
      </c>
      <c r="AG37" s="79" t="s">
        <v>17</v>
      </c>
      <c r="AH37" s="79" t="s">
        <v>17</v>
      </c>
      <c r="AI37" s="79" t="s">
        <v>17</v>
      </c>
      <c r="AJ37" s="4">
        <f t="shared" si="1"/>
        <v>25</v>
      </c>
      <c r="AK37" s="4">
        <f t="shared" si="2"/>
        <v>0</v>
      </c>
    </row>
    <row r="38" spans="1:37" ht="16.5">
      <c r="A38" s="6">
        <v>18</v>
      </c>
      <c r="B38" s="70">
        <v>931</v>
      </c>
      <c r="C38" s="68" t="s">
        <v>82</v>
      </c>
      <c r="D38" s="69" t="s">
        <v>83</v>
      </c>
      <c r="E38" s="5" t="s">
        <v>58</v>
      </c>
      <c r="F38" s="79" t="s">
        <v>17</v>
      </c>
      <c r="G38" s="79" t="s">
        <v>17</v>
      </c>
      <c r="H38" s="104"/>
      <c r="I38" s="79" t="s">
        <v>17</v>
      </c>
      <c r="J38" s="79" t="s">
        <v>17</v>
      </c>
      <c r="K38" s="79" t="s">
        <v>17</v>
      </c>
      <c r="L38" s="79" t="s">
        <v>17</v>
      </c>
      <c r="M38" s="79" t="s">
        <v>17</v>
      </c>
      <c r="N38" s="105"/>
      <c r="O38" s="104"/>
      <c r="P38" s="79" t="s">
        <v>17</v>
      </c>
      <c r="Q38" s="79" t="s">
        <v>17</v>
      </c>
      <c r="R38" s="79" t="s">
        <v>17</v>
      </c>
      <c r="S38" s="79" t="s">
        <v>17</v>
      </c>
      <c r="T38" s="79" t="s">
        <v>17</v>
      </c>
      <c r="U38" s="79" t="s">
        <v>17</v>
      </c>
      <c r="V38" s="104"/>
      <c r="W38" s="79" t="s">
        <v>17</v>
      </c>
      <c r="X38" s="79" t="s">
        <v>17</v>
      </c>
      <c r="Y38" s="79" t="s">
        <v>17</v>
      </c>
      <c r="Z38" s="79" t="s">
        <v>17</v>
      </c>
      <c r="AA38" s="79" t="s">
        <v>17</v>
      </c>
      <c r="AB38" s="79" t="s">
        <v>17</v>
      </c>
      <c r="AC38" s="104"/>
      <c r="AD38" s="79" t="s">
        <v>17</v>
      </c>
      <c r="AE38" s="79" t="s">
        <v>17</v>
      </c>
      <c r="AF38" s="79" t="s">
        <v>17</v>
      </c>
      <c r="AG38" s="79" t="s">
        <v>17</v>
      </c>
      <c r="AH38" s="79" t="s">
        <v>17</v>
      </c>
      <c r="AI38" s="79" t="s">
        <v>17</v>
      </c>
      <c r="AJ38" s="4">
        <f t="shared" si="1"/>
        <v>25</v>
      </c>
      <c r="AK38" s="4">
        <f t="shared" si="2"/>
        <v>0</v>
      </c>
    </row>
    <row r="39" spans="1:37" ht="16.5">
      <c r="A39" s="6">
        <v>19</v>
      </c>
      <c r="B39" s="67">
        <v>944</v>
      </c>
      <c r="C39" s="68" t="s">
        <v>48</v>
      </c>
      <c r="D39" s="69" t="s">
        <v>89</v>
      </c>
      <c r="E39" s="5" t="s">
        <v>58</v>
      </c>
      <c r="F39" s="79" t="s">
        <v>17</v>
      </c>
      <c r="G39" s="79" t="s">
        <v>17</v>
      </c>
      <c r="H39" s="104"/>
      <c r="I39" s="79" t="s">
        <v>17</v>
      </c>
      <c r="J39" s="79" t="s">
        <v>17</v>
      </c>
      <c r="K39" s="79" t="s">
        <v>17</v>
      </c>
      <c r="L39" s="79" t="s">
        <v>17</v>
      </c>
      <c r="M39" s="79" t="s">
        <v>17</v>
      </c>
      <c r="N39" s="105"/>
      <c r="O39" s="104"/>
      <c r="P39" s="79" t="s">
        <v>17</v>
      </c>
      <c r="Q39" s="79" t="s">
        <v>17</v>
      </c>
      <c r="R39" s="79" t="s">
        <v>17</v>
      </c>
      <c r="S39" s="79" t="s">
        <v>17</v>
      </c>
      <c r="T39" s="79" t="s">
        <v>17</v>
      </c>
      <c r="U39" s="79" t="s">
        <v>17</v>
      </c>
      <c r="V39" s="104"/>
      <c r="W39" s="79" t="s">
        <v>17</v>
      </c>
      <c r="X39" s="79" t="s">
        <v>17</v>
      </c>
      <c r="Y39" s="79" t="s">
        <v>17</v>
      </c>
      <c r="Z39" s="79" t="s">
        <v>17</v>
      </c>
      <c r="AA39" s="79" t="s">
        <v>17</v>
      </c>
      <c r="AB39" s="79" t="s">
        <v>17</v>
      </c>
      <c r="AC39" s="104"/>
      <c r="AD39" s="79" t="s">
        <v>17</v>
      </c>
      <c r="AE39" s="79" t="s">
        <v>17</v>
      </c>
      <c r="AF39" s="79" t="s">
        <v>17</v>
      </c>
      <c r="AG39" s="79" t="s">
        <v>17</v>
      </c>
      <c r="AH39" s="79" t="s">
        <v>17</v>
      </c>
      <c r="AI39" s="79" t="s">
        <v>17</v>
      </c>
      <c r="AJ39" s="4">
        <f t="shared" si="1"/>
        <v>25</v>
      </c>
      <c r="AK39" s="4">
        <f t="shared" si="2"/>
        <v>0</v>
      </c>
    </row>
    <row r="40" spans="1:37" ht="16.5">
      <c r="A40" s="6">
        <v>20</v>
      </c>
      <c r="B40" s="67">
        <v>938</v>
      </c>
      <c r="C40" s="68" t="s">
        <v>84</v>
      </c>
      <c r="D40" s="69" t="s">
        <v>85</v>
      </c>
      <c r="E40" s="5" t="s">
        <v>58</v>
      </c>
      <c r="F40" s="79" t="s">
        <v>17</v>
      </c>
      <c r="G40" s="79" t="s">
        <v>17</v>
      </c>
      <c r="H40" s="104"/>
      <c r="I40" s="79" t="s">
        <v>17</v>
      </c>
      <c r="J40" s="79" t="s">
        <v>17</v>
      </c>
      <c r="K40" s="79" t="s">
        <v>17</v>
      </c>
      <c r="L40" s="79" t="s">
        <v>17</v>
      </c>
      <c r="M40" s="79" t="s">
        <v>17</v>
      </c>
      <c r="N40" s="105"/>
      <c r="O40" s="104"/>
      <c r="P40" s="79" t="s">
        <v>17</v>
      </c>
      <c r="Q40" s="79" t="s">
        <v>17</v>
      </c>
      <c r="R40" s="79" t="s">
        <v>17</v>
      </c>
      <c r="S40" s="79" t="s">
        <v>17</v>
      </c>
      <c r="T40" s="79" t="s">
        <v>17</v>
      </c>
      <c r="U40" s="79" t="s">
        <v>17</v>
      </c>
      <c r="V40" s="104"/>
      <c r="W40" s="79" t="s">
        <v>17</v>
      </c>
      <c r="X40" s="79" t="s">
        <v>17</v>
      </c>
      <c r="Y40" s="79" t="s">
        <v>17</v>
      </c>
      <c r="Z40" s="79" t="s">
        <v>17</v>
      </c>
      <c r="AA40" s="79" t="s">
        <v>17</v>
      </c>
      <c r="AB40" s="79" t="s">
        <v>17</v>
      </c>
      <c r="AC40" s="104"/>
      <c r="AD40" s="79" t="s">
        <v>17</v>
      </c>
      <c r="AE40" s="79" t="s">
        <v>17</v>
      </c>
      <c r="AF40" s="79" t="s">
        <v>17</v>
      </c>
      <c r="AG40" s="79" t="s">
        <v>17</v>
      </c>
      <c r="AH40" s="79" t="s">
        <v>17</v>
      </c>
      <c r="AI40" s="79" t="s">
        <v>17</v>
      </c>
      <c r="AJ40" s="4">
        <f t="shared" si="1"/>
        <v>25</v>
      </c>
      <c r="AK40" s="4">
        <f t="shared" si="2"/>
        <v>0</v>
      </c>
    </row>
    <row r="41" spans="1:37" ht="16.5">
      <c r="A41" s="6">
        <v>21</v>
      </c>
      <c r="B41" s="74">
        <v>941</v>
      </c>
      <c r="C41" s="75" t="s">
        <v>31</v>
      </c>
      <c r="D41" s="76" t="s">
        <v>210</v>
      </c>
      <c r="E41" s="5" t="s">
        <v>58</v>
      </c>
      <c r="F41" s="79" t="s">
        <v>17</v>
      </c>
      <c r="G41" s="79" t="s">
        <v>17</v>
      </c>
      <c r="H41" s="104"/>
      <c r="I41" s="79" t="s">
        <v>17</v>
      </c>
      <c r="J41" s="79" t="s">
        <v>17</v>
      </c>
      <c r="K41" s="79" t="s">
        <v>17</v>
      </c>
      <c r="L41" s="79" t="s">
        <v>17</v>
      </c>
      <c r="M41" s="79" t="s">
        <v>17</v>
      </c>
      <c r="N41" s="105"/>
      <c r="O41" s="104"/>
      <c r="P41" s="79" t="s">
        <v>17</v>
      </c>
      <c r="Q41" s="79" t="s">
        <v>17</v>
      </c>
      <c r="R41" s="79" t="s">
        <v>17</v>
      </c>
      <c r="S41" s="79" t="s">
        <v>17</v>
      </c>
      <c r="T41" s="79" t="s">
        <v>17</v>
      </c>
      <c r="U41" s="79" t="s">
        <v>17</v>
      </c>
      <c r="V41" s="104"/>
      <c r="W41" s="79" t="s">
        <v>17</v>
      </c>
      <c r="X41" s="79" t="s">
        <v>17</v>
      </c>
      <c r="Y41" s="79" t="s">
        <v>17</v>
      </c>
      <c r="Z41" s="79" t="s">
        <v>17</v>
      </c>
      <c r="AA41" s="79" t="s">
        <v>17</v>
      </c>
      <c r="AB41" s="79" t="s">
        <v>17</v>
      </c>
      <c r="AC41" s="104"/>
      <c r="AD41" s="79" t="s">
        <v>17</v>
      </c>
      <c r="AE41" s="79" t="s">
        <v>17</v>
      </c>
      <c r="AF41" s="79" t="s">
        <v>17</v>
      </c>
      <c r="AG41" s="79" t="s">
        <v>17</v>
      </c>
      <c r="AH41" s="79" t="s">
        <v>17</v>
      </c>
      <c r="AI41" s="79" t="s">
        <v>17</v>
      </c>
      <c r="AJ41" s="4">
        <f t="shared" ref="AJ41:AJ42" si="3">COUNTIF(F41:AI41,"P")</f>
        <v>25</v>
      </c>
      <c r="AK41" s="4">
        <f t="shared" ref="AK41:AK42" si="4">COUNTIF(F41:AI41,"A")</f>
        <v>0</v>
      </c>
    </row>
    <row r="42" spans="1:37" ht="16.5">
      <c r="A42" s="6">
        <v>22</v>
      </c>
      <c r="B42" s="74">
        <v>951</v>
      </c>
      <c r="C42" s="75" t="s">
        <v>108</v>
      </c>
      <c r="D42" s="76" t="s">
        <v>109</v>
      </c>
      <c r="E42" s="5" t="s">
        <v>58</v>
      </c>
      <c r="F42" s="79" t="s">
        <v>17</v>
      </c>
      <c r="G42" s="79" t="s">
        <v>17</v>
      </c>
      <c r="H42" s="104"/>
      <c r="I42" s="79" t="s">
        <v>17</v>
      </c>
      <c r="J42" s="79" t="s">
        <v>17</v>
      </c>
      <c r="K42" s="79" t="s">
        <v>17</v>
      </c>
      <c r="L42" s="79" t="s">
        <v>17</v>
      </c>
      <c r="M42" s="79" t="s">
        <v>17</v>
      </c>
      <c r="N42" s="105"/>
      <c r="O42" s="104"/>
      <c r="P42" s="79" t="s">
        <v>17</v>
      </c>
      <c r="Q42" s="79" t="s">
        <v>17</v>
      </c>
      <c r="R42" s="79" t="s">
        <v>17</v>
      </c>
      <c r="S42" s="79" t="s">
        <v>17</v>
      </c>
      <c r="T42" s="79" t="s">
        <v>17</v>
      </c>
      <c r="U42" s="79" t="s">
        <v>17</v>
      </c>
      <c r="V42" s="104"/>
      <c r="W42" s="79" t="s">
        <v>17</v>
      </c>
      <c r="X42" s="79" t="s">
        <v>17</v>
      </c>
      <c r="Y42" s="79" t="s">
        <v>17</v>
      </c>
      <c r="Z42" s="79" t="s">
        <v>17</v>
      </c>
      <c r="AA42" s="79" t="s">
        <v>17</v>
      </c>
      <c r="AB42" s="79" t="s">
        <v>17</v>
      </c>
      <c r="AC42" s="104"/>
      <c r="AD42" s="79" t="s">
        <v>17</v>
      </c>
      <c r="AE42" s="79" t="s">
        <v>17</v>
      </c>
      <c r="AF42" s="79" t="s">
        <v>17</v>
      </c>
      <c r="AG42" s="79" t="s">
        <v>17</v>
      </c>
      <c r="AH42" s="79" t="s">
        <v>17</v>
      </c>
      <c r="AI42" s="79" t="s">
        <v>17</v>
      </c>
      <c r="AJ42" s="4">
        <f t="shared" si="3"/>
        <v>25</v>
      </c>
      <c r="AK42" s="4">
        <f t="shared" si="4"/>
        <v>0</v>
      </c>
    </row>
  </sheetData>
  <mergeCells count="17">
    <mergeCell ref="AK3:AK4"/>
    <mergeCell ref="AL3:AM3"/>
    <mergeCell ref="AL11:AO11"/>
    <mergeCell ref="AL19:AO19"/>
    <mergeCell ref="A3:A4"/>
    <mergeCell ref="C3:C4"/>
    <mergeCell ref="D3:D4"/>
    <mergeCell ref="E3:E4"/>
    <mergeCell ref="AJ3:AJ4"/>
    <mergeCell ref="H5:H42"/>
    <mergeCell ref="O5:O42"/>
    <mergeCell ref="V5:V42"/>
    <mergeCell ref="AC5:AC42"/>
    <mergeCell ref="N5:N42"/>
    <mergeCell ref="A2:AI2"/>
    <mergeCell ref="A1:AI1"/>
    <mergeCell ref="B3:B4"/>
  </mergeCells>
  <phoneticPr fontId="18" type="noConversion"/>
  <conditionalFormatting sqref="F5:G42">
    <cfRule type="cellIs" dxfId="321" priority="198" operator="equal">
      <formula>"L"</formula>
    </cfRule>
    <cfRule type="expression" dxfId="320" priority="199">
      <formula>F$4=TODAY()</formula>
    </cfRule>
    <cfRule type="cellIs" dxfId="319" priority="200" operator="equal">
      <formula>"A"</formula>
    </cfRule>
    <cfRule type="cellIs" dxfId="318" priority="201" operator="equal">
      <formula>"P"</formula>
    </cfRule>
    <cfRule type="expression" dxfId="317" priority="202">
      <formula>F$3="Sun"</formula>
    </cfRule>
  </conditionalFormatting>
  <conditionalFormatting sqref="F3:AI4">
    <cfRule type="expression" dxfId="316" priority="209">
      <formula>F$4=TODAY()</formula>
    </cfRule>
    <cfRule type="expression" dxfId="315" priority="212">
      <formula>F$3="Sun"</formula>
    </cfRule>
  </conditionalFormatting>
  <conditionalFormatting sqref="H5">
    <cfRule type="cellIs" dxfId="314" priority="37" operator="equal">
      <formula>"L"</formula>
    </cfRule>
    <cfRule type="expression" dxfId="313" priority="38">
      <formula>H$4=TODAY()</formula>
    </cfRule>
    <cfRule type="cellIs" dxfId="312" priority="39" operator="equal">
      <formula>"A"</formula>
    </cfRule>
    <cfRule type="cellIs" dxfId="311" priority="40" operator="equal">
      <formula>"P"</formula>
    </cfRule>
    <cfRule type="expression" dxfId="310" priority="41">
      <formula>H$3="Sun"</formula>
    </cfRule>
  </conditionalFormatting>
  <conditionalFormatting sqref="I5:M42">
    <cfRule type="cellIs" dxfId="309" priority="147" operator="equal">
      <formula>"L"</formula>
    </cfRule>
    <cfRule type="expression" dxfId="308" priority="148">
      <formula>I$4=TODAY()</formula>
    </cfRule>
    <cfRule type="cellIs" dxfId="307" priority="149" operator="equal">
      <formula>"A"</formula>
    </cfRule>
    <cfRule type="cellIs" dxfId="306" priority="150" operator="equal">
      <formula>"P"</formula>
    </cfRule>
    <cfRule type="expression" dxfId="305" priority="151">
      <formula>I$3="Sun"</formula>
    </cfRule>
  </conditionalFormatting>
  <conditionalFormatting sqref="N5:O5">
    <cfRule type="cellIs" dxfId="304" priority="12" operator="equal">
      <formula>"L"</formula>
    </cfRule>
    <cfRule type="expression" dxfId="303" priority="13">
      <formula>N$4=TODAY()</formula>
    </cfRule>
    <cfRule type="cellIs" dxfId="302" priority="14" operator="equal">
      <formula>"A"</formula>
    </cfRule>
    <cfRule type="cellIs" dxfId="301" priority="15" operator="equal">
      <formula>"P"</formula>
    </cfRule>
    <cfRule type="expression" dxfId="300" priority="16">
      <formula>N$3="Sun"</formula>
    </cfRule>
  </conditionalFormatting>
  <conditionalFormatting sqref="P5:U42">
    <cfRule type="cellIs" dxfId="299" priority="112" operator="equal">
      <formula>"L"</formula>
    </cfRule>
    <cfRule type="expression" dxfId="298" priority="113">
      <formula>P$4=TODAY()</formula>
    </cfRule>
    <cfRule type="cellIs" dxfId="297" priority="114" operator="equal">
      <formula>"A"</formula>
    </cfRule>
    <cfRule type="cellIs" dxfId="296" priority="115" operator="equal">
      <formula>"P"</formula>
    </cfRule>
    <cfRule type="expression" dxfId="295" priority="116">
      <formula>P$3="Sun"</formula>
    </cfRule>
  </conditionalFormatting>
  <conditionalFormatting sqref="V5">
    <cfRule type="cellIs" dxfId="294" priority="7" operator="equal">
      <formula>"L"</formula>
    </cfRule>
    <cfRule type="expression" dxfId="293" priority="8">
      <formula>V$4=TODAY()</formula>
    </cfRule>
    <cfRule type="cellIs" dxfId="292" priority="9" operator="equal">
      <formula>"A"</formula>
    </cfRule>
    <cfRule type="cellIs" dxfId="291" priority="10" operator="equal">
      <formula>"P"</formula>
    </cfRule>
    <cfRule type="expression" dxfId="290" priority="11">
      <formula>V$3="Sun"</formula>
    </cfRule>
  </conditionalFormatting>
  <conditionalFormatting sqref="W5:AB42">
    <cfRule type="cellIs" dxfId="289" priority="77" operator="equal">
      <formula>"L"</formula>
    </cfRule>
    <cfRule type="expression" dxfId="288" priority="78">
      <formula>W$4=TODAY()</formula>
    </cfRule>
    <cfRule type="cellIs" dxfId="287" priority="79" operator="equal">
      <formula>"A"</formula>
    </cfRule>
    <cfRule type="cellIs" dxfId="286" priority="80" operator="equal">
      <formula>"P"</formula>
    </cfRule>
    <cfRule type="expression" dxfId="285" priority="81">
      <formula>W$3="Sun"</formula>
    </cfRule>
  </conditionalFormatting>
  <conditionalFormatting sqref="AC5">
    <cfRule type="cellIs" dxfId="284" priority="2" operator="equal">
      <formula>"L"</formula>
    </cfRule>
    <cfRule type="expression" dxfId="283" priority="3">
      <formula>AC$4=TODAY()</formula>
    </cfRule>
    <cfRule type="cellIs" dxfId="282" priority="4" operator="equal">
      <formula>"A"</formula>
    </cfRule>
    <cfRule type="cellIs" dxfId="281" priority="5" operator="equal">
      <formula>"P"</formula>
    </cfRule>
    <cfRule type="expression" dxfId="280" priority="6">
      <formula>AC$3="Sun"</formula>
    </cfRule>
  </conditionalFormatting>
  <conditionalFormatting sqref="AD5:AI42">
    <cfRule type="cellIs" dxfId="279" priority="17" operator="equal">
      <formula>"L"</formula>
    </cfRule>
    <cfRule type="expression" dxfId="278" priority="18">
      <formula>AD$4=TODAY()</formula>
    </cfRule>
    <cfRule type="cellIs" dxfId="277" priority="19" operator="equal">
      <formula>"A"</formula>
    </cfRule>
    <cfRule type="cellIs" dxfId="276" priority="20" operator="equal">
      <formula>"P"</formula>
    </cfRule>
    <cfRule type="expression" dxfId="275" priority="21">
      <formula>AD$3="Sun"</formula>
    </cfRule>
  </conditionalFormatting>
  <conditionalFormatting sqref="AJ3:AK3 AJ5:AK42">
    <cfRule type="expression" dxfId="274" priority="213">
      <formula>#REF!="Sun"</formula>
    </cfRule>
  </conditionalFormatting>
  <conditionalFormatting sqref="AL5:AL9">
    <cfRule type="expression" dxfId="273" priority="232">
      <formula>AL$3="Sun"</formula>
    </cfRule>
  </conditionalFormatting>
  <conditionalFormatting sqref="AL12:AL15">
    <cfRule type="expression" dxfId="272" priority="230">
      <formula>AL$3="Sun"</formula>
    </cfRule>
  </conditionalFormatting>
  <conditionalFormatting sqref="AL20:AL23">
    <cfRule type="expression" dxfId="271" priority="229">
      <formula>AL$3="Sun"</formula>
    </cfRule>
  </conditionalFormatting>
  <conditionalFormatting sqref="AL4:AM4">
    <cfRule type="expression" dxfId="270" priority="233">
      <formula>AL$3="Sun"</formula>
    </cfRule>
  </conditionalFormatting>
  <conditionalFormatting sqref="AM12:AO12 AM20:AO20">
    <cfRule type="expression" dxfId="269" priority="234">
      <formula>AM$3="Sun"</formula>
    </cfRule>
  </conditionalFormatting>
  <conditionalFormatting sqref="AO21">
    <cfRule type="expression" dxfId="268" priority="231">
      <formula>AO$3="Sun"</formula>
    </cfRule>
  </conditionalFormatting>
  <conditionalFormatting sqref="B5:B42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F3638-0413-434A-95C7-18E1CCB76D90}">
  <dimension ref="A1:D38"/>
  <sheetViews>
    <sheetView topLeftCell="A22" workbookViewId="0">
      <selection sqref="A1:D38"/>
    </sheetView>
  </sheetViews>
  <sheetFormatPr defaultRowHeight="15"/>
  <cols>
    <col min="1" max="1" width="3" bestFit="1" customWidth="1"/>
    <col min="2" max="2" width="4" bestFit="1" customWidth="1"/>
    <col min="3" max="3" width="19.5703125" bestFit="1" customWidth="1"/>
    <col min="4" max="4" width="26.42578125" bestFit="1" customWidth="1"/>
  </cols>
  <sheetData>
    <row r="1" spans="1:4">
      <c r="A1" s="6">
        <v>1</v>
      </c>
      <c r="B1" s="72">
        <v>856</v>
      </c>
      <c r="C1" s="71" t="s">
        <v>90</v>
      </c>
      <c r="D1" s="103" t="s">
        <v>91</v>
      </c>
    </row>
    <row r="2" spans="1:4" ht="15.75">
      <c r="A2" s="6">
        <v>2</v>
      </c>
      <c r="B2" s="71">
        <v>887</v>
      </c>
      <c r="C2" s="78" t="s">
        <v>100</v>
      </c>
      <c r="D2" s="73" t="s">
        <v>101</v>
      </c>
    </row>
    <row r="3" spans="1:4" ht="15.75">
      <c r="A3" s="6">
        <v>3</v>
      </c>
      <c r="B3" s="71">
        <v>886</v>
      </c>
      <c r="C3" s="78" t="s">
        <v>105</v>
      </c>
      <c r="D3" s="73" t="s">
        <v>101</v>
      </c>
    </row>
    <row r="4" spans="1:4" ht="15.75">
      <c r="A4" s="6">
        <v>4</v>
      </c>
      <c r="B4" s="74">
        <v>877</v>
      </c>
      <c r="C4" s="77" t="s">
        <v>104</v>
      </c>
      <c r="D4" s="76" t="s">
        <v>103</v>
      </c>
    </row>
    <row r="5" spans="1:4">
      <c r="A5" s="6">
        <v>5</v>
      </c>
      <c r="B5" s="74">
        <v>894</v>
      </c>
      <c r="C5" s="75" t="s">
        <v>97</v>
      </c>
      <c r="D5" s="76" t="s">
        <v>78</v>
      </c>
    </row>
    <row r="6" spans="1:4">
      <c r="A6" s="6">
        <v>6</v>
      </c>
      <c r="B6" s="70">
        <v>921</v>
      </c>
      <c r="C6" s="68" t="s">
        <v>74</v>
      </c>
      <c r="D6" s="69" t="s">
        <v>73</v>
      </c>
    </row>
    <row r="7" spans="1:4">
      <c r="A7" s="6">
        <v>7</v>
      </c>
      <c r="B7" s="70">
        <v>922</v>
      </c>
      <c r="C7" s="68" t="s">
        <v>56</v>
      </c>
      <c r="D7" s="69" t="s">
        <v>75</v>
      </c>
    </row>
    <row r="8" spans="1:4">
      <c r="A8" s="6">
        <v>8</v>
      </c>
      <c r="B8" s="70">
        <v>928</v>
      </c>
      <c r="C8" s="68" t="s">
        <v>79</v>
      </c>
      <c r="D8" s="69" t="s">
        <v>80</v>
      </c>
    </row>
    <row r="9" spans="1:4">
      <c r="A9" s="6">
        <v>9</v>
      </c>
      <c r="B9" s="71">
        <v>865</v>
      </c>
      <c r="C9" s="72" t="s">
        <v>92</v>
      </c>
      <c r="D9" s="73" t="s">
        <v>93</v>
      </c>
    </row>
    <row r="10" spans="1:4">
      <c r="A10" s="6">
        <v>10</v>
      </c>
      <c r="B10" s="70">
        <v>929</v>
      </c>
      <c r="C10" s="68" t="s">
        <v>81</v>
      </c>
      <c r="D10" s="69" t="s">
        <v>18</v>
      </c>
    </row>
    <row r="11" spans="1:4">
      <c r="A11" s="6">
        <v>11</v>
      </c>
      <c r="B11" s="67">
        <v>919</v>
      </c>
      <c r="C11" s="68" t="s">
        <v>72</v>
      </c>
      <c r="D11" s="69" t="s">
        <v>73</v>
      </c>
    </row>
    <row r="12" spans="1:4">
      <c r="A12" s="6">
        <v>12</v>
      </c>
      <c r="B12" s="67">
        <v>940</v>
      </c>
      <c r="C12" s="68" t="s">
        <v>87</v>
      </c>
      <c r="D12" s="69" t="s">
        <v>86</v>
      </c>
    </row>
    <row r="13" spans="1:4">
      <c r="A13" s="6">
        <v>13</v>
      </c>
      <c r="B13" s="67">
        <v>943</v>
      </c>
      <c r="C13" s="68" t="s">
        <v>88</v>
      </c>
      <c r="D13" s="69" t="s">
        <v>89</v>
      </c>
    </row>
    <row r="14" spans="1:4">
      <c r="A14" s="6">
        <v>14</v>
      </c>
      <c r="B14" s="74">
        <v>899</v>
      </c>
      <c r="C14" s="75" t="s">
        <v>94</v>
      </c>
      <c r="D14" s="76" t="s">
        <v>95</v>
      </c>
    </row>
    <row r="15" spans="1:4">
      <c r="A15" s="6">
        <v>15</v>
      </c>
      <c r="B15" s="74">
        <v>947</v>
      </c>
      <c r="C15" s="75" t="s">
        <v>110</v>
      </c>
      <c r="D15" s="76" t="s">
        <v>53</v>
      </c>
    </row>
    <row r="16" spans="1:4">
      <c r="A16" s="6">
        <v>16</v>
      </c>
      <c r="B16" s="74">
        <v>859</v>
      </c>
      <c r="C16" s="75" t="s">
        <v>208</v>
      </c>
      <c r="D16" s="76" t="s">
        <v>209</v>
      </c>
    </row>
    <row r="17" spans="1:4">
      <c r="A17" s="6">
        <v>1</v>
      </c>
      <c r="B17" s="67">
        <v>934</v>
      </c>
      <c r="C17" s="68" t="s">
        <v>52</v>
      </c>
      <c r="D17" s="69" t="s">
        <v>80</v>
      </c>
    </row>
    <row r="18" spans="1:4" ht="15.75">
      <c r="A18" s="6">
        <v>2</v>
      </c>
      <c r="B18" s="74">
        <v>882</v>
      </c>
      <c r="C18" s="77" t="s">
        <v>34</v>
      </c>
      <c r="D18" s="76" t="s">
        <v>99</v>
      </c>
    </row>
    <row r="19" spans="1:4" ht="15.75">
      <c r="A19" s="6">
        <v>3</v>
      </c>
      <c r="B19" s="71">
        <v>875</v>
      </c>
      <c r="C19" s="78" t="s">
        <v>102</v>
      </c>
      <c r="D19" s="73" t="s">
        <v>103</v>
      </c>
    </row>
    <row r="20" spans="1:4">
      <c r="A20" s="6">
        <v>4</v>
      </c>
      <c r="B20" s="71">
        <v>893</v>
      </c>
      <c r="C20" s="72" t="s">
        <v>96</v>
      </c>
      <c r="D20" s="73" t="s">
        <v>78</v>
      </c>
    </row>
    <row r="21" spans="1:4" ht="15.75">
      <c r="A21" s="6">
        <v>5</v>
      </c>
      <c r="B21" s="74">
        <v>889</v>
      </c>
      <c r="C21" s="77" t="s">
        <v>98</v>
      </c>
      <c r="D21" s="76" t="s">
        <v>26</v>
      </c>
    </row>
    <row r="22" spans="1:4">
      <c r="A22" s="6">
        <v>6</v>
      </c>
      <c r="B22" s="67">
        <v>911</v>
      </c>
      <c r="C22" s="68" t="s">
        <v>54</v>
      </c>
      <c r="D22" s="69" t="s">
        <v>63</v>
      </c>
    </row>
    <row r="23" spans="1:4">
      <c r="A23" s="6">
        <v>7</v>
      </c>
      <c r="B23" s="67">
        <v>910</v>
      </c>
      <c r="C23" s="68" t="s">
        <v>61</v>
      </c>
      <c r="D23" s="69" t="s">
        <v>62</v>
      </c>
    </row>
    <row r="24" spans="1:4">
      <c r="A24" s="6">
        <v>8</v>
      </c>
      <c r="B24" s="67">
        <v>913</v>
      </c>
      <c r="C24" s="68" t="s">
        <v>64</v>
      </c>
      <c r="D24" s="69" t="s">
        <v>65</v>
      </c>
    </row>
    <row r="25" spans="1:4">
      <c r="A25" s="6">
        <v>9</v>
      </c>
      <c r="B25" s="74">
        <v>860</v>
      </c>
      <c r="C25" s="75" t="s">
        <v>106</v>
      </c>
      <c r="D25" s="76" t="s">
        <v>107</v>
      </c>
    </row>
    <row r="26" spans="1:4">
      <c r="A26" s="6">
        <v>10</v>
      </c>
      <c r="B26" s="67">
        <v>914</v>
      </c>
      <c r="C26" s="68" t="s">
        <v>66</v>
      </c>
      <c r="D26" s="69" t="s">
        <v>67</v>
      </c>
    </row>
    <row r="27" spans="1:4">
      <c r="A27" s="6">
        <v>11</v>
      </c>
      <c r="B27" s="67">
        <v>916</v>
      </c>
      <c r="C27" s="68" t="s">
        <v>68</v>
      </c>
      <c r="D27" s="69" t="s">
        <v>49</v>
      </c>
    </row>
    <row r="28" spans="1:4">
      <c r="A28" s="6">
        <v>12</v>
      </c>
      <c r="B28" s="67">
        <v>917</v>
      </c>
      <c r="C28" s="68" t="s">
        <v>69</v>
      </c>
      <c r="D28" s="69" t="s">
        <v>70</v>
      </c>
    </row>
    <row r="29" spans="1:4">
      <c r="A29" s="6">
        <v>13</v>
      </c>
      <c r="B29" s="67">
        <v>918</v>
      </c>
      <c r="C29" s="68" t="s">
        <v>71</v>
      </c>
      <c r="D29" s="69" t="s">
        <v>70</v>
      </c>
    </row>
    <row r="30" spans="1:4">
      <c r="A30" s="6">
        <v>14</v>
      </c>
      <c r="B30" s="70">
        <v>924</v>
      </c>
      <c r="C30" s="68" t="s">
        <v>77</v>
      </c>
      <c r="D30" s="69" t="s">
        <v>78</v>
      </c>
    </row>
    <row r="31" spans="1:4">
      <c r="A31" s="6">
        <v>15</v>
      </c>
      <c r="B31" s="70">
        <v>923</v>
      </c>
      <c r="C31" s="68" t="s">
        <v>76</v>
      </c>
      <c r="D31" s="69" t="s">
        <v>75</v>
      </c>
    </row>
    <row r="32" spans="1:4">
      <c r="A32" s="6">
        <v>16</v>
      </c>
      <c r="B32" s="67">
        <v>939</v>
      </c>
      <c r="C32" s="68" t="s">
        <v>28</v>
      </c>
      <c r="D32" s="69" t="s">
        <v>86</v>
      </c>
    </row>
    <row r="33" spans="1:4">
      <c r="A33" s="6">
        <v>17</v>
      </c>
      <c r="B33" s="70">
        <v>930</v>
      </c>
      <c r="C33" s="68" t="s">
        <v>31</v>
      </c>
      <c r="D33" s="69" t="s">
        <v>18</v>
      </c>
    </row>
    <row r="34" spans="1:4">
      <c r="A34" s="6">
        <v>18</v>
      </c>
      <c r="B34" s="70">
        <v>931</v>
      </c>
      <c r="C34" s="68" t="s">
        <v>82</v>
      </c>
      <c r="D34" s="69" t="s">
        <v>83</v>
      </c>
    </row>
    <row r="35" spans="1:4">
      <c r="A35" s="6">
        <v>19</v>
      </c>
      <c r="B35" s="67">
        <v>944</v>
      </c>
      <c r="C35" s="68" t="s">
        <v>48</v>
      </c>
      <c r="D35" s="69" t="s">
        <v>89</v>
      </c>
    </row>
    <row r="36" spans="1:4">
      <c r="A36" s="6">
        <v>20</v>
      </c>
      <c r="B36" s="67">
        <v>938</v>
      </c>
      <c r="C36" s="68" t="s">
        <v>84</v>
      </c>
      <c r="D36" s="69" t="s">
        <v>85</v>
      </c>
    </row>
    <row r="37" spans="1:4">
      <c r="A37" s="6">
        <v>21</v>
      </c>
      <c r="B37" s="74">
        <v>941</v>
      </c>
      <c r="C37" s="75" t="s">
        <v>31</v>
      </c>
      <c r="D37" s="76" t="s">
        <v>210</v>
      </c>
    </row>
    <row r="38" spans="1:4">
      <c r="A38" s="6">
        <v>22</v>
      </c>
      <c r="B38" s="74">
        <v>951</v>
      </c>
      <c r="C38" s="75" t="s">
        <v>108</v>
      </c>
      <c r="D38" s="76" t="s">
        <v>109</v>
      </c>
    </row>
  </sheetData>
  <sortState xmlns:xlrd2="http://schemas.microsoft.com/office/spreadsheetml/2017/richdata2" ref="A17:D38">
    <sortCondition ref="A17:A38"/>
  </sortState>
  <conditionalFormatting sqref="B1:B38">
    <cfRule type="duplicateValues" dxfId="26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E4AD8-D09D-418E-988B-E7979AEDC5C7}">
  <dimension ref="A1:AO35"/>
  <sheetViews>
    <sheetView topLeftCell="A5" zoomScale="98" zoomScaleNormal="98" workbookViewId="0">
      <selection activeCell="AC5" sqref="AC5:AC35"/>
    </sheetView>
  </sheetViews>
  <sheetFormatPr defaultColWidth="3.85546875" defaultRowHeight="1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9" width="3.7109375" style="1" bestFit="1" customWidth="1"/>
    <col min="10" max="10" width="3.85546875" style="1"/>
    <col min="11" max="11" width="4.5703125" style="1" bestFit="1" customWidth="1"/>
    <col min="12" max="12" width="3.85546875" style="1"/>
    <col min="13" max="13" width="4.85546875" style="1" customWidth="1"/>
    <col min="14" max="15" width="3.7109375" style="1" bestFit="1" customWidth="1"/>
    <col min="16" max="16" width="3.85546875" style="1"/>
    <col min="17" max="17" width="4.5703125" style="1" bestFit="1" customWidth="1"/>
    <col min="18" max="19" width="4.5703125" style="1" customWidth="1"/>
    <col min="20" max="20" width="4.7109375" style="1" bestFit="1" customWidth="1"/>
    <col min="21" max="22" width="3.7109375" style="1" bestFit="1" customWidth="1"/>
    <col min="23" max="23" width="3.85546875" style="1"/>
    <col min="24" max="24" width="4.5703125" style="1" bestFit="1" customWidth="1"/>
    <col min="25" max="25" width="3.85546875" style="1"/>
    <col min="26" max="26" width="4.7109375" style="1" bestFit="1" customWidth="1"/>
    <col min="27" max="27" width="3.85546875" style="1"/>
    <col min="28" max="29" width="3.7109375" style="1" bestFit="1" customWidth="1"/>
    <col min="30" max="30" width="3.85546875" style="1"/>
    <col min="31" max="31" width="4.5703125" style="1" bestFit="1" customWidth="1"/>
    <col min="32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10"/>
      <c r="AK1" s="10"/>
    </row>
    <row r="2" spans="1:41" ht="17.25">
      <c r="A2" s="92" t="s">
        <v>60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11"/>
      <c r="AK2" s="11"/>
      <c r="AL2" s="11"/>
    </row>
    <row r="3" spans="1:41" ht="15.75">
      <c r="A3" s="102" t="s">
        <v>0</v>
      </c>
      <c r="B3" s="94" t="s">
        <v>111</v>
      </c>
      <c r="C3" s="102" t="s">
        <v>1</v>
      </c>
      <c r="D3" s="102" t="s">
        <v>2</v>
      </c>
      <c r="E3" s="102" t="s">
        <v>3</v>
      </c>
      <c r="F3" s="2" t="str">
        <f>TEXT(F4,"ddd")</f>
        <v>Fri</v>
      </c>
      <c r="G3" s="2" t="str">
        <f t="shared" ref="G3:AI3" si="0">TEXT(G4,"ddd")</f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98" t="s">
        <v>4</v>
      </c>
      <c r="AK3" s="98" t="s">
        <v>5</v>
      </c>
      <c r="AL3" s="99" t="s">
        <v>19</v>
      </c>
      <c r="AM3" s="100"/>
      <c r="AN3" s="3"/>
      <c r="AO3" s="3"/>
    </row>
    <row r="4" spans="1:41" ht="37.5">
      <c r="A4" s="102"/>
      <c r="B4" s="95"/>
      <c r="C4" s="102"/>
      <c r="D4" s="102"/>
      <c r="E4" s="102"/>
      <c r="F4" s="9">
        <v>45597</v>
      </c>
      <c r="G4" s="9">
        <v>45598</v>
      </c>
      <c r="H4" s="9">
        <v>45599</v>
      </c>
      <c r="I4" s="9">
        <v>45600</v>
      </c>
      <c r="J4" s="9">
        <v>45601</v>
      </c>
      <c r="K4" s="9">
        <v>45602</v>
      </c>
      <c r="L4" s="9">
        <v>45603</v>
      </c>
      <c r="M4" s="9">
        <v>45604</v>
      </c>
      <c r="N4" s="9">
        <v>45605</v>
      </c>
      <c r="O4" s="9">
        <v>45606</v>
      </c>
      <c r="P4" s="9">
        <v>45607</v>
      </c>
      <c r="Q4" s="9">
        <v>45608</v>
      </c>
      <c r="R4" s="9">
        <v>45609</v>
      </c>
      <c r="S4" s="9">
        <v>45610</v>
      </c>
      <c r="T4" s="9">
        <v>45611</v>
      </c>
      <c r="U4" s="9">
        <v>45612</v>
      </c>
      <c r="V4" s="9">
        <v>45613</v>
      </c>
      <c r="W4" s="9">
        <v>45614</v>
      </c>
      <c r="X4" s="9">
        <v>45615</v>
      </c>
      <c r="Y4" s="9">
        <v>45616</v>
      </c>
      <c r="Z4" s="9">
        <v>45617</v>
      </c>
      <c r="AA4" s="9">
        <v>45618</v>
      </c>
      <c r="AB4" s="9">
        <v>45619</v>
      </c>
      <c r="AC4" s="9">
        <v>45620</v>
      </c>
      <c r="AD4" s="9">
        <v>45621</v>
      </c>
      <c r="AE4" s="9">
        <v>45622</v>
      </c>
      <c r="AF4" s="9">
        <v>45623</v>
      </c>
      <c r="AG4" s="9">
        <v>45624</v>
      </c>
      <c r="AH4" s="9">
        <v>45625</v>
      </c>
      <c r="AI4" s="9">
        <v>45626</v>
      </c>
      <c r="AJ4" s="98"/>
      <c r="AK4" s="98"/>
      <c r="AL4" s="4" t="s">
        <v>20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67">
        <v>915</v>
      </c>
      <c r="C5" s="68" t="s">
        <v>112</v>
      </c>
      <c r="D5" s="69" t="s">
        <v>49</v>
      </c>
      <c r="E5" s="5" t="s">
        <v>185</v>
      </c>
      <c r="F5" s="79" t="s">
        <v>17</v>
      </c>
      <c r="G5" s="79" t="s">
        <v>17</v>
      </c>
      <c r="H5" s="96" t="s">
        <v>196</v>
      </c>
      <c r="I5" s="79" t="s">
        <v>17</v>
      </c>
      <c r="J5" s="79" t="s">
        <v>17</v>
      </c>
      <c r="K5" s="79" t="s">
        <v>17</v>
      </c>
      <c r="L5" s="79" t="s">
        <v>17</v>
      </c>
      <c r="M5" s="79" t="s">
        <v>17</v>
      </c>
      <c r="N5" s="79" t="s">
        <v>17</v>
      </c>
      <c r="O5" s="96" t="s">
        <v>196</v>
      </c>
      <c r="P5" s="79" t="s">
        <v>17</v>
      </c>
      <c r="Q5" s="79" t="s">
        <v>17</v>
      </c>
      <c r="R5" s="79" t="s">
        <v>17</v>
      </c>
      <c r="S5" s="79" t="s">
        <v>17</v>
      </c>
      <c r="T5" s="79" t="s">
        <v>17</v>
      </c>
      <c r="U5" s="79" t="s">
        <v>17</v>
      </c>
      <c r="V5" s="96" t="s">
        <v>196</v>
      </c>
      <c r="W5" s="79" t="s">
        <v>17</v>
      </c>
      <c r="X5" s="79" t="s">
        <v>17</v>
      </c>
      <c r="Y5" s="79" t="s">
        <v>17</v>
      </c>
      <c r="Z5" s="79" t="s">
        <v>17</v>
      </c>
      <c r="AA5" s="79" t="s">
        <v>17</v>
      </c>
      <c r="AB5" s="79" t="s">
        <v>17</v>
      </c>
      <c r="AC5" s="96" t="s">
        <v>196</v>
      </c>
      <c r="AD5" s="79" t="s">
        <v>17</v>
      </c>
      <c r="AE5" s="79" t="s">
        <v>17</v>
      </c>
      <c r="AF5" s="79" t="s">
        <v>17</v>
      </c>
      <c r="AG5" s="79" t="s">
        <v>17</v>
      </c>
      <c r="AH5" s="79" t="s">
        <v>17</v>
      </c>
      <c r="AI5" s="79" t="s">
        <v>17</v>
      </c>
      <c r="AJ5" s="4">
        <f t="shared" ref="AJ5:AJ35" si="1">COUNTIF(F5:AI5,"P")</f>
        <v>26</v>
      </c>
      <c r="AK5" s="4">
        <f t="shared" ref="AK5:AK35" si="2">COUNTIF(F5:AI5,"A")</f>
        <v>0</v>
      </c>
      <c r="AL5" s="65" t="s">
        <v>6</v>
      </c>
      <c r="AM5" s="6">
        <v>24</v>
      </c>
      <c r="AN5" s="7"/>
      <c r="AO5" s="3"/>
    </row>
    <row r="6" spans="1:41" ht="16.5">
      <c r="A6" s="6">
        <v>2</v>
      </c>
      <c r="B6" s="70">
        <v>920</v>
      </c>
      <c r="C6" s="68" t="s">
        <v>113</v>
      </c>
      <c r="D6" s="69" t="s">
        <v>73</v>
      </c>
      <c r="E6" s="5" t="s">
        <v>185</v>
      </c>
      <c r="F6" s="79" t="s">
        <v>17</v>
      </c>
      <c r="G6" s="79" t="s">
        <v>17</v>
      </c>
      <c r="H6" s="97"/>
      <c r="I6" s="79" t="s">
        <v>17</v>
      </c>
      <c r="J6" s="79" t="s">
        <v>17</v>
      </c>
      <c r="K6" s="79" t="s">
        <v>17</v>
      </c>
      <c r="L6" s="79" t="s">
        <v>17</v>
      </c>
      <c r="M6" s="79" t="s">
        <v>17</v>
      </c>
      <c r="N6" s="79" t="s">
        <v>17</v>
      </c>
      <c r="O6" s="97"/>
      <c r="P6" s="79" t="s">
        <v>17</v>
      </c>
      <c r="Q6" s="79" t="s">
        <v>17</v>
      </c>
      <c r="R6" s="79" t="s">
        <v>17</v>
      </c>
      <c r="S6" s="79" t="s">
        <v>17</v>
      </c>
      <c r="T6" s="79" t="s">
        <v>17</v>
      </c>
      <c r="U6" s="79" t="s">
        <v>17</v>
      </c>
      <c r="V6" s="97"/>
      <c r="W6" s="79" t="s">
        <v>17</v>
      </c>
      <c r="X6" s="79" t="s">
        <v>17</v>
      </c>
      <c r="Y6" s="79" t="s">
        <v>17</v>
      </c>
      <c r="Z6" s="79" t="s">
        <v>17</v>
      </c>
      <c r="AA6" s="79" t="s">
        <v>17</v>
      </c>
      <c r="AB6" s="79" t="s">
        <v>17</v>
      </c>
      <c r="AC6" s="97"/>
      <c r="AD6" s="79" t="s">
        <v>17</v>
      </c>
      <c r="AE6" s="79" t="s">
        <v>17</v>
      </c>
      <c r="AF6" s="79" t="s">
        <v>17</v>
      </c>
      <c r="AG6" s="79" t="s">
        <v>17</v>
      </c>
      <c r="AH6" s="79" t="s">
        <v>17</v>
      </c>
      <c r="AI6" s="79" t="s">
        <v>17</v>
      </c>
      <c r="AJ6" s="4">
        <f t="shared" si="1"/>
        <v>26</v>
      </c>
      <c r="AK6" s="4">
        <f t="shared" si="2"/>
        <v>0</v>
      </c>
      <c r="AL6" s="65" t="s">
        <v>7</v>
      </c>
      <c r="AM6" s="6">
        <v>4</v>
      </c>
      <c r="AN6" s="3"/>
      <c r="AO6" s="3"/>
    </row>
    <row r="7" spans="1:41" ht="16.5">
      <c r="A7" s="6">
        <v>3</v>
      </c>
      <c r="B7" s="70">
        <v>925</v>
      </c>
      <c r="C7" s="66" t="s">
        <v>114</v>
      </c>
      <c r="D7" s="66" t="s">
        <v>115</v>
      </c>
      <c r="E7" s="5" t="s">
        <v>185</v>
      </c>
      <c r="F7" s="79" t="s">
        <v>17</v>
      </c>
      <c r="G7" s="79" t="s">
        <v>17</v>
      </c>
      <c r="H7" s="97"/>
      <c r="I7" s="79" t="s">
        <v>17</v>
      </c>
      <c r="J7" s="79" t="s">
        <v>17</v>
      </c>
      <c r="K7" s="79" t="s">
        <v>17</v>
      </c>
      <c r="L7" s="79" t="s">
        <v>17</v>
      </c>
      <c r="M7" s="79" t="s">
        <v>17</v>
      </c>
      <c r="N7" s="79" t="s">
        <v>17</v>
      </c>
      <c r="O7" s="97"/>
      <c r="P7" s="79" t="s">
        <v>17</v>
      </c>
      <c r="Q7" s="79" t="s">
        <v>17</v>
      </c>
      <c r="R7" s="79" t="s">
        <v>17</v>
      </c>
      <c r="S7" s="79" t="s">
        <v>17</v>
      </c>
      <c r="T7" s="79" t="s">
        <v>17</v>
      </c>
      <c r="U7" s="79" t="s">
        <v>17</v>
      </c>
      <c r="V7" s="97"/>
      <c r="W7" s="79" t="s">
        <v>17</v>
      </c>
      <c r="X7" s="79" t="s">
        <v>17</v>
      </c>
      <c r="Y7" s="79" t="s">
        <v>17</v>
      </c>
      <c r="Z7" s="79" t="s">
        <v>17</v>
      </c>
      <c r="AA7" s="79" t="s">
        <v>17</v>
      </c>
      <c r="AB7" s="79" t="s">
        <v>17</v>
      </c>
      <c r="AC7" s="97"/>
      <c r="AD7" s="79" t="s">
        <v>17</v>
      </c>
      <c r="AE7" s="79" t="s">
        <v>17</v>
      </c>
      <c r="AF7" s="79" t="s">
        <v>17</v>
      </c>
      <c r="AG7" s="79" t="s">
        <v>17</v>
      </c>
      <c r="AH7" s="79" t="s">
        <v>17</v>
      </c>
      <c r="AI7" s="79" t="s">
        <v>17</v>
      </c>
      <c r="AJ7" s="4">
        <f t="shared" si="1"/>
        <v>26</v>
      </c>
      <c r="AK7" s="4">
        <f t="shared" si="2"/>
        <v>0</v>
      </c>
      <c r="AL7" s="65" t="s">
        <v>23</v>
      </c>
      <c r="AM7" s="6">
        <v>1</v>
      </c>
      <c r="AN7" s="3"/>
      <c r="AO7" s="3"/>
    </row>
    <row r="8" spans="1:41" ht="16.5">
      <c r="A8" s="6">
        <v>4</v>
      </c>
      <c r="B8" s="70">
        <v>932</v>
      </c>
      <c r="C8" s="66" t="s">
        <v>116</v>
      </c>
      <c r="D8" s="66" t="s">
        <v>83</v>
      </c>
      <c r="E8" s="5" t="s">
        <v>185</v>
      </c>
      <c r="F8" s="79" t="s">
        <v>17</v>
      </c>
      <c r="G8" s="79" t="s">
        <v>17</v>
      </c>
      <c r="H8" s="97"/>
      <c r="I8" s="79" t="s">
        <v>17</v>
      </c>
      <c r="J8" s="79" t="s">
        <v>17</v>
      </c>
      <c r="K8" s="79" t="s">
        <v>17</v>
      </c>
      <c r="L8" s="79" t="s">
        <v>17</v>
      </c>
      <c r="M8" s="79" t="s">
        <v>17</v>
      </c>
      <c r="N8" s="79" t="s">
        <v>17</v>
      </c>
      <c r="O8" s="97"/>
      <c r="P8" s="79" t="s">
        <v>17</v>
      </c>
      <c r="Q8" s="79" t="s">
        <v>17</v>
      </c>
      <c r="R8" s="79" t="s">
        <v>17</v>
      </c>
      <c r="S8" s="79" t="s">
        <v>17</v>
      </c>
      <c r="T8" s="79" t="s">
        <v>17</v>
      </c>
      <c r="U8" s="79" t="s">
        <v>17</v>
      </c>
      <c r="V8" s="97"/>
      <c r="W8" s="79" t="s">
        <v>17</v>
      </c>
      <c r="X8" s="79" t="s">
        <v>17</v>
      </c>
      <c r="Y8" s="79" t="s">
        <v>17</v>
      </c>
      <c r="Z8" s="79" t="s">
        <v>17</v>
      </c>
      <c r="AA8" s="79" t="s">
        <v>17</v>
      </c>
      <c r="AB8" s="79" t="s">
        <v>17</v>
      </c>
      <c r="AC8" s="97"/>
      <c r="AD8" s="79" t="s">
        <v>17</v>
      </c>
      <c r="AE8" s="79" t="s">
        <v>17</v>
      </c>
      <c r="AF8" s="79" t="s">
        <v>17</v>
      </c>
      <c r="AG8" s="79" t="s">
        <v>17</v>
      </c>
      <c r="AH8" s="79" t="s">
        <v>17</v>
      </c>
      <c r="AI8" s="79" t="s">
        <v>17</v>
      </c>
      <c r="AJ8" s="4">
        <f t="shared" si="1"/>
        <v>26</v>
      </c>
      <c r="AK8" s="4">
        <f t="shared" si="2"/>
        <v>0</v>
      </c>
      <c r="AL8" s="65" t="s">
        <v>21</v>
      </c>
      <c r="AM8" s="6">
        <v>1</v>
      </c>
      <c r="AN8"/>
      <c r="AO8"/>
    </row>
    <row r="9" spans="1:41" ht="16.5">
      <c r="A9" s="6">
        <v>5</v>
      </c>
      <c r="B9" s="67">
        <v>935</v>
      </c>
      <c r="C9" s="66" t="s">
        <v>117</v>
      </c>
      <c r="D9" s="66" t="s">
        <v>18</v>
      </c>
      <c r="E9" s="5" t="s">
        <v>185</v>
      </c>
      <c r="F9" s="79" t="s">
        <v>17</v>
      </c>
      <c r="G9" s="79" t="s">
        <v>17</v>
      </c>
      <c r="H9" s="97"/>
      <c r="I9" s="79" t="s">
        <v>17</v>
      </c>
      <c r="J9" s="79" t="s">
        <v>17</v>
      </c>
      <c r="K9" s="79" t="s">
        <v>17</v>
      </c>
      <c r="L9" s="79" t="s">
        <v>17</v>
      </c>
      <c r="M9" s="79" t="s">
        <v>17</v>
      </c>
      <c r="N9" s="79" t="s">
        <v>17</v>
      </c>
      <c r="O9" s="97"/>
      <c r="P9" s="79" t="s">
        <v>17</v>
      </c>
      <c r="Q9" s="79" t="s">
        <v>17</v>
      </c>
      <c r="R9" s="79" t="s">
        <v>17</v>
      </c>
      <c r="S9" s="79" t="s">
        <v>17</v>
      </c>
      <c r="T9" s="79" t="s">
        <v>17</v>
      </c>
      <c r="U9" s="79" t="s">
        <v>17</v>
      </c>
      <c r="V9" s="97"/>
      <c r="W9" s="79" t="s">
        <v>17</v>
      </c>
      <c r="X9" s="79" t="s">
        <v>17</v>
      </c>
      <c r="Y9" s="79" t="s">
        <v>17</v>
      </c>
      <c r="Z9" s="79" t="s">
        <v>17</v>
      </c>
      <c r="AA9" s="79" t="s">
        <v>17</v>
      </c>
      <c r="AB9" s="79" t="s">
        <v>17</v>
      </c>
      <c r="AC9" s="97"/>
      <c r="AD9" s="79" t="s">
        <v>17</v>
      </c>
      <c r="AE9" s="79" t="s">
        <v>17</v>
      </c>
      <c r="AF9" s="79" t="s">
        <v>17</v>
      </c>
      <c r="AG9" s="79" t="s">
        <v>17</v>
      </c>
      <c r="AH9" s="79" t="s">
        <v>17</v>
      </c>
      <c r="AI9" s="79" t="s">
        <v>17</v>
      </c>
      <c r="AJ9" s="4">
        <f t="shared" si="1"/>
        <v>26</v>
      </c>
      <c r="AK9" s="4">
        <f t="shared" si="2"/>
        <v>0</v>
      </c>
      <c r="AL9" s="65"/>
      <c r="AM9" s="6"/>
    </row>
    <row r="10" spans="1:41" ht="16.5">
      <c r="A10" s="6">
        <v>6</v>
      </c>
      <c r="B10" s="67">
        <v>941</v>
      </c>
      <c r="C10" s="66" t="s">
        <v>118</v>
      </c>
      <c r="D10" s="66" t="s">
        <v>89</v>
      </c>
      <c r="E10" s="5" t="s">
        <v>185</v>
      </c>
      <c r="F10" s="79" t="s">
        <v>17</v>
      </c>
      <c r="G10" s="79" t="s">
        <v>17</v>
      </c>
      <c r="H10" s="97"/>
      <c r="I10" s="79" t="s">
        <v>17</v>
      </c>
      <c r="J10" s="79" t="s">
        <v>17</v>
      </c>
      <c r="K10" s="79" t="s">
        <v>17</v>
      </c>
      <c r="L10" s="79" t="s">
        <v>17</v>
      </c>
      <c r="M10" s="79" t="s">
        <v>17</v>
      </c>
      <c r="N10" s="79" t="s">
        <v>17</v>
      </c>
      <c r="O10" s="97"/>
      <c r="P10" s="79" t="s">
        <v>17</v>
      </c>
      <c r="Q10" s="79" t="s">
        <v>17</v>
      </c>
      <c r="R10" s="79" t="s">
        <v>17</v>
      </c>
      <c r="S10" s="79" t="s">
        <v>17</v>
      </c>
      <c r="T10" s="79" t="s">
        <v>17</v>
      </c>
      <c r="U10" s="79" t="s">
        <v>17</v>
      </c>
      <c r="V10" s="97"/>
      <c r="W10" s="79" t="s">
        <v>17</v>
      </c>
      <c r="X10" s="79" t="s">
        <v>17</v>
      </c>
      <c r="Y10" s="79" t="s">
        <v>17</v>
      </c>
      <c r="Z10" s="79" t="s">
        <v>17</v>
      </c>
      <c r="AA10" s="79" t="s">
        <v>17</v>
      </c>
      <c r="AB10" s="79" t="s">
        <v>17</v>
      </c>
      <c r="AC10" s="97"/>
      <c r="AD10" s="79" t="s">
        <v>17</v>
      </c>
      <c r="AE10" s="79" t="s">
        <v>17</v>
      </c>
      <c r="AF10" s="79" t="s">
        <v>17</v>
      </c>
      <c r="AG10" s="79" t="s">
        <v>17</v>
      </c>
      <c r="AH10" s="79" t="s">
        <v>17</v>
      </c>
      <c r="AI10" s="79" t="s">
        <v>17</v>
      </c>
      <c r="AJ10" s="4">
        <f t="shared" si="1"/>
        <v>26</v>
      </c>
      <c r="AK10" s="4">
        <f t="shared" si="2"/>
        <v>0</v>
      </c>
    </row>
    <row r="11" spans="1:41" ht="16.5">
      <c r="A11" s="6">
        <v>7</v>
      </c>
      <c r="B11" s="67">
        <v>942</v>
      </c>
      <c r="C11" s="66" t="s">
        <v>119</v>
      </c>
      <c r="D11" s="66" t="s">
        <v>89</v>
      </c>
      <c r="E11" s="5" t="s">
        <v>185</v>
      </c>
      <c r="F11" s="79" t="s">
        <v>17</v>
      </c>
      <c r="G11" s="79" t="s">
        <v>17</v>
      </c>
      <c r="H11" s="97"/>
      <c r="I11" s="79" t="s">
        <v>17</v>
      </c>
      <c r="J11" s="79" t="s">
        <v>17</v>
      </c>
      <c r="K11" s="79" t="s">
        <v>17</v>
      </c>
      <c r="L11" s="79" t="s">
        <v>17</v>
      </c>
      <c r="M11" s="79" t="s">
        <v>17</v>
      </c>
      <c r="N11" s="79" t="s">
        <v>17</v>
      </c>
      <c r="O11" s="97"/>
      <c r="P11" s="79" t="s">
        <v>17</v>
      </c>
      <c r="Q11" s="79" t="s">
        <v>17</v>
      </c>
      <c r="R11" s="79" t="s">
        <v>17</v>
      </c>
      <c r="S11" s="79" t="s">
        <v>17</v>
      </c>
      <c r="T11" s="79" t="s">
        <v>17</v>
      </c>
      <c r="U11" s="79" t="s">
        <v>17</v>
      </c>
      <c r="V11" s="97"/>
      <c r="W11" s="79" t="s">
        <v>17</v>
      </c>
      <c r="X11" s="79" t="s">
        <v>17</v>
      </c>
      <c r="Y11" s="79" t="s">
        <v>17</v>
      </c>
      <c r="Z11" s="79" t="s">
        <v>17</v>
      </c>
      <c r="AA11" s="79" t="s">
        <v>17</v>
      </c>
      <c r="AB11" s="79" t="s">
        <v>17</v>
      </c>
      <c r="AC11" s="97"/>
      <c r="AD11" s="79" t="s">
        <v>17</v>
      </c>
      <c r="AE11" s="79" t="s">
        <v>17</v>
      </c>
      <c r="AF11" s="79" t="s">
        <v>17</v>
      </c>
      <c r="AG11" s="79" t="s">
        <v>17</v>
      </c>
      <c r="AH11" s="79" t="s">
        <v>17</v>
      </c>
      <c r="AI11" s="79" t="s">
        <v>17</v>
      </c>
      <c r="AJ11" s="4">
        <f t="shared" si="1"/>
        <v>26</v>
      </c>
      <c r="AK11" s="4">
        <f t="shared" si="2"/>
        <v>0</v>
      </c>
      <c r="AL11" s="100" t="s">
        <v>8</v>
      </c>
      <c r="AM11" s="100"/>
      <c r="AN11" s="100"/>
      <c r="AO11" s="101"/>
    </row>
    <row r="12" spans="1:41" ht="16.5">
      <c r="A12" s="6">
        <v>8</v>
      </c>
      <c r="B12" s="67">
        <v>945</v>
      </c>
      <c r="C12" s="66" t="s">
        <v>120</v>
      </c>
      <c r="D12" s="66" t="s">
        <v>121</v>
      </c>
      <c r="E12" s="5" t="s">
        <v>185</v>
      </c>
      <c r="F12" s="79" t="s">
        <v>17</v>
      </c>
      <c r="G12" s="79" t="s">
        <v>17</v>
      </c>
      <c r="H12" s="97"/>
      <c r="I12" s="79" t="s">
        <v>17</v>
      </c>
      <c r="J12" s="79" t="s">
        <v>17</v>
      </c>
      <c r="K12" s="79" t="s">
        <v>17</v>
      </c>
      <c r="L12" s="79" t="s">
        <v>17</v>
      </c>
      <c r="M12" s="79" t="s">
        <v>17</v>
      </c>
      <c r="N12" s="79" t="s">
        <v>17</v>
      </c>
      <c r="O12" s="97"/>
      <c r="P12" s="79" t="s">
        <v>17</v>
      </c>
      <c r="Q12" s="79" t="s">
        <v>17</v>
      </c>
      <c r="R12" s="79" t="s">
        <v>17</v>
      </c>
      <c r="S12" s="79" t="s">
        <v>17</v>
      </c>
      <c r="T12" s="79" t="s">
        <v>17</v>
      </c>
      <c r="U12" s="79" t="s">
        <v>17</v>
      </c>
      <c r="V12" s="97"/>
      <c r="W12" s="79" t="s">
        <v>17</v>
      </c>
      <c r="X12" s="79" t="s">
        <v>17</v>
      </c>
      <c r="Y12" s="79" t="s">
        <v>17</v>
      </c>
      <c r="Z12" s="79" t="s">
        <v>17</v>
      </c>
      <c r="AA12" s="79" t="s">
        <v>17</v>
      </c>
      <c r="AB12" s="79" t="s">
        <v>17</v>
      </c>
      <c r="AC12" s="97"/>
      <c r="AD12" s="79" t="s">
        <v>17</v>
      </c>
      <c r="AE12" s="79" t="s">
        <v>17</v>
      </c>
      <c r="AF12" s="79" t="s">
        <v>17</v>
      </c>
      <c r="AG12" s="79" t="s">
        <v>17</v>
      </c>
      <c r="AH12" s="79" t="s">
        <v>17</v>
      </c>
      <c r="AI12" s="79" t="s">
        <v>17</v>
      </c>
      <c r="AJ12" s="4">
        <f t="shared" si="1"/>
        <v>26</v>
      </c>
      <c r="AK12" s="4">
        <f t="shared" si="2"/>
        <v>0</v>
      </c>
      <c r="AL12" s="65" t="s">
        <v>9</v>
      </c>
      <c r="AM12" s="4" t="s">
        <v>10</v>
      </c>
      <c r="AN12" s="4" t="s">
        <v>11</v>
      </c>
      <c r="AO12" s="4" t="s">
        <v>12</v>
      </c>
    </row>
    <row r="13" spans="1:41" ht="16.5">
      <c r="A13" s="6">
        <v>9</v>
      </c>
      <c r="B13" s="74">
        <v>861</v>
      </c>
      <c r="C13" s="74" t="s">
        <v>122</v>
      </c>
      <c r="D13" s="74" t="s">
        <v>123</v>
      </c>
      <c r="E13" s="5" t="s">
        <v>185</v>
      </c>
      <c r="F13" s="79" t="s">
        <v>17</v>
      </c>
      <c r="G13" s="79" t="s">
        <v>17</v>
      </c>
      <c r="H13" s="97"/>
      <c r="I13" s="79" t="s">
        <v>17</v>
      </c>
      <c r="J13" s="79" t="s">
        <v>17</v>
      </c>
      <c r="K13" s="79" t="s">
        <v>17</v>
      </c>
      <c r="L13" s="79" t="s">
        <v>17</v>
      </c>
      <c r="M13" s="79" t="s">
        <v>17</v>
      </c>
      <c r="N13" s="79" t="s">
        <v>17</v>
      </c>
      <c r="O13" s="97"/>
      <c r="P13" s="79" t="s">
        <v>17</v>
      </c>
      <c r="Q13" s="79" t="s">
        <v>17</v>
      </c>
      <c r="R13" s="79" t="s">
        <v>17</v>
      </c>
      <c r="S13" s="79" t="s">
        <v>17</v>
      </c>
      <c r="T13" s="79" t="s">
        <v>17</v>
      </c>
      <c r="U13" s="79" t="s">
        <v>17</v>
      </c>
      <c r="V13" s="97"/>
      <c r="W13" s="79" t="s">
        <v>17</v>
      </c>
      <c r="X13" s="79" t="s">
        <v>17</v>
      </c>
      <c r="Y13" s="79" t="s">
        <v>17</v>
      </c>
      <c r="Z13" s="79" t="s">
        <v>17</v>
      </c>
      <c r="AA13" s="79" t="s">
        <v>17</v>
      </c>
      <c r="AB13" s="79" t="s">
        <v>17</v>
      </c>
      <c r="AC13" s="97"/>
      <c r="AD13" s="79" t="s">
        <v>17</v>
      </c>
      <c r="AE13" s="79" t="s">
        <v>17</v>
      </c>
      <c r="AF13" s="79" t="s">
        <v>17</v>
      </c>
      <c r="AG13" s="79" t="s">
        <v>17</v>
      </c>
      <c r="AH13" s="79" t="s">
        <v>17</v>
      </c>
      <c r="AI13" s="79" t="s">
        <v>17</v>
      </c>
      <c r="AJ13" s="4">
        <f t="shared" si="1"/>
        <v>26</v>
      </c>
      <c r="AK13" s="4">
        <f t="shared" si="2"/>
        <v>0</v>
      </c>
      <c r="AL13" s="65" t="s">
        <v>13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74">
        <v>868</v>
      </c>
      <c r="C14" s="74" t="s">
        <v>124</v>
      </c>
      <c r="D14" s="74" t="s">
        <v>125</v>
      </c>
      <c r="E14" s="5" t="s">
        <v>185</v>
      </c>
      <c r="F14" s="79" t="s">
        <v>17</v>
      </c>
      <c r="G14" s="79" t="s">
        <v>17</v>
      </c>
      <c r="H14" s="97"/>
      <c r="I14" s="79" t="s">
        <v>17</v>
      </c>
      <c r="J14" s="79" t="s">
        <v>17</v>
      </c>
      <c r="K14" s="79" t="s">
        <v>17</v>
      </c>
      <c r="L14" s="79" t="s">
        <v>17</v>
      </c>
      <c r="M14" s="79" t="s">
        <v>17</v>
      </c>
      <c r="N14" s="79" t="s">
        <v>17</v>
      </c>
      <c r="O14" s="97"/>
      <c r="P14" s="79" t="s">
        <v>17</v>
      </c>
      <c r="Q14" s="79" t="s">
        <v>17</v>
      </c>
      <c r="R14" s="79" t="s">
        <v>17</v>
      </c>
      <c r="S14" s="79" t="s">
        <v>17</v>
      </c>
      <c r="T14" s="79" t="s">
        <v>17</v>
      </c>
      <c r="U14" s="79" t="s">
        <v>17</v>
      </c>
      <c r="V14" s="97"/>
      <c r="W14" s="79" t="s">
        <v>17</v>
      </c>
      <c r="X14" s="79" t="s">
        <v>17</v>
      </c>
      <c r="Y14" s="79" t="s">
        <v>17</v>
      </c>
      <c r="Z14" s="79" t="s">
        <v>17</v>
      </c>
      <c r="AA14" s="79" t="s">
        <v>17</v>
      </c>
      <c r="AB14" s="79" t="s">
        <v>17</v>
      </c>
      <c r="AC14" s="97"/>
      <c r="AD14" s="79" t="s">
        <v>17</v>
      </c>
      <c r="AE14" s="79" t="s">
        <v>17</v>
      </c>
      <c r="AF14" s="79" t="s">
        <v>17</v>
      </c>
      <c r="AG14" s="79" t="s">
        <v>17</v>
      </c>
      <c r="AH14" s="79" t="s">
        <v>17</v>
      </c>
      <c r="AI14" s="79" t="s">
        <v>17</v>
      </c>
      <c r="AJ14" s="4">
        <f t="shared" si="1"/>
        <v>26</v>
      </c>
      <c r="AK14" s="4">
        <f t="shared" si="2"/>
        <v>0</v>
      </c>
      <c r="AL14" s="65" t="s">
        <v>14</v>
      </c>
      <c r="AM14" s="6" t="e">
        <f>SUM(AJ6,AJ9,AJ11,AJ13,AJ16,AJ21,AJ22,AJ23,AJ24,AJ25,AJ26,AJ27,AJ32,AJ34,#REF!,#REF!,#REF!,#REF!,#REF!,#REF!,#REF!,#REF!,#REF!,#REF!,#REF!,#REF!,#REF!)</f>
        <v>#REF!</v>
      </c>
      <c r="AN14" s="6" t="e">
        <f>SUM(AJ5,AJ7,AJ8,AJ10,AJ12,AJ14,AJ15,AJ17,AJ18,AJ19,AJ20,AJ28,AJ29,AJ30,AJ31,AJ33,AJ35,#REF!,#REF!,#REF!,#REF!,#REF!,#REF!,#REF!,#REF!,#REF!,#REF!)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80">
        <v>849</v>
      </c>
      <c r="C15" s="80" t="s">
        <v>126</v>
      </c>
      <c r="D15" s="80" t="s">
        <v>93</v>
      </c>
      <c r="E15" s="5" t="s">
        <v>185</v>
      </c>
      <c r="F15" s="79" t="s">
        <v>17</v>
      </c>
      <c r="G15" s="79" t="s">
        <v>17</v>
      </c>
      <c r="H15" s="97"/>
      <c r="I15" s="79" t="s">
        <v>17</v>
      </c>
      <c r="J15" s="79" t="s">
        <v>17</v>
      </c>
      <c r="K15" s="79" t="s">
        <v>17</v>
      </c>
      <c r="L15" s="79" t="s">
        <v>17</v>
      </c>
      <c r="M15" s="79" t="s">
        <v>17</v>
      </c>
      <c r="N15" s="79" t="s">
        <v>17</v>
      </c>
      <c r="O15" s="97"/>
      <c r="P15" s="79" t="s">
        <v>17</v>
      </c>
      <c r="Q15" s="79" t="s">
        <v>17</v>
      </c>
      <c r="R15" s="79" t="s">
        <v>17</v>
      </c>
      <c r="S15" s="79" t="s">
        <v>17</v>
      </c>
      <c r="T15" s="79" t="s">
        <v>17</v>
      </c>
      <c r="U15" s="79" t="s">
        <v>17</v>
      </c>
      <c r="V15" s="97"/>
      <c r="W15" s="79" t="s">
        <v>17</v>
      </c>
      <c r="X15" s="79" t="s">
        <v>17</v>
      </c>
      <c r="Y15" s="79" t="s">
        <v>17</v>
      </c>
      <c r="Z15" s="79" t="s">
        <v>17</v>
      </c>
      <c r="AA15" s="79" t="s">
        <v>17</v>
      </c>
      <c r="AB15" s="79" t="s">
        <v>17</v>
      </c>
      <c r="AC15" s="97"/>
      <c r="AD15" s="79" t="s">
        <v>17</v>
      </c>
      <c r="AE15" s="79" t="s">
        <v>17</v>
      </c>
      <c r="AF15" s="79" t="s">
        <v>17</v>
      </c>
      <c r="AG15" s="79" t="s">
        <v>17</v>
      </c>
      <c r="AH15" s="79" t="s">
        <v>17</v>
      </c>
      <c r="AI15" s="79" t="s">
        <v>17</v>
      </c>
      <c r="AJ15" s="4">
        <f t="shared" si="1"/>
        <v>26</v>
      </c>
      <c r="AK15" s="4">
        <f t="shared" si="2"/>
        <v>0</v>
      </c>
      <c r="AL15" s="65" t="s">
        <v>15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74">
        <v>876</v>
      </c>
      <c r="C16" s="74" t="s">
        <v>18</v>
      </c>
      <c r="D16" s="74" t="s">
        <v>103</v>
      </c>
      <c r="E16" s="5" t="s">
        <v>185</v>
      </c>
      <c r="F16" s="79" t="s">
        <v>17</v>
      </c>
      <c r="G16" s="79" t="s">
        <v>17</v>
      </c>
      <c r="H16" s="97"/>
      <c r="I16" s="79" t="s">
        <v>17</v>
      </c>
      <c r="J16" s="79" t="s">
        <v>17</v>
      </c>
      <c r="K16" s="79" t="s">
        <v>17</v>
      </c>
      <c r="L16" s="79" t="s">
        <v>17</v>
      </c>
      <c r="M16" s="79" t="s">
        <v>17</v>
      </c>
      <c r="N16" s="79" t="s">
        <v>17</v>
      </c>
      <c r="O16" s="97"/>
      <c r="P16" s="79" t="s">
        <v>17</v>
      </c>
      <c r="Q16" s="79" t="s">
        <v>17</v>
      </c>
      <c r="R16" s="79" t="s">
        <v>17</v>
      </c>
      <c r="S16" s="79" t="s">
        <v>17</v>
      </c>
      <c r="T16" s="79" t="s">
        <v>17</v>
      </c>
      <c r="U16" s="79" t="s">
        <v>17</v>
      </c>
      <c r="V16" s="97"/>
      <c r="W16" s="79" t="s">
        <v>17</v>
      </c>
      <c r="X16" s="79" t="s">
        <v>17</v>
      </c>
      <c r="Y16" s="79" t="s">
        <v>17</v>
      </c>
      <c r="Z16" s="79" t="s">
        <v>17</v>
      </c>
      <c r="AA16" s="79" t="s">
        <v>17</v>
      </c>
      <c r="AB16" s="79" t="s">
        <v>17</v>
      </c>
      <c r="AC16" s="97"/>
      <c r="AD16" s="79" t="s">
        <v>17</v>
      </c>
      <c r="AE16" s="79" t="s">
        <v>17</v>
      </c>
      <c r="AF16" s="79" t="s">
        <v>17</v>
      </c>
      <c r="AG16" s="79" t="s">
        <v>17</v>
      </c>
      <c r="AH16" s="79" t="s">
        <v>17</v>
      </c>
      <c r="AI16" s="79" t="s">
        <v>17</v>
      </c>
      <c r="AJ16" s="4">
        <f t="shared" si="1"/>
        <v>26</v>
      </c>
      <c r="AK16" s="4">
        <f t="shared" si="2"/>
        <v>0</v>
      </c>
      <c r="AL16"/>
      <c r="AM16"/>
      <c r="AN16"/>
      <c r="AO16"/>
    </row>
    <row r="17" spans="1:41" ht="16.5">
      <c r="A17" s="6">
        <v>13</v>
      </c>
      <c r="B17" s="71">
        <v>901</v>
      </c>
      <c r="C17" s="71" t="s">
        <v>127</v>
      </c>
      <c r="D17" s="71" t="s">
        <v>128</v>
      </c>
      <c r="E17" s="5" t="s">
        <v>185</v>
      </c>
      <c r="F17" s="79" t="s">
        <v>17</v>
      </c>
      <c r="G17" s="79" t="s">
        <v>17</v>
      </c>
      <c r="H17" s="97"/>
      <c r="I17" s="79" t="s">
        <v>17</v>
      </c>
      <c r="J17" s="79" t="s">
        <v>17</v>
      </c>
      <c r="K17" s="79" t="s">
        <v>17</v>
      </c>
      <c r="L17" s="79" t="s">
        <v>17</v>
      </c>
      <c r="M17" s="79" t="s">
        <v>17</v>
      </c>
      <c r="N17" s="79" t="s">
        <v>17</v>
      </c>
      <c r="O17" s="97"/>
      <c r="P17" s="79" t="s">
        <v>17</v>
      </c>
      <c r="Q17" s="79" t="s">
        <v>17</v>
      </c>
      <c r="R17" s="79" t="s">
        <v>17</v>
      </c>
      <c r="S17" s="79" t="s">
        <v>17</v>
      </c>
      <c r="T17" s="79" t="s">
        <v>17</v>
      </c>
      <c r="U17" s="79" t="s">
        <v>17</v>
      </c>
      <c r="V17" s="97"/>
      <c r="W17" s="79" t="s">
        <v>17</v>
      </c>
      <c r="X17" s="79" t="s">
        <v>17</v>
      </c>
      <c r="Y17" s="79" t="s">
        <v>17</v>
      </c>
      <c r="Z17" s="79" t="s">
        <v>17</v>
      </c>
      <c r="AA17" s="79" t="s">
        <v>17</v>
      </c>
      <c r="AB17" s="79" t="s">
        <v>17</v>
      </c>
      <c r="AC17" s="97"/>
      <c r="AD17" s="79" t="s">
        <v>17</v>
      </c>
      <c r="AE17" s="79" t="s">
        <v>17</v>
      </c>
      <c r="AF17" s="79" t="s">
        <v>17</v>
      </c>
      <c r="AG17" s="79" t="s">
        <v>17</v>
      </c>
      <c r="AH17" s="79" t="s">
        <v>17</v>
      </c>
      <c r="AI17" s="79" t="s">
        <v>17</v>
      </c>
      <c r="AJ17" s="4">
        <f t="shared" si="1"/>
        <v>26</v>
      </c>
      <c r="AK17" s="4">
        <f t="shared" si="2"/>
        <v>0</v>
      </c>
      <c r="AL17"/>
      <c r="AM17"/>
      <c r="AN17"/>
      <c r="AO17"/>
    </row>
    <row r="18" spans="1:41" ht="16.5">
      <c r="A18" s="6">
        <v>14</v>
      </c>
      <c r="B18" s="74">
        <v>902</v>
      </c>
      <c r="C18" s="74" t="s">
        <v>129</v>
      </c>
      <c r="D18" s="74" t="s">
        <v>128</v>
      </c>
      <c r="E18" s="5" t="s">
        <v>185</v>
      </c>
      <c r="F18" s="79" t="s">
        <v>17</v>
      </c>
      <c r="G18" s="79" t="s">
        <v>17</v>
      </c>
      <c r="H18" s="97"/>
      <c r="I18" s="79" t="s">
        <v>17</v>
      </c>
      <c r="J18" s="79" t="s">
        <v>17</v>
      </c>
      <c r="K18" s="79" t="s">
        <v>17</v>
      </c>
      <c r="L18" s="79" t="s">
        <v>17</v>
      </c>
      <c r="M18" s="79" t="s">
        <v>17</v>
      </c>
      <c r="N18" s="79" t="s">
        <v>17</v>
      </c>
      <c r="O18" s="97"/>
      <c r="P18" s="79" t="s">
        <v>17</v>
      </c>
      <c r="Q18" s="79" t="s">
        <v>17</v>
      </c>
      <c r="R18" s="79" t="s">
        <v>17</v>
      </c>
      <c r="S18" s="79" t="s">
        <v>17</v>
      </c>
      <c r="T18" s="79" t="s">
        <v>17</v>
      </c>
      <c r="U18" s="79" t="s">
        <v>17</v>
      </c>
      <c r="V18" s="97"/>
      <c r="W18" s="79" t="s">
        <v>17</v>
      </c>
      <c r="X18" s="79" t="s">
        <v>17</v>
      </c>
      <c r="Y18" s="79" t="s">
        <v>17</v>
      </c>
      <c r="Z18" s="79" t="s">
        <v>17</v>
      </c>
      <c r="AA18" s="79" t="s">
        <v>17</v>
      </c>
      <c r="AB18" s="79" t="s">
        <v>17</v>
      </c>
      <c r="AC18" s="97"/>
      <c r="AD18" s="79" t="s">
        <v>17</v>
      </c>
      <c r="AE18" s="79" t="s">
        <v>17</v>
      </c>
      <c r="AF18" s="79" t="s">
        <v>17</v>
      </c>
      <c r="AG18" s="79" t="s">
        <v>17</v>
      </c>
      <c r="AH18" s="79" t="s">
        <v>17</v>
      </c>
      <c r="AI18" s="79" t="s">
        <v>17</v>
      </c>
      <c r="AJ18" s="4">
        <f t="shared" si="1"/>
        <v>26</v>
      </c>
      <c r="AK18" s="4">
        <f t="shared" si="2"/>
        <v>0</v>
      </c>
      <c r="AL18"/>
      <c r="AM18"/>
      <c r="AN18"/>
      <c r="AO18"/>
    </row>
    <row r="19" spans="1:41" ht="16.5">
      <c r="A19" s="6">
        <v>15</v>
      </c>
      <c r="B19" s="71">
        <v>903</v>
      </c>
      <c r="C19" s="71" t="s">
        <v>130</v>
      </c>
      <c r="D19" s="71" t="s">
        <v>128</v>
      </c>
      <c r="E19" s="5" t="s">
        <v>185</v>
      </c>
      <c r="F19" s="79" t="s">
        <v>17</v>
      </c>
      <c r="G19" s="79" t="s">
        <v>17</v>
      </c>
      <c r="H19" s="97"/>
      <c r="I19" s="79" t="s">
        <v>17</v>
      </c>
      <c r="J19" s="79" t="s">
        <v>17</v>
      </c>
      <c r="K19" s="79" t="s">
        <v>17</v>
      </c>
      <c r="L19" s="79" t="s">
        <v>17</v>
      </c>
      <c r="M19" s="79" t="s">
        <v>17</v>
      </c>
      <c r="N19" s="79" t="s">
        <v>17</v>
      </c>
      <c r="O19" s="97"/>
      <c r="P19" s="79" t="s">
        <v>17</v>
      </c>
      <c r="Q19" s="79" t="s">
        <v>17</v>
      </c>
      <c r="R19" s="79" t="s">
        <v>17</v>
      </c>
      <c r="S19" s="79" t="s">
        <v>17</v>
      </c>
      <c r="T19" s="79" t="s">
        <v>17</v>
      </c>
      <c r="U19" s="79" t="s">
        <v>17</v>
      </c>
      <c r="V19" s="97"/>
      <c r="W19" s="79" t="s">
        <v>17</v>
      </c>
      <c r="X19" s="79" t="s">
        <v>17</v>
      </c>
      <c r="Y19" s="79" t="s">
        <v>17</v>
      </c>
      <c r="Z19" s="79" t="s">
        <v>17</v>
      </c>
      <c r="AA19" s="79" t="s">
        <v>17</v>
      </c>
      <c r="AB19" s="79" t="s">
        <v>17</v>
      </c>
      <c r="AC19" s="97"/>
      <c r="AD19" s="79" t="s">
        <v>17</v>
      </c>
      <c r="AE19" s="79" t="s">
        <v>17</v>
      </c>
      <c r="AF19" s="79" t="s">
        <v>17</v>
      </c>
      <c r="AG19" s="79" t="s">
        <v>17</v>
      </c>
      <c r="AH19" s="79" t="s">
        <v>17</v>
      </c>
      <c r="AI19" s="79" t="s">
        <v>17</v>
      </c>
      <c r="AJ19" s="4">
        <f t="shared" si="1"/>
        <v>26</v>
      </c>
      <c r="AK19" s="4">
        <f t="shared" si="2"/>
        <v>0</v>
      </c>
      <c r="AL19" s="100" t="s">
        <v>22</v>
      </c>
      <c r="AM19" s="100"/>
      <c r="AN19" s="100"/>
      <c r="AO19" s="101"/>
    </row>
    <row r="20" spans="1:41" ht="16.5">
      <c r="A20" s="6">
        <v>16</v>
      </c>
      <c r="B20" s="74">
        <v>904</v>
      </c>
      <c r="C20" s="74" t="s">
        <v>131</v>
      </c>
      <c r="D20" s="74" t="s">
        <v>128</v>
      </c>
      <c r="E20" s="5" t="s">
        <v>185</v>
      </c>
      <c r="F20" s="79" t="s">
        <v>17</v>
      </c>
      <c r="G20" s="79" t="s">
        <v>17</v>
      </c>
      <c r="H20" s="97"/>
      <c r="I20" s="79" t="s">
        <v>17</v>
      </c>
      <c r="J20" s="79" t="s">
        <v>17</v>
      </c>
      <c r="K20" s="79" t="s">
        <v>17</v>
      </c>
      <c r="L20" s="79" t="s">
        <v>17</v>
      </c>
      <c r="M20" s="79" t="s">
        <v>17</v>
      </c>
      <c r="N20" s="79" t="s">
        <v>17</v>
      </c>
      <c r="O20" s="97"/>
      <c r="P20" s="79" t="s">
        <v>17</v>
      </c>
      <c r="Q20" s="79" t="s">
        <v>17</v>
      </c>
      <c r="R20" s="79" t="s">
        <v>17</v>
      </c>
      <c r="S20" s="79" t="s">
        <v>17</v>
      </c>
      <c r="T20" s="79" t="s">
        <v>17</v>
      </c>
      <c r="U20" s="79" t="s">
        <v>17</v>
      </c>
      <c r="V20" s="97"/>
      <c r="W20" s="79" t="s">
        <v>17</v>
      </c>
      <c r="X20" s="79" t="s">
        <v>17</v>
      </c>
      <c r="Y20" s="79" t="s">
        <v>17</v>
      </c>
      <c r="Z20" s="79" t="s">
        <v>17</v>
      </c>
      <c r="AA20" s="79" t="s">
        <v>17</v>
      </c>
      <c r="AB20" s="79" t="s">
        <v>17</v>
      </c>
      <c r="AC20" s="97"/>
      <c r="AD20" s="79" t="s">
        <v>17</v>
      </c>
      <c r="AE20" s="79" t="s">
        <v>17</v>
      </c>
      <c r="AF20" s="79" t="s">
        <v>17</v>
      </c>
      <c r="AG20" s="79" t="s">
        <v>17</v>
      </c>
      <c r="AH20" s="79" t="s">
        <v>17</v>
      </c>
      <c r="AI20" s="79" t="s">
        <v>17</v>
      </c>
      <c r="AJ20" s="4">
        <f t="shared" si="1"/>
        <v>26</v>
      </c>
      <c r="AK20" s="4">
        <f t="shared" si="2"/>
        <v>0</v>
      </c>
      <c r="AL20" s="65" t="s">
        <v>9</v>
      </c>
      <c r="AM20" s="4" t="s">
        <v>10</v>
      </c>
      <c r="AN20" s="4" t="s">
        <v>11</v>
      </c>
      <c r="AO20" s="4" t="s">
        <v>12</v>
      </c>
    </row>
    <row r="21" spans="1:41" ht="16.5">
      <c r="A21" s="6">
        <v>17</v>
      </c>
      <c r="B21" s="71">
        <v>908</v>
      </c>
      <c r="C21" s="71" t="s">
        <v>132</v>
      </c>
      <c r="D21" s="71" t="s">
        <v>133</v>
      </c>
      <c r="E21" s="5" t="s">
        <v>185</v>
      </c>
      <c r="F21" s="79" t="s">
        <v>17</v>
      </c>
      <c r="G21" s="79" t="s">
        <v>17</v>
      </c>
      <c r="H21" s="97"/>
      <c r="I21" s="79" t="s">
        <v>17</v>
      </c>
      <c r="J21" s="79" t="s">
        <v>17</v>
      </c>
      <c r="K21" s="79" t="s">
        <v>17</v>
      </c>
      <c r="L21" s="79" t="s">
        <v>17</v>
      </c>
      <c r="M21" s="79" t="s">
        <v>17</v>
      </c>
      <c r="N21" s="79" t="s">
        <v>17</v>
      </c>
      <c r="O21" s="97"/>
      <c r="P21" s="79" t="s">
        <v>17</v>
      </c>
      <c r="Q21" s="79" t="s">
        <v>17</v>
      </c>
      <c r="R21" s="79" t="s">
        <v>17</v>
      </c>
      <c r="S21" s="79" t="s">
        <v>17</v>
      </c>
      <c r="T21" s="79" t="s">
        <v>17</v>
      </c>
      <c r="U21" s="79" t="s">
        <v>17</v>
      </c>
      <c r="V21" s="97"/>
      <c r="W21" s="79" t="s">
        <v>17</v>
      </c>
      <c r="X21" s="79" t="s">
        <v>17</v>
      </c>
      <c r="Y21" s="79" t="s">
        <v>17</v>
      </c>
      <c r="Z21" s="79" t="s">
        <v>17</v>
      </c>
      <c r="AA21" s="79" t="s">
        <v>17</v>
      </c>
      <c r="AB21" s="79" t="s">
        <v>17</v>
      </c>
      <c r="AC21" s="97"/>
      <c r="AD21" s="79" t="s">
        <v>17</v>
      </c>
      <c r="AE21" s="79" t="s">
        <v>17</v>
      </c>
      <c r="AF21" s="79" t="s">
        <v>17</v>
      </c>
      <c r="AG21" s="79" t="s">
        <v>17</v>
      </c>
      <c r="AH21" s="79" t="s">
        <v>17</v>
      </c>
      <c r="AI21" s="79" t="s">
        <v>17</v>
      </c>
      <c r="AJ21" s="4">
        <f t="shared" si="1"/>
        <v>26</v>
      </c>
      <c r="AK21" s="4">
        <f t="shared" si="2"/>
        <v>0</v>
      </c>
      <c r="AL21" s="65" t="s">
        <v>13</v>
      </c>
      <c r="AM21" s="6">
        <f>27*$AM$5</f>
        <v>648</v>
      </c>
      <c r="AN21" s="6">
        <f>27*$AM$5</f>
        <v>648</v>
      </c>
      <c r="AO21" s="6">
        <f>AM21+AN21</f>
        <v>1296</v>
      </c>
    </row>
    <row r="22" spans="1:41" ht="16.5">
      <c r="A22" s="6">
        <v>18</v>
      </c>
      <c r="B22" s="74">
        <v>907</v>
      </c>
      <c r="C22" s="74" t="s">
        <v>134</v>
      </c>
      <c r="D22" s="74" t="s">
        <v>133</v>
      </c>
      <c r="E22" s="5" t="s">
        <v>185</v>
      </c>
      <c r="F22" s="79" t="s">
        <v>17</v>
      </c>
      <c r="G22" s="79" t="s">
        <v>17</v>
      </c>
      <c r="H22" s="97"/>
      <c r="I22" s="79" t="s">
        <v>17</v>
      </c>
      <c r="J22" s="79" t="s">
        <v>17</v>
      </c>
      <c r="K22" s="79" t="s">
        <v>17</v>
      </c>
      <c r="L22" s="79" t="s">
        <v>17</v>
      </c>
      <c r="M22" s="79" t="s">
        <v>17</v>
      </c>
      <c r="N22" s="79" t="s">
        <v>17</v>
      </c>
      <c r="O22" s="97"/>
      <c r="P22" s="79" t="s">
        <v>17</v>
      </c>
      <c r="Q22" s="79" t="s">
        <v>17</v>
      </c>
      <c r="R22" s="79" t="s">
        <v>17</v>
      </c>
      <c r="S22" s="79" t="s">
        <v>17</v>
      </c>
      <c r="T22" s="79" t="s">
        <v>17</v>
      </c>
      <c r="U22" s="79" t="s">
        <v>17</v>
      </c>
      <c r="V22" s="97"/>
      <c r="W22" s="79" t="s">
        <v>17</v>
      </c>
      <c r="X22" s="79" t="s">
        <v>17</v>
      </c>
      <c r="Y22" s="79" t="s">
        <v>17</v>
      </c>
      <c r="Z22" s="79" t="s">
        <v>17</v>
      </c>
      <c r="AA22" s="79" t="s">
        <v>17</v>
      </c>
      <c r="AB22" s="79" t="s">
        <v>17</v>
      </c>
      <c r="AC22" s="97"/>
      <c r="AD22" s="79" t="s">
        <v>17</v>
      </c>
      <c r="AE22" s="79" t="s">
        <v>17</v>
      </c>
      <c r="AF22" s="79" t="s">
        <v>17</v>
      </c>
      <c r="AG22" s="79" t="s">
        <v>17</v>
      </c>
      <c r="AH22" s="79" t="s">
        <v>17</v>
      </c>
      <c r="AI22" s="79" t="s">
        <v>17</v>
      </c>
      <c r="AJ22" s="4">
        <f t="shared" si="1"/>
        <v>26</v>
      </c>
      <c r="AK22" s="4">
        <f t="shared" si="2"/>
        <v>0</v>
      </c>
      <c r="AL22" s="65" t="s">
        <v>16</v>
      </c>
      <c r="AM22" s="6" t="e">
        <f>AM21-AM14</f>
        <v>#REF!</v>
      </c>
      <c r="AN22" s="6" t="e">
        <f>AN21-AN14</f>
        <v>#REF!</v>
      </c>
      <c r="AO22" s="6" t="e">
        <f>AM22+AN22</f>
        <v>#REF!</v>
      </c>
    </row>
    <row r="23" spans="1:41" ht="16.5">
      <c r="A23" s="6">
        <v>19</v>
      </c>
      <c r="B23" s="74">
        <v>909</v>
      </c>
      <c r="C23" s="74" t="s">
        <v>135</v>
      </c>
      <c r="D23" s="74" t="s">
        <v>78</v>
      </c>
      <c r="E23" s="5" t="s">
        <v>185</v>
      </c>
      <c r="F23" s="79" t="s">
        <v>17</v>
      </c>
      <c r="G23" s="79" t="s">
        <v>17</v>
      </c>
      <c r="H23" s="97"/>
      <c r="I23" s="79" t="s">
        <v>17</v>
      </c>
      <c r="J23" s="79" t="s">
        <v>17</v>
      </c>
      <c r="K23" s="79" t="s">
        <v>17</v>
      </c>
      <c r="L23" s="79" t="s">
        <v>17</v>
      </c>
      <c r="M23" s="79" t="s">
        <v>17</v>
      </c>
      <c r="N23" s="79" t="s">
        <v>17</v>
      </c>
      <c r="O23" s="97"/>
      <c r="P23" s="79" t="s">
        <v>17</v>
      </c>
      <c r="Q23" s="79" t="s">
        <v>17</v>
      </c>
      <c r="R23" s="79" t="s">
        <v>17</v>
      </c>
      <c r="S23" s="79" t="s">
        <v>17</v>
      </c>
      <c r="T23" s="79" t="s">
        <v>17</v>
      </c>
      <c r="U23" s="79" t="s">
        <v>17</v>
      </c>
      <c r="V23" s="97"/>
      <c r="W23" s="79" t="s">
        <v>17</v>
      </c>
      <c r="X23" s="79" t="s">
        <v>17</v>
      </c>
      <c r="Y23" s="79" t="s">
        <v>17</v>
      </c>
      <c r="Z23" s="79" t="s">
        <v>17</v>
      </c>
      <c r="AA23" s="79" t="s">
        <v>17</v>
      </c>
      <c r="AB23" s="79" t="s">
        <v>17</v>
      </c>
      <c r="AC23" s="97"/>
      <c r="AD23" s="79" t="s">
        <v>17</v>
      </c>
      <c r="AE23" s="79" t="s">
        <v>17</v>
      </c>
      <c r="AF23" s="79" t="s">
        <v>17</v>
      </c>
      <c r="AG23" s="79" t="s">
        <v>17</v>
      </c>
      <c r="AH23" s="79" t="s">
        <v>17</v>
      </c>
      <c r="AI23" s="79" t="s">
        <v>17</v>
      </c>
      <c r="AJ23" s="4">
        <f t="shared" si="1"/>
        <v>26</v>
      </c>
      <c r="AK23" s="4">
        <f t="shared" si="2"/>
        <v>0</v>
      </c>
      <c r="AL23" s="65" t="s">
        <v>15</v>
      </c>
      <c r="AM23" s="8" t="e">
        <f>AM22/AM21</f>
        <v>#REF!</v>
      </c>
      <c r="AN23" s="8" t="e">
        <f>AN22/AN21</f>
        <v>#REF!</v>
      </c>
      <c r="AO23" s="8" t="e">
        <f>AO22/AO21</f>
        <v>#REF!</v>
      </c>
    </row>
    <row r="24" spans="1:41" ht="16.5">
      <c r="A24" s="6">
        <v>20</v>
      </c>
      <c r="B24" s="71">
        <v>881</v>
      </c>
      <c r="C24" s="81" t="s">
        <v>32</v>
      </c>
      <c r="D24" s="71" t="s">
        <v>75</v>
      </c>
      <c r="E24" s="5" t="s">
        <v>185</v>
      </c>
      <c r="F24" s="79" t="s">
        <v>17</v>
      </c>
      <c r="G24" s="79" t="s">
        <v>17</v>
      </c>
      <c r="H24" s="97"/>
      <c r="I24" s="79" t="s">
        <v>17</v>
      </c>
      <c r="J24" s="79" t="s">
        <v>17</v>
      </c>
      <c r="K24" s="79" t="s">
        <v>17</v>
      </c>
      <c r="L24" s="79" t="s">
        <v>17</v>
      </c>
      <c r="M24" s="79" t="s">
        <v>17</v>
      </c>
      <c r="N24" s="79" t="s">
        <v>17</v>
      </c>
      <c r="O24" s="97"/>
      <c r="P24" s="79" t="s">
        <v>17</v>
      </c>
      <c r="Q24" s="79" t="s">
        <v>17</v>
      </c>
      <c r="R24" s="79" t="s">
        <v>17</v>
      </c>
      <c r="S24" s="79" t="s">
        <v>17</v>
      </c>
      <c r="T24" s="79" t="s">
        <v>17</v>
      </c>
      <c r="U24" s="79" t="s">
        <v>17</v>
      </c>
      <c r="V24" s="97"/>
      <c r="W24" s="79" t="s">
        <v>17</v>
      </c>
      <c r="X24" s="79" t="s">
        <v>17</v>
      </c>
      <c r="Y24" s="79" t="s">
        <v>17</v>
      </c>
      <c r="Z24" s="79" t="s">
        <v>17</v>
      </c>
      <c r="AA24" s="79" t="s">
        <v>17</v>
      </c>
      <c r="AB24" s="79" t="s">
        <v>17</v>
      </c>
      <c r="AC24" s="97"/>
      <c r="AD24" s="79" t="s">
        <v>17</v>
      </c>
      <c r="AE24" s="79" t="s">
        <v>17</v>
      </c>
      <c r="AF24" s="79" t="s">
        <v>17</v>
      </c>
      <c r="AG24" s="79" t="s">
        <v>17</v>
      </c>
      <c r="AH24" s="79" t="s">
        <v>17</v>
      </c>
      <c r="AI24" s="79" t="s">
        <v>17</v>
      </c>
      <c r="AJ24" s="4">
        <f t="shared" si="1"/>
        <v>26</v>
      </c>
      <c r="AK24" s="4">
        <f t="shared" si="2"/>
        <v>0</v>
      </c>
    </row>
    <row r="25" spans="1:41" ht="16.5">
      <c r="A25" s="6">
        <v>21</v>
      </c>
      <c r="B25" s="74">
        <v>878</v>
      </c>
      <c r="C25" s="82" t="s">
        <v>136</v>
      </c>
      <c r="D25" s="74" t="s">
        <v>137</v>
      </c>
      <c r="E25" s="5" t="s">
        <v>185</v>
      </c>
      <c r="F25" s="79" t="s">
        <v>17</v>
      </c>
      <c r="G25" s="79" t="s">
        <v>17</v>
      </c>
      <c r="H25" s="97"/>
      <c r="I25" s="79" t="s">
        <v>17</v>
      </c>
      <c r="J25" s="79" t="s">
        <v>17</v>
      </c>
      <c r="K25" s="79" t="s">
        <v>17</v>
      </c>
      <c r="L25" s="79" t="s">
        <v>17</v>
      </c>
      <c r="M25" s="79" t="s">
        <v>17</v>
      </c>
      <c r="N25" s="79" t="s">
        <v>17</v>
      </c>
      <c r="O25" s="97"/>
      <c r="P25" s="79" t="s">
        <v>17</v>
      </c>
      <c r="Q25" s="79" t="s">
        <v>17</v>
      </c>
      <c r="R25" s="79" t="s">
        <v>17</v>
      </c>
      <c r="S25" s="79" t="s">
        <v>17</v>
      </c>
      <c r="T25" s="79" t="s">
        <v>17</v>
      </c>
      <c r="U25" s="79" t="s">
        <v>17</v>
      </c>
      <c r="V25" s="97"/>
      <c r="W25" s="79" t="s">
        <v>17</v>
      </c>
      <c r="X25" s="79" t="s">
        <v>17</v>
      </c>
      <c r="Y25" s="79" t="s">
        <v>17</v>
      </c>
      <c r="Z25" s="79" t="s">
        <v>17</v>
      </c>
      <c r="AA25" s="79" t="s">
        <v>17</v>
      </c>
      <c r="AB25" s="79" t="s">
        <v>17</v>
      </c>
      <c r="AC25" s="97"/>
      <c r="AD25" s="79" t="s">
        <v>17</v>
      </c>
      <c r="AE25" s="79" t="s">
        <v>17</v>
      </c>
      <c r="AF25" s="79" t="s">
        <v>17</v>
      </c>
      <c r="AG25" s="79" t="s">
        <v>17</v>
      </c>
      <c r="AH25" s="79" t="s">
        <v>17</v>
      </c>
      <c r="AI25" s="79" t="s">
        <v>17</v>
      </c>
      <c r="AJ25" s="4">
        <f t="shared" si="1"/>
        <v>26</v>
      </c>
      <c r="AK25" s="4">
        <f t="shared" si="2"/>
        <v>0</v>
      </c>
    </row>
    <row r="26" spans="1:41" ht="16.5">
      <c r="A26" s="6">
        <v>22</v>
      </c>
      <c r="B26" s="71">
        <v>880</v>
      </c>
      <c r="C26" s="81" t="s">
        <v>138</v>
      </c>
      <c r="D26" s="71" t="s">
        <v>137</v>
      </c>
      <c r="E26" s="5" t="s">
        <v>185</v>
      </c>
      <c r="F26" s="79" t="s">
        <v>17</v>
      </c>
      <c r="G26" s="79" t="s">
        <v>17</v>
      </c>
      <c r="H26" s="97"/>
      <c r="I26" s="79" t="s">
        <v>17</v>
      </c>
      <c r="J26" s="79" t="s">
        <v>17</v>
      </c>
      <c r="K26" s="79" t="s">
        <v>17</v>
      </c>
      <c r="L26" s="79" t="s">
        <v>17</v>
      </c>
      <c r="M26" s="79" t="s">
        <v>17</v>
      </c>
      <c r="N26" s="79" t="s">
        <v>17</v>
      </c>
      <c r="O26" s="97"/>
      <c r="P26" s="79" t="s">
        <v>17</v>
      </c>
      <c r="Q26" s="79" t="s">
        <v>17</v>
      </c>
      <c r="R26" s="79" t="s">
        <v>17</v>
      </c>
      <c r="S26" s="79" t="s">
        <v>17</v>
      </c>
      <c r="T26" s="79" t="s">
        <v>17</v>
      </c>
      <c r="U26" s="79" t="s">
        <v>17</v>
      </c>
      <c r="V26" s="97"/>
      <c r="W26" s="79" t="s">
        <v>17</v>
      </c>
      <c r="X26" s="79" t="s">
        <v>17</v>
      </c>
      <c r="Y26" s="79" t="s">
        <v>17</v>
      </c>
      <c r="Z26" s="79" t="s">
        <v>17</v>
      </c>
      <c r="AA26" s="79" t="s">
        <v>17</v>
      </c>
      <c r="AB26" s="79" t="s">
        <v>17</v>
      </c>
      <c r="AC26" s="97"/>
      <c r="AD26" s="79" t="s">
        <v>17</v>
      </c>
      <c r="AE26" s="79" t="s">
        <v>17</v>
      </c>
      <c r="AF26" s="79" t="s">
        <v>17</v>
      </c>
      <c r="AG26" s="79" t="s">
        <v>17</v>
      </c>
      <c r="AH26" s="79" t="s">
        <v>17</v>
      </c>
      <c r="AI26" s="79" t="s">
        <v>17</v>
      </c>
      <c r="AJ26" s="4">
        <f t="shared" si="1"/>
        <v>26</v>
      </c>
      <c r="AK26" s="4">
        <f t="shared" si="2"/>
        <v>0</v>
      </c>
    </row>
    <row r="27" spans="1:41" ht="16.5">
      <c r="A27" s="6">
        <v>23</v>
      </c>
      <c r="B27" s="71">
        <v>885</v>
      </c>
      <c r="C27" s="81" t="s">
        <v>139</v>
      </c>
      <c r="D27" s="71" t="s">
        <v>101</v>
      </c>
      <c r="E27" s="5" t="s">
        <v>185</v>
      </c>
      <c r="F27" s="79" t="s">
        <v>17</v>
      </c>
      <c r="G27" s="79" t="s">
        <v>17</v>
      </c>
      <c r="H27" s="97"/>
      <c r="I27" s="79" t="s">
        <v>17</v>
      </c>
      <c r="J27" s="79" t="s">
        <v>17</v>
      </c>
      <c r="K27" s="79" t="s">
        <v>17</v>
      </c>
      <c r="L27" s="79" t="s">
        <v>17</v>
      </c>
      <c r="M27" s="79" t="s">
        <v>17</v>
      </c>
      <c r="N27" s="79" t="s">
        <v>17</v>
      </c>
      <c r="O27" s="97"/>
      <c r="P27" s="79" t="s">
        <v>17</v>
      </c>
      <c r="Q27" s="79" t="s">
        <v>17</v>
      </c>
      <c r="R27" s="79" t="s">
        <v>17</v>
      </c>
      <c r="S27" s="79" t="s">
        <v>17</v>
      </c>
      <c r="T27" s="79" t="s">
        <v>17</v>
      </c>
      <c r="U27" s="79" t="s">
        <v>17</v>
      </c>
      <c r="V27" s="97"/>
      <c r="W27" s="79" t="s">
        <v>17</v>
      </c>
      <c r="X27" s="79" t="s">
        <v>17</v>
      </c>
      <c r="Y27" s="79" t="s">
        <v>17</v>
      </c>
      <c r="Z27" s="79" t="s">
        <v>17</v>
      </c>
      <c r="AA27" s="79" t="s">
        <v>17</v>
      </c>
      <c r="AB27" s="79" t="s">
        <v>17</v>
      </c>
      <c r="AC27" s="97"/>
      <c r="AD27" s="79" t="s">
        <v>17</v>
      </c>
      <c r="AE27" s="79" t="s">
        <v>17</v>
      </c>
      <c r="AF27" s="79" t="s">
        <v>17</v>
      </c>
      <c r="AG27" s="79" t="s">
        <v>17</v>
      </c>
      <c r="AH27" s="79" t="s">
        <v>17</v>
      </c>
      <c r="AI27" s="79" t="s">
        <v>17</v>
      </c>
      <c r="AJ27" s="4">
        <f t="shared" si="1"/>
        <v>26</v>
      </c>
      <c r="AK27" s="4">
        <f t="shared" si="2"/>
        <v>0</v>
      </c>
    </row>
    <row r="28" spans="1:41" ht="16.5">
      <c r="A28" s="6">
        <v>24</v>
      </c>
      <c r="B28" s="74">
        <v>883</v>
      </c>
      <c r="C28" s="82" t="s">
        <v>140</v>
      </c>
      <c r="D28" s="74" t="s">
        <v>101</v>
      </c>
      <c r="E28" s="5" t="s">
        <v>185</v>
      </c>
      <c r="F28" s="79" t="s">
        <v>17</v>
      </c>
      <c r="G28" s="79" t="s">
        <v>17</v>
      </c>
      <c r="H28" s="97"/>
      <c r="I28" s="79" t="s">
        <v>17</v>
      </c>
      <c r="J28" s="79" t="s">
        <v>17</v>
      </c>
      <c r="K28" s="79" t="s">
        <v>17</v>
      </c>
      <c r="L28" s="79" t="s">
        <v>17</v>
      </c>
      <c r="M28" s="79" t="s">
        <v>17</v>
      </c>
      <c r="N28" s="79" t="s">
        <v>17</v>
      </c>
      <c r="O28" s="97"/>
      <c r="P28" s="79" t="s">
        <v>17</v>
      </c>
      <c r="Q28" s="79" t="s">
        <v>17</v>
      </c>
      <c r="R28" s="79" t="s">
        <v>17</v>
      </c>
      <c r="S28" s="79" t="s">
        <v>17</v>
      </c>
      <c r="T28" s="79" t="s">
        <v>17</v>
      </c>
      <c r="U28" s="79" t="s">
        <v>17</v>
      </c>
      <c r="V28" s="97"/>
      <c r="W28" s="79" t="s">
        <v>17</v>
      </c>
      <c r="X28" s="79" t="s">
        <v>17</v>
      </c>
      <c r="Y28" s="79" t="s">
        <v>17</v>
      </c>
      <c r="Z28" s="79" t="s">
        <v>17</v>
      </c>
      <c r="AA28" s="79" t="s">
        <v>17</v>
      </c>
      <c r="AB28" s="79" t="s">
        <v>17</v>
      </c>
      <c r="AC28" s="97"/>
      <c r="AD28" s="79" t="s">
        <v>17</v>
      </c>
      <c r="AE28" s="79" t="s">
        <v>17</v>
      </c>
      <c r="AF28" s="79" t="s">
        <v>17</v>
      </c>
      <c r="AG28" s="79" t="s">
        <v>17</v>
      </c>
      <c r="AH28" s="79" t="s">
        <v>17</v>
      </c>
      <c r="AI28" s="79" t="s">
        <v>17</v>
      </c>
      <c r="AJ28" s="4">
        <f t="shared" si="1"/>
        <v>26</v>
      </c>
      <c r="AK28" s="4">
        <f t="shared" si="2"/>
        <v>0</v>
      </c>
    </row>
    <row r="29" spans="1:41" ht="16.5">
      <c r="A29" s="6">
        <v>25</v>
      </c>
      <c r="B29" s="74">
        <v>879</v>
      </c>
      <c r="C29" s="82" t="s">
        <v>141</v>
      </c>
      <c r="D29" s="74" t="s">
        <v>137</v>
      </c>
      <c r="E29" s="5" t="s">
        <v>185</v>
      </c>
      <c r="F29" s="79" t="s">
        <v>17</v>
      </c>
      <c r="G29" s="79" t="s">
        <v>17</v>
      </c>
      <c r="H29" s="97"/>
      <c r="I29" s="79" t="s">
        <v>17</v>
      </c>
      <c r="J29" s="79" t="s">
        <v>17</v>
      </c>
      <c r="K29" s="79" t="s">
        <v>17</v>
      </c>
      <c r="L29" s="79" t="s">
        <v>17</v>
      </c>
      <c r="M29" s="79" t="s">
        <v>17</v>
      </c>
      <c r="N29" s="79" t="s">
        <v>17</v>
      </c>
      <c r="O29" s="97"/>
      <c r="P29" s="79" t="s">
        <v>17</v>
      </c>
      <c r="Q29" s="79" t="s">
        <v>17</v>
      </c>
      <c r="R29" s="79" t="s">
        <v>17</v>
      </c>
      <c r="S29" s="79" t="s">
        <v>17</v>
      </c>
      <c r="T29" s="79" t="s">
        <v>17</v>
      </c>
      <c r="U29" s="79" t="s">
        <v>17</v>
      </c>
      <c r="V29" s="97"/>
      <c r="W29" s="79" t="s">
        <v>17</v>
      </c>
      <c r="X29" s="79" t="s">
        <v>17</v>
      </c>
      <c r="Y29" s="79" t="s">
        <v>17</v>
      </c>
      <c r="Z29" s="79" t="s">
        <v>17</v>
      </c>
      <c r="AA29" s="79" t="s">
        <v>17</v>
      </c>
      <c r="AB29" s="79" t="s">
        <v>17</v>
      </c>
      <c r="AC29" s="97"/>
      <c r="AD29" s="79" t="s">
        <v>17</v>
      </c>
      <c r="AE29" s="79" t="s">
        <v>17</v>
      </c>
      <c r="AF29" s="79" t="s">
        <v>17</v>
      </c>
      <c r="AG29" s="79" t="s">
        <v>17</v>
      </c>
      <c r="AH29" s="79" t="s">
        <v>17</v>
      </c>
      <c r="AI29" s="79" t="s">
        <v>17</v>
      </c>
      <c r="AJ29" s="4">
        <f t="shared" si="1"/>
        <v>26</v>
      </c>
      <c r="AK29" s="4">
        <f t="shared" si="2"/>
        <v>0</v>
      </c>
    </row>
    <row r="30" spans="1:41" ht="16.5">
      <c r="A30" s="6">
        <v>26</v>
      </c>
      <c r="B30" s="74">
        <v>892</v>
      </c>
      <c r="C30" s="82" t="s">
        <v>142</v>
      </c>
      <c r="D30" s="74" t="s">
        <v>65</v>
      </c>
      <c r="E30" s="5" t="s">
        <v>185</v>
      </c>
      <c r="F30" s="79" t="s">
        <v>17</v>
      </c>
      <c r="G30" s="79" t="s">
        <v>17</v>
      </c>
      <c r="H30" s="97"/>
      <c r="I30" s="79" t="s">
        <v>17</v>
      </c>
      <c r="J30" s="79" t="s">
        <v>17</v>
      </c>
      <c r="K30" s="79" t="s">
        <v>17</v>
      </c>
      <c r="L30" s="79" t="s">
        <v>17</v>
      </c>
      <c r="M30" s="79" t="s">
        <v>17</v>
      </c>
      <c r="N30" s="79" t="s">
        <v>17</v>
      </c>
      <c r="O30" s="97"/>
      <c r="P30" s="79" t="s">
        <v>17</v>
      </c>
      <c r="Q30" s="79" t="s">
        <v>17</v>
      </c>
      <c r="R30" s="79" t="s">
        <v>17</v>
      </c>
      <c r="S30" s="79" t="s">
        <v>17</v>
      </c>
      <c r="T30" s="79" t="s">
        <v>17</v>
      </c>
      <c r="U30" s="79" t="s">
        <v>17</v>
      </c>
      <c r="V30" s="97"/>
      <c r="W30" s="79" t="s">
        <v>17</v>
      </c>
      <c r="X30" s="79" t="s">
        <v>17</v>
      </c>
      <c r="Y30" s="79" t="s">
        <v>17</v>
      </c>
      <c r="Z30" s="79" t="s">
        <v>17</v>
      </c>
      <c r="AA30" s="79" t="s">
        <v>17</v>
      </c>
      <c r="AB30" s="79" t="s">
        <v>17</v>
      </c>
      <c r="AC30" s="97"/>
      <c r="AD30" s="79" t="s">
        <v>17</v>
      </c>
      <c r="AE30" s="79" t="s">
        <v>17</v>
      </c>
      <c r="AF30" s="79" t="s">
        <v>17</v>
      </c>
      <c r="AG30" s="79" t="s">
        <v>17</v>
      </c>
      <c r="AH30" s="79" t="s">
        <v>17</v>
      </c>
      <c r="AI30" s="79" t="s">
        <v>17</v>
      </c>
      <c r="AJ30" s="4">
        <f t="shared" si="1"/>
        <v>26</v>
      </c>
      <c r="AK30" s="4">
        <f t="shared" si="2"/>
        <v>0</v>
      </c>
    </row>
    <row r="31" spans="1:41" ht="16.5">
      <c r="A31" s="6">
        <v>27</v>
      </c>
      <c r="B31" s="83">
        <v>864</v>
      </c>
      <c r="C31" s="83" t="s">
        <v>143</v>
      </c>
      <c r="D31" s="83" t="s">
        <v>144</v>
      </c>
      <c r="E31" s="5" t="s">
        <v>185</v>
      </c>
      <c r="F31" s="79" t="s">
        <v>17</v>
      </c>
      <c r="G31" s="79" t="s">
        <v>17</v>
      </c>
      <c r="H31" s="97"/>
      <c r="I31" s="79" t="s">
        <v>17</v>
      </c>
      <c r="J31" s="79" t="s">
        <v>17</v>
      </c>
      <c r="K31" s="79" t="s">
        <v>17</v>
      </c>
      <c r="L31" s="79" t="s">
        <v>17</v>
      </c>
      <c r="M31" s="79" t="s">
        <v>17</v>
      </c>
      <c r="N31" s="79" t="s">
        <v>17</v>
      </c>
      <c r="O31" s="97"/>
      <c r="P31" s="79" t="s">
        <v>17</v>
      </c>
      <c r="Q31" s="79" t="s">
        <v>17</v>
      </c>
      <c r="R31" s="79" t="s">
        <v>17</v>
      </c>
      <c r="S31" s="79" t="s">
        <v>17</v>
      </c>
      <c r="T31" s="79" t="s">
        <v>17</v>
      </c>
      <c r="U31" s="79" t="s">
        <v>17</v>
      </c>
      <c r="V31" s="97"/>
      <c r="W31" s="79" t="s">
        <v>17</v>
      </c>
      <c r="X31" s="79" t="s">
        <v>17</v>
      </c>
      <c r="Y31" s="79" t="s">
        <v>17</v>
      </c>
      <c r="Z31" s="79" t="s">
        <v>17</v>
      </c>
      <c r="AA31" s="79" t="s">
        <v>17</v>
      </c>
      <c r="AB31" s="79" t="s">
        <v>17</v>
      </c>
      <c r="AC31" s="97"/>
      <c r="AD31" s="79" t="s">
        <v>17</v>
      </c>
      <c r="AE31" s="79" t="s">
        <v>17</v>
      </c>
      <c r="AF31" s="79" t="s">
        <v>17</v>
      </c>
      <c r="AG31" s="79" t="s">
        <v>17</v>
      </c>
      <c r="AH31" s="79" t="s">
        <v>17</v>
      </c>
      <c r="AI31" s="79" t="s">
        <v>17</v>
      </c>
      <c r="AJ31" s="4">
        <f t="shared" si="1"/>
        <v>26</v>
      </c>
      <c r="AK31" s="4">
        <f t="shared" si="2"/>
        <v>0</v>
      </c>
    </row>
    <row r="32" spans="1:41" ht="16.5">
      <c r="A32" s="6">
        <v>28</v>
      </c>
      <c r="B32" s="71">
        <v>799</v>
      </c>
      <c r="C32" s="71" t="s">
        <v>145</v>
      </c>
      <c r="D32" s="71" t="s">
        <v>95</v>
      </c>
      <c r="E32" s="5" t="s">
        <v>185</v>
      </c>
      <c r="F32" s="79" t="s">
        <v>17</v>
      </c>
      <c r="G32" s="79" t="s">
        <v>17</v>
      </c>
      <c r="H32" s="97"/>
      <c r="I32" s="79" t="s">
        <v>17</v>
      </c>
      <c r="J32" s="79" t="s">
        <v>17</v>
      </c>
      <c r="K32" s="79" t="s">
        <v>17</v>
      </c>
      <c r="L32" s="79" t="s">
        <v>17</v>
      </c>
      <c r="M32" s="79" t="s">
        <v>17</v>
      </c>
      <c r="N32" s="79" t="s">
        <v>17</v>
      </c>
      <c r="O32" s="97"/>
      <c r="P32" s="79" t="s">
        <v>17</v>
      </c>
      <c r="Q32" s="79" t="s">
        <v>17</v>
      </c>
      <c r="R32" s="79" t="s">
        <v>17</v>
      </c>
      <c r="S32" s="79" t="s">
        <v>17</v>
      </c>
      <c r="T32" s="79" t="s">
        <v>17</v>
      </c>
      <c r="U32" s="79" t="s">
        <v>17</v>
      </c>
      <c r="V32" s="97"/>
      <c r="W32" s="79" t="s">
        <v>17</v>
      </c>
      <c r="X32" s="79" t="s">
        <v>17</v>
      </c>
      <c r="Y32" s="79" t="s">
        <v>17</v>
      </c>
      <c r="Z32" s="79" t="s">
        <v>17</v>
      </c>
      <c r="AA32" s="79" t="s">
        <v>17</v>
      </c>
      <c r="AB32" s="79" t="s">
        <v>17</v>
      </c>
      <c r="AC32" s="97"/>
      <c r="AD32" s="79" t="s">
        <v>17</v>
      </c>
      <c r="AE32" s="79" t="s">
        <v>17</v>
      </c>
      <c r="AF32" s="79" t="s">
        <v>17</v>
      </c>
      <c r="AG32" s="79" t="s">
        <v>17</v>
      </c>
      <c r="AH32" s="79" t="s">
        <v>17</v>
      </c>
      <c r="AI32" s="79" t="s">
        <v>17</v>
      </c>
      <c r="AJ32" s="4">
        <f t="shared" si="1"/>
        <v>26</v>
      </c>
      <c r="AK32" s="4">
        <f t="shared" si="2"/>
        <v>0</v>
      </c>
    </row>
    <row r="33" spans="1:37" ht="16.5">
      <c r="A33" s="6">
        <v>29</v>
      </c>
      <c r="B33" s="74">
        <v>837</v>
      </c>
      <c r="C33" s="74" t="s">
        <v>146</v>
      </c>
      <c r="D33" s="74" t="s">
        <v>147</v>
      </c>
      <c r="E33" s="5" t="s">
        <v>185</v>
      </c>
      <c r="F33" s="79" t="s">
        <v>17</v>
      </c>
      <c r="G33" s="79" t="s">
        <v>17</v>
      </c>
      <c r="H33" s="97"/>
      <c r="I33" s="79" t="s">
        <v>17</v>
      </c>
      <c r="J33" s="79" t="s">
        <v>17</v>
      </c>
      <c r="K33" s="79" t="s">
        <v>17</v>
      </c>
      <c r="L33" s="79" t="s">
        <v>17</v>
      </c>
      <c r="M33" s="79" t="s">
        <v>17</v>
      </c>
      <c r="N33" s="79" t="s">
        <v>17</v>
      </c>
      <c r="O33" s="97"/>
      <c r="P33" s="79" t="s">
        <v>17</v>
      </c>
      <c r="Q33" s="79" t="s">
        <v>17</v>
      </c>
      <c r="R33" s="79" t="s">
        <v>17</v>
      </c>
      <c r="S33" s="79" t="s">
        <v>17</v>
      </c>
      <c r="T33" s="79" t="s">
        <v>17</v>
      </c>
      <c r="U33" s="79" t="s">
        <v>17</v>
      </c>
      <c r="V33" s="97"/>
      <c r="W33" s="79" t="s">
        <v>17</v>
      </c>
      <c r="X33" s="79" t="s">
        <v>17</v>
      </c>
      <c r="Y33" s="79" t="s">
        <v>17</v>
      </c>
      <c r="Z33" s="79" t="s">
        <v>17</v>
      </c>
      <c r="AA33" s="79" t="s">
        <v>17</v>
      </c>
      <c r="AB33" s="79" t="s">
        <v>17</v>
      </c>
      <c r="AC33" s="97"/>
      <c r="AD33" s="79" t="s">
        <v>17</v>
      </c>
      <c r="AE33" s="79" t="s">
        <v>17</v>
      </c>
      <c r="AF33" s="79" t="s">
        <v>17</v>
      </c>
      <c r="AG33" s="79" t="s">
        <v>17</v>
      </c>
      <c r="AH33" s="79" t="s">
        <v>17</v>
      </c>
      <c r="AI33" s="79" t="s">
        <v>17</v>
      </c>
      <c r="AJ33" s="4">
        <f t="shared" si="1"/>
        <v>26</v>
      </c>
      <c r="AK33" s="4">
        <f t="shared" si="2"/>
        <v>0</v>
      </c>
    </row>
    <row r="34" spans="1:37" ht="16.5">
      <c r="A34" s="6">
        <v>30</v>
      </c>
      <c r="B34" s="74">
        <v>950</v>
      </c>
      <c r="C34" s="74" t="s">
        <v>148</v>
      </c>
      <c r="D34" s="74" t="s">
        <v>149</v>
      </c>
      <c r="E34" s="5" t="s">
        <v>185</v>
      </c>
      <c r="F34" s="79" t="s">
        <v>17</v>
      </c>
      <c r="G34" s="79" t="s">
        <v>17</v>
      </c>
      <c r="H34" s="97"/>
      <c r="I34" s="79" t="s">
        <v>17</v>
      </c>
      <c r="J34" s="79" t="s">
        <v>17</v>
      </c>
      <c r="K34" s="79" t="s">
        <v>17</v>
      </c>
      <c r="L34" s="79" t="s">
        <v>17</v>
      </c>
      <c r="M34" s="79" t="s">
        <v>17</v>
      </c>
      <c r="N34" s="79" t="s">
        <v>17</v>
      </c>
      <c r="O34" s="97"/>
      <c r="P34" s="79" t="s">
        <v>17</v>
      </c>
      <c r="Q34" s="79" t="s">
        <v>17</v>
      </c>
      <c r="R34" s="79" t="s">
        <v>17</v>
      </c>
      <c r="S34" s="79" t="s">
        <v>17</v>
      </c>
      <c r="T34" s="79" t="s">
        <v>17</v>
      </c>
      <c r="U34" s="79" t="s">
        <v>17</v>
      </c>
      <c r="V34" s="97"/>
      <c r="W34" s="79" t="s">
        <v>17</v>
      </c>
      <c r="X34" s="79" t="s">
        <v>17</v>
      </c>
      <c r="Y34" s="79" t="s">
        <v>17</v>
      </c>
      <c r="Z34" s="79" t="s">
        <v>17</v>
      </c>
      <c r="AA34" s="79" t="s">
        <v>17</v>
      </c>
      <c r="AB34" s="79" t="s">
        <v>17</v>
      </c>
      <c r="AC34" s="97"/>
      <c r="AD34" s="79" t="s">
        <v>17</v>
      </c>
      <c r="AE34" s="79" t="s">
        <v>17</v>
      </c>
      <c r="AF34" s="79" t="s">
        <v>17</v>
      </c>
      <c r="AG34" s="79" t="s">
        <v>17</v>
      </c>
      <c r="AH34" s="79" t="s">
        <v>17</v>
      </c>
      <c r="AI34" s="79" t="s">
        <v>17</v>
      </c>
      <c r="AJ34" s="4">
        <f t="shared" si="1"/>
        <v>26</v>
      </c>
      <c r="AK34" s="4">
        <f t="shared" si="2"/>
        <v>0</v>
      </c>
    </row>
    <row r="35" spans="1:37" ht="16.5">
      <c r="A35" s="6">
        <v>31</v>
      </c>
      <c r="B35" s="74">
        <v>948</v>
      </c>
      <c r="C35" s="74" t="s">
        <v>31</v>
      </c>
      <c r="D35" s="74" t="s">
        <v>53</v>
      </c>
      <c r="E35" s="5" t="s">
        <v>185</v>
      </c>
      <c r="F35" s="79" t="s">
        <v>17</v>
      </c>
      <c r="G35" s="79" t="s">
        <v>17</v>
      </c>
      <c r="H35" s="97"/>
      <c r="I35" s="79" t="s">
        <v>17</v>
      </c>
      <c r="J35" s="79" t="s">
        <v>17</v>
      </c>
      <c r="K35" s="79" t="s">
        <v>17</v>
      </c>
      <c r="L35" s="79" t="s">
        <v>17</v>
      </c>
      <c r="M35" s="79" t="s">
        <v>17</v>
      </c>
      <c r="N35" s="79" t="s">
        <v>17</v>
      </c>
      <c r="O35" s="97"/>
      <c r="P35" s="79" t="s">
        <v>17</v>
      </c>
      <c r="Q35" s="79" t="s">
        <v>17</v>
      </c>
      <c r="R35" s="79" t="s">
        <v>17</v>
      </c>
      <c r="S35" s="79" t="s">
        <v>17</v>
      </c>
      <c r="T35" s="79" t="s">
        <v>17</v>
      </c>
      <c r="U35" s="79" t="s">
        <v>17</v>
      </c>
      <c r="V35" s="97"/>
      <c r="W35" s="79" t="s">
        <v>17</v>
      </c>
      <c r="X35" s="79" t="s">
        <v>17</v>
      </c>
      <c r="Y35" s="79" t="s">
        <v>17</v>
      </c>
      <c r="Z35" s="79" t="s">
        <v>17</v>
      </c>
      <c r="AA35" s="79" t="s">
        <v>17</v>
      </c>
      <c r="AB35" s="79" t="s">
        <v>17</v>
      </c>
      <c r="AC35" s="97"/>
      <c r="AD35" s="79" t="s">
        <v>17</v>
      </c>
      <c r="AE35" s="79" t="s">
        <v>17</v>
      </c>
      <c r="AF35" s="79" t="s">
        <v>17</v>
      </c>
      <c r="AG35" s="79" t="s">
        <v>17</v>
      </c>
      <c r="AH35" s="79" t="s">
        <v>17</v>
      </c>
      <c r="AI35" s="79" t="s">
        <v>17</v>
      </c>
      <c r="AJ35" s="4">
        <f t="shared" si="1"/>
        <v>26</v>
      </c>
      <c r="AK35" s="4">
        <f t="shared" si="2"/>
        <v>0</v>
      </c>
    </row>
  </sheetData>
  <mergeCells count="16">
    <mergeCell ref="A1:AI1"/>
    <mergeCell ref="A2:AI2"/>
    <mergeCell ref="A3:A4"/>
    <mergeCell ref="B3:B4"/>
    <mergeCell ref="C3:C4"/>
    <mergeCell ref="D3:D4"/>
    <mergeCell ref="E3:E4"/>
    <mergeCell ref="AJ3:AJ4"/>
    <mergeCell ref="AK3:AK4"/>
    <mergeCell ref="AL3:AM3"/>
    <mergeCell ref="H5:H35"/>
    <mergeCell ref="O5:O35"/>
    <mergeCell ref="V5:V35"/>
    <mergeCell ref="AC5:AC35"/>
    <mergeCell ref="AL11:AO11"/>
    <mergeCell ref="AL19:AO19"/>
  </mergeCells>
  <conditionalFormatting sqref="B5:B35">
    <cfRule type="duplicateValues" dxfId="266" priority="16"/>
  </conditionalFormatting>
  <conditionalFormatting sqref="F5:G35">
    <cfRule type="cellIs" dxfId="265" priority="153" operator="equal">
      <formula>"L"</formula>
    </cfRule>
    <cfRule type="expression" dxfId="264" priority="154">
      <formula>F$4=TODAY()</formula>
    </cfRule>
    <cfRule type="cellIs" dxfId="263" priority="155" operator="equal">
      <formula>"A"</formula>
    </cfRule>
    <cfRule type="cellIs" dxfId="262" priority="156" operator="equal">
      <formula>"P"</formula>
    </cfRule>
    <cfRule type="expression" dxfId="261" priority="157">
      <formula>F$3="Sun"</formula>
    </cfRule>
  </conditionalFormatting>
  <conditionalFormatting sqref="F3:AI4">
    <cfRule type="expression" dxfId="260" priority="158">
      <formula>F$4=TODAY()</formula>
    </cfRule>
    <cfRule type="expression" dxfId="259" priority="159">
      <formula>F$3="Sun"</formula>
    </cfRule>
  </conditionalFormatting>
  <conditionalFormatting sqref="H5">
    <cfRule type="cellIs" dxfId="258" priority="37" operator="equal">
      <formula>"L"</formula>
    </cfRule>
    <cfRule type="expression" dxfId="257" priority="38">
      <formula>H$4=TODAY()</formula>
    </cfRule>
    <cfRule type="cellIs" dxfId="256" priority="39" operator="equal">
      <formula>"A"</formula>
    </cfRule>
    <cfRule type="cellIs" dxfId="255" priority="40" operator="equal">
      <formula>"P"</formula>
    </cfRule>
    <cfRule type="expression" dxfId="254" priority="41">
      <formula>H$3="Sun"</formula>
    </cfRule>
  </conditionalFormatting>
  <conditionalFormatting sqref="I5:N35">
    <cfRule type="cellIs" dxfId="253" priority="127" operator="equal">
      <formula>"L"</formula>
    </cfRule>
    <cfRule type="expression" dxfId="252" priority="128">
      <formula>I$4=TODAY()</formula>
    </cfRule>
    <cfRule type="cellIs" dxfId="251" priority="129" operator="equal">
      <formula>"A"</formula>
    </cfRule>
    <cfRule type="cellIs" dxfId="250" priority="130" operator="equal">
      <formula>"P"</formula>
    </cfRule>
    <cfRule type="expression" dxfId="249" priority="131">
      <formula>I$3="Sun"</formula>
    </cfRule>
  </conditionalFormatting>
  <conditionalFormatting sqref="O5">
    <cfRule type="cellIs" dxfId="248" priority="11" operator="equal">
      <formula>"L"</formula>
    </cfRule>
    <cfRule type="expression" dxfId="247" priority="12">
      <formula>O$4=TODAY()</formula>
    </cfRule>
    <cfRule type="cellIs" dxfId="246" priority="13" operator="equal">
      <formula>"A"</formula>
    </cfRule>
    <cfRule type="cellIs" dxfId="245" priority="14" operator="equal">
      <formula>"P"</formula>
    </cfRule>
    <cfRule type="expression" dxfId="244" priority="15">
      <formula>O$3="Sun"</formula>
    </cfRule>
  </conditionalFormatting>
  <conditionalFormatting sqref="P5:U35">
    <cfRule type="cellIs" dxfId="243" priority="97" operator="equal">
      <formula>"L"</formula>
    </cfRule>
    <cfRule type="expression" dxfId="242" priority="98">
      <formula>P$4=TODAY()</formula>
    </cfRule>
    <cfRule type="cellIs" dxfId="241" priority="99" operator="equal">
      <formula>"A"</formula>
    </cfRule>
    <cfRule type="cellIs" dxfId="240" priority="100" operator="equal">
      <formula>"P"</formula>
    </cfRule>
    <cfRule type="expression" dxfId="239" priority="101">
      <formula>P$3="Sun"</formula>
    </cfRule>
  </conditionalFormatting>
  <conditionalFormatting sqref="V5">
    <cfRule type="cellIs" dxfId="238" priority="6" operator="equal">
      <formula>"L"</formula>
    </cfRule>
    <cfRule type="expression" dxfId="237" priority="7">
      <formula>V$4=TODAY()</formula>
    </cfRule>
    <cfRule type="cellIs" dxfId="236" priority="8" operator="equal">
      <formula>"A"</formula>
    </cfRule>
    <cfRule type="cellIs" dxfId="235" priority="9" operator="equal">
      <formula>"P"</formula>
    </cfRule>
    <cfRule type="expression" dxfId="234" priority="10">
      <formula>V$3="Sun"</formula>
    </cfRule>
  </conditionalFormatting>
  <conditionalFormatting sqref="W5:AB35">
    <cfRule type="cellIs" dxfId="233" priority="67" operator="equal">
      <formula>"L"</formula>
    </cfRule>
    <cfRule type="expression" dxfId="232" priority="68">
      <formula>W$4=TODAY()</formula>
    </cfRule>
    <cfRule type="cellIs" dxfId="231" priority="69" operator="equal">
      <formula>"A"</formula>
    </cfRule>
    <cfRule type="cellIs" dxfId="230" priority="70" operator="equal">
      <formula>"P"</formula>
    </cfRule>
    <cfRule type="expression" dxfId="229" priority="71">
      <formula>W$3="Sun"</formula>
    </cfRule>
  </conditionalFormatting>
  <conditionalFormatting sqref="AC5">
    <cfRule type="cellIs" dxfId="228" priority="1" operator="equal">
      <formula>"L"</formula>
    </cfRule>
    <cfRule type="expression" dxfId="227" priority="2">
      <formula>AC$4=TODAY()</formula>
    </cfRule>
    <cfRule type="cellIs" dxfId="226" priority="3" operator="equal">
      <formula>"A"</formula>
    </cfRule>
    <cfRule type="cellIs" dxfId="225" priority="4" operator="equal">
      <formula>"P"</formula>
    </cfRule>
    <cfRule type="expression" dxfId="224" priority="5">
      <formula>AC$3="Sun"</formula>
    </cfRule>
  </conditionalFormatting>
  <conditionalFormatting sqref="AD5:AI35">
    <cfRule type="cellIs" dxfId="223" priority="17" operator="equal">
      <formula>"L"</formula>
    </cfRule>
    <cfRule type="expression" dxfId="222" priority="18">
      <formula>AD$4=TODAY()</formula>
    </cfRule>
    <cfRule type="cellIs" dxfId="221" priority="19" operator="equal">
      <formula>"A"</formula>
    </cfRule>
    <cfRule type="cellIs" dxfId="220" priority="20" operator="equal">
      <formula>"P"</formula>
    </cfRule>
    <cfRule type="expression" dxfId="219" priority="21">
      <formula>AD$3="Sun"</formula>
    </cfRule>
  </conditionalFormatting>
  <conditionalFormatting sqref="AJ3:AK3 AJ5:AK35">
    <cfRule type="expression" dxfId="218" priority="160">
      <formula>#REF!="Sun"</formula>
    </cfRule>
  </conditionalFormatting>
  <conditionalFormatting sqref="AL5:AL9">
    <cfRule type="expression" dxfId="217" priority="164">
      <formula>AL$3="Sun"</formula>
    </cfRule>
  </conditionalFormatting>
  <conditionalFormatting sqref="AL12:AL15">
    <cfRule type="expression" dxfId="216" priority="162">
      <formula>AL$3="Sun"</formula>
    </cfRule>
  </conditionalFormatting>
  <conditionalFormatting sqref="AL20:AL23">
    <cfRule type="expression" dxfId="215" priority="161">
      <formula>AL$3="Sun"</formula>
    </cfRule>
  </conditionalFormatting>
  <conditionalFormatting sqref="AL4:AM4">
    <cfRule type="expression" dxfId="214" priority="165">
      <formula>AL$3="Sun"</formula>
    </cfRule>
  </conditionalFormatting>
  <conditionalFormatting sqref="AM12:AO12 AM20:AO20">
    <cfRule type="expression" dxfId="213" priority="166">
      <formula>AM$3="Sun"</formula>
    </cfRule>
  </conditionalFormatting>
  <conditionalFormatting sqref="AO21">
    <cfRule type="expression" dxfId="212" priority="163">
      <formula>AO$3="Sun"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4B7E4-1F45-425C-992D-2D9FC6DEC93E}">
  <dimension ref="A1:AO18"/>
  <sheetViews>
    <sheetView topLeftCell="A4" zoomScale="98" zoomScaleNormal="98" workbookViewId="0">
      <selection activeCell="AC5" sqref="AC5:AC18"/>
    </sheetView>
  </sheetViews>
  <sheetFormatPr defaultColWidth="3.85546875" defaultRowHeight="1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9" width="3.7109375" style="1" bestFit="1" customWidth="1"/>
    <col min="10" max="10" width="3.85546875" style="1"/>
    <col min="11" max="11" width="4.5703125" style="1" bestFit="1" customWidth="1"/>
    <col min="12" max="12" width="3.85546875" style="1"/>
    <col min="13" max="13" width="4.85546875" style="1" customWidth="1"/>
    <col min="14" max="15" width="3.7109375" style="1" bestFit="1" customWidth="1"/>
    <col min="16" max="16" width="3.85546875" style="1"/>
    <col min="17" max="17" width="4.5703125" style="1" bestFit="1" customWidth="1"/>
    <col min="18" max="19" width="4.5703125" style="1" customWidth="1"/>
    <col min="20" max="20" width="4.7109375" style="1" bestFit="1" customWidth="1"/>
    <col min="21" max="22" width="3.7109375" style="1" bestFit="1" customWidth="1"/>
    <col min="23" max="23" width="3.85546875" style="1"/>
    <col min="24" max="24" width="4.5703125" style="1" bestFit="1" customWidth="1"/>
    <col min="25" max="25" width="3.85546875" style="1"/>
    <col min="26" max="26" width="4.7109375" style="1" bestFit="1" customWidth="1"/>
    <col min="27" max="27" width="3.85546875" style="1"/>
    <col min="28" max="29" width="3.7109375" style="1" bestFit="1" customWidth="1"/>
    <col min="30" max="30" width="3.85546875" style="1"/>
    <col min="31" max="31" width="4.5703125" style="1" bestFit="1" customWidth="1"/>
    <col min="32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10"/>
      <c r="AK1" s="10"/>
    </row>
    <row r="2" spans="1:41" ht="17.25">
      <c r="A2" s="92" t="s">
        <v>60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11"/>
      <c r="AK2" s="11"/>
      <c r="AL2" s="11"/>
    </row>
    <row r="3" spans="1:41" ht="15.75">
      <c r="A3" s="102" t="s">
        <v>0</v>
      </c>
      <c r="B3" s="94" t="s">
        <v>111</v>
      </c>
      <c r="C3" s="102" t="s">
        <v>1</v>
      </c>
      <c r="D3" s="102" t="s">
        <v>2</v>
      </c>
      <c r="E3" s="102" t="s">
        <v>3</v>
      </c>
      <c r="F3" s="2" t="str">
        <f>TEXT(F4,"ddd")</f>
        <v>Fri</v>
      </c>
      <c r="G3" s="2" t="str">
        <f t="shared" ref="G3:AI3" si="0">TEXT(G4,"ddd")</f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98" t="s">
        <v>4</v>
      </c>
      <c r="AK3" s="98" t="s">
        <v>5</v>
      </c>
      <c r="AL3" s="99" t="s">
        <v>19</v>
      </c>
      <c r="AM3" s="100"/>
      <c r="AN3" s="3"/>
      <c r="AO3" s="3"/>
    </row>
    <row r="4" spans="1:41" ht="37.5">
      <c r="A4" s="102"/>
      <c r="B4" s="95"/>
      <c r="C4" s="102"/>
      <c r="D4" s="102"/>
      <c r="E4" s="102"/>
      <c r="F4" s="9">
        <v>45597</v>
      </c>
      <c r="G4" s="9">
        <v>45598</v>
      </c>
      <c r="H4" s="9">
        <v>45599</v>
      </c>
      <c r="I4" s="9">
        <v>45600</v>
      </c>
      <c r="J4" s="9">
        <v>45601</v>
      </c>
      <c r="K4" s="9">
        <v>45602</v>
      </c>
      <c r="L4" s="9">
        <v>45603</v>
      </c>
      <c r="M4" s="9">
        <v>45604</v>
      </c>
      <c r="N4" s="9">
        <v>45605</v>
      </c>
      <c r="O4" s="9">
        <v>45606</v>
      </c>
      <c r="P4" s="9">
        <v>45607</v>
      </c>
      <c r="Q4" s="9">
        <v>45608</v>
      </c>
      <c r="R4" s="9">
        <v>45609</v>
      </c>
      <c r="S4" s="9">
        <v>45610</v>
      </c>
      <c r="T4" s="9">
        <v>45611</v>
      </c>
      <c r="U4" s="9">
        <v>45612</v>
      </c>
      <c r="V4" s="9">
        <v>45613</v>
      </c>
      <c r="W4" s="9">
        <v>45614</v>
      </c>
      <c r="X4" s="9">
        <v>45615</v>
      </c>
      <c r="Y4" s="9">
        <v>45616</v>
      </c>
      <c r="Z4" s="9">
        <v>45617</v>
      </c>
      <c r="AA4" s="9">
        <v>45618</v>
      </c>
      <c r="AB4" s="9">
        <v>45619</v>
      </c>
      <c r="AC4" s="9">
        <v>45620</v>
      </c>
      <c r="AD4" s="9">
        <v>45621</v>
      </c>
      <c r="AE4" s="9">
        <v>45622</v>
      </c>
      <c r="AF4" s="9">
        <v>45623</v>
      </c>
      <c r="AG4" s="9">
        <v>45624</v>
      </c>
      <c r="AH4" s="9">
        <v>45625</v>
      </c>
      <c r="AI4" s="9">
        <v>45626</v>
      </c>
      <c r="AJ4" s="98"/>
      <c r="AK4" s="98"/>
      <c r="AL4" s="4" t="s">
        <v>20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67">
        <v>933</v>
      </c>
      <c r="C5" s="66" t="s">
        <v>150</v>
      </c>
      <c r="D5" s="66" t="s">
        <v>83</v>
      </c>
      <c r="E5" s="5" t="s">
        <v>25</v>
      </c>
      <c r="F5" s="79" t="s">
        <v>17</v>
      </c>
      <c r="G5" s="79" t="s">
        <v>17</v>
      </c>
      <c r="H5" s="96" t="s">
        <v>194</v>
      </c>
      <c r="I5" s="79" t="s">
        <v>17</v>
      </c>
      <c r="J5" s="79" t="s">
        <v>17</v>
      </c>
      <c r="K5" s="79" t="s">
        <v>17</v>
      </c>
      <c r="L5" s="79" t="s">
        <v>17</v>
      </c>
      <c r="M5" s="79" t="s">
        <v>17</v>
      </c>
      <c r="N5" s="79" t="s">
        <v>17</v>
      </c>
      <c r="O5" s="96" t="s">
        <v>194</v>
      </c>
      <c r="P5" s="79" t="s">
        <v>17</v>
      </c>
      <c r="Q5" s="79" t="s">
        <v>17</v>
      </c>
      <c r="R5" s="79" t="s">
        <v>17</v>
      </c>
      <c r="S5" s="79" t="s">
        <v>17</v>
      </c>
      <c r="T5" s="79" t="s">
        <v>17</v>
      </c>
      <c r="U5" s="79" t="s">
        <v>17</v>
      </c>
      <c r="V5" s="96" t="s">
        <v>194</v>
      </c>
      <c r="W5" s="79" t="s">
        <v>17</v>
      </c>
      <c r="X5" s="79" t="s">
        <v>17</v>
      </c>
      <c r="Y5" s="79" t="s">
        <v>17</v>
      </c>
      <c r="Z5" s="79" t="s">
        <v>17</v>
      </c>
      <c r="AA5" s="79" t="s">
        <v>17</v>
      </c>
      <c r="AB5" s="79" t="s">
        <v>17</v>
      </c>
      <c r="AC5" s="96" t="s">
        <v>194</v>
      </c>
      <c r="AD5" s="79" t="s">
        <v>17</v>
      </c>
      <c r="AE5" s="79" t="s">
        <v>17</v>
      </c>
      <c r="AF5" s="79" t="s">
        <v>17</v>
      </c>
      <c r="AG5" s="79" t="s">
        <v>17</v>
      </c>
      <c r="AH5" s="79" t="s">
        <v>17</v>
      </c>
      <c r="AI5" s="79" t="s">
        <v>17</v>
      </c>
      <c r="AJ5" s="4">
        <f t="shared" ref="AJ5:AJ18" si="1">COUNTIF(F5:AI5,"P")</f>
        <v>26</v>
      </c>
      <c r="AK5" s="4">
        <f t="shared" ref="AK5:AK18" si="2">COUNTIF(F5:AI5,"A")</f>
        <v>0</v>
      </c>
      <c r="AL5" s="65" t="s">
        <v>6</v>
      </c>
      <c r="AM5" s="6">
        <v>24</v>
      </c>
      <c r="AN5" s="7"/>
      <c r="AO5" s="3"/>
    </row>
    <row r="6" spans="1:41" ht="16.5">
      <c r="A6" s="6">
        <v>2</v>
      </c>
      <c r="B6" s="71">
        <v>832</v>
      </c>
      <c r="C6" s="71" t="s">
        <v>151</v>
      </c>
      <c r="D6" s="71" t="s">
        <v>152</v>
      </c>
      <c r="E6" s="5" t="s">
        <v>25</v>
      </c>
      <c r="F6" s="79" t="s">
        <v>17</v>
      </c>
      <c r="G6" s="79" t="s">
        <v>17</v>
      </c>
      <c r="H6" s="97"/>
      <c r="I6" s="79" t="s">
        <v>17</v>
      </c>
      <c r="J6" s="79" t="s">
        <v>17</v>
      </c>
      <c r="K6" s="79" t="s">
        <v>17</v>
      </c>
      <c r="L6" s="79" t="s">
        <v>17</v>
      </c>
      <c r="M6" s="79" t="s">
        <v>17</v>
      </c>
      <c r="N6" s="79" t="s">
        <v>17</v>
      </c>
      <c r="O6" s="97"/>
      <c r="P6" s="79" t="s">
        <v>17</v>
      </c>
      <c r="Q6" s="79" t="s">
        <v>17</v>
      </c>
      <c r="R6" s="79" t="s">
        <v>17</v>
      </c>
      <c r="S6" s="79" t="s">
        <v>17</v>
      </c>
      <c r="T6" s="79" t="s">
        <v>17</v>
      </c>
      <c r="U6" s="79" t="s">
        <v>17</v>
      </c>
      <c r="V6" s="97"/>
      <c r="W6" s="79" t="s">
        <v>17</v>
      </c>
      <c r="X6" s="79" t="s">
        <v>17</v>
      </c>
      <c r="Y6" s="79" t="s">
        <v>17</v>
      </c>
      <c r="Z6" s="79" t="s">
        <v>17</v>
      </c>
      <c r="AA6" s="79" t="s">
        <v>17</v>
      </c>
      <c r="AB6" s="79" t="s">
        <v>17</v>
      </c>
      <c r="AC6" s="97"/>
      <c r="AD6" s="79" t="s">
        <v>17</v>
      </c>
      <c r="AE6" s="79" t="s">
        <v>17</v>
      </c>
      <c r="AF6" s="79" t="s">
        <v>17</v>
      </c>
      <c r="AG6" s="79" t="s">
        <v>17</v>
      </c>
      <c r="AH6" s="79" t="s">
        <v>17</v>
      </c>
      <c r="AI6" s="79" t="s">
        <v>17</v>
      </c>
      <c r="AJ6" s="4">
        <f t="shared" si="1"/>
        <v>26</v>
      </c>
      <c r="AK6" s="4">
        <f t="shared" si="2"/>
        <v>0</v>
      </c>
      <c r="AL6" s="65" t="s">
        <v>7</v>
      </c>
      <c r="AM6" s="6">
        <v>4</v>
      </c>
      <c r="AN6" s="3"/>
      <c r="AO6" s="3"/>
    </row>
    <row r="7" spans="1:41" ht="16.5">
      <c r="A7" s="6">
        <v>3</v>
      </c>
      <c r="B7" s="83">
        <v>833</v>
      </c>
      <c r="C7" s="83" t="s">
        <v>153</v>
      </c>
      <c r="D7" s="83" t="s">
        <v>91</v>
      </c>
      <c r="E7" s="5" t="s">
        <v>25</v>
      </c>
      <c r="F7" s="79" t="s">
        <v>17</v>
      </c>
      <c r="G7" s="79" t="s">
        <v>17</v>
      </c>
      <c r="H7" s="97"/>
      <c r="I7" s="79" t="s">
        <v>17</v>
      </c>
      <c r="J7" s="79" t="s">
        <v>17</v>
      </c>
      <c r="K7" s="79" t="s">
        <v>17</v>
      </c>
      <c r="L7" s="79" t="s">
        <v>17</v>
      </c>
      <c r="M7" s="79" t="s">
        <v>17</v>
      </c>
      <c r="N7" s="79" t="s">
        <v>17</v>
      </c>
      <c r="O7" s="97"/>
      <c r="P7" s="79" t="s">
        <v>17</v>
      </c>
      <c r="Q7" s="79" t="s">
        <v>17</v>
      </c>
      <c r="R7" s="79" t="s">
        <v>17</v>
      </c>
      <c r="S7" s="79" t="s">
        <v>17</v>
      </c>
      <c r="T7" s="79" t="s">
        <v>17</v>
      </c>
      <c r="U7" s="79" t="s">
        <v>17</v>
      </c>
      <c r="V7" s="97"/>
      <c r="W7" s="79" t="s">
        <v>17</v>
      </c>
      <c r="X7" s="79" t="s">
        <v>17</v>
      </c>
      <c r="Y7" s="79" t="s">
        <v>17</v>
      </c>
      <c r="Z7" s="79" t="s">
        <v>17</v>
      </c>
      <c r="AA7" s="79" t="s">
        <v>17</v>
      </c>
      <c r="AB7" s="79" t="s">
        <v>17</v>
      </c>
      <c r="AC7" s="97"/>
      <c r="AD7" s="79" t="s">
        <v>17</v>
      </c>
      <c r="AE7" s="79" t="s">
        <v>17</v>
      </c>
      <c r="AF7" s="79" t="s">
        <v>17</v>
      </c>
      <c r="AG7" s="79" t="s">
        <v>17</v>
      </c>
      <c r="AH7" s="79" t="s">
        <v>17</v>
      </c>
      <c r="AI7" s="79" t="s">
        <v>17</v>
      </c>
      <c r="AJ7" s="4">
        <f t="shared" si="1"/>
        <v>26</v>
      </c>
      <c r="AK7" s="4">
        <f t="shared" si="2"/>
        <v>0</v>
      </c>
      <c r="AL7" s="65" t="s">
        <v>23</v>
      </c>
      <c r="AM7" s="6">
        <v>1</v>
      </c>
      <c r="AN7" s="3"/>
      <c r="AO7" s="3"/>
    </row>
    <row r="8" spans="1:41" ht="16.5">
      <c r="A8" s="6">
        <v>4</v>
      </c>
      <c r="B8" s="74">
        <v>838</v>
      </c>
      <c r="C8" s="74" t="s">
        <v>154</v>
      </c>
      <c r="D8" s="74" t="s">
        <v>51</v>
      </c>
      <c r="E8" s="5" t="s">
        <v>25</v>
      </c>
      <c r="F8" s="79" t="s">
        <v>17</v>
      </c>
      <c r="G8" s="79" t="s">
        <v>17</v>
      </c>
      <c r="H8" s="97"/>
      <c r="I8" s="79" t="s">
        <v>17</v>
      </c>
      <c r="J8" s="79" t="s">
        <v>17</v>
      </c>
      <c r="K8" s="79" t="s">
        <v>17</v>
      </c>
      <c r="L8" s="79" t="s">
        <v>17</v>
      </c>
      <c r="M8" s="79" t="s">
        <v>17</v>
      </c>
      <c r="N8" s="79" t="s">
        <v>17</v>
      </c>
      <c r="O8" s="97"/>
      <c r="P8" s="79" t="s">
        <v>17</v>
      </c>
      <c r="Q8" s="79" t="s">
        <v>17</v>
      </c>
      <c r="R8" s="79" t="s">
        <v>17</v>
      </c>
      <c r="S8" s="79" t="s">
        <v>17</v>
      </c>
      <c r="T8" s="79" t="s">
        <v>17</v>
      </c>
      <c r="U8" s="79" t="s">
        <v>17</v>
      </c>
      <c r="V8" s="97"/>
      <c r="W8" s="79" t="s">
        <v>17</v>
      </c>
      <c r="X8" s="79" t="s">
        <v>17</v>
      </c>
      <c r="Y8" s="79" t="s">
        <v>17</v>
      </c>
      <c r="Z8" s="79" t="s">
        <v>17</v>
      </c>
      <c r="AA8" s="79" t="s">
        <v>17</v>
      </c>
      <c r="AB8" s="79" t="s">
        <v>17</v>
      </c>
      <c r="AC8" s="97"/>
      <c r="AD8" s="79" t="s">
        <v>17</v>
      </c>
      <c r="AE8" s="79" t="s">
        <v>17</v>
      </c>
      <c r="AF8" s="79" t="s">
        <v>17</v>
      </c>
      <c r="AG8" s="79" t="s">
        <v>17</v>
      </c>
      <c r="AH8" s="79" t="s">
        <v>17</v>
      </c>
      <c r="AI8" s="79" t="s">
        <v>17</v>
      </c>
      <c r="AJ8" s="4">
        <f t="shared" si="1"/>
        <v>26</v>
      </c>
      <c r="AK8" s="4">
        <f t="shared" si="2"/>
        <v>0</v>
      </c>
      <c r="AL8" s="65" t="s">
        <v>21</v>
      </c>
      <c r="AM8" s="6">
        <v>1</v>
      </c>
      <c r="AN8"/>
      <c r="AO8"/>
    </row>
    <row r="9" spans="1:41" ht="16.5">
      <c r="A9" s="6">
        <v>5</v>
      </c>
      <c r="B9" s="74">
        <v>855</v>
      </c>
      <c r="C9" s="74" t="s">
        <v>155</v>
      </c>
      <c r="D9" s="74" t="s">
        <v>156</v>
      </c>
      <c r="E9" s="5" t="s">
        <v>25</v>
      </c>
      <c r="F9" s="79" t="s">
        <v>17</v>
      </c>
      <c r="G9" s="79" t="s">
        <v>17</v>
      </c>
      <c r="H9" s="97"/>
      <c r="I9" s="79" t="s">
        <v>17</v>
      </c>
      <c r="J9" s="79" t="s">
        <v>17</v>
      </c>
      <c r="K9" s="79" t="s">
        <v>17</v>
      </c>
      <c r="L9" s="79" t="s">
        <v>17</v>
      </c>
      <c r="M9" s="79" t="s">
        <v>17</v>
      </c>
      <c r="N9" s="79" t="s">
        <v>17</v>
      </c>
      <c r="O9" s="97"/>
      <c r="P9" s="79" t="s">
        <v>17</v>
      </c>
      <c r="Q9" s="79" t="s">
        <v>17</v>
      </c>
      <c r="R9" s="79" t="s">
        <v>17</v>
      </c>
      <c r="S9" s="79" t="s">
        <v>17</v>
      </c>
      <c r="T9" s="79" t="s">
        <v>17</v>
      </c>
      <c r="U9" s="79" t="s">
        <v>17</v>
      </c>
      <c r="V9" s="97"/>
      <c r="W9" s="79" t="s">
        <v>17</v>
      </c>
      <c r="X9" s="79" t="s">
        <v>17</v>
      </c>
      <c r="Y9" s="79" t="s">
        <v>17</v>
      </c>
      <c r="Z9" s="79" t="s">
        <v>17</v>
      </c>
      <c r="AA9" s="79" t="s">
        <v>17</v>
      </c>
      <c r="AB9" s="79" t="s">
        <v>17</v>
      </c>
      <c r="AC9" s="97"/>
      <c r="AD9" s="79" t="s">
        <v>17</v>
      </c>
      <c r="AE9" s="79" t="s">
        <v>17</v>
      </c>
      <c r="AF9" s="79" t="s">
        <v>17</v>
      </c>
      <c r="AG9" s="79" t="s">
        <v>17</v>
      </c>
      <c r="AH9" s="79" t="s">
        <v>17</v>
      </c>
      <c r="AI9" s="79" t="s">
        <v>17</v>
      </c>
      <c r="AJ9" s="4">
        <f t="shared" si="1"/>
        <v>26</v>
      </c>
      <c r="AK9" s="4">
        <f t="shared" si="2"/>
        <v>0</v>
      </c>
      <c r="AL9" s="65"/>
      <c r="AM9" s="6"/>
    </row>
    <row r="10" spans="1:41" ht="16.5">
      <c r="A10" s="6">
        <v>6</v>
      </c>
      <c r="B10" s="80">
        <v>811</v>
      </c>
      <c r="C10" s="80" t="s">
        <v>157</v>
      </c>
      <c r="D10" s="80" t="s">
        <v>33</v>
      </c>
      <c r="E10" s="5" t="s">
        <v>25</v>
      </c>
      <c r="F10" s="79" t="s">
        <v>17</v>
      </c>
      <c r="G10" s="79" t="s">
        <v>17</v>
      </c>
      <c r="H10" s="97"/>
      <c r="I10" s="79" t="s">
        <v>17</v>
      </c>
      <c r="J10" s="79" t="s">
        <v>17</v>
      </c>
      <c r="K10" s="79" t="s">
        <v>17</v>
      </c>
      <c r="L10" s="79" t="s">
        <v>17</v>
      </c>
      <c r="M10" s="79" t="s">
        <v>17</v>
      </c>
      <c r="N10" s="79" t="s">
        <v>17</v>
      </c>
      <c r="O10" s="97"/>
      <c r="P10" s="79" t="s">
        <v>17</v>
      </c>
      <c r="Q10" s="79" t="s">
        <v>17</v>
      </c>
      <c r="R10" s="79" t="s">
        <v>17</v>
      </c>
      <c r="S10" s="79" t="s">
        <v>17</v>
      </c>
      <c r="T10" s="79" t="s">
        <v>17</v>
      </c>
      <c r="U10" s="79" t="s">
        <v>17</v>
      </c>
      <c r="V10" s="97"/>
      <c r="W10" s="79" t="s">
        <v>17</v>
      </c>
      <c r="X10" s="79" t="s">
        <v>17</v>
      </c>
      <c r="Y10" s="79" t="s">
        <v>17</v>
      </c>
      <c r="Z10" s="79" t="s">
        <v>17</v>
      </c>
      <c r="AA10" s="79" t="s">
        <v>17</v>
      </c>
      <c r="AB10" s="79" t="s">
        <v>17</v>
      </c>
      <c r="AC10" s="97"/>
      <c r="AD10" s="79" t="s">
        <v>17</v>
      </c>
      <c r="AE10" s="79" t="s">
        <v>17</v>
      </c>
      <c r="AF10" s="79" t="s">
        <v>17</v>
      </c>
      <c r="AG10" s="79" t="s">
        <v>17</v>
      </c>
      <c r="AH10" s="79" t="s">
        <v>17</v>
      </c>
      <c r="AI10" s="79" t="s">
        <v>17</v>
      </c>
      <c r="AJ10" s="4">
        <f t="shared" si="1"/>
        <v>26</v>
      </c>
      <c r="AK10" s="4">
        <f t="shared" si="2"/>
        <v>0</v>
      </c>
    </row>
    <row r="11" spans="1:41" ht="16.5">
      <c r="A11" s="6">
        <v>7</v>
      </c>
      <c r="B11" s="71">
        <v>869</v>
      </c>
      <c r="C11" s="71" t="s">
        <v>158</v>
      </c>
      <c r="D11" s="71" t="s">
        <v>125</v>
      </c>
      <c r="E11" s="5" t="s">
        <v>25</v>
      </c>
      <c r="F11" s="79" t="s">
        <v>17</v>
      </c>
      <c r="G11" s="79" t="s">
        <v>17</v>
      </c>
      <c r="H11" s="97"/>
      <c r="I11" s="79" t="s">
        <v>17</v>
      </c>
      <c r="J11" s="79" t="s">
        <v>17</v>
      </c>
      <c r="K11" s="79" t="s">
        <v>17</v>
      </c>
      <c r="L11" s="79" t="s">
        <v>17</v>
      </c>
      <c r="M11" s="79" t="s">
        <v>17</v>
      </c>
      <c r="N11" s="79" t="s">
        <v>17</v>
      </c>
      <c r="O11" s="97"/>
      <c r="P11" s="79" t="s">
        <v>17</v>
      </c>
      <c r="Q11" s="79" t="s">
        <v>17</v>
      </c>
      <c r="R11" s="79" t="s">
        <v>17</v>
      </c>
      <c r="S11" s="79" t="s">
        <v>17</v>
      </c>
      <c r="T11" s="79" t="s">
        <v>17</v>
      </c>
      <c r="U11" s="79" t="s">
        <v>17</v>
      </c>
      <c r="V11" s="97"/>
      <c r="W11" s="79" t="s">
        <v>17</v>
      </c>
      <c r="X11" s="79" t="s">
        <v>17</v>
      </c>
      <c r="Y11" s="79" t="s">
        <v>17</v>
      </c>
      <c r="Z11" s="79" t="s">
        <v>17</v>
      </c>
      <c r="AA11" s="79" t="s">
        <v>17</v>
      </c>
      <c r="AB11" s="79" t="s">
        <v>17</v>
      </c>
      <c r="AC11" s="97"/>
      <c r="AD11" s="79" t="s">
        <v>17</v>
      </c>
      <c r="AE11" s="79" t="s">
        <v>17</v>
      </c>
      <c r="AF11" s="79" t="s">
        <v>17</v>
      </c>
      <c r="AG11" s="79" t="s">
        <v>17</v>
      </c>
      <c r="AH11" s="79" t="s">
        <v>17</v>
      </c>
      <c r="AI11" s="79" t="s">
        <v>17</v>
      </c>
      <c r="AJ11" s="4">
        <f t="shared" si="1"/>
        <v>26</v>
      </c>
      <c r="AK11" s="4">
        <f t="shared" si="2"/>
        <v>0</v>
      </c>
      <c r="AL11" s="100" t="s">
        <v>8</v>
      </c>
      <c r="AM11" s="100"/>
      <c r="AN11" s="100"/>
      <c r="AO11" s="101"/>
    </row>
    <row r="12" spans="1:41" ht="16.5">
      <c r="A12" s="6">
        <v>8</v>
      </c>
      <c r="B12" s="74">
        <v>890</v>
      </c>
      <c r="C12" s="74" t="s">
        <v>159</v>
      </c>
      <c r="D12" s="74" t="s">
        <v>55</v>
      </c>
      <c r="E12" s="5" t="s">
        <v>25</v>
      </c>
      <c r="F12" s="79" t="s">
        <v>17</v>
      </c>
      <c r="G12" s="79" t="s">
        <v>17</v>
      </c>
      <c r="H12" s="97"/>
      <c r="I12" s="79" t="s">
        <v>17</v>
      </c>
      <c r="J12" s="79" t="s">
        <v>17</v>
      </c>
      <c r="K12" s="79" t="s">
        <v>17</v>
      </c>
      <c r="L12" s="79" t="s">
        <v>17</v>
      </c>
      <c r="M12" s="79" t="s">
        <v>17</v>
      </c>
      <c r="N12" s="79" t="s">
        <v>17</v>
      </c>
      <c r="O12" s="97"/>
      <c r="P12" s="79" t="s">
        <v>17</v>
      </c>
      <c r="Q12" s="79" t="s">
        <v>17</v>
      </c>
      <c r="R12" s="79" t="s">
        <v>17</v>
      </c>
      <c r="S12" s="79" t="s">
        <v>17</v>
      </c>
      <c r="T12" s="79" t="s">
        <v>17</v>
      </c>
      <c r="U12" s="79" t="s">
        <v>17</v>
      </c>
      <c r="V12" s="97"/>
      <c r="W12" s="79" t="s">
        <v>17</v>
      </c>
      <c r="X12" s="79" t="s">
        <v>17</v>
      </c>
      <c r="Y12" s="79" t="s">
        <v>17</v>
      </c>
      <c r="Z12" s="79" t="s">
        <v>17</v>
      </c>
      <c r="AA12" s="79" t="s">
        <v>17</v>
      </c>
      <c r="AB12" s="79" t="s">
        <v>17</v>
      </c>
      <c r="AC12" s="97"/>
      <c r="AD12" s="79" t="s">
        <v>17</v>
      </c>
      <c r="AE12" s="79" t="s">
        <v>17</v>
      </c>
      <c r="AF12" s="79" t="s">
        <v>17</v>
      </c>
      <c r="AG12" s="79" t="s">
        <v>17</v>
      </c>
      <c r="AH12" s="79" t="s">
        <v>17</v>
      </c>
      <c r="AI12" s="79" t="s">
        <v>17</v>
      </c>
      <c r="AJ12" s="4">
        <f t="shared" si="1"/>
        <v>26</v>
      </c>
      <c r="AK12" s="4">
        <f t="shared" si="2"/>
        <v>0</v>
      </c>
      <c r="AL12" s="65" t="s">
        <v>9</v>
      </c>
      <c r="AM12" s="4" t="s">
        <v>10</v>
      </c>
      <c r="AN12" s="4" t="s">
        <v>11</v>
      </c>
      <c r="AO12" s="4" t="s">
        <v>12</v>
      </c>
    </row>
    <row r="13" spans="1:41" ht="16.5">
      <c r="A13" s="6">
        <v>9</v>
      </c>
      <c r="B13" s="71">
        <v>872</v>
      </c>
      <c r="C13" s="71" t="s">
        <v>160</v>
      </c>
      <c r="D13" s="71" t="s">
        <v>137</v>
      </c>
      <c r="E13" s="5" t="s">
        <v>25</v>
      </c>
      <c r="F13" s="79" t="s">
        <v>17</v>
      </c>
      <c r="G13" s="79" t="s">
        <v>17</v>
      </c>
      <c r="H13" s="97"/>
      <c r="I13" s="79" t="s">
        <v>17</v>
      </c>
      <c r="J13" s="79" t="s">
        <v>17</v>
      </c>
      <c r="K13" s="79" t="s">
        <v>17</v>
      </c>
      <c r="L13" s="79" t="s">
        <v>17</v>
      </c>
      <c r="M13" s="79" t="s">
        <v>17</v>
      </c>
      <c r="N13" s="79" t="s">
        <v>17</v>
      </c>
      <c r="O13" s="97"/>
      <c r="P13" s="79" t="s">
        <v>17</v>
      </c>
      <c r="Q13" s="79" t="s">
        <v>17</v>
      </c>
      <c r="R13" s="79" t="s">
        <v>17</v>
      </c>
      <c r="S13" s="79" t="s">
        <v>17</v>
      </c>
      <c r="T13" s="79" t="s">
        <v>17</v>
      </c>
      <c r="U13" s="79" t="s">
        <v>17</v>
      </c>
      <c r="V13" s="97"/>
      <c r="W13" s="79" t="s">
        <v>17</v>
      </c>
      <c r="X13" s="79" t="s">
        <v>17</v>
      </c>
      <c r="Y13" s="79" t="s">
        <v>17</v>
      </c>
      <c r="Z13" s="79" t="s">
        <v>17</v>
      </c>
      <c r="AA13" s="79" t="s">
        <v>17</v>
      </c>
      <c r="AB13" s="79" t="s">
        <v>17</v>
      </c>
      <c r="AC13" s="97"/>
      <c r="AD13" s="79" t="s">
        <v>17</v>
      </c>
      <c r="AE13" s="79" t="s">
        <v>17</v>
      </c>
      <c r="AF13" s="79" t="s">
        <v>17</v>
      </c>
      <c r="AG13" s="79" t="s">
        <v>17</v>
      </c>
      <c r="AH13" s="79" t="s">
        <v>17</v>
      </c>
      <c r="AI13" s="79" t="s">
        <v>17</v>
      </c>
      <c r="AJ13" s="4">
        <f t="shared" si="1"/>
        <v>26</v>
      </c>
      <c r="AK13" s="4">
        <f t="shared" si="2"/>
        <v>0</v>
      </c>
      <c r="AL13" s="65" t="s">
        <v>13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74">
        <v>830</v>
      </c>
      <c r="C14" s="74" t="s">
        <v>161</v>
      </c>
      <c r="D14" s="74" t="s">
        <v>162</v>
      </c>
      <c r="E14" s="5" t="s">
        <v>25</v>
      </c>
      <c r="F14" s="79" t="s">
        <v>17</v>
      </c>
      <c r="G14" s="79" t="s">
        <v>17</v>
      </c>
      <c r="H14" s="97"/>
      <c r="I14" s="79" t="s">
        <v>17</v>
      </c>
      <c r="J14" s="79" t="s">
        <v>17</v>
      </c>
      <c r="K14" s="79" t="s">
        <v>17</v>
      </c>
      <c r="L14" s="79" t="s">
        <v>17</v>
      </c>
      <c r="M14" s="79" t="s">
        <v>17</v>
      </c>
      <c r="N14" s="79" t="s">
        <v>17</v>
      </c>
      <c r="O14" s="97"/>
      <c r="P14" s="79" t="s">
        <v>17</v>
      </c>
      <c r="Q14" s="79" t="s">
        <v>17</v>
      </c>
      <c r="R14" s="79" t="s">
        <v>17</v>
      </c>
      <c r="S14" s="79" t="s">
        <v>17</v>
      </c>
      <c r="T14" s="79" t="s">
        <v>17</v>
      </c>
      <c r="U14" s="79" t="s">
        <v>17</v>
      </c>
      <c r="V14" s="97"/>
      <c r="W14" s="79" t="s">
        <v>17</v>
      </c>
      <c r="X14" s="79" t="s">
        <v>17</v>
      </c>
      <c r="Y14" s="79" t="s">
        <v>17</v>
      </c>
      <c r="Z14" s="79" t="s">
        <v>17</v>
      </c>
      <c r="AA14" s="79" t="s">
        <v>17</v>
      </c>
      <c r="AB14" s="79" t="s">
        <v>17</v>
      </c>
      <c r="AC14" s="97"/>
      <c r="AD14" s="79" t="s">
        <v>17</v>
      </c>
      <c r="AE14" s="79" t="s">
        <v>17</v>
      </c>
      <c r="AF14" s="79" t="s">
        <v>17</v>
      </c>
      <c r="AG14" s="79" t="s">
        <v>17</v>
      </c>
      <c r="AH14" s="79" t="s">
        <v>17</v>
      </c>
      <c r="AI14" s="79" t="s">
        <v>17</v>
      </c>
      <c r="AJ14" s="4">
        <f t="shared" si="1"/>
        <v>26</v>
      </c>
      <c r="AK14" s="4">
        <f t="shared" si="2"/>
        <v>0</v>
      </c>
      <c r="AL14" s="65" t="s">
        <v>14</v>
      </c>
      <c r="AM14" s="6" t="e">
        <f>SUM(AJ6,AJ9,AJ11,AJ13,AJ16,#REF!,#REF!,#REF!,#REF!,#REF!,#REF!,#REF!,#REF!,#REF!,#REF!,#REF!,#REF!,#REF!,#REF!,#REF!,#REF!,#REF!,#REF!,#REF!,#REF!,#REF!,#REF!)</f>
        <v>#REF!</v>
      </c>
      <c r="AN14" s="6" t="e">
        <f>SUM(AJ5,AJ7,AJ8,AJ10,AJ12,AJ14,AJ15,AJ17,AJ18,#REF!,#REF!,#REF!,#REF!,#REF!,#REF!,#REF!,#REF!,#REF!,#REF!,#REF!,#REF!,#REF!,#REF!,#REF!,#REF!,#REF!,#REF!)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74">
        <v>841</v>
      </c>
      <c r="C15" s="74" t="s">
        <v>163</v>
      </c>
      <c r="D15" s="74" t="s">
        <v>164</v>
      </c>
      <c r="E15" s="5" t="s">
        <v>25</v>
      </c>
      <c r="F15" s="79" t="s">
        <v>17</v>
      </c>
      <c r="G15" s="79" t="s">
        <v>17</v>
      </c>
      <c r="H15" s="97"/>
      <c r="I15" s="79" t="s">
        <v>17</v>
      </c>
      <c r="J15" s="79" t="s">
        <v>17</v>
      </c>
      <c r="K15" s="79" t="s">
        <v>17</v>
      </c>
      <c r="L15" s="79" t="s">
        <v>17</v>
      </c>
      <c r="M15" s="79" t="s">
        <v>17</v>
      </c>
      <c r="N15" s="79" t="s">
        <v>17</v>
      </c>
      <c r="O15" s="97"/>
      <c r="P15" s="79" t="s">
        <v>17</v>
      </c>
      <c r="Q15" s="79" t="s">
        <v>17</v>
      </c>
      <c r="R15" s="79" t="s">
        <v>17</v>
      </c>
      <c r="S15" s="79" t="s">
        <v>17</v>
      </c>
      <c r="T15" s="79" t="s">
        <v>17</v>
      </c>
      <c r="U15" s="79" t="s">
        <v>17</v>
      </c>
      <c r="V15" s="97"/>
      <c r="W15" s="79" t="s">
        <v>17</v>
      </c>
      <c r="X15" s="79" t="s">
        <v>17</v>
      </c>
      <c r="Y15" s="79" t="s">
        <v>17</v>
      </c>
      <c r="Z15" s="79" t="s">
        <v>17</v>
      </c>
      <c r="AA15" s="79" t="s">
        <v>17</v>
      </c>
      <c r="AB15" s="79" t="s">
        <v>17</v>
      </c>
      <c r="AC15" s="97"/>
      <c r="AD15" s="79" t="s">
        <v>17</v>
      </c>
      <c r="AE15" s="79" t="s">
        <v>17</v>
      </c>
      <c r="AF15" s="79" t="s">
        <v>17</v>
      </c>
      <c r="AG15" s="79" t="s">
        <v>17</v>
      </c>
      <c r="AH15" s="79" t="s">
        <v>17</v>
      </c>
      <c r="AI15" s="79" t="s">
        <v>17</v>
      </c>
      <c r="AJ15" s="4">
        <f t="shared" si="1"/>
        <v>26</v>
      </c>
      <c r="AK15" s="4">
        <f t="shared" si="2"/>
        <v>0</v>
      </c>
      <c r="AL15" s="65" t="s">
        <v>15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74">
        <v>874</v>
      </c>
      <c r="C16" s="74" t="s">
        <v>165</v>
      </c>
      <c r="D16" s="74" t="s">
        <v>103</v>
      </c>
      <c r="E16" s="5" t="s">
        <v>25</v>
      </c>
      <c r="F16" s="79" t="s">
        <v>17</v>
      </c>
      <c r="G16" s="79" t="s">
        <v>17</v>
      </c>
      <c r="H16" s="97"/>
      <c r="I16" s="79" t="s">
        <v>17</v>
      </c>
      <c r="J16" s="79" t="s">
        <v>17</v>
      </c>
      <c r="K16" s="79" t="s">
        <v>17</v>
      </c>
      <c r="L16" s="79" t="s">
        <v>17</v>
      </c>
      <c r="M16" s="79" t="s">
        <v>17</v>
      </c>
      <c r="N16" s="79" t="s">
        <v>17</v>
      </c>
      <c r="O16" s="97"/>
      <c r="P16" s="79" t="s">
        <v>17</v>
      </c>
      <c r="Q16" s="79" t="s">
        <v>17</v>
      </c>
      <c r="R16" s="79" t="s">
        <v>17</v>
      </c>
      <c r="S16" s="79" t="s">
        <v>17</v>
      </c>
      <c r="T16" s="79" t="s">
        <v>17</v>
      </c>
      <c r="U16" s="79" t="s">
        <v>17</v>
      </c>
      <c r="V16" s="97"/>
      <c r="W16" s="79" t="s">
        <v>17</v>
      </c>
      <c r="X16" s="79" t="s">
        <v>17</v>
      </c>
      <c r="Y16" s="79" t="s">
        <v>17</v>
      </c>
      <c r="Z16" s="79" t="s">
        <v>17</v>
      </c>
      <c r="AA16" s="79" t="s">
        <v>17</v>
      </c>
      <c r="AB16" s="79" t="s">
        <v>17</v>
      </c>
      <c r="AC16" s="97"/>
      <c r="AD16" s="79" t="s">
        <v>17</v>
      </c>
      <c r="AE16" s="79" t="s">
        <v>17</v>
      </c>
      <c r="AF16" s="79" t="s">
        <v>17</v>
      </c>
      <c r="AG16" s="79" t="s">
        <v>17</v>
      </c>
      <c r="AH16" s="79" t="s">
        <v>17</v>
      </c>
      <c r="AI16" s="79" t="s">
        <v>17</v>
      </c>
      <c r="AJ16" s="4">
        <f t="shared" si="1"/>
        <v>26</v>
      </c>
      <c r="AK16" s="4">
        <f t="shared" si="2"/>
        <v>0</v>
      </c>
      <c r="AL16"/>
      <c r="AM16"/>
      <c r="AN16"/>
      <c r="AO16"/>
    </row>
    <row r="17" spans="1:41" ht="16.5">
      <c r="A17" s="6">
        <v>13</v>
      </c>
      <c r="B17" s="71">
        <v>884</v>
      </c>
      <c r="C17" s="71" t="s">
        <v>57</v>
      </c>
      <c r="D17" s="71" t="s">
        <v>101</v>
      </c>
      <c r="E17" s="5" t="s">
        <v>25</v>
      </c>
      <c r="F17" s="79" t="s">
        <v>17</v>
      </c>
      <c r="G17" s="79" t="s">
        <v>17</v>
      </c>
      <c r="H17" s="97"/>
      <c r="I17" s="79" t="s">
        <v>17</v>
      </c>
      <c r="J17" s="79" t="s">
        <v>17</v>
      </c>
      <c r="K17" s="79" t="s">
        <v>17</v>
      </c>
      <c r="L17" s="79" t="s">
        <v>17</v>
      </c>
      <c r="M17" s="79" t="s">
        <v>17</v>
      </c>
      <c r="N17" s="79" t="s">
        <v>17</v>
      </c>
      <c r="O17" s="97"/>
      <c r="P17" s="79" t="s">
        <v>17</v>
      </c>
      <c r="Q17" s="79" t="s">
        <v>17</v>
      </c>
      <c r="R17" s="79" t="s">
        <v>17</v>
      </c>
      <c r="S17" s="79" t="s">
        <v>17</v>
      </c>
      <c r="T17" s="79" t="s">
        <v>17</v>
      </c>
      <c r="U17" s="79" t="s">
        <v>17</v>
      </c>
      <c r="V17" s="97"/>
      <c r="W17" s="79" t="s">
        <v>17</v>
      </c>
      <c r="X17" s="79" t="s">
        <v>17</v>
      </c>
      <c r="Y17" s="79" t="s">
        <v>17</v>
      </c>
      <c r="Z17" s="79" t="s">
        <v>17</v>
      </c>
      <c r="AA17" s="79" t="s">
        <v>17</v>
      </c>
      <c r="AB17" s="79" t="s">
        <v>17</v>
      </c>
      <c r="AC17" s="97"/>
      <c r="AD17" s="79" t="s">
        <v>17</v>
      </c>
      <c r="AE17" s="79" t="s">
        <v>17</v>
      </c>
      <c r="AF17" s="79" t="s">
        <v>17</v>
      </c>
      <c r="AG17" s="79" t="s">
        <v>17</v>
      </c>
      <c r="AH17" s="79" t="s">
        <v>17</v>
      </c>
      <c r="AI17" s="79" t="s">
        <v>17</v>
      </c>
      <c r="AJ17" s="4">
        <f t="shared" si="1"/>
        <v>26</v>
      </c>
      <c r="AK17" s="4">
        <f t="shared" si="2"/>
        <v>0</v>
      </c>
      <c r="AL17"/>
      <c r="AM17"/>
      <c r="AN17"/>
      <c r="AO17"/>
    </row>
    <row r="18" spans="1:41" ht="16.5">
      <c r="A18" s="6">
        <v>14</v>
      </c>
      <c r="B18" s="71">
        <v>900</v>
      </c>
      <c r="C18" s="71" t="s">
        <v>166</v>
      </c>
      <c r="D18" s="71" t="s">
        <v>167</v>
      </c>
      <c r="E18" s="5" t="s">
        <v>25</v>
      </c>
      <c r="F18" s="79" t="s">
        <v>17</v>
      </c>
      <c r="G18" s="79" t="s">
        <v>17</v>
      </c>
      <c r="H18" s="97"/>
      <c r="I18" s="79" t="s">
        <v>17</v>
      </c>
      <c r="J18" s="79" t="s">
        <v>17</v>
      </c>
      <c r="K18" s="79" t="s">
        <v>17</v>
      </c>
      <c r="L18" s="79" t="s">
        <v>17</v>
      </c>
      <c r="M18" s="79" t="s">
        <v>17</v>
      </c>
      <c r="N18" s="79" t="s">
        <v>17</v>
      </c>
      <c r="O18" s="97"/>
      <c r="P18" s="79" t="s">
        <v>17</v>
      </c>
      <c r="Q18" s="79" t="s">
        <v>17</v>
      </c>
      <c r="R18" s="79" t="s">
        <v>17</v>
      </c>
      <c r="S18" s="79" t="s">
        <v>17</v>
      </c>
      <c r="T18" s="79" t="s">
        <v>17</v>
      </c>
      <c r="U18" s="79" t="s">
        <v>17</v>
      </c>
      <c r="V18" s="97"/>
      <c r="W18" s="79" t="s">
        <v>17</v>
      </c>
      <c r="X18" s="79" t="s">
        <v>17</v>
      </c>
      <c r="Y18" s="79" t="s">
        <v>17</v>
      </c>
      <c r="Z18" s="79" t="s">
        <v>17</v>
      </c>
      <c r="AA18" s="79" t="s">
        <v>17</v>
      </c>
      <c r="AB18" s="79" t="s">
        <v>17</v>
      </c>
      <c r="AC18" s="97"/>
      <c r="AD18" s="79" t="s">
        <v>17</v>
      </c>
      <c r="AE18" s="79" t="s">
        <v>17</v>
      </c>
      <c r="AF18" s="79" t="s">
        <v>17</v>
      </c>
      <c r="AG18" s="79" t="s">
        <v>17</v>
      </c>
      <c r="AH18" s="79" t="s">
        <v>17</v>
      </c>
      <c r="AI18" s="79" t="s">
        <v>17</v>
      </c>
      <c r="AJ18" s="4">
        <f t="shared" si="1"/>
        <v>26</v>
      </c>
      <c r="AK18" s="4">
        <f t="shared" si="2"/>
        <v>0</v>
      </c>
      <c r="AL18"/>
      <c r="AM18"/>
      <c r="AN18"/>
      <c r="AO18"/>
    </row>
  </sheetData>
  <mergeCells count="15">
    <mergeCell ref="A1:AI1"/>
    <mergeCell ref="A2:AI2"/>
    <mergeCell ref="A3:A4"/>
    <mergeCell ref="B3:B4"/>
    <mergeCell ref="C3:C4"/>
    <mergeCell ref="D3:D4"/>
    <mergeCell ref="E3:E4"/>
    <mergeCell ref="AJ3:AJ4"/>
    <mergeCell ref="AK3:AK4"/>
    <mergeCell ref="AL3:AM3"/>
    <mergeCell ref="H5:H18"/>
    <mergeCell ref="O5:O18"/>
    <mergeCell ref="V5:V18"/>
    <mergeCell ref="AC5:AC18"/>
    <mergeCell ref="AL11:AO11"/>
  </mergeCells>
  <conditionalFormatting sqref="B5:B18">
    <cfRule type="duplicateValues" dxfId="211" priority="16"/>
  </conditionalFormatting>
  <conditionalFormatting sqref="F5:G18">
    <cfRule type="cellIs" dxfId="210" priority="153" operator="equal">
      <formula>"L"</formula>
    </cfRule>
    <cfRule type="expression" dxfId="209" priority="154">
      <formula>F$4=TODAY()</formula>
    </cfRule>
    <cfRule type="cellIs" dxfId="208" priority="155" operator="equal">
      <formula>"A"</formula>
    </cfRule>
    <cfRule type="cellIs" dxfId="207" priority="156" operator="equal">
      <formula>"P"</formula>
    </cfRule>
    <cfRule type="expression" dxfId="206" priority="157">
      <formula>F$3="Sun"</formula>
    </cfRule>
  </conditionalFormatting>
  <conditionalFormatting sqref="F3:AI4">
    <cfRule type="expression" dxfId="205" priority="158">
      <formula>F$4=TODAY()</formula>
    </cfRule>
    <cfRule type="expression" dxfId="204" priority="159">
      <formula>F$3="Sun"</formula>
    </cfRule>
  </conditionalFormatting>
  <conditionalFormatting sqref="H5">
    <cfRule type="cellIs" dxfId="203" priority="38" operator="equal">
      <formula>"L"</formula>
    </cfRule>
    <cfRule type="expression" dxfId="202" priority="39">
      <formula>H$4=TODAY()</formula>
    </cfRule>
    <cfRule type="cellIs" dxfId="201" priority="40" operator="equal">
      <formula>"A"</formula>
    </cfRule>
    <cfRule type="cellIs" dxfId="200" priority="41" operator="equal">
      <formula>"P"</formula>
    </cfRule>
    <cfRule type="expression" dxfId="199" priority="42">
      <formula>H$3="Sun"</formula>
    </cfRule>
  </conditionalFormatting>
  <conditionalFormatting sqref="I5:N18">
    <cfRule type="cellIs" dxfId="198" priority="128" operator="equal">
      <formula>"L"</formula>
    </cfRule>
    <cfRule type="expression" dxfId="197" priority="129">
      <formula>I$4=TODAY()</formula>
    </cfRule>
    <cfRule type="cellIs" dxfId="196" priority="130" operator="equal">
      <formula>"A"</formula>
    </cfRule>
    <cfRule type="cellIs" dxfId="195" priority="131" operator="equal">
      <formula>"P"</formula>
    </cfRule>
    <cfRule type="expression" dxfId="194" priority="132">
      <formula>I$3="Sun"</formula>
    </cfRule>
  </conditionalFormatting>
  <conditionalFormatting sqref="O5">
    <cfRule type="cellIs" dxfId="193" priority="11" operator="equal">
      <formula>"L"</formula>
    </cfRule>
    <cfRule type="expression" dxfId="192" priority="12">
      <formula>O$4=TODAY()</formula>
    </cfRule>
    <cfRule type="cellIs" dxfId="191" priority="13" operator="equal">
      <formula>"A"</formula>
    </cfRule>
    <cfRule type="cellIs" dxfId="190" priority="14" operator="equal">
      <formula>"P"</formula>
    </cfRule>
    <cfRule type="expression" dxfId="189" priority="15">
      <formula>O$3="Sun"</formula>
    </cfRule>
  </conditionalFormatting>
  <conditionalFormatting sqref="P5:U18">
    <cfRule type="cellIs" dxfId="188" priority="98" operator="equal">
      <formula>"L"</formula>
    </cfRule>
    <cfRule type="expression" dxfId="187" priority="99">
      <formula>P$4=TODAY()</formula>
    </cfRule>
    <cfRule type="cellIs" dxfId="186" priority="100" operator="equal">
      <formula>"A"</formula>
    </cfRule>
    <cfRule type="cellIs" dxfId="185" priority="101" operator="equal">
      <formula>"P"</formula>
    </cfRule>
    <cfRule type="expression" dxfId="184" priority="102">
      <formula>P$3="Sun"</formula>
    </cfRule>
  </conditionalFormatting>
  <conditionalFormatting sqref="V5">
    <cfRule type="cellIs" dxfId="183" priority="6" operator="equal">
      <formula>"L"</formula>
    </cfRule>
    <cfRule type="expression" dxfId="182" priority="7">
      <formula>V$4=TODAY()</formula>
    </cfRule>
    <cfRule type="cellIs" dxfId="181" priority="8" operator="equal">
      <formula>"A"</formula>
    </cfRule>
    <cfRule type="cellIs" dxfId="180" priority="9" operator="equal">
      <formula>"P"</formula>
    </cfRule>
    <cfRule type="expression" dxfId="179" priority="10">
      <formula>V$3="Sun"</formula>
    </cfRule>
  </conditionalFormatting>
  <conditionalFormatting sqref="W5:AB18">
    <cfRule type="cellIs" dxfId="178" priority="68" operator="equal">
      <formula>"L"</formula>
    </cfRule>
    <cfRule type="expression" dxfId="177" priority="69">
      <formula>W$4=TODAY()</formula>
    </cfRule>
    <cfRule type="cellIs" dxfId="176" priority="70" operator="equal">
      <formula>"A"</formula>
    </cfRule>
    <cfRule type="cellIs" dxfId="175" priority="71" operator="equal">
      <formula>"P"</formula>
    </cfRule>
    <cfRule type="expression" dxfId="174" priority="72">
      <formula>W$3="Sun"</formula>
    </cfRule>
  </conditionalFormatting>
  <conditionalFormatting sqref="AC5">
    <cfRule type="cellIs" dxfId="173" priority="1" operator="equal">
      <formula>"L"</formula>
    </cfRule>
    <cfRule type="expression" dxfId="172" priority="2">
      <formula>AC$4=TODAY()</formula>
    </cfRule>
    <cfRule type="cellIs" dxfId="171" priority="3" operator="equal">
      <formula>"A"</formula>
    </cfRule>
    <cfRule type="cellIs" dxfId="170" priority="4" operator="equal">
      <formula>"P"</formula>
    </cfRule>
    <cfRule type="expression" dxfId="169" priority="5">
      <formula>AC$3="Sun"</formula>
    </cfRule>
  </conditionalFormatting>
  <conditionalFormatting sqref="AD5:AI18">
    <cfRule type="cellIs" dxfId="168" priority="18" operator="equal">
      <formula>"L"</formula>
    </cfRule>
    <cfRule type="expression" dxfId="167" priority="19">
      <formula>AD$4=TODAY()</formula>
    </cfRule>
    <cfRule type="cellIs" dxfId="166" priority="20" operator="equal">
      <formula>"A"</formula>
    </cfRule>
    <cfRule type="cellIs" dxfId="165" priority="21" operator="equal">
      <formula>"P"</formula>
    </cfRule>
    <cfRule type="expression" dxfId="164" priority="22">
      <formula>AD$3="Sun"</formula>
    </cfRule>
  </conditionalFormatting>
  <conditionalFormatting sqref="AJ3:AK3 AJ5:AK18">
    <cfRule type="expression" dxfId="163" priority="160">
      <formula>#REF!="Sun"</formula>
    </cfRule>
  </conditionalFormatting>
  <conditionalFormatting sqref="AL5:AL9">
    <cfRule type="expression" dxfId="162" priority="164">
      <formula>AL$3="Sun"</formula>
    </cfRule>
  </conditionalFormatting>
  <conditionalFormatting sqref="AL12:AL15">
    <cfRule type="expression" dxfId="161" priority="162">
      <formula>AL$3="Sun"</formula>
    </cfRule>
  </conditionalFormatting>
  <conditionalFormatting sqref="AL4:AM4">
    <cfRule type="expression" dxfId="160" priority="165">
      <formula>AL$3="Sun"</formula>
    </cfRule>
  </conditionalFormatting>
  <conditionalFormatting sqref="AM12:AO12">
    <cfRule type="expression" dxfId="159" priority="166">
      <formula>AM$3="Sun"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007AA-8491-404D-92A5-04AE9AA070C4}">
  <dimension ref="A1:AO17"/>
  <sheetViews>
    <sheetView zoomScale="98" zoomScaleNormal="98" workbookViewId="0">
      <selection activeCell="AC5" sqref="AC5:AC17"/>
    </sheetView>
  </sheetViews>
  <sheetFormatPr defaultColWidth="3.85546875" defaultRowHeight="1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9" width="3.7109375" style="1" bestFit="1" customWidth="1"/>
    <col min="10" max="10" width="3.85546875" style="1"/>
    <col min="11" max="11" width="4.5703125" style="1" bestFit="1" customWidth="1"/>
    <col min="12" max="12" width="3.85546875" style="1"/>
    <col min="13" max="13" width="4.85546875" style="1" customWidth="1"/>
    <col min="14" max="15" width="3.7109375" style="1" bestFit="1" customWidth="1"/>
    <col min="16" max="16" width="3.85546875" style="1"/>
    <col min="17" max="17" width="4.5703125" style="1" bestFit="1" customWidth="1"/>
    <col min="18" max="19" width="4.5703125" style="1" customWidth="1"/>
    <col min="20" max="20" width="4.7109375" style="1" bestFit="1" customWidth="1"/>
    <col min="21" max="22" width="3.7109375" style="1" bestFit="1" customWidth="1"/>
    <col min="23" max="23" width="3.85546875" style="1"/>
    <col min="24" max="24" width="4.5703125" style="1" bestFit="1" customWidth="1"/>
    <col min="25" max="25" width="3.85546875" style="1"/>
    <col min="26" max="26" width="4.7109375" style="1" bestFit="1" customWidth="1"/>
    <col min="27" max="27" width="3.85546875" style="1"/>
    <col min="28" max="29" width="3.7109375" style="1" bestFit="1" customWidth="1"/>
    <col min="30" max="30" width="3.85546875" style="1"/>
    <col min="31" max="31" width="4.5703125" style="1" bestFit="1" customWidth="1"/>
    <col min="32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10"/>
      <c r="AK1" s="10"/>
    </row>
    <row r="2" spans="1:41" ht="17.25">
      <c r="A2" s="92" t="s">
        <v>60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11"/>
      <c r="AK2" s="11"/>
      <c r="AL2" s="11"/>
    </row>
    <row r="3" spans="1:41" ht="15.75">
      <c r="A3" s="102" t="s">
        <v>0</v>
      </c>
      <c r="B3" s="94" t="s">
        <v>111</v>
      </c>
      <c r="C3" s="102" t="s">
        <v>1</v>
      </c>
      <c r="D3" s="102" t="s">
        <v>2</v>
      </c>
      <c r="E3" s="102" t="s">
        <v>3</v>
      </c>
      <c r="F3" s="2" t="str">
        <f>TEXT(F4,"ddd")</f>
        <v>Fri</v>
      </c>
      <c r="G3" s="2" t="str">
        <f t="shared" ref="G3:AI3" si="0">TEXT(G4,"ddd")</f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98" t="s">
        <v>4</v>
      </c>
      <c r="AK3" s="98" t="s">
        <v>5</v>
      </c>
      <c r="AL3" s="99" t="s">
        <v>19</v>
      </c>
      <c r="AM3" s="100"/>
      <c r="AN3" s="3"/>
      <c r="AO3" s="3"/>
    </row>
    <row r="4" spans="1:41" ht="37.5">
      <c r="A4" s="102"/>
      <c r="B4" s="95"/>
      <c r="C4" s="102"/>
      <c r="D4" s="102"/>
      <c r="E4" s="102"/>
      <c r="F4" s="9">
        <v>45597</v>
      </c>
      <c r="G4" s="9">
        <v>45598</v>
      </c>
      <c r="H4" s="9">
        <v>45599</v>
      </c>
      <c r="I4" s="9">
        <v>45600</v>
      </c>
      <c r="J4" s="9">
        <v>45601</v>
      </c>
      <c r="K4" s="9">
        <v>45602</v>
      </c>
      <c r="L4" s="9">
        <v>45603</v>
      </c>
      <c r="M4" s="9">
        <v>45604</v>
      </c>
      <c r="N4" s="9">
        <v>45605</v>
      </c>
      <c r="O4" s="9">
        <v>45606</v>
      </c>
      <c r="P4" s="9">
        <v>45607</v>
      </c>
      <c r="Q4" s="9">
        <v>45608</v>
      </c>
      <c r="R4" s="9">
        <v>45609</v>
      </c>
      <c r="S4" s="9">
        <v>45610</v>
      </c>
      <c r="T4" s="9">
        <v>45611</v>
      </c>
      <c r="U4" s="9">
        <v>45612</v>
      </c>
      <c r="V4" s="9">
        <v>45613</v>
      </c>
      <c r="W4" s="9">
        <v>45614</v>
      </c>
      <c r="X4" s="9">
        <v>45615</v>
      </c>
      <c r="Y4" s="9">
        <v>45616</v>
      </c>
      <c r="Z4" s="9">
        <v>45617</v>
      </c>
      <c r="AA4" s="9">
        <v>45618</v>
      </c>
      <c r="AB4" s="9">
        <v>45619</v>
      </c>
      <c r="AC4" s="9">
        <v>45620</v>
      </c>
      <c r="AD4" s="9">
        <v>45621</v>
      </c>
      <c r="AE4" s="9">
        <v>45622</v>
      </c>
      <c r="AF4" s="9">
        <v>45623</v>
      </c>
      <c r="AG4" s="9">
        <v>45624</v>
      </c>
      <c r="AH4" s="9">
        <v>45625</v>
      </c>
      <c r="AI4" s="9">
        <v>45626</v>
      </c>
      <c r="AJ4" s="98"/>
      <c r="AK4" s="98"/>
      <c r="AL4" s="4" t="s">
        <v>20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70">
        <v>926</v>
      </c>
      <c r="C5" s="66" t="s">
        <v>168</v>
      </c>
      <c r="D5" s="66" t="s">
        <v>169</v>
      </c>
      <c r="E5" s="5" t="s">
        <v>27</v>
      </c>
      <c r="F5" s="79" t="s">
        <v>17</v>
      </c>
      <c r="G5" s="79" t="s">
        <v>17</v>
      </c>
      <c r="H5" s="96" t="s">
        <v>194</v>
      </c>
      <c r="I5" s="79" t="s">
        <v>17</v>
      </c>
      <c r="J5" s="79" t="s">
        <v>17</v>
      </c>
      <c r="K5" s="79" t="s">
        <v>17</v>
      </c>
      <c r="L5" s="79" t="s">
        <v>17</v>
      </c>
      <c r="M5" s="79" t="s">
        <v>17</v>
      </c>
      <c r="N5" s="79" t="s">
        <v>17</v>
      </c>
      <c r="O5" s="96" t="s">
        <v>194</v>
      </c>
      <c r="P5" s="79" t="s">
        <v>17</v>
      </c>
      <c r="Q5" s="79" t="s">
        <v>17</v>
      </c>
      <c r="R5" s="79" t="s">
        <v>17</v>
      </c>
      <c r="S5" s="79" t="s">
        <v>17</v>
      </c>
      <c r="T5" s="79" t="s">
        <v>17</v>
      </c>
      <c r="U5" s="79" t="s">
        <v>17</v>
      </c>
      <c r="V5" s="96" t="s">
        <v>194</v>
      </c>
      <c r="W5" s="79" t="s">
        <v>17</v>
      </c>
      <c r="X5" s="79" t="s">
        <v>17</v>
      </c>
      <c r="Y5" s="79" t="s">
        <v>17</v>
      </c>
      <c r="Z5" s="79" t="s">
        <v>17</v>
      </c>
      <c r="AA5" s="79" t="s">
        <v>17</v>
      </c>
      <c r="AB5" s="79" t="s">
        <v>17</v>
      </c>
      <c r="AC5" s="96" t="s">
        <v>194</v>
      </c>
      <c r="AD5" s="79" t="s">
        <v>17</v>
      </c>
      <c r="AE5" s="79" t="s">
        <v>17</v>
      </c>
      <c r="AF5" s="79" t="s">
        <v>17</v>
      </c>
      <c r="AG5" s="79" t="s">
        <v>17</v>
      </c>
      <c r="AH5" s="79" t="s">
        <v>17</v>
      </c>
      <c r="AI5" s="79" t="s">
        <v>17</v>
      </c>
      <c r="AJ5" s="4">
        <f t="shared" ref="AJ5:AJ17" si="1">COUNTIF(F5:AI5,"P")</f>
        <v>26</v>
      </c>
      <c r="AK5" s="4">
        <f t="shared" ref="AK5:AK17" si="2">COUNTIF(F5:AI5,"A")</f>
        <v>0</v>
      </c>
      <c r="AL5" s="65" t="s">
        <v>6</v>
      </c>
      <c r="AM5" s="6">
        <v>24</v>
      </c>
      <c r="AN5" s="7"/>
      <c r="AO5" s="3"/>
    </row>
    <row r="6" spans="1:41" ht="16.5">
      <c r="A6" s="6">
        <v>2</v>
      </c>
      <c r="B6" s="67">
        <v>936</v>
      </c>
      <c r="C6" s="66" t="s">
        <v>170</v>
      </c>
      <c r="D6" s="66" t="s">
        <v>171</v>
      </c>
      <c r="E6" s="5" t="s">
        <v>27</v>
      </c>
      <c r="F6" s="79" t="s">
        <v>17</v>
      </c>
      <c r="G6" s="79" t="s">
        <v>17</v>
      </c>
      <c r="H6" s="97"/>
      <c r="I6" s="79" t="s">
        <v>17</v>
      </c>
      <c r="J6" s="79" t="s">
        <v>17</v>
      </c>
      <c r="K6" s="79" t="s">
        <v>17</v>
      </c>
      <c r="L6" s="79" t="s">
        <v>17</v>
      </c>
      <c r="M6" s="79" t="s">
        <v>17</v>
      </c>
      <c r="N6" s="79" t="s">
        <v>17</v>
      </c>
      <c r="O6" s="97"/>
      <c r="P6" s="79" t="s">
        <v>17</v>
      </c>
      <c r="Q6" s="79" t="s">
        <v>17</v>
      </c>
      <c r="R6" s="79" t="s">
        <v>17</v>
      </c>
      <c r="S6" s="79" t="s">
        <v>17</v>
      </c>
      <c r="T6" s="79" t="s">
        <v>17</v>
      </c>
      <c r="U6" s="79" t="s">
        <v>17</v>
      </c>
      <c r="V6" s="97"/>
      <c r="W6" s="79" t="s">
        <v>17</v>
      </c>
      <c r="X6" s="79" t="s">
        <v>17</v>
      </c>
      <c r="Y6" s="79" t="s">
        <v>17</v>
      </c>
      <c r="Z6" s="79" t="s">
        <v>17</v>
      </c>
      <c r="AA6" s="79" t="s">
        <v>17</v>
      </c>
      <c r="AB6" s="79" t="s">
        <v>17</v>
      </c>
      <c r="AC6" s="97"/>
      <c r="AD6" s="79" t="s">
        <v>17</v>
      </c>
      <c r="AE6" s="79" t="s">
        <v>17</v>
      </c>
      <c r="AF6" s="79" t="s">
        <v>17</v>
      </c>
      <c r="AG6" s="79" t="s">
        <v>17</v>
      </c>
      <c r="AH6" s="79" t="s">
        <v>17</v>
      </c>
      <c r="AI6" s="79" t="s">
        <v>17</v>
      </c>
      <c r="AJ6" s="4">
        <f t="shared" si="1"/>
        <v>26</v>
      </c>
      <c r="AK6" s="4">
        <f t="shared" si="2"/>
        <v>0</v>
      </c>
      <c r="AL6" s="65" t="s">
        <v>7</v>
      </c>
      <c r="AM6" s="6">
        <v>4</v>
      </c>
      <c r="AN6" s="3"/>
      <c r="AO6" s="3"/>
    </row>
    <row r="7" spans="1:41" ht="16.5">
      <c r="A7" s="6">
        <v>3</v>
      </c>
      <c r="B7" s="67">
        <v>937</v>
      </c>
      <c r="C7" s="66" t="s">
        <v>172</v>
      </c>
      <c r="D7" s="66" t="s">
        <v>171</v>
      </c>
      <c r="E7" s="5" t="s">
        <v>27</v>
      </c>
      <c r="F7" s="79" t="s">
        <v>17</v>
      </c>
      <c r="G7" s="79" t="s">
        <v>17</v>
      </c>
      <c r="H7" s="97"/>
      <c r="I7" s="79" t="s">
        <v>17</v>
      </c>
      <c r="J7" s="79" t="s">
        <v>17</v>
      </c>
      <c r="K7" s="79" t="s">
        <v>17</v>
      </c>
      <c r="L7" s="79" t="s">
        <v>17</v>
      </c>
      <c r="M7" s="79" t="s">
        <v>17</v>
      </c>
      <c r="N7" s="79" t="s">
        <v>17</v>
      </c>
      <c r="O7" s="97"/>
      <c r="P7" s="79" t="s">
        <v>17</v>
      </c>
      <c r="Q7" s="79" t="s">
        <v>17</v>
      </c>
      <c r="R7" s="79" t="s">
        <v>17</v>
      </c>
      <c r="S7" s="79" t="s">
        <v>17</v>
      </c>
      <c r="T7" s="79" t="s">
        <v>17</v>
      </c>
      <c r="U7" s="79" t="s">
        <v>17</v>
      </c>
      <c r="V7" s="97"/>
      <c r="W7" s="79" t="s">
        <v>17</v>
      </c>
      <c r="X7" s="79" t="s">
        <v>17</v>
      </c>
      <c r="Y7" s="79" t="s">
        <v>17</v>
      </c>
      <c r="Z7" s="79" t="s">
        <v>17</v>
      </c>
      <c r="AA7" s="79" t="s">
        <v>17</v>
      </c>
      <c r="AB7" s="79" t="s">
        <v>17</v>
      </c>
      <c r="AC7" s="97"/>
      <c r="AD7" s="79" t="s">
        <v>17</v>
      </c>
      <c r="AE7" s="79" t="s">
        <v>17</v>
      </c>
      <c r="AF7" s="79" t="s">
        <v>17</v>
      </c>
      <c r="AG7" s="79" t="s">
        <v>17</v>
      </c>
      <c r="AH7" s="79" t="s">
        <v>17</v>
      </c>
      <c r="AI7" s="79" t="s">
        <v>17</v>
      </c>
      <c r="AJ7" s="4">
        <f t="shared" si="1"/>
        <v>26</v>
      </c>
      <c r="AK7" s="4">
        <f t="shared" si="2"/>
        <v>0</v>
      </c>
      <c r="AL7" s="65" t="s">
        <v>23</v>
      </c>
      <c r="AM7" s="6">
        <v>1</v>
      </c>
      <c r="AN7" s="3"/>
      <c r="AO7" s="3"/>
    </row>
    <row r="8" spans="1:41" ht="16.5">
      <c r="A8" s="6">
        <v>4</v>
      </c>
      <c r="B8" s="67">
        <v>946</v>
      </c>
      <c r="C8" s="66" t="s">
        <v>173</v>
      </c>
      <c r="D8" s="66" t="s">
        <v>121</v>
      </c>
      <c r="E8" s="5" t="s">
        <v>27</v>
      </c>
      <c r="F8" s="79" t="s">
        <v>17</v>
      </c>
      <c r="G8" s="79" t="s">
        <v>17</v>
      </c>
      <c r="H8" s="97"/>
      <c r="I8" s="79" t="s">
        <v>17</v>
      </c>
      <c r="J8" s="79" t="s">
        <v>17</v>
      </c>
      <c r="K8" s="79" t="s">
        <v>17</v>
      </c>
      <c r="L8" s="79" t="s">
        <v>17</v>
      </c>
      <c r="M8" s="79" t="s">
        <v>17</v>
      </c>
      <c r="N8" s="79" t="s">
        <v>17</v>
      </c>
      <c r="O8" s="97"/>
      <c r="P8" s="79" t="s">
        <v>17</v>
      </c>
      <c r="Q8" s="79" t="s">
        <v>17</v>
      </c>
      <c r="R8" s="79" t="s">
        <v>17</v>
      </c>
      <c r="S8" s="79" t="s">
        <v>17</v>
      </c>
      <c r="T8" s="79" t="s">
        <v>17</v>
      </c>
      <c r="U8" s="79" t="s">
        <v>17</v>
      </c>
      <c r="V8" s="97"/>
      <c r="W8" s="79" t="s">
        <v>17</v>
      </c>
      <c r="X8" s="79" t="s">
        <v>17</v>
      </c>
      <c r="Y8" s="79" t="s">
        <v>17</v>
      </c>
      <c r="Z8" s="79" t="s">
        <v>17</v>
      </c>
      <c r="AA8" s="79" t="s">
        <v>17</v>
      </c>
      <c r="AB8" s="79" t="s">
        <v>17</v>
      </c>
      <c r="AC8" s="97"/>
      <c r="AD8" s="79" t="s">
        <v>17</v>
      </c>
      <c r="AE8" s="79" t="s">
        <v>17</v>
      </c>
      <c r="AF8" s="79" t="s">
        <v>17</v>
      </c>
      <c r="AG8" s="79" t="s">
        <v>17</v>
      </c>
      <c r="AH8" s="79" t="s">
        <v>17</v>
      </c>
      <c r="AI8" s="79" t="s">
        <v>17</v>
      </c>
      <c r="AJ8" s="4">
        <f t="shared" si="1"/>
        <v>26</v>
      </c>
      <c r="AK8" s="4">
        <f t="shared" si="2"/>
        <v>0</v>
      </c>
      <c r="AL8" s="65" t="s">
        <v>21</v>
      </c>
      <c r="AM8" s="6">
        <v>1</v>
      </c>
      <c r="AN8"/>
      <c r="AO8"/>
    </row>
    <row r="9" spans="1:41" ht="16.5">
      <c r="A9" s="6">
        <v>5</v>
      </c>
      <c r="B9" s="71">
        <v>888</v>
      </c>
      <c r="C9" s="71" t="s">
        <v>174</v>
      </c>
      <c r="D9" s="71" t="s">
        <v>26</v>
      </c>
      <c r="E9" s="5" t="s">
        <v>27</v>
      </c>
      <c r="F9" s="79" t="s">
        <v>17</v>
      </c>
      <c r="G9" s="79" t="s">
        <v>17</v>
      </c>
      <c r="H9" s="97"/>
      <c r="I9" s="79" t="s">
        <v>17</v>
      </c>
      <c r="J9" s="79" t="s">
        <v>17</v>
      </c>
      <c r="K9" s="79" t="s">
        <v>17</v>
      </c>
      <c r="L9" s="79" t="s">
        <v>17</v>
      </c>
      <c r="M9" s="79" t="s">
        <v>17</v>
      </c>
      <c r="N9" s="79" t="s">
        <v>17</v>
      </c>
      <c r="O9" s="97"/>
      <c r="P9" s="79" t="s">
        <v>17</v>
      </c>
      <c r="Q9" s="79" t="s">
        <v>17</v>
      </c>
      <c r="R9" s="79" t="s">
        <v>17</v>
      </c>
      <c r="S9" s="79" t="s">
        <v>17</v>
      </c>
      <c r="T9" s="79" t="s">
        <v>17</v>
      </c>
      <c r="U9" s="79" t="s">
        <v>17</v>
      </c>
      <c r="V9" s="97"/>
      <c r="W9" s="79" t="s">
        <v>17</v>
      </c>
      <c r="X9" s="79" t="s">
        <v>17</v>
      </c>
      <c r="Y9" s="79" t="s">
        <v>17</v>
      </c>
      <c r="Z9" s="79" t="s">
        <v>17</v>
      </c>
      <c r="AA9" s="79" t="s">
        <v>17</v>
      </c>
      <c r="AB9" s="79" t="s">
        <v>17</v>
      </c>
      <c r="AC9" s="97"/>
      <c r="AD9" s="79" t="s">
        <v>17</v>
      </c>
      <c r="AE9" s="79" t="s">
        <v>17</v>
      </c>
      <c r="AF9" s="79" t="s">
        <v>17</v>
      </c>
      <c r="AG9" s="79" t="s">
        <v>17</v>
      </c>
      <c r="AH9" s="79" t="s">
        <v>17</v>
      </c>
      <c r="AI9" s="79" t="s">
        <v>17</v>
      </c>
      <c r="AJ9" s="4">
        <f t="shared" si="1"/>
        <v>26</v>
      </c>
      <c r="AK9" s="4">
        <f t="shared" si="2"/>
        <v>0</v>
      </c>
      <c r="AL9" s="65"/>
      <c r="AM9" s="6"/>
    </row>
    <row r="10" spans="1:41" ht="16.5">
      <c r="A10" s="6">
        <v>6</v>
      </c>
      <c r="B10" s="74">
        <v>905</v>
      </c>
      <c r="C10" s="74" t="s">
        <v>175</v>
      </c>
      <c r="D10" s="74" t="s">
        <v>176</v>
      </c>
      <c r="E10" s="5" t="s">
        <v>27</v>
      </c>
      <c r="F10" s="79" t="s">
        <v>17</v>
      </c>
      <c r="G10" s="79" t="s">
        <v>17</v>
      </c>
      <c r="H10" s="97"/>
      <c r="I10" s="79" t="s">
        <v>17</v>
      </c>
      <c r="J10" s="79" t="s">
        <v>17</v>
      </c>
      <c r="K10" s="79" t="s">
        <v>17</v>
      </c>
      <c r="L10" s="79" t="s">
        <v>17</v>
      </c>
      <c r="M10" s="79" t="s">
        <v>17</v>
      </c>
      <c r="N10" s="79" t="s">
        <v>17</v>
      </c>
      <c r="O10" s="97"/>
      <c r="P10" s="79" t="s">
        <v>17</v>
      </c>
      <c r="Q10" s="79" t="s">
        <v>17</v>
      </c>
      <c r="R10" s="79" t="s">
        <v>17</v>
      </c>
      <c r="S10" s="79" t="s">
        <v>17</v>
      </c>
      <c r="T10" s="79" t="s">
        <v>17</v>
      </c>
      <c r="U10" s="79" t="s">
        <v>17</v>
      </c>
      <c r="V10" s="97"/>
      <c r="W10" s="79" t="s">
        <v>17</v>
      </c>
      <c r="X10" s="79" t="s">
        <v>17</v>
      </c>
      <c r="Y10" s="79" t="s">
        <v>17</v>
      </c>
      <c r="Z10" s="79" t="s">
        <v>17</v>
      </c>
      <c r="AA10" s="79" t="s">
        <v>17</v>
      </c>
      <c r="AB10" s="79" t="s">
        <v>17</v>
      </c>
      <c r="AC10" s="97"/>
      <c r="AD10" s="79" t="s">
        <v>17</v>
      </c>
      <c r="AE10" s="79" t="s">
        <v>17</v>
      </c>
      <c r="AF10" s="79" t="s">
        <v>17</v>
      </c>
      <c r="AG10" s="79" t="s">
        <v>17</v>
      </c>
      <c r="AH10" s="79" t="s">
        <v>17</v>
      </c>
      <c r="AI10" s="79" t="s">
        <v>17</v>
      </c>
      <c r="AJ10" s="4">
        <f t="shared" si="1"/>
        <v>26</v>
      </c>
      <c r="AK10" s="4">
        <f t="shared" si="2"/>
        <v>0</v>
      </c>
    </row>
    <row r="11" spans="1:41" ht="16.5">
      <c r="A11" s="6">
        <v>7</v>
      </c>
      <c r="B11" s="80">
        <v>804</v>
      </c>
      <c r="C11" s="80" t="s">
        <v>177</v>
      </c>
      <c r="D11" s="80" t="s">
        <v>91</v>
      </c>
      <c r="E11" s="5" t="s">
        <v>27</v>
      </c>
      <c r="F11" s="79" t="s">
        <v>17</v>
      </c>
      <c r="G11" s="79" t="s">
        <v>17</v>
      </c>
      <c r="H11" s="97"/>
      <c r="I11" s="79" t="s">
        <v>17</v>
      </c>
      <c r="J11" s="79" t="s">
        <v>17</v>
      </c>
      <c r="K11" s="79" t="s">
        <v>17</v>
      </c>
      <c r="L11" s="79" t="s">
        <v>17</v>
      </c>
      <c r="M11" s="79" t="s">
        <v>17</v>
      </c>
      <c r="N11" s="79" t="s">
        <v>17</v>
      </c>
      <c r="O11" s="97"/>
      <c r="P11" s="79" t="s">
        <v>17</v>
      </c>
      <c r="Q11" s="79" t="s">
        <v>17</v>
      </c>
      <c r="R11" s="79" t="s">
        <v>17</v>
      </c>
      <c r="S11" s="79" t="s">
        <v>17</v>
      </c>
      <c r="T11" s="79" t="s">
        <v>17</v>
      </c>
      <c r="U11" s="79" t="s">
        <v>17</v>
      </c>
      <c r="V11" s="97"/>
      <c r="W11" s="79" t="s">
        <v>17</v>
      </c>
      <c r="X11" s="79" t="s">
        <v>17</v>
      </c>
      <c r="Y11" s="79" t="s">
        <v>17</v>
      </c>
      <c r="Z11" s="79" t="s">
        <v>17</v>
      </c>
      <c r="AA11" s="79" t="s">
        <v>17</v>
      </c>
      <c r="AB11" s="79" t="s">
        <v>17</v>
      </c>
      <c r="AC11" s="97"/>
      <c r="AD11" s="79" t="s">
        <v>17</v>
      </c>
      <c r="AE11" s="79" t="s">
        <v>17</v>
      </c>
      <c r="AF11" s="79" t="s">
        <v>17</v>
      </c>
      <c r="AG11" s="79" t="s">
        <v>17</v>
      </c>
      <c r="AH11" s="79" t="s">
        <v>17</v>
      </c>
      <c r="AI11" s="79" t="s">
        <v>17</v>
      </c>
      <c r="AJ11" s="4">
        <f t="shared" si="1"/>
        <v>26</v>
      </c>
      <c r="AK11" s="4">
        <f t="shared" si="2"/>
        <v>0</v>
      </c>
      <c r="AL11" s="100" t="s">
        <v>8</v>
      </c>
      <c r="AM11" s="100"/>
      <c r="AN11" s="100"/>
      <c r="AO11" s="101"/>
    </row>
    <row r="12" spans="1:41" ht="16.5">
      <c r="A12" s="6">
        <v>8</v>
      </c>
      <c r="B12" s="74">
        <v>802</v>
      </c>
      <c r="C12" s="74" t="s">
        <v>178</v>
      </c>
      <c r="D12" s="74" t="s">
        <v>162</v>
      </c>
      <c r="E12" s="5" t="s">
        <v>27</v>
      </c>
      <c r="F12" s="79" t="s">
        <v>17</v>
      </c>
      <c r="G12" s="79" t="s">
        <v>17</v>
      </c>
      <c r="H12" s="97"/>
      <c r="I12" s="79" t="s">
        <v>17</v>
      </c>
      <c r="J12" s="79" t="s">
        <v>17</v>
      </c>
      <c r="K12" s="79" t="s">
        <v>17</v>
      </c>
      <c r="L12" s="79" t="s">
        <v>17</v>
      </c>
      <c r="M12" s="79" t="s">
        <v>17</v>
      </c>
      <c r="N12" s="79" t="s">
        <v>17</v>
      </c>
      <c r="O12" s="97"/>
      <c r="P12" s="79" t="s">
        <v>17</v>
      </c>
      <c r="Q12" s="79" t="s">
        <v>17</v>
      </c>
      <c r="R12" s="79" t="s">
        <v>17</v>
      </c>
      <c r="S12" s="79" t="s">
        <v>17</v>
      </c>
      <c r="T12" s="79" t="s">
        <v>17</v>
      </c>
      <c r="U12" s="79" t="s">
        <v>17</v>
      </c>
      <c r="V12" s="97"/>
      <c r="W12" s="79" t="s">
        <v>17</v>
      </c>
      <c r="X12" s="79" t="s">
        <v>17</v>
      </c>
      <c r="Y12" s="79" t="s">
        <v>17</v>
      </c>
      <c r="Z12" s="79" t="s">
        <v>17</v>
      </c>
      <c r="AA12" s="79" t="s">
        <v>17</v>
      </c>
      <c r="AB12" s="79" t="s">
        <v>17</v>
      </c>
      <c r="AC12" s="97"/>
      <c r="AD12" s="79" t="s">
        <v>17</v>
      </c>
      <c r="AE12" s="79" t="s">
        <v>17</v>
      </c>
      <c r="AF12" s="79" t="s">
        <v>17</v>
      </c>
      <c r="AG12" s="79" t="s">
        <v>17</v>
      </c>
      <c r="AH12" s="79" t="s">
        <v>17</v>
      </c>
      <c r="AI12" s="79" t="s">
        <v>17</v>
      </c>
      <c r="AJ12" s="4">
        <f t="shared" si="1"/>
        <v>26</v>
      </c>
      <c r="AK12" s="4">
        <f t="shared" si="2"/>
        <v>0</v>
      </c>
      <c r="AL12" s="65" t="s">
        <v>9</v>
      </c>
      <c r="AM12" s="4" t="s">
        <v>10</v>
      </c>
      <c r="AN12" s="4" t="s">
        <v>11</v>
      </c>
      <c r="AO12" s="4" t="s">
        <v>12</v>
      </c>
    </row>
    <row r="13" spans="1:41" ht="16.5">
      <c r="A13" s="6">
        <v>9</v>
      </c>
      <c r="B13" s="71">
        <v>790</v>
      </c>
      <c r="C13" s="71" t="s">
        <v>179</v>
      </c>
      <c r="D13" s="71" t="s">
        <v>180</v>
      </c>
      <c r="E13" s="5" t="s">
        <v>27</v>
      </c>
      <c r="F13" s="79" t="s">
        <v>17</v>
      </c>
      <c r="G13" s="79" t="s">
        <v>17</v>
      </c>
      <c r="H13" s="97"/>
      <c r="I13" s="79" t="s">
        <v>17</v>
      </c>
      <c r="J13" s="79" t="s">
        <v>17</v>
      </c>
      <c r="K13" s="79" t="s">
        <v>17</v>
      </c>
      <c r="L13" s="79" t="s">
        <v>17</v>
      </c>
      <c r="M13" s="79" t="s">
        <v>17</v>
      </c>
      <c r="N13" s="79" t="s">
        <v>17</v>
      </c>
      <c r="O13" s="97"/>
      <c r="P13" s="79" t="s">
        <v>17</v>
      </c>
      <c r="Q13" s="79" t="s">
        <v>17</v>
      </c>
      <c r="R13" s="79" t="s">
        <v>17</v>
      </c>
      <c r="S13" s="79" t="s">
        <v>17</v>
      </c>
      <c r="T13" s="79" t="s">
        <v>17</v>
      </c>
      <c r="U13" s="79" t="s">
        <v>17</v>
      </c>
      <c r="V13" s="97"/>
      <c r="W13" s="79" t="s">
        <v>17</v>
      </c>
      <c r="X13" s="79" t="s">
        <v>17</v>
      </c>
      <c r="Y13" s="79" t="s">
        <v>17</v>
      </c>
      <c r="Z13" s="79" t="s">
        <v>17</v>
      </c>
      <c r="AA13" s="79" t="s">
        <v>17</v>
      </c>
      <c r="AB13" s="79" t="s">
        <v>17</v>
      </c>
      <c r="AC13" s="97"/>
      <c r="AD13" s="79" t="s">
        <v>17</v>
      </c>
      <c r="AE13" s="79" t="s">
        <v>17</v>
      </c>
      <c r="AF13" s="79" t="s">
        <v>17</v>
      </c>
      <c r="AG13" s="79" t="s">
        <v>17</v>
      </c>
      <c r="AH13" s="79" t="s">
        <v>17</v>
      </c>
      <c r="AI13" s="79" t="s">
        <v>17</v>
      </c>
      <c r="AJ13" s="4">
        <f t="shared" si="1"/>
        <v>26</v>
      </c>
      <c r="AK13" s="4">
        <f t="shared" si="2"/>
        <v>0</v>
      </c>
      <c r="AL13" s="65" t="s">
        <v>13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71">
        <v>806</v>
      </c>
      <c r="C14" s="71" t="s">
        <v>181</v>
      </c>
      <c r="D14" s="71" t="s">
        <v>167</v>
      </c>
      <c r="E14" s="5" t="s">
        <v>27</v>
      </c>
      <c r="F14" s="79" t="s">
        <v>17</v>
      </c>
      <c r="G14" s="79" t="s">
        <v>17</v>
      </c>
      <c r="H14" s="97"/>
      <c r="I14" s="79" t="s">
        <v>17</v>
      </c>
      <c r="J14" s="79" t="s">
        <v>17</v>
      </c>
      <c r="K14" s="79" t="s">
        <v>17</v>
      </c>
      <c r="L14" s="79" t="s">
        <v>17</v>
      </c>
      <c r="M14" s="79" t="s">
        <v>17</v>
      </c>
      <c r="N14" s="79" t="s">
        <v>17</v>
      </c>
      <c r="O14" s="97"/>
      <c r="P14" s="79" t="s">
        <v>17</v>
      </c>
      <c r="Q14" s="79" t="s">
        <v>17</v>
      </c>
      <c r="R14" s="79" t="s">
        <v>17</v>
      </c>
      <c r="S14" s="79" t="s">
        <v>17</v>
      </c>
      <c r="T14" s="79" t="s">
        <v>17</v>
      </c>
      <c r="U14" s="79" t="s">
        <v>17</v>
      </c>
      <c r="V14" s="97"/>
      <c r="W14" s="79" t="s">
        <v>17</v>
      </c>
      <c r="X14" s="79" t="s">
        <v>17</v>
      </c>
      <c r="Y14" s="79" t="s">
        <v>17</v>
      </c>
      <c r="Z14" s="79" t="s">
        <v>17</v>
      </c>
      <c r="AA14" s="79" t="s">
        <v>17</v>
      </c>
      <c r="AB14" s="79" t="s">
        <v>17</v>
      </c>
      <c r="AC14" s="97"/>
      <c r="AD14" s="79" t="s">
        <v>17</v>
      </c>
      <c r="AE14" s="79" t="s">
        <v>17</v>
      </c>
      <c r="AF14" s="79" t="s">
        <v>17</v>
      </c>
      <c r="AG14" s="79" t="s">
        <v>17</v>
      </c>
      <c r="AH14" s="79" t="s">
        <v>17</v>
      </c>
      <c r="AI14" s="79" t="s">
        <v>17</v>
      </c>
      <c r="AJ14" s="4">
        <f t="shared" si="1"/>
        <v>26</v>
      </c>
      <c r="AK14" s="4">
        <f t="shared" si="2"/>
        <v>0</v>
      </c>
      <c r="AL14" s="65" t="s">
        <v>14</v>
      </c>
      <c r="AM14" s="6" t="e">
        <f>SUM(AJ6,AJ9,AJ11,AJ13,AJ16,#REF!,#REF!,#REF!,#REF!,#REF!,#REF!,#REF!,#REF!,#REF!,#REF!,#REF!,#REF!,#REF!,#REF!,#REF!,#REF!,#REF!,#REF!,#REF!,#REF!,#REF!,#REF!)</f>
        <v>#REF!</v>
      </c>
      <c r="AN14" s="6" t="e">
        <f>SUM(AJ5,AJ7,AJ8,AJ10,AJ12,AJ14,AJ15,AJ17,#REF!,#REF!,#REF!,#REF!,#REF!,#REF!,#REF!,#REF!,#REF!,#REF!,#REF!,#REF!,#REF!,#REF!,#REF!,#REF!,#REF!,#REF!,#REF!)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71">
        <v>873</v>
      </c>
      <c r="C15" s="71" t="s">
        <v>47</v>
      </c>
      <c r="D15" s="71" t="s">
        <v>182</v>
      </c>
      <c r="E15" s="5" t="s">
        <v>27</v>
      </c>
      <c r="F15" s="79" t="s">
        <v>17</v>
      </c>
      <c r="G15" s="79" t="s">
        <v>17</v>
      </c>
      <c r="H15" s="97"/>
      <c r="I15" s="79" t="s">
        <v>17</v>
      </c>
      <c r="J15" s="79" t="s">
        <v>17</v>
      </c>
      <c r="K15" s="79" t="s">
        <v>17</v>
      </c>
      <c r="L15" s="79" t="s">
        <v>17</v>
      </c>
      <c r="M15" s="79" t="s">
        <v>17</v>
      </c>
      <c r="N15" s="79" t="s">
        <v>17</v>
      </c>
      <c r="O15" s="97"/>
      <c r="P15" s="79" t="s">
        <v>17</v>
      </c>
      <c r="Q15" s="79" t="s">
        <v>17</v>
      </c>
      <c r="R15" s="79" t="s">
        <v>17</v>
      </c>
      <c r="S15" s="79" t="s">
        <v>17</v>
      </c>
      <c r="T15" s="79" t="s">
        <v>17</v>
      </c>
      <c r="U15" s="79" t="s">
        <v>17</v>
      </c>
      <c r="V15" s="97"/>
      <c r="W15" s="79" t="s">
        <v>17</v>
      </c>
      <c r="X15" s="79" t="s">
        <v>17</v>
      </c>
      <c r="Y15" s="79" t="s">
        <v>17</v>
      </c>
      <c r="Z15" s="79" t="s">
        <v>17</v>
      </c>
      <c r="AA15" s="79" t="s">
        <v>17</v>
      </c>
      <c r="AB15" s="79" t="s">
        <v>17</v>
      </c>
      <c r="AC15" s="97"/>
      <c r="AD15" s="79" t="s">
        <v>17</v>
      </c>
      <c r="AE15" s="79" t="s">
        <v>17</v>
      </c>
      <c r="AF15" s="79" t="s">
        <v>17</v>
      </c>
      <c r="AG15" s="79" t="s">
        <v>17</v>
      </c>
      <c r="AH15" s="79" t="s">
        <v>17</v>
      </c>
      <c r="AI15" s="79" t="s">
        <v>17</v>
      </c>
      <c r="AJ15" s="4">
        <f t="shared" si="1"/>
        <v>26</v>
      </c>
      <c r="AK15" s="4">
        <f t="shared" si="2"/>
        <v>0</v>
      </c>
      <c r="AL15" s="65" t="s">
        <v>15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71">
        <v>836</v>
      </c>
      <c r="C16" s="71" t="s">
        <v>183</v>
      </c>
      <c r="D16" s="71" t="s">
        <v>147</v>
      </c>
      <c r="E16" s="5" t="s">
        <v>27</v>
      </c>
      <c r="F16" s="79" t="s">
        <v>17</v>
      </c>
      <c r="G16" s="79" t="s">
        <v>17</v>
      </c>
      <c r="H16" s="97"/>
      <c r="I16" s="79" t="s">
        <v>17</v>
      </c>
      <c r="J16" s="79" t="s">
        <v>17</v>
      </c>
      <c r="K16" s="79" t="s">
        <v>17</v>
      </c>
      <c r="L16" s="79" t="s">
        <v>17</v>
      </c>
      <c r="M16" s="79" t="s">
        <v>17</v>
      </c>
      <c r="N16" s="79" t="s">
        <v>17</v>
      </c>
      <c r="O16" s="97"/>
      <c r="P16" s="79" t="s">
        <v>17</v>
      </c>
      <c r="Q16" s="79" t="s">
        <v>17</v>
      </c>
      <c r="R16" s="79" t="s">
        <v>17</v>
      </c>
      <c r="S16" s="79" t="s">
        <v>17</v>
      </c>
      <c r="T16" s="79" t="s">
        <v>17</v>
      </c>
      <c r="U16" s="79" t="s">
        <v>17</v>
      </c>
      <c r="V16" s="97"/>
      <c r="W16" s="79" t="s">
        <v>17</v>
      </c>
      <c r="X16" s="79" t="s">
        <v>17</v>
      </c>
      <c r="Y16" s="79" t="s">
        <v>17</v>
      </c>
      <c r="Z16" s="79" t="s">
        <v>17</v>
      </c>
      <c r="AA16" s="79" t="s">
        <v>17</v>
      </c>
      <c r="AB16" s="79" t="s">
        <v>17</v>
      </c>
      <c r="AC16" s="97"/>
      <c r="AD16" s="79" t="s">
        <v>17</v>
      </c>
      <c r="AE16" s="79" t="s">
        <v>17</v>
      </c>
      <c r="AF16" s="79" t="s">
        <v>17</v>
      </c>
      <c r="AG16" s="79" t="s">
        <v>17</v>
      </c>
      <c r="AH16" s="79" t="s">
        <v>17</v>
      </c>
      <c r="AI16" s="79" t="s">
        <v>17</v>
      </c>
      <c r="AJ16" s="4">
        <f t="shared" si="1"/>
        <v>26</v>
      </c>
      <c r="AK16" s="4">
        <f t="shared" si="2"/>
        <v>0</v>
      </c>
      <c r="AL16"/>
      <c r="AM16"/>
      <c r="AN16"/>
      <c r="AO16"/>
    </row>
    <row r="17" spans="1:41" ht="16.5">
      <c r="A17" s="6">
        <v>13</v>
      </c>
      <c r="B17" s="71">
        <v>949</v>
      </c>
      <c r="C17" s="71" t="s">
        <v>184</v>
      </c>
      <c r="D17" s="71" t="s">
        <v>53</v>
      </c>
      <c r="E17" s="5" t="s">
        <v>27</v>
      </c>
      <c r="F17" s="79" t="s">
        <v>17</v>
      </c>
      <c r="G17" s="79" t="s">
        <v>17</v>
      </c>
      <c r="H17" s="97"/>
      <c r="I17" s="79" t="s">
        <v>17</v>
      </c>
      <c r="J17" s="79" t="s">
        <v>17</v>
      </c>
      <c r="K17" s="79" t="s">
        <v>17</v>
      </c>
      <c r="L17" s="79" t="s">
        <v>17</v>
      </c>
      <c r="M17" s="79" t="s">
        <v>17</v>
      </c>
      <c r="N17" s="79" t="s">
        <v>17</v>
      </c>
      <c r="O17" s="97"/>
      <c r="P17" s="79" t="s">
        <v>17</v>
      </c>
      <c r="Q17" s="79" t="s">
        <v>17</v>
      </c>
      <c r="R17" s="79" t="s">
        <v>17</v>
      </c>
      <c r="S17" s="79" t="s">
        <v>17</v>
      </c>
      <c r="T17" s="79" t="s">
        <v>17</v>
      </c>
      <c r="U17" s="79" t="s">
        <v>17</v>
      </c>
      <c r="V17" s="97"/>
      <c r="W17" s="79" t="s">
        <v>17</v>
      </c>
      <c r="X17" s="79" t="s">
        <v>17</v>
      </c>
      <c r="Y17" s="79" t="s">
        <v>17</v>
      </c>
      <c r="Z17" s="79" t="s">
        <v>17</v>
      </c>
      <c r="AA17" s="79" t="s">
        <v>17</v>
      </c>
      <c r="AB17" s="79" t="s">
        <v>17</v>
      </c>
      <c r="AC17" s="97"/>
      <c r="AD17" s="79" t="s">
        <v>17</v>
      </c>
      <c r="AE17" s="79" t="s">
        <v>17</v>
      </c>
      <c r="AF17" s="79" t="s">
        <v>17</v>
      </c>
      <c r="AG17" s="79" t="s">
        <v>17</v>
      </c>
      <c r="AH17" s="79" t="s">
        <v>17</v>
      </c>
      <c r="AI17" s="79" t="s">
        <v>17</v>
      </c>
      <c r="AJ17" s="4">
        <f t="shared" si="1"/>
        <v>26</v>
      </c>
      <c r="AK17" s="4">
        <f t="shared" si="2"/>
        <v>0</v>
      </c>
      <c r="AL17"/>
      <c r="AM17"/>
      <c r="AN17"/>
      <c r="AO17"/>
    </row>
  </sheetData>
  <mergeCells count="15">
    <mergeCell ref="A1:AI1"/>
    <mergeCell ref="A2:AI2"/>
    <mergeCell ref="A3:A4"/>
    <mergeCell ref="B3:B4"/>
    <mergeCell ref="C3:C4"/>
    <mergeCell ref="D3:D4"/>
    <mergeCell ref="E3:E4"/>
    <mergeCell ref="AJ3:AJ4"/>
    <mergeCell ref="AK3:AK4"/>
    <mergeCell ref="AL3:AM3"/>
    <mergeCell ref="H5:H17"/>
    <mergeCell ref="O5:O17"/>
    <mergeCell ref="V5:V17"/>
    <mergeCell ref="AC5:AC17"/>
    <mergeCell ref="AL11:AO11"/>
  </mergeCells>
  <conditionalFormatting sqref="B5:B17">
    <cfRule type="duplicateValues" dxfId="158" priority="16"/>
  </conditionalFormatting>
  <conditionalFormatting sqref="F5:G17">
    <cfRule type="cellIs" dxfId="157" priority="153" operator="equal">
      <formula>"L"</formula>
    </cfRule>
    <cfRule type="expression" dxfId="156" priority="154">
      <formula>F$4=TODAY()</formula>
    </cfRule>
    <cfRule type="cellIs" dxfId="155" priority="155" operator="equal">
      <formula>"A"</formula>
    </cfRule>
    <cfRule type="cellIs" dxfId="154" priority="156" operator="equal">
      <formula>"P"</formula>
    </cfRule>
    <cfRule type="expression" dxfId="153" priority="157">
      <formula>F$3="Sun"</formula>
    </cfRule>
  </conditionalFormatting>
  <conditionalFormatting sqref="F3:AI4">
    <cfRule type="expression" dxfId="152" priority="158">
      <formula>F$4=TODAY()</formula>
    </cfRule>
    <cfRule type="expression" dxfId="151" priority="159">
      <formula>F$3="Sun"</formula>
    </cfRule>
  </conditionalFormatting>
  <conditionalFormatting sqref="H5">
    <cfRule type="cellIs" dxfId="150" priority="38" operator="equal">
      <formula>"L"</formula>
    </cfRule>
    <cfRule type="expression" dxfId="149" priority="39">
      <formula>H$4=TODAY()</formula>
    </cfRule>
    <cfRule type="cellIs" dxfId="148" priority="40" operator="equal">
      <formula>"A"</formula>
    </cfRule>
    <cfRule type="cellIs" dxfId="147" priority="41" operator="equal">
      <formula>"P"</formula>
    </cfRule>
    <cfRule type="expression" dxfId="146" priority="42">
      <formula>H$3="Sun"</formula>
    </cfRule>
  </conditionalFormatting>
  <conditionalFormatting sqref="I5:N17">
    <cfRule type="cellIs" dxfId="145" priority="128" operator="equal">
      <formula>"L"</formula>
    </cfRule>
    <cfRule type="expression" dxfId="144" priority="129">
      <formula>I$4=TODAY()</formula>
    </cfRule>
    <cfRule type="cellIs" dxfId="143" priority="130" operator="equal">
      <formula>"A"</formula>
    </cfRule>
    <cfRule type="cellIs" dxfId="142" priority="131" operator="equal">
      <formula>"P"</formula>
    </cfRule>
    <cfRule type="expression" dxfId="141" priority="132">
      <formula>I$3="Sun"</formula>
    </cfRule>
  </conditionalFormatting>
  <conditionalFormatting sqref="O5">
    <cfRule type="cellIs" dxfId="140" priority="11" operator="equal">
      <formula>"L"</formula>
    </cfRule>
    <cfRule type="expression" dxfId="139" priority="12">
      <formula>O$4=TODAY()</formula>
    </cfRule>
    <cfRule type="cellIs" dxfId="138" priority="13" operator="equal">
      <formula>"A"</formula>
    </cfRule>
    <cfRule type="cellIs" dxfId="137" priority="14" operator="equal">
      <formula>"P"</formula>
    </cfRule>
    <cfRule type="expression" dxfId="136" priority="15">
      <formula>O$3="Sun"</formula>
    </cfRule>
  </conditionalFormatting>
  <conditionalFormatting sqref="P5:U17">
    <cfRule type="cellIs" dxfId="135" priority="98" operator="equal">
      <formula>"L"</formula>
    </cfRule>
    <cfRule type="expression" dxfId="134" priority="99">
      <formula>P$4=TODAY()</formula>
    </cfRule>
    <cfRule type="cellIs" dxfId="133" priority="100" operator="equal">
      <formula>"A"</formula>
    </cfRule>
    <cfRule type="cellIs" dxfId="132" priority="101" operator="equal">
      <formula>"P"</formula>
    </cfRule>
    <cfRule type="expression" dxfId="131" priority="102">
      <formula>P$3="Sun"</formula>
    </cfRule>
  </conditionalFormatting>
  <conditionalFormatting sqref="V5">
    <cfRule type="cellIs" dxfId="130" priority="6" operator="equal">
      <formula>"L"</formula>
    </cfRule>
    <cfRule type="expression" dxfId="129" priority="7">
      <formula>V$4=TODAY()</formula>
    </cfRule>
    <cfRule type="cellIs" dxfId="128" priority="8" operator="equal">
      <formula>"A"</formula>
    </cfRule>
    <cfRule type="cellIs" dxfId="127" priority="9" operator="equal">
      <formula>"P"</formula>
    </cfRule>
    <cfRule type="expression" dxfId="126" priority="10">
      <formula>V$3="Sun"</formula>
    </cfRule>
  </conditionalFormatting>
  <conditionalFormatting sqref="W5:AB17">
    <cfRule type="cellIs" dxfId="125" priority="68" operator="equal">
      <formula>"L"</formula>
    </cfRule>
    <cfRule type="expression" dxfId="124" priority="69">
      <formula>W$4=TODAY()</formula>
    </cfRule>
    <cfRule type="cellIs" dxfId="123" priority="70" operator="equal">
      <formula>"A"</formula>
    </cfRule>
    <cfRule type="cellIs" dxfId="122" priority="71" operator="equal">
      <formula>"P"</formula>
    </cfRule>
    <cfRule type="expression" dxfId="121" priority="72">
      <formula>W$3="Sun"</formula>
    </cfRule>
  </conditionalFormatting>
  <conditionalFormatting sqref="AC5">
    <cfRule type="cellIs" dxfId="120" priority="1" operator="equal">
      <formula>"L"</formula>
    </cfRule>
    <cfRule type="expression" dxfId="119" priority="2">
      <formula>AC$4=TODAY()</formula>
    </cfRule>
    <cfRule type="cellIs" dxfId="118" priority="3" operator="equal">
      <formula>"A"</formula>
    </cfRule>
    <cfRule type="cellIs" dxfId="117" priority="4" operator="equal">
      <formula>"P"</formula>
    </cfRule>
    <cfRule type="expression" dxfId="116" priority="5">
      <formula>AC$3="Sun"</formula>
    </cfRule>
  </conditionalFormatting>
  <conditionalFormatting sqref="AD5:AI17">
    <cfRule type="cellIs" dxfId="115" priority="18" operator="equal">
      <formula>"L"</formula>
    </cfRule>
    <cfRule type="expression" dxfId="114" priority="19">
      <formula>AD$4=TODAY()</formula>
    </cfRule>
    <cfRule type="cellIs" dxfId="113" priority="20" operator="equal">
      <formula>"A"</formula>
    </cfRule>
    <cfRule type="cellIs" dxfId="112" priority="21" operator="equal">
      <formula>"P"</formula>
    </cfRule>
    <cfRule type="expression" dxfId="111" priority="22">
      <formula>AD$3="Sun"</formula>
    </cfRule>
  </conditionalFormatting>
  <conditionalFormatting sqref="AJ3:AK3 AJ5:AK17">
    <cfRule type="expression" dxfId="110" priority="160">
      <formula>#REF!="Sun"</formula>
    </cfRule>
  </conditionalFormatting>
  <conditionalFormatting sqref="AL5:AL9">
    <cfRule type="expression" dxfId="109" priority="164">
      <formula>AL$3="Sun"</formula>
    </cfRule>
  </conditionalFormatting>
  <conditionalFormatting sqref="AL12:AL15">
    <cfRule type="expression" dxfId="108" priority="162">
      <formula>AL$3="Sun"</formula>
    </cfRule>
  </conditionalFormatting>
  <conditionalFormatting sqref="AL4:AM4">
    <cfRule type="expression" dxfId="107" priority="165">
      <formula>AL$3="Sun"</formula>
    </cfRule>
  </conditionalFormatting>
  <conditionalFormatting sqref="AM12:AO12">
    <cfRule type="expression" dxfId="106" priority="166">
      <formula>AM$3="Sun"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05D0A-9C12-4310-A3B6-47BC2C108024}">
  <dimension ref="A1:AO12"/>
  <sheetViews>
    <sheetView zoomScale="98" zoomScaleNormal="98" workbookViewId="0">
      <selection activeCell="AC5" sqref="AC5:AC12"/>
    </sheetView>
  </sheetViews>
  <sheetFormatPr defaultColWidth="3.85546875" defaultRowHeight="1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9" width="3.7109375" style="1" bestFit="1" customWidth="1"/>
    <col min="10" max="10" width="3.85546875" style="1"/>
    <col min="11" max="11" width="4.5703125" style="1" bestFit="1" customWidth="1"/>
    <col min="12" max="12" width="3.85546875" style="1"/>
    <col min="13" max="13" width="4.85546875" style="1" customWidth="1"/>
    <col min="14" max="15" width="3.7109375" style="1" bestFit="1" customWidth="1"/>
    <col min="16" max="16" width="3.85546875" style="1"/>
    <col min="17" max="17" width="4.5703125" style="1" bestFit="1" customWidth="1"/>
    <col min="18" max="19" width="4.5703125" style="1" customWidth="1"/>
    <col min="20" max="20" width="4.7109375" style="1" bestFit="1" customWidth="1"/>
    <col min="21" max="22" width="3.7109375" style="1" bestFit="1" customWidth="1"/>
    <col min="23" max="23" width="3.85546875" style="1"/>
    <col min="24" max="24" width="4.5703125" style="1" bestFit="1" customWidth="1"/>
    <col min="25" max="25" width="3.85546875" style="1"/>
    <col min="26" max="26" width="4.7109375" style="1" bestFit="1" customWidth="1"/>
    <col min="27" max="27" width="3.85546875" style="1"/>
    <col min="28" max="29" width="3.7109375" style="1" bestFit="1" customWidth="1"/>
    <col min="30" max="30" width="3.85546875" style="1"/>
    <col min="31" max="31" width="4.5703125" style="1" bestFit="1" customWidth="1"/>
    <col min="32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10"/>
      <c r="AK1" s="10"/>
    </row>
    <row r="2" spans="1:41" ht="17.25">
      <c r="A2" s="92" t="s">
        <v>60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11"/>
      <c r="AK2" s="11"/>
      <c r="AL2" s="11"/>
    </row>
    <row r="3" spans="1:41" ht="15.75">
      <c r="A3" s="102" t="s">
        <v>0</v>
      </c>
      <c r="B3" s="94" t="s">
        <v>111</v>
      </c>
      <c r="C3" s="102" t="s">
        <v>1</v>
      </c>
      <c r="D3" s="102" t="s">
        <v>2</v>
      </c>
      <c r="E3" s="102" t="s">
        <v>3</v>
      </c>
      <c r="F3" s="2" t="str">
        <f>TEXT(F4,"ddd")</f>
        <v>Fri</v>
      </c>
      <c r="G3" s="2" t="str">
        <f t="shared" ref="G3:AI3" si="0">TEXT(G4,"ddd")</f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98" t="s">
        <v>4</v>
      </c>
      <c r="AK3" s="98" t="s">
        <v>5</v>
      </c>
      <c r="AL3" s="99" t="s">
        <v>19</v>
      </c>
      <c r="AM3" s="100"/>
      <c r="AN3" s="3"/>
      <c r="AO3" s="3"/>
    </row>
    <row r="4" spans="1:41" ht="37.5">
      <c r="A4" s="102"/>
      <c r="B4" s="95"/>
      <c r="C4" s="102"/>
      <c r="D4" s="102"/>
      <c r="E4" s="102"/>
      <c r="F4" s="9">
        <v>45597</v>
      </c>
      <c r="G4" s="9">
        <v>45598</v>
      </c>
      <c r="H4" s="9">
        <v>45599</v>
      </c>
      <c r="I4" s="9">
        <v>45600</v>
      </c>
      <c r="J4" s="9">
        <v>45601</v>
      </c>
      <c r="K4" s="9">
        <v>45602</v>
      </c>
      <c r="L4" s="9">
        <v>45603</v>
      </c>
      <c r="M4" s="9">
        <v>45604</v>
      </c>
      <c r="N4" s="9">
        <v>45605</v>
      </c>
      <c r="O4" s="9">
        <v>45606</v>
      </c>
      <c r="P4" s="9">
        <v>45607</v>
      </c>
      <c r="Q4" s="9">
        <v>45608</v>
      </c>
      <c r="R4" s="9">
        <v>45609</v>
      </c>
      <c r="S4" s="9">
        <v>45610</v>
      </c>
      <c r="T4" s="9">
        <v>45611</v>
      </c>
      <c r="U4" s="9">
        <v>45612</v>
      </c>
      <c r="V4" s="9">
        <v>45613</v>
      </c>
      <c r="W4" s="9">
        <v>45614</v>
      </c>
      <c r="X4" s="9">
        <v>45615</v>
      </c>
      <c r="Y4" s="9">
        <v>45616</v>
      </c>
      <c r="Z4" s="9">
        <v>45617</v>
      </c>
      <c r="AA4" s="9">
        <v>45618</v>
      </c>
      <c r="AB4" s="9">
        <v>45619</v>
      </c>
      <c r="AC4" s="9">
        <v>45620</v>
      </c>
      <c r="AD4" s="9">
        <v>45621</v>
      </c>
      <c r="AE4" s="9">
        <v>45622</v>
      </c>
      <c r="AF4" s="9">
        <v>45623</v>
      </c>
      <c r="AG4" s="9">
        <v>45624</v>
      </c>
      <c r="AH4" s="9">
        <v>45625</v>
      </c>
      <c r="AI4" s="9">
        <v>45626</v>
      </c>
      <c r="AJ4" s="98"/>
      <c r="AK4" s="98"/>
      <c r="AL4" s="4" t="s">
        <v>20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70">
        <v>927</v>
      </c>
      <c r="C5" s="66" t="s">
        <v>186</v>
      </c>
      <c r="D5" s="66" t="s">
        <v>169</v>
      </c>
      <c r="E5" s="5" t="s">
        <v>29</v>
      </c>
      <c r="F5" s="79" t="s">
        <v>17</v>
      </c>
      <c r="G5" s="79" t="s">
        <v>17</v>
      </c>
      <c r="H5" s="96" t="s">
        <v>195</v>
      </c>
      <c r="I5" s="79" t="s">
        <v>17</v>
      </c>
      <c r="J5" s="79" t="s">
        <v>17</v>
      </c>
      <c r="K5" s="79" t="s">
        <v>17</v>
      </c>
      <c r="L5" s="79" t="s">
        <v>17</v>
      </c>
      <c r="M5" s="79" t="s">
        <v>17</v>
      </c>
      <c r="N5" s="79" t="s">
        <v>17</v>
      </c>
      <c r="O5" s="96" t="s">
        <v>195</v>
      </c>
      <c r="P5" s="79" t="s">
        <v>17</v>
      </c>
      <c r="Q5" s="79" t="s">
        <v>17</v>
      </c>
      <c r="R5" s="79" t="s">
        <v>17</v>
      </c>
      <c r="S5" s="79" t="s">
        <v>17</v>
      </c>
      <c r="T5" s="79" t="s">
        <v>17</v>
      </c>
      <c r="U5" s="79" t="s">
        <v>17</v>
      </c>
      <c r="V5" s="96" t="s">
        <v>195</v>
      </c>
      <c r="W5" s="79" t="s">
        <v>17</v>
      </c>
      <c r="X5" s="79" t="s">
        <v>17</v>
      </c>
      <c r="Y5" s="79" t="s">
        <v>17</v>
      </c>
      <c r="Z5" s="79" t="s">
        <v>17</v>
      </c>
      <c r="AA5" s="79" t="s">
        <v>17</v>
      </c>
      <c r="AB5" s="79" t="s">
        <v>17</v>
      </c>
      <c r="AC5" s="96" t="s">
        <v>195</v>
      </c>
      <c r="AD5" s="79" t="s">
        <v>17</v>
      </c>
      <c r="AE5" s="79" t="s">
        <v>17</v>
      </c>
      <c r="AF5" s="79" t="s">
        <v>17</v>
      </c>
      <c r="AG5" s="79" t="s">
        <v>17</v>
      </c>
      <c r="AH5" s="79" t="s">
        <v>17</v>
      </c>
      <c r="AI5" s="79" t="s">
        <v>17</v>
      </c>
      <c r="AJ5" s="4">
        <f t="shared" ref="AJ5:AJ12" si="1">COUNTIF(F5:AI5,"P")</f>
        <v>26</v>
      </c>
      <c r="AK5" s="4">
        <f t="shared" ref="AK5:AK12" si="2">COUNTIF(F5:AI5,"A")</f>
        <v>0</v>
      </c>
      <c r="AL5" s="65" t="s">
        <v>6</v>
      </c>
      <c r="AM5" s="6">
        <v>24</v>
      </c>
      <c r="AN5" s="7"/>
      <c r="AO5" s="3"/>
    </row>
    <row r="6" spans="1:41" ht="16.5">
      <c r="A6" s="6">
        <v>2</v>
      </c>
      <c r="B6" s="71">
        <v>783</v>
      </c>
      <c r="C6" s="71" t="s">
        <v>32</v>
      </c>
      <c r="D6" s="71" t="s">
        <v>187</v>
      </c>
      <c r="E6" s="5" t="s">
        <v>29</v>
      </c>
      <c r="F6" s="79" t="s">
        <v>17</v>
      </c>
      <c r="G6" s="79" t="s">
        <v>17</v>
      </c>
      <c r="H6" s="97"/>
      <c r="I6" s="79" t="s">
        <v>17</v>
      </c>
      <c r="J6" s="79" t="s">
        <v>17</v>
      </c>
      <c r="K6" s="79" t="s">
        <v>17</v>
      </c>
      <c r="L6" s="79" t="s">
        <v>17</v>
      </c>
      <c r="M6" s="79" t="s">
        <v>17</v>
      </c>
      <c r="N6" s="79" t="s">
        <v>17</v>
      </c>
      <c r="O6" s="97"/>
      <c r="P6" s="79" t="s">
        <v>17</v>
      </c>
      <c r="Q6" s="79" t="s">
        <v>17</v>
      </c>
      <c r="R6" s="79" t="s">
        <v>17</v>
      </c>
      <c r="S6" s="79" t="s">
        <v>17</v>
      </c>
      <c r="T6" s="79" t="s">
        <v>17</v>
      </c>
      <c r="U6" s="79" t="s">
        <v>17</v>
      </c>
      <c r="V6" s="97"/>
      <c r="W6" s="79" t="s">
        <v>17</v>
      </c>
      <c r="X6" s="79" t="s">
        <v>17</v>
      </c>
      <c r="Y6" s="79" t="s">
        <v>17</v>
      </c>
      <c r="Z6" s="79" t="s">
        <v>17</v>
      </c>
      <c r="AA6" s="79" t="s">
        <v>17</v>
      </c>
      <c r="AB6" s="79" t="s">
        <v>17</v>
      </c>
      <c r="AC6" s="97"/>
      <c r="AD6" s="79" t="s">
        <v>17</v>
      </c>
      <c r="AE6" s="79" t="s">
        <v>17</v>
      </c>
      <c r="AF6" s="79" t="s">
        <v>17</v>
      </c>
      <c r="AG6" s="79" t="s">
        <v>17</v>
      </c>
      <c r="AH6" s="79" t="s">
        <v>17</v>
      </c>
      <c r="AI6" s="79" t="s">
        <v>17</v>
      </c>
      <c r="AJ6" s="4">
        <f t="shared" si="1"/>
        <v>26</v>
      </c>
      <c r="AK6" s="4">
        <f t="shared" si="2"/>
        <v>0</v>
      </c>
      <c r="AL6" s="65" t="s">
        <v>7</v>
      </c>
      <c r="AM6" s="6">
        <v>4</v>
      </c>
      <c r="AN6" s="3"/>
      <c r="AO6" s="3"/>
    </row>
    <row r="7" spans="1:41" ht="16.5">
      <c r="A7" s="6">
        <v>3</v>
      </c>
      <c r="B7" s="74">
        <v>871</v>
      </c>
      <c r="C7" s="74" t="s">
        <v>188</v>
      </c>
      <c r="D7" s="74" t="s">
        <v>137</v>
      </c>
      <c r="E7" s="5" t="s">
        <v>29</v>
      </c>
      <c r="F7" s="79" t="s">
        <v>17</v>
      </c>
      <c r="G7" s="79" t="s">
        <v>17</v>
      </c>
      <c r="H7" s="97"/>
      <c r="I7" s="79" t="s">
        <v>17</v>
      </c>
      <c r="J7" s="79" t="s">
        <v>17</v>
      </c>
      <c r="K7" s="79" t="s">
        <v>17</v>
      </c>
      <c r="L7" s="79" t="s">
        <v>17</v>
      </c>
      <c r="M7" s="79" t="s">
        <v>17</v>
      </c>
      <c r="N7" s="79" t="s">
        <v>17</v>
      </c>
      <c r="O7" s="97"/>
      <c r="P7" s="79" t="s">
        <v>17</v>
      </c>
      <c r="Q7" s="79" t="s">
        <v>17</v>
      </c>
      <c r="R7" s="79" t="s">
        <v>17</v>
      </c>
      <c r="S7" s="79" t="s">
        <v>17</v>
      </c>
      <c r="T7" s="79" t="s">
        <v>17</v>
      </c>
      <c r="U7" s="79" t="s">
        <v>17</v>
      </c>
      <c r="V7" s="97"/>
      <c r="W7" s="79" t="s">
        <v>17</v>
      </c>
      <c r="X7" s="79" t="s">
        <v>17</v>
      </c>
      <c r="Y7" s="79" t="s">
        <v>17</v>
      </c>
      <c r="Z7" s="79" t="s">
        <v>17</v>
      </c>
      <c r="AA7" s="79" t="s">
        <v>17</v>
      </c>
      <c r="AB7" s="79" t="s">
        <v>17</v>
      </c>
      <c r="AC7" s="97"/>
      <c r="AD7" s="79" t="s">
        <v>17</v>
      </c>
      <c r="AE7" s="79" t="s">
        <v>17</v>
      </c>
      <c r="AF7" s="79" t="s">
        <v>17</v>
      </c>
      <c r="AG7" s="79" t="s">
        <v>17</v>
      </c>
      <c r="AH7" s="79" t="s">
        <v>17</v>
      </c>
      <c r="AI7" s="79" t="s">
        <v>17</v>
      </c>
      <c r="AJ7" s="4">
        <f t="shared" si="1"/>
        <v>26</v>
      </c>
      <c r="AK7" s="4">
        <f t="shared" si="2"/>
        <v>0</v>
      </c>
      <c r="AL7" s="65" t="s">
        <v>23</v>
      </c>
      <c r="AM7" s="6">
        <v>1</v>
      </c>
      <c r="AN7" s="3"/>
      <c r="AO7" s="3"/>
    </row>
    <row r="8" spans="1:41" ht="16.5">
      <c r="A8" s="6">
        <v>4</v>
      </c>
      <c r="B8" s="74">
        <v>785</v>
      </c>
      <c r="C8" s="74" t="s">
        <v>189</v>
      </c>
      <c r="D8" s="74" t="s">
        <v>190</v>
      </c>
      <c r="E8" s="5" t="s">
        <v>29</v>
      </c>
      <c r="F8" s="79" t="s">
        <v>17</v>
      </c>
      <c r="G8" s="79" t="s">
        <v>17</v>
      </c>
      <c r="H8" s="97"/>
      <c r="I8" s="79" t="s">
        <v>17</v>
      </c>
      <c r="J8" s="79" t="s">
        <v>17</v>
      </c>
      <c r="K8" s="79" t="s">
        <v>17</v>
      </c>
      <c r="L8" s="79" t="s">
        <v>17</v>
      </c>
      <c r="M8" s="79" t="s">
        <v>17</v>
      </c>
      <c r="N8" s="79" t="s">
        <v>17</v>
      </c>
      <c r="O8" s="97"/>
      <c r="P8" s="79" t="s">
        <v>17</v>
      </c>
      <c r="Q8" s="79" t="s">
        <v>17</v>
      </c>
      <c r="R8" s="79" t="s">
        <v>17</v>
      </c>
      <c r="S8" s="79" t="s">
        <v>17</v>
      </c>
      <c r="T8" s="79" t="s">
        <v>17</v>
      </c>
      <c r="U8" s="79" t="s">
        <v>17</v>
      </c>
      <c r="V8" s="97"/>
      <c r="W8" s="79" t="s">
        <v>17</v>
      </c>
      <c r="X8" s="79" t="s">
        <v>17</v>
      </c>
      <c r="Y8" s="79" t="s">
        <v>17</v>
      </c>
      <c r="Z8" s="79" t="s">
        <v>17</v>
      </c>
      <c r="AA8" s="79" t="s">
        <v>17</v>
      </c>
      <c r="AB8" s="79" t="s">
        <v>17</v>
      </c>
      <c r="AC8" s="97"/>
      <c r="AD8" s="79" t="s">
        <v>17</v>
      </c>
      <c r="AE8" s="79" t="s">
        <v>17</v>
      </c>
      <c r="AF8" s="79" t="s">
        <v>17</v>
      </c>
      <c r="AG8" s="79" t="s">
        <v>17</v>
      </c>
      <c r="AH8" s="79" t="s">
        <v>17</v>
      </c>
      <c r="AI8" s="79" t="s">
        <v>17</v>
      </c>
      <c r="AJ8" s="4">
        <f t="shared" si="1"/>
        <v>26</v>
      </c>
      <c r="AK8" s="4">
        <f t="shared" si="2"/>
        <v>0</v>
      </c>
      <c r="AL8" s="65" t="s">
        <v>21</v>
      </c>
      <c r="AM8" s="6">
        <v>1</v>
      </c>
      <c r="AN8"/>
      <c r="AO8"/>
    </row>
    <row r="9" spans="1:41" ht="16.5">
      <c r="A9" s="6">
        <v>5</v>
      </c>
      <c r="B9" s="74">
        <v>789</v>
      </c>
      <c r="C9" s="74" t="s">
        <v>154</v>
      </c>
      <c r="D9" s="74" t="s">
        <v>152</v>
      </c>
      <c r="E9" s="5" t="s">
        <v>29</v>
      </c>
      <c r="F9" s="79" t="s">
        <v>17</v>
      </c>
      <c r="G9" s="79" t="s">
        <v>17</v>
      </c>
      <c r="H9" s="97"/>
      <c r="I9" s="79" t="s">
        <v>17</v>
      </c>
      <c r="J9" s="79" t="s">
        <v>17</v>
      </c>
      <c r="K9" s="79" t="s">
        <v>17</v>
      </c>
      <c r="L9" s="79" t="s">
        <v>17</v>
      </c>
      <c r="M9" s="79" t="s">
        <v>17</v>
      </c>
      <c r="N9" s="79" t="s">
        <v>17</v>
      </c>
      <c r="O9" s="97"/>
      <c r="P9" s="79" t="s">
        <v>17</v>
      </c>
      <c r="Q9" s="79" t="s">
        <v>17</v>
      </c>
      <c r="R9" s="79" t="s">
        <v>17</v>
      </c>
      <c r="S9" s="79" t="s">
        <v>17</v>
      </c>
      <c r="T9" s="79" t="s">
        <v>17</v>
      </c>
      <c r="U9" s="79" t="s">
        <v>17</v>
      </c>
      <c r="V9" s="97"/>
      <c r="W9" s="79" t="s">
        <v>17</v>
      </c>
      <c r="X9" s="79" t="s">
        <v>17</v>
      </c>
      <c r="Y9" s="79" t="s">
        <v>17</v>
      </c>
      <c r="Z9" s="79" t="s">
        <v>17</v>
      </c>
      <c r="AA9" s="79" t="s">
        <v>17</v>
      </c>
      <c r="AB9" s="79" t="s">
        <v>17</v>
      </c>
      <c r="AC9" s="97"/>
      <c r="AD9" s="79" t="s">
        <v>17</v>
      </c>
      <c r="AE9" s="79" t="s">
        <v>17</v>
      </c>
      <c r="AF9" s="79" t="s">
        <v>17</v>
      </c>
      <c r="AG9" s="79" t="s">
        <v>17</v>
      </c>
      <c r="AH9" s="79" t="s">
        <v>17</v>
      </c>
      <c r="AI9" s="79" t="s">
        <v>17</v>
      </c>
      <c r="AJ9" s="4">
        <f t="shared" si="1"/>
        <v>26</v>
      </c>
      <c r="AK9" s="4">
        <f t="shared" si="2"/>
        <v>0</v>
      </c>
      <c r="AL9" s="65"/>
      <c r="AM9" s="6"/>
    </row>
    <row r="10" spans="1:41" ht="16.5">
      <c r="A10" s="6">
        <v>6</v>
      </c>
      <c r="B10" s="71">
        <v>797</v>
      </c>
      <c r="C10" s="71" t="s">
        <v>191</v>
      </c>
      <c r="D10" s="71" t="s">
        <v>147</v>
      </c>
      <c r="E10" s="5" t="s">
        <v>29</v>
      </c>
      <c r="F10" s="79" t="s">
        <v>17</v>
      </c>
      <c r="G10" s="79" t="s">
        <v>17</v>
      </c>
      <c r="H10" s="97"/>
      <c r="I10" s="79" t="s">
        <v>17</v>
      </c>
      <c r="J10" s="79" t="s">
        <v>17</v>
      </c>
      <c r="K10" s="79" t="s">
        <v>17</v>
      </c>
      <c r="L10" s="79" t="s">
        <v>17</v>
      </c>
      <c r="M10" s="79" t="s">
        <v>17</v>
      </c>
      <c r="N10" s="79" t="s">
        <v>17</v>
      </c>
      <c r="O10" s="97"/>
      <c r="P10" s="79" t="s">
        <v>17</v>
      </c>
      <c r="Q10" s="79" t="s">
        <v>17</v>
      </c>
      <c r="R10" s="79" t="s">
        <v>17</v>
      </c>
      <c r="S10" s="79" t="s">
        <v>17</v>
      </c>
      <c r="T10" s="79" t="s">
        <v>17</v>
      </c>
      <c r="U10" s="79" t="s">
        <v>17</v>
      </c>
      <c r="V10" s="97"/>
      <c r="W10" s="79" t="s">
        <v>17</v>
      </c>
      <c r="X10" s="79" t="s">
        <v>17</v>
      </c>
      <c r="Y10" s="79" t="s">
        <v>17</v>
      </c>
      <c r="Z10" s="79" t="s">
        <v>17</v>
      </c>
      <c r="AA10" s="79" t="s">
        <v>17</v>
      </c>
      <c r="AB10" s="79" t="s">
        <v>17</v>
      </c>
      <c r="AC10" s="97"/>
      <c r="AD10" s="79" t="s">
        <v>17</v>
      </c>
      <c r="AE10" s="79" t="s">
        <v>17</v>
      </c>
      <c r="AF10" s="79" t="s">
        <v>17</v>
      </c>
      <c r="AG10" s="79" t="s">
        <v>17</v>
      </c>
      <c r="AH10" s="79" t="s">
        <v>17</v>
      </c>
      <c r="AI10" s="79" t="s">
        <v>17</v>
      </c>
      <c r="AJ10" s="4">
        <f t="shared" si="1"/>
        <v>26</v>
      </c>
      <c r="AK10" s="4">
        <f t="shared" si="2"/>
        <v>0</v>
      </c>
    </row>
    <row r="11" spans="1:41" ht="16.5">
      <c r="A11" s="6">
        <v>7</v>
      </c>
      <c r="B11" s="74">
        <v>786</v>
      </c>
      <c r="C11" s="74" t="s">
        <v>78</v>
      </c>
      <c r="D11" s="74" t="s">
        <v>192</v>
      </c>
      <c r="E11" s="5" t="s">
        <v>29</v>
      </c>
      <c r="F11" s="79" t="s">
        <v>17</v>
      </c>
      <c r="G11" s="79" t="s">
        <v>17</v>
      </c>
      <c r="H11" s="97"/>
      <c r="I11" s="79" t="s">
        <v>17</v>
      </c>
      <c r="J11" s="79" t="s">
        <v>17</v>
      </c>
      <c r="K11" s="79" t="s">
        <v>17</v>
      </c>
      <c r="L11" s="79" t="s">
        <v>17</v>
      </c>
      <c r="M11" s="79" t="s">
        <v>17</v>
      </c>
      <c r="N11" s="79" t="s">
        <v>17</v>
      </c>
      <c r="O11" s="97"/>
      <c r="P11" s="79" t="s">
        <v>17</v>
      </c>
      <c r="Q11" s="79" t="s">
        <v>17</v>
      </c>
      <c r="R11" s="79" t="s">
        <v>17</v>
      </c>
      <c r="S11" s="79" t="s">
        <v>17</v>
      </c>
      <c r="T11" s="79" t="s">
        <v>17</v>
      </c>
      <c r="U11" s="79" t="s">
        <v>17</v>
      </c>
      <c r="V11" s="97"/>
      <c r="W11" s="79" t="s">
        <v>17</v>
      </c>
      <c r="X11" s="79" t="s">
        <v>17</v>
      </c>
      <c r="Y11" s="79" t="s">
        <v>17</v>
      </c>
      <c r="Z11" s="79" t="s">
        <v>17</v>
      </c>
      <c r="AA11" s="79" t="s">
        <v>17</v>
      </c>
      <c r="AB11" s="79" t="s">
        <v>17</v>
      </c>
      <c r="AC11" s="97"/>
      <c r="AD11" s="79" t="s">
        <v>17</v>
      </c>
      <c r="AE11" s="79" t="s">
        <v>17</v>
      </c>
      <c r="AF11" s="79" t="s">
        <v>17</v>
      </c>
      <c r="AG11" s="79" t="s">
        <v>17</v>
      </c>
      <c r="AH11" s="79" t="s">
        <v>17</v>
      </c>
      <c r="AI11" s="79" t="s">
        <v>17</v>
      </c>
      <c r="AJ11" s="4">
        <f t="shared" si="1"/>
        <v>26</v>
      </c>
      <c r="AK11" s="4">
        <f t="shared" si="2"/>
        <v>0</v>
      </c>
      <c r="AL11" s="100" t="s">
        <v>8</v>
      </c>
      <c r="AM11" s="100"/>
      <c r="AN11" s="100"/>
      <c r="AO11" s="101"/>
    </row>
    <row r="12" spans="1:41" ht="16.5">
      <c r="A12" s="6">
        <v>8</v>
      </c>
      <c r="B12" s="71">
        <v>787</v>
      </c>
      <c r="C12" s="71" t="s">
        <v>193</v>
      </c>
      <c r="D12" s="71" t="s">
        <v>192</v>
      </c>
      <c r="E12" s="5" t="s">
        <v>29</v>
      </c>
      <c r="F12" s="79" t="s">
        <v>17</v>
      </c>
      <c r="G12" s="79" t="s">
        <v>17</v>
      </c>
      <c r="H12" s="97"/>
      <c r="I12" s="79" t="s">
        <v>17</v>
      </c>
      <c r="J12" s="79" t="s">
        <v>17</v>
      </c>
      <c r="K12" s="79" t="s">
        <v>17</v>
      </c>
      <c r="L12" s="79" t="s">
        <v>17</v>
      </c>
      <c r="M12" s="79" t="s">
        <v>17</v>
      </c>
      <c r="N12" s="79" t="s">
        <v>17</v>
      </c>
      <c r="O12" s="97"/>
      <c r="P12" s="79" t="s">
        <v>17</v>
      </c>
      <c r="Q12" s="79" t="s">
        <v>17</v>
      </c>
      <c r="R12" s="79" t="s">
        <v>17</v>
      </c>
      <c r="S12" s="79" t="s">
        <v>17</v>
      </c>
      <c r="T12" s="79" t="s">
        <v>17</v>
      </c>
      <c r="U12" s="79" t="s">
        <v>17</v>
      </c>
      <c r="V12" s="97"/>
      <c r="W12" s="79" t="s">
        <v>17</v>
      </c>
      <c r="X12" s="79" t="s">
        <v>17</v>
      </c>
      <c r="Y12" s="79" t="s">
        <v>17</v>
      </c>
      <c r="Z12" s="79" t="s">
        <v>17</v>
      </c>
      <c r="AA12" s="79" t="s">
        <v>17</v>
      </c>
      <c r="AB12" s="79" t="s">
        <v>17</v>
      </c>
      <c r="AC12" s="97"/>
      <c r="AD12" s="79" t="s">
        <v>17</v>
      </c>
      <c r="AE12" s="79" t="s">
        <v>17</v>
      </c>
      <c r="AF12" s="79" t="s">
        <v>17</v>
      </c>
      <c r="AG12" s="79" t="s">
        <v>17</v>
      </c>
      <c r="AH12" s="79" t="s">
        <v>17</v>
      </c>
      <c r="AI12" s="79" t="s">
        <v>17</v>
      </c>
      <c r="AJ12" s="4">
        <f t="shared" si="1"/>
        <v>26</v>
      </c>
      <c r="AK12" s="4">
        <f t="shared" si="2"/>
        <v>0</v>
      </c>
      <c r="AL12" s="65" t="s">
        <v>9</v>
      </c>
      <c r="AM12" s="4" t="s">
        <v>10</v>
      </c>
      <c r="AN12" s="4" t="s">
        <v>11</v>
      </c>
      <c r="AO12" s="4" t="s">
        <v>12</v>
      </c>
    </row>
  </sheetData>
  <mergeCells count="15">
    <mergeCell ref="A1:AI1"/>
    <mergeCell ref="A2:AI2"/>
    <mergeCell ref="A3:A4"/>
    <mergeCell ref="B3:B4"/>
    <mergeCell ref="C3:C4"/>
    <mergeCell ref="D3:D4"/>
    <mergeCell ref="E3:E4"/>
    <mergeCell ref="AJ3:AJ4"/>
    <mergeCell ref="AK3:AK4"/>
    <mergeCell ref="AL3:AM3"/>
    <mergeCell ref="H5:H12"/>
    <mergeCell ref="O5:O12"/>
    <mergeCell ref="V5:V12"/>
    <mergeCell ref="AC5:AC12"/>
    <mergeCell ref="AL11:AO11"/>
  </mergeCells>
  <conditionalFormatting sqref="B5:B12">
    <cfRule type="duplicateValues" dxfId="105" priority="16"/>
  </conditionalFormatting>
  <conditionalFormatting sqref="F5:G12">
    <cfRule type="cellIs" dxfId="104" priority="153" operator="equal">
      <formula>"L"</formula>
    </cfRule>
    <cfRule type="expression" dxfId="103" priority="154">
      <formula>F$4=TODAY()</formula>
    </cfRule>
    <cfRule type="cellIs" dxfId="102" priority="155" operator="equal">
      <formula>"A"</formula>
    </cfRule>
    <cfRule type="cellIs" dxfId="101" priority="156" operator="equal">
      <formula>"P"</formula>
    </cfRule>
    <cfRule type="expression" dxfId="100" priority="157">
      <formula>F$3="Sun"</formula>
    </cfRule>
  </conditionalFormatting>
  <conditionalFormatting sqref="F3:AI4">
    <cfRule type="expression" dxfId="99" priority="158">
      <formula>F$4=TODAY()</formula>
    </cfRule>
    <cfRule type="expression" dxfId="98" priority="159">
      <formula>F$3="Sun"</formula>
    </cfRule>
  </conditionalFormatting>
  <conditionalFormatting sqref="H5">
    <cfRule type="cellIs" dxfId="97" priority="38" operator="equal">
      <formula>"L"</formula>
    </cfRule>
    <cfRule type="expression" dxfId="96" priority="39">
      <formula>H$4=TODAY()</formula>
    </cfRule>
    <cfRule type="cellIs" dxfId="95" priority="40" operator="equal">
      <formula>"A"</formula>
    </cfRule>
    <cfRule type="cellIs" dxfId="94" priority="41" operator="equal">
      <formula>"P"</formula>
    </cfRule>
    <cfRule type="expression" dxfId="93" priority="42">
      <formula>H$3="Sun"</formula>
    </cfRule>
  </conditionalFormatting>
  <conditionalFormatting sqref="I5:N12">
    <cfRule type="cellIs" dxfId="92" priority="128" operator="equal">
      <formula>"L"</formula>
    </cfRule>
    <cfRule type="expression" dxfId="91" priority="129">
      <formula>I$4=TODAY()</formula>
    </cfRule>
    <cfRule type="cellIs" dxfId="90" priority="130" operator="equal">
      <formula>"A"</formula>
    </cfRule>
    <cfRule type="cellIs" dxfId="89" priority="131" operator="equal">
      <formula>"P"</formula>
    </cfRule>
    <cfRule type="expression" dxfId="88" priority="132">
      <formula>I$3="Sun"</formula>
    </cfRule>
  </conditionalFormatting>
  <conditionalFormatting sqref="O5">
    <cfRule type="cellIs" dxfId="87" priority="11" operator="equal">
      <formula>"L"</formula>
    </cfRule>
    <cfRule type="expression" dxfId="86" priority="12">
      <formula>O$4=TODAY()</formula>
    </cfRule>
    <cfRule type="cellIs" dxfId="85" priority="13" operator="equal">
      <formula>"A"</formula>
    </cfRule>
    <cfRule type="cellIs" dxfId="84" priority="14" operator="equal">
      <formula>"P"</formula>
    </cfRule>
    <cfRule type="expression" dxfId="83" priority="15">
      <formula>O$3="Sun"</formula>
    </cfRule>
  </conditionalFormatting>
  <conditionalFormatting sqref="P5:U12">
    <cfRule type="cellIs" dxfId="82" priority="98" operator="equal">
      <formula>"L"</formula>
    </cfRule>
    <cfRule type="expression" dxfId="81" priority="99">
      <formula>P$4=TODAY()</formula>
    </cfRule>
    <cfRule type="cellIs" dxfId="80" priority="100" operator="equal">
      <formula>"A"</formula>
    </cfRule>
    <cfRule type="cellIs" dxfId="79" priority="101" operator="equal">
      <formula>"P"</formula>
    </cfRule>
    <cfRule type="expression" dxfId="78" priority="102">
      <formula>P$3="Sun"</formula>
    </cfRule>
  </conditionalFormatting>
  <conditionalFormatting sqref="V5">
    <cfRule type="cellIs" dxfId="77" priority="6" operator="equal">
      <formula>"L"</formula>
    </cfRule>
    <cfRule type="expression" dxfId="76" priority="7">
      <formula>V$4=TODAY()</formula>
    </cfRule>
    <cfRule type="cellIs" dxfId="75" priority="8" operator="equal">
      <formula>"A"</formula>
    </cfRule>
    <cfRule type="cellIs" dxfId="74" priority="9" operator="equal">
      <formula>"P"</formula>
    </cfRule>
    <cfRule type="expression" dxfId="73" priority="10">
      <formula>V$3="Sun"</formula>
    </cfRule>
  </conditionalFormatting>
  <conditionalFormatting sqref="W5:AB12">
    <cfRule type="cellIs" dxfId="72" priority="68" operator="equal">
      <formula>"L"</formula>
    </cfRule>
    <cfRule type="expression" dxfId="71" priority="69">
      <formula>W$4=TODAY()</formula>
    </cfRule>
    <cfRule type="cellIs" dxfId="70" priority="70" operator="equal">
      <formula>"A"</formula>
    </cfRule>
    <cfRule type="cellIs" dxfId="69" priority="71" operator="equal">
      <formula>"P"</formula>
    </cfRule>
    <cfRule type="expression" dxfId="68" priority="72">
      <formula>W$3="Sun"</formula>
    </cfRule>
  </conditionalFormatting>
  <conditionalFormatting sqref="AC5">
    <cfRule type="cellIs" dxfId="67" priority="1" operator="equal">
      <formula>"L"</formula>
    </cfRule>
    <cfRule type="expression" dxfId="66" priority="2">
      <formula>AC$4=TODAY()</formula>
    </cfRule>
    <cfRule type="cellIs" dxfId="65" priority="3" operator="equal">
      <formula>"A"</formula>
    </cfRule>
    <cfRule type="cellIs" dxfId="64" priority="4" operator="equal">
      <formula>"P"</formula>
    </cfRule>
    <cfRule type="expression" dxfId="63" priority="5">
      <formula>AC$3="Sun"</formula>
    </cfRule>
  </conditionalFormatting>
  <conditionalFormatting sqref="AD5:AI12">
    <cfRule type="cellIs" dxfId="62" priority="18" operator="equal">
      <formula>"L"</formula>
    </cfRule>
    <cfRule type="expression" dxfId="61" priority="19">
      <formula>AD$4=TODAY()</formula>
    </cfRule>
    <cfRule type="cellIs" dxfId="60" priority="20" operator="equal">
      <formula>"A"</formula>
    </cfRule>
    <cfRule type="cellIs" dxfId="59" priority="21" operator="equal">
      <formula>"P"</formula>
    </cfRule>
    <cfRule type="expression" dxfId="58" priority="22">
      <formula>AD$3="Sun"</formula>
    </cfRule>
  </conditionalFormatting>
  <conditionalFormatting sqref="AJ3:AK3 AJ5:AK12">
    <cfRule type="expression" dxfId="57" priority="160">
      <formula>#REF!="Sun"</formula>
    </cfRule>
  </conditionalFormatting>
  <conditionalFormatting sqref="AL5:AL9">
    <cfRule type="expression" dxfId="56" priority="164">
      <formula>AL$3="Sun"</formula>
    </cfRule>
  </conditionalFormatting>
  <conditionalFormatting sqref="AL4:AM4">
    <cfRule type="expression" dxfId="55" priority="165">
      <formula>AL$3="Sun"</formula>
    </cfRule>
  </conditionalFormatting>
  <conditionalFormatting sqref="AL12:AO12">
    <cfRule type="expression" dxfId="54" priority="162">
      <formula>AL$3="Sun"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3BC41-B82C-408B-8E5D-CFAC3102B18E}">
  <dimension ref="A1:AO13"/>
  <sheetViews>
    <sheetView topLeftCell="A2" zoomScale="98" zoomScaleNormal="98" workbookViewId="0">
      <selection activeCell="AC5" sqref="AC5:AC13"/>
    </sheetView>
  </sheetViews>
  <sheetFormatPr defaultColWidth="3.85546875" defaultRowHeight="1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9" width="3.7109375" style="1" bestFit="1" customWidth="1"/>
    <col min="10" max="10" width="3.85546875" style="1"/>
    <col min="11" max="11" width="4.5703125" style="1" bestFit="1" customWidth="1"/>
    <col min="12" max="12" width="3.85546875" style="1"/>
    <col min="13" max="13" width="4.85546875" style="1" customWidth="1"/>
    <col min="14" max="15" width="3.7109375" style="1" bestFit="1" customWidth="1"/>
    <col min="16" max="16" width="3.85546875" style="1"/>
    <col min="17" max="17" width="4.5703125" style="1" bestFit="1" customWidth="1"/>
    <col min="18" max="19" width="4.5703125" style="1" customWidth="1"/>
    <col min="20" max="20" width="4.7109375" style="1" bestFit="1" customWidth="1"/>
    <col min="21" max="22" width="3.7109375" style="1" bestFit="1" customWidth="1"/>
    <col min="23" max="23" width="3.85546875" style="1"/>
    <col min="24" max="24" width="4.5703125" style="1" bestFit="1" customWidth="1"/>
    <col min="25" max="25" width="3.85546875" style="1"/>
    <col min="26" max="26" width="4.7109375" style="1" bestFit="1" customWidth="1"/>
    <col min="27" max="27" width="3.85546875" style="1"/>
    <col min="28" max="29" width="3.7109375" style="1" bestFit="1" customWidth="1"/>
    <col min="30" max="30" width="3.85546875" style="1"/>
    <col min="31" max="31" width="4.5703125" style="1" bestFit="1" customWidth="1"/>
    <col min="32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10"/>
      <c r="AK1" s="10"/>
    </row>
    <row r="2" spans="1:41" ht="17.25">
      <c r="A2" s="92" t="s">
        <v>60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11"/>
      <c r="AK2" s="11"/>
      <c r="AL2" s="11"/>
    </row>
    <row r="3" spans="1:41" ht="15.75">
      <c r="A3" s="102" t="s">
        <v>0</v>
      </c>
      <c r="B3" s="94" t="s">
        <v>111</v>
      </c>
      <c r="C3" s="102" t="s">
        <v>1</v>
      </c>
      <c r="D3" s="102" t="s">
        <v>2</v>
      </c>
      <c r="E3" s="102" t="s">
        <v>3</v>
      </c>
      <c r="F3" s="2" t="str">
        <f>TEXT(F4,"ddd")</f>
        <v>Fri</v>
      </c>
      <c r="G3" s="2" t="str">
        <f t="shared" ref="G3:AI3" si="0">TEXT(G4,"ddd")</f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98" t="s">
        <v>4</v>
      </c>
      <c r="AK3" s="98" t="s">
        <v>5</v>
      </c>
      <c r="AL3" s="99" t="s">
        <v>19</v>
      </c>
      <c r="AM3" s="100"/>
      <c r="AN3" s="3"/>
      <c r="AO3" s="3"/>
    </row>
    <row r="4" spans="1:41" ht="37.5">
      <c r="A4" s="102"/>
      <c r="B4" s="95"/>
      <c r="C4" s="102"/>
      <c r="D4" s="102"/>
      <c r="E4" s="102"/>
      <c r="F4" s="9">
        <v>45597</v>
      </c>
      <c r="G4" s="9">
        <v>45598</v>
      </c>
      <c r="H4" s="9">
        <v>45599</v>
      </c>
      <c r="I4" s="9">
        <v>45600</v>
      </c>
      <c r="J4" s="9">
        <v>45601</v>
      </c>
      <c r="K4" s="9">
        <v>45602</v>
      </c>
      <c r="L4" s="9">
        <v>45603</v>
      </c>
      <c r="M4" s="9">
        <v>45604</v>
      </c>
      <c r="N4" s="9">
        <v>45605</v>
      </c>
      <c r="O4" s="9">
        <v>45606</v>
      </c>
      <c r="P4" s="9">
        <v>45607</v>
      </c>
      <c r="Q4" s="9">
        <v>45608</v>
      </c>
      <c r="R4" s="9">
        <v>45609</v>
      </c>
      <c r="S4" s="9">
        <v>45610</v>
      </c>
      <c r="T4" s="9">
        <v>45611</v>
      </c>
      <c r="U4" s="9">
        <v>45612</v>
      </c>
      <c r="V4" s="9">
        <v>45613</v>
      </c>
      <c r="W4" s="9">
        <v>45614</v>
      </c>
      <c r="X4" s="9">
        <v>45615</v>
      </c>
      <c r="Y4" s="9">
        <v>45616</v>
      </c>
      <c r="Z4" s="9">
        <v>45617</v>
      </c>
      <c r="AA4" s="9">
        <v>45618</v>
      </c>
      <c r="AB4" s="9">
        <v>45619</v>
      </c>
      <c r="AC4" s="9">
        <v>45620</v>
      </c>
      <c r="AD4" s="9">
        <v>45621</v>
      </c>
      <c r="AE4" s="9">
        <v>45622</v>
      </c>
      <c r="AF4" s="9">
        <v>45623</v>
      </c>
      <c r="AG4" s="9">
        <v>45624</v>
      </c>
      <c r="AH4" s="9">
        <v>45625</v>
      </c>
      <c r="AI4" s="9">
        <v>45626</v>
      </c>
      <c r="AJ4" s="98"/>
      <c r="AK4" s="98"/>
      <c r="AL4" s="4" t="s">
        <v>20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83">
        <v>768</v>
      </c>
      <c r="C5" s="83" t="s">
        <v>197</v>
      </c>
      <c r="D5" s="83" t="s">
        <v>149</v>
      </c>
      <c r="E5" s="5" t="s">
        <v>27</v>
      </c>
      <c r="F5" s="79" t="s">
        <v>17</v>
      </c>
      <c r="G5" s="79" t="s">
        <v>17</v>
      </c>
      <c r="H5" s="96" t="s">
        <v>195</v>
      </c>
      <c r="I5" s="79" t="s">
        <v>17</v>
      </c>
      <c r="J5" s="79" t="s">
        <v>17</v>
      </c>
      <c r="K5" s="79" t="s">
        <v>17</v>
      </c>
      <c r="L5" s="79" t="s">
        <v>17</v>
      </c>
      <c r="M5" s="79" t="s">
        <v>17</v>
      </c>
      <c r="N5" s="79" t="s">
        <v>17</v>
      </c>
      <c r="O5" s="96" t="s">
        <v>195</v>
      </c>
      <c r="P5" s="79" t="s">
        <v>17</v>
      </c>
      <c r="Q5" s="79" t="s">
        <v>17</v>
      </c>
      <c r="R5" s="79" t="s">
        <v>17</v>
      </c>
      <c r="S5" s="79" t="s">
        <v>17</v>
      </c>
      <c r="T5" s="79" t="s">
        <v>17</v>
      </c>
      <c r="U5" s="79" t="s">
        <v>17</v>
      </c>
      <c r="V5" s="96" t="s">
        <v>195</v>
      </c>
      <c r="W5" s="79" t="s">
        <v>17</v>
      </c>
      <c r="X5" s="79" t="s">
        <v>17</v>
      </c>
      <c r="Y5" s="79" t="s">
        <v>17</v>
      </c>
      <c r="Z5" s="79" t="s">
        <v>17</v>
      </c>
      <c r="AA5" s="79" t="s">
        <v>17</v>
      </c>
      <c r="AB5" s="79" t="s">
        <v>17</v>
      </c>
      <c r="AC5" s="96" t="s">
        <v>195</v>
      </c>
      <c r="AD5" s="79" t="s">
        <v>17</v>
      </c>
      <c r="AE5" s="79" t="s">
        <v>17</v>
      </c>
      <c r="AF5" s="79" t="s">
        <v>17</v>
      </c>
      <c r="AG5" s="79" t="s">
        <v>17</v>
      </c>
      <c r="AH5" s="79" t="s">
        <v>17</v>
      </c>
      <c r="AI5" s="79" t="s">
        <v>17</v>
      </c>
      <c r="AJ5" s="4">
        <f t="shared" ref="AJ5:AJ13" si="1">COUNTIF(F5:AI5,"P")</f>
        <v>26</v>
      </c>
      <c r="AK5" s="4">
        <f t="shared" ref="AK5:AK13" si="2">COUNTIF(F5:AI5,"A")</f>
        <v>0</v>
      </c>
      <c r="AL5" s="65" t="s">
        <v>6</v>
      </c>
      <c r="AM5" s="6">
        <v>24</v>
      </c>
      <c r="AN5" s="7"/>
      <c r="AO5" s="3"/>
    </row>
    <row r="6" spans="1:41" ht="16.5">
      <c r="A6" s="6">
        <v>2</v>
      </c>
      <c r="B6" s="71">
        <v>776</v>
      </c>
      <c r="C6" s="71" t="s">
        <v>198</v>
      </c>
      <c r="D6" s="71" t="s">
        <v>199</v>
      </c>
      <c r="E6" s="5" t="s">
        <v>27</v>
      </c>
      <c r="F6" s="79" t="s">
        <v>17</v>
      </c>
      <c r="G6" s="79" t="s">
        <v>17</v>
      </c>
      <c r="H6" s="97"/>
      <c r="I6" s="79" t="s">
        <v>17</v>
      </c>
      <c r="J6" s="79" t="s">
        <v>17</v>
      </c>
      <c r="K6" s="79" t="s">
        <v>17</v>
      </c>
      <c r="L6" s="79" t="s">
        <v>17</v>
      </c>
      <c r="M6" s="79" t="s">
        <v>17</v>
      </c>
      <c r="N6" s="79" t="s">
        <v>17</v>
      </c>
      <c r="O6" s="97"/>
      <c r="P6" s="79" t="s">
        <v>17</v>
      </c>
      <c r="Q6" s="79" t="s">
        <v>17</v>
      </c>
      <c r="R6" s="79" t="s">
        <v>17</v>
      </c>
      <c r="S6" s="79" t="s">
        <v>17</v>
      </c>
      <c r="T6" s="79" t="s">
        <v>17</v>
      </c>
      <c r="U6" s="79" t="s">
        <v>17</v>
      </c>
      <c r="V6" s="97"/>
      <c r="W6" s="79" t="s">
        <v>17</v>
      </c>
      <c r="X6" s="79" t="s">
        <v>17</v>
      </c>
      <c r="Y6" s="79" t="s">
        <v>17</v>
      </c>
      <c r="Z6" s="79" t="s">
        <v>17</v>
      </c>
      <c r="AA6" s="79" t="s">
        <v>17</v>
      </c>
      <c r="AB6" s="79" t="s">
        <v>17</v>
      </c>
      <c r="AC6" s="97"/>
      <c r="AD6" s="79" t="s">
        <v>17</v>
      </c>
      <c r="AE6" s="79" t="s">
        <v>17</v>
      </c>
      <c r="AF6" s="79" t="s">
        <v>17</v>
      </c>
      <c r="AG6" s="79" t="s">
        <v>17</v>
      </c>
      <c r="AH6" s="79" t="s">
        <v>17</v>
      </c>
      <c r="AI6" s="79" t="s">
        <v>17</v>
      </c>
      <c r="AJ6" s="4">
        <f t="shared" si="1"/>
        <v>26</v>
      </c>
      <c r="AK6" s="4">
        <f t="shared" si="2"/>
        <v>0</v>
      </c>
      <c r="AL6" s="65" t="s">
        <v>7</v>
      </c>
      <c r="AM6" s="6">
        <v>4</v>
      </c>
      <c r="AN6" s="3"/>
      <c r="AO6" s="3"/>
    </row>
    <row r="7" spans="1:41" ht="16.5">
      <c r="A7" s="6">
        <v>3</v>
      </c>
      <c r="B7" s="74">
        <v>793</v>
      </c>
      <c r="C7" s="74" t="s">
        <v>24</v>
      </c>
      <c r="D7" s="74" t="s">
        <v>200</v>
      </c>
      <c r="E7" s="5" t="s">
        <v>27</v>
      </c>
      <c r="F7" s="79" t="s">
        <v>17</v>
      </c>
      <c r="G7" s="79" t="s">
        <v>17</v>
      </c>
      <c r="H7" s="97"/>
      <c r="I7" s="79" t="s">
        <v>17</v>
      </c>
      <c r="J7" s="79" t="s">
        <v>17</v>
      </c>
      <c r="K7" s="79" t="s">
        <v>17</v>
      </c>
      <c r="L7" s="79" t="s">
        <v>17</v>
      </c>
      <c r="M7" s="79" t="s">
        <v>17</v>
      </c>
      <c r="N7" s="79" t="s">
        <v>17</v>
      </c>
      <c r="O7" s="97"/>
      <c r="P7" s="79" t="s">
        <v>17</v>
      </c>
      <c r="Q7" s="79" t="s">
        <v>17</v>
      </c>
      <c r="R7" s="79" t="s">
        <v>17</v>
      </c>
      <c r="S7" s="79" t="s">
        <v>17</v>
      </c>
      <c r="T7" s="79" t="s">
        <v>17</v>
      </c>
      <c r="U7" s="79" t="s">
        <v>17</v>
      </c>
      <c r="V7" s="97"/>
      <c r="W7" s="79" t="s">
        <v>17</v>
      </c>
      <c r="X7" s="79" t="s">
        <v>17</v>
      </c>
      <c r="Y7" s="79" t="s">
        <v>17</v>
      </c>
      <c r="Z7" s="79" t="s">
        <v>17</v>
      </c>
      <c r="AA7" s="79" t="s">
        <v>17</v>
      </c>
      <c r="AB7" s="79" t="s">
        <v>17</v>
      </c>
      <c r="AC7" s="97"/>
      <c r="AD7" s="79" t="s">
        <v>17</v>
      </c>
      <c r="AE7" s="79" t="s">
        <v>17</v>
      </c>
      <c r="AF7" s="79" t="s">
        <v>17</v>
      </c>
      <c r="AG7" s="79" t="s">
        <v>17</v>
      </c>
      <c r="AH7" s="79" t="s">
        <v>17</v>
      </c>
      <c r="AI7" s="79" t="s">
        <v>17</v>
      </c>
      <c r="AJ7" s="4">
        <f t="shared" si="1"/>
        <v>26</v>
      </c>
      <c r="AK7" s="4">
        <f t="shared" si="2"/>
        <v>0</v>
      </c>
      <c r="AL7" s="65" t="s">
        <v>23</v>
      </c>
      <c r="AM7" s="6">
        <v>1</v>
      </c>
      <c r="AN7" s="3"/>
      <c r="AO7" s="3"/>
    </row>
    <row r="8" spans="1:41" ht="16.5">
      <c r="A8" s="6">
        <v>4</v>
      </c>
      <c r="B8" s="84">
        <v>795</v>
      </c>
      <c r="C8" s="81" t="s">
        <v>201</v>
      </c>
      <c r="D8" s="71" t="s">
        <v>202</v>
      </c>
      <c r="E8" s="5" t="s">
        <v>27</v>
      </c>
      <c r="F8" s="79" t="s">
        <v>17</v>
      </c>
      <c r="G8" s="79" t="s">
        <v>17</v>
      </c>
      <c r="H8" s="97"/>
      <c r="I8" s="79" t="s">
        <v>17</v>
      </c>
      <c r="J8" s="79" t="s">
        <v>17</v>
      </c>
      <c r="K8" s="79" t="s">
        <v>17</v>
      </c>
      <c r="L8" s="79" t="s">
        <v>17</v>
      </c>
      <c r="M8" s="79" t="s">
        <v>17</v>
      </c>
      <c r="N8" s="79" t="s">
        <v>17</v>
      </c>
      <c r="O8" s="97"/>
      <c r="P8" s="79" t="s">
        <v>17</v>
      </c>
      <c r="Q8" s="79" t="s">
        <v>17</v>
      </c>
      <c r="R8" s="79" t="s">
        <v>17</v>
      </c>
      <c r="S8" s="79" t="s">
        <v>17</v>
      </c>
      <c r="T8" s="79" t="s">
        <v>17</v>
      </c>
      <c r="U8" s="79" t="s">
        <v>17</v>
      </c>
      <c r="V8" s="97"/>
      <c r="W8" s="79" t="s">
        <v>17</v>
      </c>
      <c r="X8" s="79" t="s">
        <v>17</v>
      </c>
      <c r="Y8" s="79" t="s">
        <v>17</v>
      </c>
      <c r="Z8" s="79" t="s">
        <v>17</v>
      </c>
      <c r="AA8" s="79" t="s">
        <v>17</v>
      </c>
      <c r="AB8" s="79" t="s">
        <v>17</v>
      </c>
      <c r="AC8" s="97"/>
      <c r="AD8" s="79" t="s">
        <v>17</v>
      </c>
      <c r="AE8" s="79" t="s">
        <v>17</v>
      </c>
      <c r="AF8" s="79" t="s">
        <v>17</v>
      </c>
      <c r="AG8" s="79" t="s">
        <v>17</v>
      </c>
      <c r="AH8" s="79" t="s">
        <v>17</v>
      </c>
      <c r="AI8" s="79" t="s">
        <v>17</v>
      </c>
      <c r="AJ8" s="4">
        <f t="shared" si="1"/>
        <v>26</v>
      </c>
      <c r="AK8" s="4">
        <f t="shared" si="2"/>
        <v>0</v>
      </c>
      <c r="AL8" s="65" t="s">
        <v>21</v>
      </c>
      <c r="AM8" s="6">
        <v>1</v>
      </c>
      <c r="AN8"/>
      <c r="AO8"/>
    </row>
    <row r="9" spans="1:41" ht="16.5">
      <c r="A9" s="6">
        <v>5</v>
      </c>
      <c r="B9" s="74">
        <v>770</v>
      </c>
      <c r="C9" s="74" t="s">
        <v>203</v>
      </c>
      <c r="D9" s="74" t="s">
        <v>199</v>
      </c>
      <c r="E9" s="5" t="s">
        <v>27</v>
      </c>
      <c r="F9" s="79" t="s">
        <v>17</v>
      </c>
      <c r="G9" s="79" t="s">
        <v>17</v>
      </c>
      <c r="H9" s="97"/>
      <c r="I9" s="79" t="s">
        <v>17</v>
      </c>
      <c r="J9" s="79" t="s">
        <v>17</v>
      </c>
      <c r="K9" s="79" t="s">
        <v>17</v>
      </c>
      <c r="L9" s="79" t="s">
        <v>17</v>
      </c>
      <c r="M9" s="79" t="s">
        <v>17</v>
      </c>
      <c r="N9" s="79" t="s">
        <v>17</v>
      </c>
      <c r="O9" s="97"/>
      <c r="P9" s="79" t="s">
        <v>17</v>
      </c>
      <c r="Q9" s="79" t="s">
        <v>17</v>
      </c>
      <c r="R9" s="79" t="s">
        <v>17</v>
      </c>
      <c r="S9" s="79" t="s">
        <v>17</v>
      </c>
      <c r="T9" s="79" t="s">
        <v>17</v>
      </c>
      <c r="U9" s="79" t="s">
        <v>17</v>
      </c>
      <c r="V9" s="97"/>
      <c r="W9" s="79" t="s">
        <v>17</v>
      </c>
      <c r="X9" s="79" t="s">
        <v>17</v>
      </c>
      <c r="Y9" s="79" t="s">
        <v>17</v>
      </c>
      <c r="Z9" s="79" t="s">
        <v>17</v>
      </c>
      <c r="AA9" s="79" t="s">
        <v>17</v>
      </c>
      <c r="AB9" s="79" t="s">
        <v>17</v>
      </c>
      <c r="AC9" s="97"/>
      <c r="AD9" s="79" t="s">
        <v>17</v>
      </c>
      <c r="AE9" s="79" t="s">
        <v>17</v>
      </c>
      <c r="AF9" s="79" t="s">
        <v>17</v>
      </c>
      <c r="AG9" s="79" t="s">
        <v>17</v>
      </c>
      <c r="AH9" s="79" t="s">
        <v>17</v>
      </c>
      <c r="AI9" s="79" t="s">
        <v>17</v>
      </c>
      <c r="AJ9" s="4">
        <f t="shared" si="1"/>
        <v>26</v>
      </c>
      <c r="AK9" s="4">
        <f t="shared" si="2"/>
        <v>0</v>
      </c>
      <c r="AL9" s="65"/>
      <c r="AM9" s="6"/>
    </row>
    <row r="10" spans="1:41" ht="16.5">
      <c r="A10" s="6">
        <v>6</v>
      </c>
      <c r="B10" s="71">
        <v>771</v>
      </c>
      <c r="C10" s="71" t="s">
        <v>204</v>
      </c>
      <c r="D10" s="71" t="s">
        <v>152</v>
      </c>
      <c r="E10" s="5" t="s">
        <v>27</v>
      </c>
      <c r="F10" s="79" t="s">
        <v>17</v>
      </c>
      <c r="G10" s="79" t="s">
        <v>17</v>
      </c>
      <c r="H10" s="97"/>
      <c r="I10" s="79" t="s">
        <v>17</v>
      </c>
      <c r="J10" s="79" t="s">
        <v>17</v>
      </c>
      <c r="K10" s="79" t="s">
        <v>17</v>
      </c>
      <c r="L10" s="79" t="s">
        <v>17</v>
      </c>
      <c r="M10" s="79" t="s">
        <v>17</v>
      </c>
      <c r="N10" s="79" t="s">
        <v>17</v>
      </c>
      <c r="O10" s="97"/>
      <c r="P10" s="79" t="s">
        <v>17</v>
      </c>
      <c r="Q10" s="79" t="s">
        <v>17</v>
      </c>
      <c r="R10" s="79" t="s">
        <v>17</v>
      </c>
      <c r="S10" s="79" t="s">
        <v>17</v>
      </c>
      <c r="T10" s="79" t="s">
        <v>17</v>
      </c>
      <c r="U10" s="79" t="s">
        <v>17</v>
      </c>
      <c r="V10" s="97"/>
      <c r="W10" s="79" t="s">
        <v>17</v>
      </c>
      <c r="X10" s="79" t="s">
        <v>17</v>
      </c>
      <c r="Y10" s="79" t="s">
        <v>17</v>
      </c>
      <c r="Z10" s="79" t="s">
        <v>17</v>
      </c>
      <c r="AA10" s="79" t="s">
        <v>17</v>
      </c>
      <c r="AB10" s="79" t="s">
        <v>17</v>
      </c>
      <c r="AC10" s="97"/>
      <c r="AD10" s="79" t="s">
        <v>17</v>
      </c>
      <c r="AE10" s="79" t="s">
        <v>17</v>
      </c>
      <c r="AF10" s="79" t="s">
        <v>17</v>
      </c>
      <c r="AG10" s="79" t="s">
        <v>17</v>
      </c>
      <c r="AH10" s="79" t="s">
        <v>17</v>
      </c>
      <c r="AI10" s="79" t="s">
        <v>17</v>
      </c>
      <c r="AJ10" s="4">
        <f t="shared" si="1"/>
        <v>26</v>
      </c>
      <c r="AK10" s="4">
        <f t="shared" si="2"/>
        <v>0</v>
      </c>
    </row>
    <row r="11" spans="1:41" ht="16.5">
      <c r="A11" s="6">
        <v>7</v>
      </c>
      <c r="B11" s="74">
        <v>772</v>
      </c>
      <c r="C11" s="74" t="s">
        <v>205</v>
      </c>
      <c r="D11" s="74" t="s">
        <v>180</v>
      </c>
      <c r="E11" s="5" t="s">
        <v>27</v>
      </c>
      <c r="F11" s="79" t="s">
        <v>17</v>
      </c>
      <c r="G11" s="79" t="s">
        <v>17</v>
      </c>
      <c r="H11" s="97"/>
      <c r="I11" s="79" t="s">
        <v>17</v>
      </c>
      <c r="J11" s="79" t="s">
        <v>17</v>
      </c>
      <c r="K11" s="79" t="s">
        <v>17</v>
      </c>
      <c r="L11" s="79" t="s">
        <v>17</v>
      </c>
      <c r="M11" s="79" t="s">
        <v>17</v>
      </c>
      <c r="N11" s="79" t="s">
        <v>17</v>
      </c>
      <c r="O11" s="97"/>
      <c r="P11" s="79" t="s">
        <v>17</v>
      </c>
      <c r="Q11" s="79" t="s">
        <v>17</v>
      </c>
      <c r="R11" s="79" t="s">
        <v>17</v>
      </c>
      <c r="S11" s="79" t="s">
        <v>17</v>
      </c>
      <c r="T11" s="79" t="s">
        <v>17</v>
      </c>
      <c r="U11" s="79" t="s">
        <v>17</v>
      </c>
      <c r="V11" s="97"/>
      <c r="W11" s="79" t="s">
        <v>17</v>
      </c>
      <c r="X11" s="79" t="s">
        <v>17</v>
      </c>
      <c r="Y11" s="79" t="s">
        <v>17</v>
      </c>
      <c r="Z11" s="79" t="s">
        <v>17</v>
      </c>
      <c r="AA11" s="79" t="s">
        <v>17</v>
      </c>
      <c r="AB11" s="79" t="s">
        <v>17</v>
      </c>
      <c r="AC11" s="97"/>
      <c r="AD11" s="79" t="s">
        <v>17</v>
      </c>
      <c r="AE11" s="79" t="s">
        <v>17</v>
      </c>
      <c r="AF11" s="79" t="s">
        <v>17</v>
      </c>
      <c r="AG11" s="79" t="s">
        <v>17</v>
      </c>
      <c r="AH11" s="79" t="s">
        <v>17</v>
      </c>
      <c r="AI11" s="79" t="s">
        <v>17</v>
      </c>
      <c r="AJ11" s="4">
        <f t="shared" si="1"/>
        <v>26</v>
      </c>
      <c r="AK11" s="4">
        <f t="shared" si="2"/>
        <v>0</v>
      </c>
      <c r="AL11" s="100" t="s">
        <v>8</v>
      </c>
      <c r="AM11" s="100"/>
      <c r="AN11" s="100"/>
      <c r="AO11" s="101"/>
    </row>
    <row r="12" spans="1:41" ht="16.5">
      <c r="A12" s="6">
        <v>8</v>
      </c>
      <c r="B12" s="74">
        <v>775</v>
      </c>
      <c r="C12" s="74" t="s">
        <v>50</v>
      </c>
      <c r="D12" s="74" t="s">
        <v>206</v>
      </c>
      <c r="E12" s="5" t="s">
        <v>27</v>
      </c>
      <c r="F12" s="79" t="s">
        <v>17</v>
      </c>
      <c r="G12" s="79" t="s">
        <v>17</v>
      </c>
      <c r="H12" s="97"/>
      <c r="I12" s="79" t="s">
        <v>17</v>
      </c>
      <c r="J12" s="79" t="s">
        <v>17</v>
      </c>
      <c r="K12" s="79" t="s">
        <v>17</v>
      </c>
      <c r="L12" s="79" t="s">
        <v>17</v>
      </c>
      <c r="M12" s="79" t="s">
        <v>17</v>
      </c>
      <c r="N12" s="79" t="s">
        <v>17</v>
      </c>
      <c r="O12" s="97"/>
      <c r="P12" s="79" t="s">
        <v>17</v>
      </c>
      <c r="Q12" s="79" t="s">
        <v>17</v>
      </c>
      <c r="R12" s="79" t="s">
        <v>17</v>
      </c>
      <c r="S12" s="79" t="s">
        <v>17</v>
      </c>
      <c r="T12" s="79" t="s">
        <v>17</v>
      </c>
      <c r="U12" s="79" t="s">
        <v>17</v>
      </c>
      <c r="V12" s="97"/>
      <c r="W12" s="79" t="s">
        <v>17</v>
      </c>
      <c r="X12" s="79" t="s">
        <v>17</v>
      </c>
      <c r="Y12" s="79" t="s">
        <v>17</v>
      </c>
      <c r="Z12" s="79" t="s">
        <v>17</v>
      </c>
      <c r="AA12" s="79" t="s">
        <v>17</v>
      </c>
      <c r="AB12" s="79" t="s">
        <v>17</v>
      </c>
      <c r="AC12" s="97"/>
      <c r="AD12" s="79" t="s">
        <v>17</v>
      </c>
      <c r="AE12" s="79" t="s">
        <v>17</v>
      </c>
      <c r="AF12" s="79" t="s">
        <v>17</v>
      </c>
      <c r="AG12" s="79" t="s">
        <v>17</v>
      </c>
      <c r="AH12" s="79" t="s">
        <v>17</v>
      </c>
      <c r="AI12" s="79" t="s">
        <v>17</v>
      </c>
      <c r="AJ12" s="4">
        <f t="shared" si="1"/>
        <v>26</v>
      </c>
      <c r="AK12" s="4">
        <f t="shared" si="2"/>
        <v>0</v>
      </c>
      <c r="AL12" s="65" t="s">
        <v>9</v>
      </c>
      <c r="AM12" s="4" t="s">
        <v>10</v>
      </c>
      <c r="AN12" s="4" t="s">
        <v>11</v>
      </c>
      <c r="AO12" s="4" t="s">
        <v>12</v>
      </c>
    </row>
    <row r="13" spans="1:41" ht="16.5" customHeight="1">
      <c r="A13" s="6">
        <v>9</v>
      </c>
      <c r="B13" s="74">
        <v>796</v>
      </c>
      <c r="C13" s="74" t="s">
        <v>207</v>
      </c>
      <c r="D13" s="74" t="s">
        <v>162</v>
      </c>
      <c r="E13" s="5" t="s">
        <v>27</v>
      </c>
      <c r="F13" s="79" t="s">
        <v>17</v>
      </c>
      <c r="G13" s="79" t="s">
        <v>17</v>
      </c>
      <c r="H13" s="97"/>
      <c r="I13" s="79" t="s">
        <v>17</v>
      </c>
      <c r="J13" s="79" t="s">
        <v>17</v>
      </c>
      <c r="K13" s="79" t="s">
        <v>17</v>
      </c>
      <c r="L13" s="79" t="s">
        <v>17</v>
      </c>
      <c r="M13" s="79" t="s">
        <v>17</v>
      </c>
      <c r="N13" s="79" t="s">
        <v>17</v>
      </c>
      <c r="O13" s="97"/>
      <c r="P13" s="79" t="s">
        <v>17</v>
      </c>
      <c r="Q13" s="79" t="s">
        <v>17</v>
      </c>
      <c r="R13" s="79" t="s">
        <v>17</v>
      </c>
      <c r="S13" s="79" t="s">
        <v>17</v>
      </c>
      <c r="T13" s="79" t="s">
        <v>17</v>
      </c>
      <c r="U13" s="79" t="s">
        <v>17</v>
      </c>
      <c r="V13" s="97"/>
      <c r="W13" s="79" t="s">
        <v>17</v>
      </c>
      <c r="X13" s="79" t="s">
        <v>17</v>
      </c>
      <c r="Y13" s="79" t="s">
        <v>17</v>
      </c>
      <c r="Z13" s="79" t="s">
        <v>17</v>
      </c>
      <c r="AA13" s="79" t="s">
        <v>17</v>
      </c>
      <c r="AB13" s="79" t="s">
        <v>17</v>
      </c>
      <c r="AC13" s="97"/>
      <c r="AD13" s="79" t="s">
        <v>17</v>
      </c>
      <c r="AE13" s="79" t="s">
        <v>17</v>
      </c>
      <c r="AF13" s="79" t="s">
        <v>17</v>
      </c>
      <c r="AG13" s="79" t="s">
        <v>17</v>
      </c>
      <c r="AH13" s="79" t="s">
        <v>17</v>
      </c>
      <c r="AI13" s="79" t="s">
        <v>17</v>
      </c>
      <c r="AJ13" s="4">
        <f t="shared" si="1"/>
        <v>26</v>
      </c>
      <c r="AK13" s="4">
        <f t="shared" si="2"/>
        <v>0</v>
      </c>
      <c r="AL13" s="65" t="s">
        <v>13</v>
      </c>
      <c r="AM13" s="6">
        <f>27*$AM$5</f>
        <v>648</v>
      </c>
      <c r="AN13" s="6">
        <f>27*$AM$5</f>
        <v>648</v>
      </c>
      <c r="AO13" s="6">
        <f>SUM(AM13:AN13)</f>
        <v>1296</v>
      </c>
    </row>
  </sheetData>
  <mergeCells count="15">
    <mergeCell ref="A1:AI1"/>
    <mergeCell ref="A2:AI2"/>
    <mergeCell ref="A3:A4"/>
    <mergeCell ref="B3:B4"/>
    <mergeCell ref="C3:C4"/>
    <mergeCell ref="D3:D4"/>
    <mergeCell ref="E3:E4"/>
    <mergeCell ref="AJ3:AJ4"/>
    <mergeCell ref="AK3:AK4"/>
    <mergeCell ref="AL3:AM3"/>
    <mergeCell ref="H5:H13"/>
    <mergeCell ref="O5:O13"/>
    <mergeCell ref="V5:V13"/>
    <mergeCell ref="AC5:AC13"/>
    <mergeCell ref="AL11:AO11"/>
  </mergeCells>
  <conditionalFormatting sqref="B5:B13">
    <cfRule type="duplicateValues" dxfId="53" priority="16"/>
  </conditionalFormatting>
  <conditionalFormatting sqref="F5:G13">
    <cfRule type="cellIs" dxfId="52" priority="153" operator="equal">
      <formula>"L"</formula>
    </cfRule>
    <cfRule type="expression" dxfId="51" priority="154">
      <formula>F$4=TODAY()</formula>
    </cfRule>
    <cfRule type="cellIs" dxfId="50" priority="155" operator="equal">
      <formula>"A"</formula>
    </cfRule>
    <cfRule type="cellIs" dxfId="49" priority="156" operator="equal">
      <formula>"P"</formula>
    </cfRule>
    <cfRule type="expression" dxfId="48" priority="157">
      <formula>F$3="Sun"</formula>
    </cfRule>
  </conditionalFormatting>
  <conditionalFormatting sqref="F3:AI4">
    <cfRule type="expression" dxfId="47" priority="158">
      <formula>F$4=TODAY()</formula>
    </cfRule>
    <cfRule type="expression" dxfId="46" priority="159">
      <formula>F$3="Sun"</formula>
    </cfRule>
  </conditionalFormatting>
  <conditionalFormatting sqref="H5">
    <cfRule type="cellIs" dxfId="45" priority="38" operator="equal">
      <formula>"L"</formula>
    </cfRule>
    <cfRule type="expression" dxfId="44" priority="39">
      <formula>H$4=TODAY()</formula>
    </cfRule>
    <cfRule type="cellIs" dxfId="43" priority="40" operator="equal">
      <formula>"A"</formula>
    </cfRule>
    <cfRule type="cellIs" dxfId="42" priority="41" operator="equal">
      <formula>"P"</formula>
    </cfRule>
    <cfRule type="expression" dxfId="41" priority="42">
      <formula>H$3="Sun"</formula>
    </cfRule>
  </conditionalFormatting>
  <conditionalFormatting sqref="I5:N13">
    <cfRule type="cellIs" dxfId="40" priority="128" operator="equal">
      <formula>"L"</formula>
    </cfRule>
    <cfRule type="expression" dxfId="39" priority="129">
      <formula>I$4=TODAY()</formula>
    </cfRule>
    <cfRule type="cellIs" dxfId="38" priority="130" operator="equal">
      <formula>"A"</formula>
    </cfRule>
    <cfRule type="cellIs" dxfId="37" priority="131" operator="equal">
      <formula>"P"</formula>
    </cfRule>
    <cfRule type="expression" dxfId="36" priority="132">
      <formula>I$3="Sun"</formula>
    </cfRule>
  </conditionalFormatting>
  <conditionalFormatting sqref="O5">
    <cfRule type="cellIs" dxfId="35" priority="11" operator="equal">
      <formula>"L"</formula>
    </cfRule>
    <cfRule type="expression" dxfId="34" priority="12">
      <formula>O$4=TODAY()</formula>
    </cfRule>
    <cfRule type="cellIs" dxfId="33" priority="13" operator="equal">
      <formula>"A"</formula>
    </cfRule>
    <cfRule type="cellIs" dxfId="32" priority="14" operator="equal">
      <formula>"P"</formula>
    </cfRule>
    <cfRule type="expression" dxfId="31" priority="15">
      <formula>O$3="Sun"</formula>
    </cfRule>
  </conditionalFormatting>
  <conditionalFormatting sqref="P5:U13">
    <cfRule type="cellIs" dxfId="30" priority="98" operator="equal">
      <formula>"L"</formula>
    </cfRule>
    <cfRule type="expression" dxfId="29" priority="99">
      <formula>P$4=TODAY()</formula>
    </cfRule>
    <cfRule type="cellIs" dxfId="28" priority="100" operator="equal">
      <formula>"A"</formula>
    </cfRule>
    <cfRule type="cellIs" dxfId="27" priority="101" operator="equal">
      <formula>"P"</formula>
    </cfRule>
    <cfRule type="expression" dxfId="26" priority="102">
      <formula>P$3="Sun"</formula>
    </cfRule>
  </conditionalFormatting>
  <conditionalFormatting sqref="V5">
    <cfRule type="cellIs" dxfId="25" priority="6" operator="equal">
      <formula>"L"</formula>
    </cfRule>
    <cfRule type="expression" dxfId="24" priority="7">
      <formula>V$4=TODAY()</formula>
    </cfRule>
    <cfRule type="cellIs" dxfId="23" priority="8" operator="equal">
      <formula>"A"</formula>
    </cfRule>
    <cfRule type="cellIs" dxfId="22" priority="9" operator="equal">
      <formula>"P"</formula>
    </cfRule>
    <cfRule type="expression" dxfId="21" priority="10">
      <formula>V$3="Sun"</formula>
    </cfRule>
  </conditionalFormatting>
  <conditionalFormatting sqref="W5:AB13">
    <cfRule type="cellIs" dxfId="20" priority="68" operator="equal">
      <formula>"L"</formula>
    </cfRule>
    <cfRule type="expression" dxfId="19" priority="69">
      <formula>W$4=TODAY()</formula>
    </cfRule>
    <cfRule type="cellIs" dxfId="18" priority="70" operator="equal">
      <formula>"A"</formula>
    </cfRule>
    <cfRule type="cellIs" dxfId="17" priority="71" operator="equal">
      <formula>"P"</formula>
    </cfRule>
    <cfRule type="expression" dxfId="16" priority="72">
      <formula>W$3="Sun"</formula>
    </cfRule>
  </conditionalFormatting>
  <conditionalFormatting sqref="AC5">
    <cfRule type="cellIs" dxfId="15" priority="1" operator="equal">
      <formula>"L"</formula>
    </cfRule>
    <cfRule type="expression" dxfId="14" priority="2">
      <formula>AC$4=TODAY()</formula>
    </cfRule>
    <cfRule type="cellIs" dxfId="13" priority="3" operator="equal">
      <formula>"A"</formula>
    </cfRule>
    <cfRule type="cellIs" dxfId="12" priority="4" operator="equal">
      <formula>"P"</formula>
    </cfRule>
    <cfRule type="expression" dxfId="11" priority="5">
      <formula>AC$3="Sun"</formula>
    </cfRule>
  </conditionalFormatting>
  <conditionalFormatting sqref="AD5:AI13">
    <cfRule type="cellIs" dxfId="10" priority="33" operator="equal">
      <formula>"L"</formula>
    </cfRule>
    <cfRule type="expression" dxfId="9" priority="34">
      <formula>AD$4=TODAY()</formula>
    </cfRule>
    <cfRule type="cellIs" dxfId="8" priority="35" operator="equal">
      <formula>"A"</formula>
    </cfRule>
    <cfRule type="cellIs" dxfId="7" priority="36" operator="equal">
      <formula>"P"</formula>
    </cfRule>
    <cfRule type="expression" dxfId="6" priority="37">
      <formula>AD$3="Sun"</formula>
    </cfRule>
  </conditionalFormatting>
  <conditionalFormatting sqref="AJ3:AK3 AJ5:AK13">
    <cfRule type="expression" dxfId="5" priority="160">
      <formula>#REF!="Sun"</formula>
    </cfRule>
  </conditionalFormatting>
  <conditionalFormatting sqref="AL5:AL9">
    <cfRule type="expression" dxfId="4" priority="162">
      <formula>AL$3="Sun"</formula>
    </cfRule>
  </conditionalFormatting>
  <conditionalFormatting sqref="AL12:AL13">
    <cfRule type="expression" dxfId="3" priority="161">
      <formula>AL$3="Sun"</formula>
    </cfRule>
  </conditionalFormatting>
  <conditionalFormatting sqref="AL4:AM4">
    <cfRule type="expression" dxfId="2" priority="163">
      <formula>AL$3="Sun"</formula>
    </cfRule>
  </conditionalFormatting>
  <conditionalFormatting sqref="AM12:AO12">
    <cfRule type="expression" dxfId="1" priority="164">
      <formula>AM$3="Sun"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Compile Sheet-November-2024</vt:lpstr>
      <vt:lpstr>KG</vt:lpstr>
      <vt:lpstr>Sheet1</vt:lpstr>
      <vt:lpstr>Class-1</vt:lpstr>
      <vt:lpstr>Class-2</vt:lpstr>
      <vt:lpstr>Class-3</vt:lpstr>
      <vt:lpstr>Class-4</vt:lpstr>
      <vt:lpstr>Class-5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2025-03-12T07:35:05Z</dcterms:modified>
</cp:coreProperties>
</file>