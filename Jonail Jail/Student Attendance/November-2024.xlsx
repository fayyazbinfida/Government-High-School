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E:\Government-High-School\Jonail Jail\Student Attendance\"/>
    </mc:Choice>
  </mc:AlternateContent>
  <xr:revisionPtr revIDLastSave="0" documentId="13_ncr:1_{97C9B41A-DD05-4BA8-86BA-10C33EF6DB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pile Sheet-November-2024" sheetId="18" r:id="rId1"/>
    <sheet name="KG" sheetId="21" r:id="rId2"/>
    <sheet name="Class-1" sheetId="27" r:id="rId3"/>
    <sheet name="Class-2" sheetId="28" r:id="rId4"/>
    <sheet name="Class-3" sheetId="29" r:id="rId5"/>
    <sheet name="Class-4" sheetId="30" r:id="rId6"/>
    <sheet name="Class-5" sheetId="3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13" i="31" l="1"/>
  <c r="AM13" i="31"/>
  <c r="AK13" i="31"/>
  <c r="AJ13" i="31"/>
  <c r="AK12" i="31"/>
  <c r="AJ12" i="31"/>
  <c r="AK11" i="31"/>
  <c r="AJ11" i="31"/>
  <c r="AK10" i="31"/>
  <c r="AJ10" i="31"/>
  <c r="AK9" i="31"/>
  <c r="AJ9" i="31"/>
  <c r="AK8" i="31"/>
  <c r="AJ8" i="31"/>
  <c r="AK7" i="31"/>
  <c r="AJ7" i="31"/>
  <c r="AK6" i="31"/>
  <c r="AJ6" i="31"/>
  <c r="AK5" i="31"/>
  <c r="AJ5" i="31"/>
  <c r="AM4" i="31"/>
  <c r="AI3" i="31"/>
  <c r="AH3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AK12" i="30"/>
  <c r="AJ12" i="30"/>
  <c r="AK11" i="30"/>
  <c r="AJ11" i="30"/>
  <c r="AK10" i="30"/>
  <c r="AJ10" i="30"/>
  <c r="AK9" i="30"/>
  <c r="AJ9" i="30"/>
  <c r="AK8" i="30"/>
  <c r="AJ8" i="30"/>
  <c r="AK7" i="30"/>
  <c r="AJ7" i="30"/>
  <c r="AK6" i="30"/>
  <c r="AJ6" i="30"/>
  <c r="AK5" i="30"/>
  <c r="AJ5" i="30"/>
  <c r="AM4" i="30"/>
  <c r="AI3" i="30"/>
  <c r="AH3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AK17" i="29"/>
  <c r="AJ17" i="29"/>
  <c r="AK16" i="29"/>
  <c r="AJ16" i="29"/>
  <c r="AK15" i="29"/>
  <c r="AJ15" i="29"/>
  <c r="AN14" i="29"/>
  <c r="AN15" i="29" s="1"/>
  <c r="AM14" i="29"/>
  <c r="AK14" i="29"/>
  <c r="AJ14" i="29"/>
  <c r="AO13" i="29"/>
  <c r="AN13" i="29"/>
  <c r="AM13" i="29"/>
  <c r="AK13" i="29"/>
  <c r="AJ13" i="29"/>
  <c r="AK12" i="29"/>
  <c r="AJ12" i="29"/>
  <c r="AK11" i="29"/>
  <c r="AJ11" i="29"/>
  <c r="AK10" i="29"/>
  <c r="AJ10" i="29"/>
  <c r="AK9" i="29"/>
  <c r="AJ9" i="29"/>
  <c r="AK8" i="29"/>
  <c r="AJ8" i="29"/>
  <c r="AK7" i="29"/>
  <c r="AJ7" i="29"/>
  <c r="AK6" i="29"/>
  <c r="AJ6" i="29"/>
  <c r="AK5" i="29"/>
  <c r="AJ5" i="29"/>
  <c r="AM4" i="29"/>
  <c r="AI3" i="29"/>
  <c r="AH3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AK18" i="28"/>
  <c r="AJ18" i="28"/>
  <c r="AK17" i="28"/>
  <c r="AJ17" i="28"/>
  <c r="AK16" i="28"/>
  <c r="AJ16" i="28"/>
  <c r="AK15" i="28"/>
  <c r="AJ15" i="28"/>
  <c r="AN14" i="28"/>
  <c r="AN15" i="28" s="1"/>
  <c r="AM14" i="28"/>
  <c r="AK14" i="28"/>
  <c r="AJ14" i="28"/>
  <c r="AN13" i="28"/>
  <c r="AM13" i="28"/>
  <c r="AO13" i="28" s="1"/>
  <c r="AK13" i="28"/>
  <c r="AJ13" i="28"/>
  <c r="AK12" i="28"/>
  <c r="AJ12" i="28"/>
  <c r="AK11" i="28"/>
  <c r="AJ11" i="28"/>
  <c r="AK10" i="28"/>
  <c r="AJ10" i="28"/>
  <c r="AK9" i="28"/>
  <c r="AJ9" i="28"/>
  <c r="AK8" i="28"/>
  <c r="AJ8" i="28"/>
  <c r="AK7" i="28"/>
  <c r="AJ7" i="28"/>
  <c r="AK6" i="28"/>
  <c r="AJ6" i="28"/>
  <c r="AK5" i="28"/>
  <c r="AJ5" i="28"/>
  <c r="AM4" i="28"/>
  <c r="AI3" i="28"/>
  <c r="AH3" i="28"/>
  <c r="AG3" i="28"/>
  <c r="AF3" i="28"/>
  <c r="AE3" i="28"/>
  <c r="AD3" i="28"/>
  <c r="AC3" i="28"/>
  <c r="AB3" i="28"/>
  <c r="AA3" i="28"/>
  <c r="Z3" i="28"/>
  <c r="Y3" i="28"/>
  <c r="X3" i="28"/>
  <c r="W3" i="28"/>
  <c r="V3" i="28"/>
  <c r="U3" i="28"/>
  <c r="T3" i="28"/>
  <c r="S3" i="28"/>
  <c r="R3" i="28"/>
  <c r="Q3" i="28"/>
  <c r="P3" i="28"/>
  <c r="O3" i="28"/>
  <c r="N3" i="28"/>
  <c r="M3" i="28"/>
  <c r="L3" i="28"/>
  <c r="K3" i="28"/>
  <c r="J3" i="28"/>
  <c r="I3" i="28"/>
  <c r="H3" i="28"/>
  <c r="G3" i="28"/>
  <c r="F3" i="28"/>
  <c r="AK35" i="27"/>
  <c r="AJ35" i="27"/>
  <c r="AK34" i="27"/>
  <c r="AJ34" i="27"/>
  <c r="AK33" i="27"/>
  <c r="AJ33" i="27"/>
  <c r="AK32" i="27"/>
  <c r="AJ32" i="27"/>
  <c r="AK31" i="27"/>
  <c r="AJ31" i="27"/>
  <c r="AK30" i="27"/>
  <c r="AJ30" i="27"/>
  <c r="AK29" i="27"/>
  <c r="AJ29" i="27"/>
  <c r="AK28" i="27"/>
  <c r="AJ28" i="27"/>
  <c r="AK27" i="27"/>
  <c r="AJ27" i="27"/>
  <c r="AK26" i="27"/>
  <c r="AJ26" i="27"/>
  <c r="AK25" i="27"/>
  <c r="AJ25" i="27"/>
  <c r="AK24" i="27"/>
  <c r="AJ24" i="27"/>
  <c r="AK23" i="27"/>
  <c r="AJ23" i="27"/>
  <c r="AK22" i="27"/>
  <c r="AJ22" i="27"/>
  <c r="AN21" i="27"/>
  <c r="AM21" i="27"/>
  <c r="AO21" i="27" s="1"/>
  <c r="AK21" i="27"/>
  <c r="AJ21" i="27"/>
  <c r="AK20" i="27"/>
  <c r="AJ20" i="27"/>
  <c r="AK19" i="27"/>
  <c r="AJ19" i="27"/>
  <c r="AK18" i="27"/>
  <c r="AJ18" i="27"/>
  <c r="AK17" i="27"/>
  <c r="AJ17" i="27"/>
  <c r="AK16" i="27"/>
  <c r="AJ16" i="27"/>
  <c r="AK15" i="27"/>
  <c r="AJ15" i="27"/>
  <c r="AN14" i="27"/>
  <c r="AM14" i="27"/>
  <c r="AK14" i="27"/>
  <c r="AJ14" i="27"/>
  <c r="AN13" i="27"/>
  <c r="AM13" i="27"/>
  <c r="AO13" i="27" s="1"/>
  <c r="AK13" i="27"/>
  <c r="AJ13" i="27"/>
  <c r="AK12" i="27"/>
  <c r="AJ12" i="27"/>
  <c r="AK11" i="27"/>
  <c r="AJ11" i="27"/>
  <c r="AK10" i="27"/>
  <c r="AJ10" i="27"/>
  <c r="AK9" i="27"/>
  <c r="AJ9" i="27"/>
  <c r="AK8" i="27"/>
  <c r="AJ8" i="27"/>
  <c r="AK7" i="27"/>
  <c r="AJ7" i="27"/>
  <c r="AK6" i="27"/>
  <c r="AJ6" i="27"/>
  <c r="AK5" i="27"/>
  <c r="AJ5" i="27"/>
  <c r="AM4" i="27"/>
  <c r="AI3" i="27"/>
  <c r="AH3" i="27"/>
  <c r="AG3" i="27"/>
  <c r="AF3" i="27"/>
  <c r="AE3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G3" i="21"/>
  <c r="H3" i="21"/>
  <c r="I3" i="21"/>
  <c r="J3" i="21"/>
  <c r="K3" i="21"/>
  <c r="L3" i="21"/>
  <c r="M3" i="21"/>
  <c r="N3" i="21"/>
  <c r="O3" i="21"/>
  <c r="P3" i="21"/>
  <c r="Q3" i="21"/>
  <c r="R3" i="21"/>
  <c r="S3" i="21"/>
  <c r="T3" i="21"/>
  <c r="U3" i="21"/>
  <c r="V3" i="21"/>
  <c r="W3" i="21"/>
  <c r="X3" i="21"/>
  <c r="Y3" i="21"/>
  <c r="Z3" i="21"/>
  <c r="AA3" i="21"/>
  <c r="AB3" i="21"/>
  <c r="AC3" i="21"/>
  <c r="AD3" i="21"/>
  <c r="AE3" i="21"/>
  <c r="AF3" i="21"/>
  <c r="AG3" i="21"/>
  <c r="AH3" i="21"/>
  <c r="AI3" i="21"/>
  <c r="F3" i="21"/>
  <c r="AO13" i="31" l="1"/>
  <c r="AO14" i="27"/>
  <c r="AO15" i="27" s="1"/>
  <c r="AO14" i="29"/>
  <c r="AO15" i="29" s="1"/>
  <c r="AM15" i="29"/>
  <c r="AO14" i="28"/>
  <c r="AO15" i="28" s="1"/>
  <c r="AM15" i="28"/>
  <c r="AN15" i="27"/>
  <c r="AN22" i="27"/>
  <c r="AN23" i="27" s="1"/>
  <c r="AM15" i="27"/>
  <c r="AM22" i="27"/>
  <c r="AM23" i="27" l="1"/>
  <c r="AO22" i="27"/>
  <c r="AO23" i="27" s="1"/>
  <c r="AK40" i="21"/>
  <c r="AJ40" i="21"/>
  <c r="AK39" i="21"/>
  <c r="AJ39" i="21"/>
  <c r="AK38" i="21"/>
  <c r="AJ38" i="21"/>
  <c r="AK37" i="21"/>
  <c r="AJ37" i="21"/>
  <c r="AK36" i="21"/>
  <c r="AJ36" i="21"/>
  <c r="AK35" i="21"/>
  <c r="AJ35" i="21"/>
  <c r="AK34" i="21"/>
  <c r="AJ34" i="21"/>
  <c r="AK33" i="21"/>
  <c r="AJ33" i="21"/>
  <c r="AK32" i="21"/>
  <c r="AJ32" i="21"/>
  <c r="AK31" i="21"/>
  <c r="AJ31" i="21"/>
  <c r="AK30" i="21"/>
  <c r="AJ30" i="21"/>
  <c r="AK29" i="21"/>
  <c r="AJ29" i="21"/>
  <c r="AK28" i="21"/>
  <c r="AJ28" i="21"/>
  <c r="AK27" i="21"/>
  <c r="AJ27" i="21"/>
  <c r="AK26" i="21"/>
  <c r="AJ26" i="21"/>
  <c r="AK25" i="21"/>
  <c r="AJ25" i="21"/>
  <c r="AK24" i="21"/>
  <c r="AJ24" i="21"/>
  <c r="AK23" i="21"/>
  <c r="AJ23" i="21"/>
  <c r="AK22" i="21"/>
  <c r="AJ22" i="21"/>
  <c r="AK21" i="21"/>
  <c r="AJ21" i="21"/>
  <c r="AK20" i="21"/>
  <c r="AJ20" i="21"/>
  <c r="AK19" i="21"/>
  <c r="AJ19" i="21"/>
  <c r="AK18" i="21"/>
  <c r="AJ18" i="21"/>
  <c r="AK17" i="21"/>
  <c r="AJ17" i="21"/>
  <c r="AK16" i="21"/>
  <c r="AJ16" i="21"/>
  <c r="AK15" i="21"/>
  <c r="AJ15" i="21"/>
  <c r="AK14" i="21"/>
  <c r="AJ14" i="21"/>
  <c r="AK13" i="21"/>
  <c r="AJ13" i="21"/>
  <c r="AK12" i="21"/>
  <c r="AJ12" i="21"/>
  <c r="AK11" i="21"/>
  <c r="AJ11" i="21"/>
  <c r="AK10" i="21"/>
  <c r="AJ10" i="21"/>
  <c r="AK9" i="21"/>
  <c r="AJ9" i="21"/>
  <c r="AK8" i="21"/>
  <c r="AJ8" i="21"/>
  <c r="AK7" i="21"/>
  <c r="AJ7" i="21"/>
  <c r="AK6" i="21"/>
  <c r="AJ6" i="21"/>
  <c r="AK5" i="21"/>
  <c r="AJ5" i="21"/>
  <c r="AN21" i="21" l="1"/>
  <c r="AM21" i="21"/>
  <c r="AO21" i="21" s="1"/>
  <c r="AN14" i="21"/>
  <c r="AN15" i="21" s="1"/>
  <c r="AM14" i="21"/>
  <c r="AM22" i="21" s="1"/>
  <c r="AN13" i="21"/>
  <c r="AM13" i="21"/>
  <c r="AO13" i="21" s="1"/>
  <c r="AM4" i="21"/>
  <c r="E12" i="18"/>
  <c r="C12" i="18"/>
  <c r="B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O14" i="21" l="1"/>
  <c r="AO15" i="21" s="1"/>
  <c r="AN22" i="21"/>
  <c r="AN23" i="21" s="1"/>
  <c r="AM23" i="21"/>
  <c r="AM15" i="21"/>
  <c r="H11" i="18"/>
  <c r="H9" i="18"/>
  <c r="F12" i="18"/>
  <c r="H10" i="18"/>
  <c r="G12" i="18"/>
  <c r="H7" i="18"/>
  <c r="H6" i="18"/>
  <c r="D12" i="18"/>
  <c r="H8" i="18"/>
  <c r="AO22" i="21" l="1"/>
  <c r="AO23" i="21" s="1"/>
  <c r="H12" i="18"/>
  <c r="J11" i="18" l="1"/>
  <c r="L11" i="18" s="1"/>
  <c r="I11" i="18"/>
  <c r="M11" i="18" l="1"/>
  <c r="O11" i="18" s="1"/>
  <c r="K11" i="18"/>
  <c r="N11" i="18" s="1"/>
  <c r="I10" i="18" l="1"/>
  <c r="M10" i="18" s="1"/>
  <c r="J10" i="18"/>
  <c r="K10" i="18" l="1"/>
  <c r="N10" i="18" s="1"/>
  <c r="L10" i="18"/>
  <c r="O10" i="18" s="1"/>
  <c r="J9" i="18" l="1"/>
  <c r="L9" i="18" s="1"/>
  <c r="I9" i="18"/>
  <c r="K9" i="18" l="1"/>
  <c r="N9" i="18" s="1"/>
  <c r="M9" i="18"/>
  <c r="O9" i="18" s="1"/>
  <c r="J8" i="18"/>
  <c r="L8" i="18" s="1"/>
  <c r="I8" i="18" l="1"/>
  <c r="K8" i="18" l="1"/>
  <c r="N8" i="18" s="1"/>
  <c r="M8" i="18"/>
  <c r="O8" i="18" s="1"/>
  <c r="J7" i="18" l="1"/>
  <c r="L7" i="18" s="1"/>
  <c r="I7" i="18"/>
  <c r="M7" i="18" l="1"/>
  <c r="O7" i="18" s="1"/>
  <c r="K7" i="18"/>
  <c r="N7" i="18" s="1"/>
  <c r="I6" i="18" l="1"/>
  <c r="K6" i="18" l="1"/>
  <c r="I12" i="18"/>
  <c r="M6" i="18"/>
  <c r="J6" i="18"/>
  <c r="J12" i="18" l="1"/>
  <c r="L6" i="18"/>
  <c r="O6" i="18" s="1"/>
  <c r="O12" i="18" s="1"/>
  <c r="I13" i="18"/>
  <c r="M12" i="18"/>
  <c r="N6" i="18"/>
  <c r="N12" i="18" s="1"/>
  <c r="K12" i="18"/>
  <c r="K13" i="18" s="1"/>
  <c r="J13" i="18" l="1"/>
  <c r="L12" i="18"/>
  <c r="O13" i="18" s="1"/>
</calcChain>
</file>

<file path=xl/sharedStrings.xml><?xml version="1.0" encoding="utf-8"?>
<sst xmlns="http://schemas.openxmlformats.org/spreadsheetml/2006/main" count="3416" uniqueCount="208">
  <si>
    <t>S.No</t>
  </si>
  <si>
    <t>Student Name</t>
  </si>
  <si>
    <t>Father Name</t>
  </si>
  <si>
    <t>Class</t>
  </si>
  <si>
    <t>Present</t>
  </si>
  <si>
    <t>Absent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</si>
  <si>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</si>
  <si>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</si>
  <si>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</si>
  <si>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</si>
  <si>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</si>
  <si>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</si>
  <si>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</si>
  <si>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</si>
  <si>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</si>
  <si>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</si>
  <si>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</si>
  <si>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P</t>
  </si>
  <si>
    <t>Abdullah</t>
  </si>
  <si>
    <t>Year 2024</t>
  </si>
  <si>
    <t>Total days</t>
  </si>
  <si>
    <t>PTM</t>
  </si>
  <si>
    <t>Absent Days Details</t>
  </si>
  <si>
    <t>Iqbal Day</t>
  </si>
  <si>
    <t>Dua</t>
  </si>
  <si>
    <t>Two</t>
  </si>
  <si>
    <t>Muhammad Ali</t>
  </si>
  <si>
    <t>Three</t>
  </si>
  <si>
    <t>Bushra</t>
  </si>
  <si>
    <t>Four</t>
  </si>
  <si>
    <t>Five</t>
  </si>
  <si>
    <t>Muskan</t>
  </si>
  <si>
    <t>Sania</t>
  </si>
  <si>
    <t>Faizan Ali</t>
  </si>
  <si>
    <t>Saima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</si>
  <si>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</si>
  <si>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</si>
  <si>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</si>
  <si>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</si>
  <si>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</si>
  <si>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</si>
  <si>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</si>
  <si>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</si>
  <si>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</si>
  <si>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</si>
  <si>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 xml:space="preserve">One </t>
  </si>
  <si>
    <t>Total Enrolment &amp; Attendance November-24</t>
  </si>
  <si>
    <t>Gul Sher</t>
  </si>
  <si>
    <t>Iqra Bibi</t>
  </si>
  <si>
    <t>Bashir Ahmed</t>
  </si>
  <si>
    <t>Salman Ali</t>
  </si>
  <si>
    <t>Muhammad Hussain</t>
  </si>
  <si>
    <t>Hajira</t>
  </si>
  <si>
    <t>Ejaz Ali</t>
  </si>
  <si>
    <t>Sumaiya</t>
  </si>
  <si>
    <t>Nawaz Ali</t>
  </si>
  <si>
    <t>Ali Abbas</t>
  </si>
  <si>
    <t>Benazeer</t>
  </si>
  <si>
    <t>KG</t>
  </si>
  <si>
    <t>Goverment Boys Primary School Juvinile Jail</t>
  </si>
  <si>
    <t>Monthly Attendence Month of November-2024</t>
  </si>
  <si>
    <t>Areeba Bibi</t>
  </si>
  <si>
    <t>Syed Karim</t>
  </si>
  <si>
    <t>Gul Zameen Khan</t>
  </si>
  <si>
    <t>Sonaina</t>
  </si>
  <si>
    <t>Sohail Ali</t>
  </si>
  <si>
    <t>Shabana</t>
  </si>
  <si>
    <t>Nadeem Hussain</t>
  </si>
  <si>
    <t>Rehmat Khatoon</t>
  </si>
  <si>
    <t>Dua Fatima</t>
  </si>
  <si>
    <t>Maqbool Ahmed</t>
  </si>
  <si>
    <t>Zahra Fatima</t>
  </si>
  <si>
    <t>Muhammad Younus</t>
  </si>
  <si>
    <t>Mehboob</t>
  </si>
  <si>
    <t>Ayan</t>
  </si>
  <si>
    <t>Sher Muhammad</t>
  </si>
  <si>
    <t>Anam</t>
  </si>
  <si>
    <t>Mai Haleema</t>
  </si>
  <si>
    <t>Muhammad Nawaz</t>
  </si>
  <si>
    <t>Hizbullah</t>
  </si>
  <si>
    <t>Qanbar Ali</t>
  </si>
  <si>
    <t>Hamza</t>
  </si>
  <si>
    <t>Kubra</t>
  </si>
  <si>
    <t>Rasheed Ali</t>
  </si>
  <si>
    <t>Muntasha Zahra</t>
  </si>
  <si>
    <t>Abdul Jabbar</t>
  </si>
  <si>
    <t>Javed</t>
  </si>
  <si>
    <t>Tahir</t>
  </si>
  <si>
    <t>Muhammad Anas</t>
  </si>
  <si>
    <t>Muhammad Asghar</t>
  </si>
  <si>
    <t>Aazan Hussain</t>
  </si>
  <si>
    <t>Sajjad Hussain</t>
  </si>
  <si>
    <t>Muhmmad Salman</t>
  </si>
  <si>
    <t>Tufail Ahmed</t>
  </si>
  <si>
    <t>Musawir</t>
  </si>
  <si>
    <t>Amjad Ali</t>
  </si>
  <si>
    <t>Uzma</t>
  </si>
  <si>
    <t>Qasir Nawaz</t>
  </si>
  <si>
    <t>Aiza Batool</t>
  </si>
  <si>
    <t>Anwar Ali</t>
  </si>
  <si>
    <t xml:space="preserve">Yasir </t>
  </si>
  <si>
    <t>Habeebullah</t>
  </si>
  <si>
    <t>Saliya</t>
  </si>
  <si>
    <t>Ghulam Qadir</t>
  </si>
  <si>
    <t>Ali Waris</t>
  </si>
  <si>
    <t>Naseebullah</t>
  </si>
  <si>
    <t>Anabia Rehman</t>
  </si>
  <si>
    <t>Mujeeb-ur-Rehman</t>
  </si>
  <si>
    <t>Umme Rubab</t>
  </si>
  <si>
    <t>Gulzar Ahmed</t>
  </si>
  <si>
    <t>Kashif Ali</t>
  </si>
  <si>
    <t>GR</t>
  </si>
  <si>
    <t>Yousuf Ali</t>
  </si>
  <si>
    <t>Maqsood Ali</t>
  </si>
  <si>
    <t>Suneela</t>
  </si>
  <si>
    <t>Abdul Ghafoor</t>
  </si>
  <si>
    <t>Saeed Ahmed</t>
  </si>
  <si>
    <t>Tahira</t>
  </si>
  <si>
    <t>Muhammad Ahmed</t>
  </si>
  <si>
    <t>Kiran Bibi</t>
  </si>
  <si>
    <t>Muhammad Sameer</t>
  </si>
  <si>
    <t>Muhammad Sajid</t>
  </si>
  <si>
    <t>Yasir Ali</t>
  </si>
  <si>
    <t>Sabir Hussain</t>
  </si>
  <si>
    <t>Muhammad Ibraheem</t>
  </si>
  <si>
    <t>Sher Khan</t>
  </si>
  <si>
    <t>Ishaq</t>
  </si>
  <si>
    <t>Zoya</t>
  </si>
  <si>
    <t>Amir Bux</t>
  </si>
  <si>
    <t>Zaheer Ali</t>
  </si>
  <si>
    <t>Zain Ali</t>
  </si>
  <si>
    <t>Zohaib Ali</t>
  </si>
  <si>
    <t>Emanawaile</t>
  </si>
  <si>
    <t>Imran Maseh</t>
  </si>
  <si>
    <t>Iezik</t>
  </si>
  <si>
    <t>Tania</t>
  </si>
  <si>
    <t>Sakina</t>
  </si>
  <si>
    <t>Ghulam Shabbir</t>
  </si>
  <si>
    <t>Hussain Ahmed</t>
  </si>
  <si>
    <t>Suhaila</t>
  </si>
  <si>
    <t>Talib</t>
  </si>
  <si>
    <t>Sassui</t>
  </si>
  <si>
    <t>Sikander</t>
  </si>
  <si>
    <t>Zikra Batool</t>
  </si>
  <si>
    <t>Niaz Muhammad</t>
  </si>
  <si>
    <t>Muntazir</t>
  </si>
  <si>
    <t>Israr Ali</t>
  </si>
  <si>
    <t>Rehmatullah</t>
  </si>
  <si>
    <t>Rehan Ali</t>
  </si>
  <si>
    <t>Imamuddin</t>
  </si>
  <si>
    <t>Ghulam Nabi</t>
  </si>
  <si>
    <t>Riaz</t>
  </si>
  <si>
    <t>Gul Zameen</t>
  </si>
  <si>
    <t>Danyal</t>
  </si>
  <si>
    <t>Junaid</t>
  </si>
  <si>
    <t>Atif Ali</t>
  </si>
  <si>
    <t>Sikandar khan</t>
  </si>
  <si>
    <t>Zamin</t>
  </si>
  <si>
    <t>Sheharyar</t>
  </si>
  <si>
    <t>Subhan Ali</t>
  </si>
  <si>
    <t>Marvi</t>
  </si>
  <si>
    <t>Aleeza Zahid</t>
  </si>
  <si>
    <t>Zahid Hussain</t>
  </si>
  <si>
    <t>Ayat</t>
  </si>
  <si>
    <t>Amjid Ali</t>
  </si>
  <si>
    <t>Tatheer Fatima</t>
  </si>
  <si>
    <t>Aajiz</t>
  </si>
  <si>
    <t>Ayaz Ali</t>
  </si>
  <si>
    <t>Shah Zaib</t>
  </si>
  <si>
    <t>Ameer Bux</t>
  </si>
  <si>
    <t>Noor Fatima</t>
  </si>
  <si>
    <t>Tariq Aziz Lashari</t>
  </si>
  <si>
    <t>Amanat Ali</t>
  </si>
  <si>
    <t>Muhammad Adil</t>
  </si>
  <si>
    <t>Naina Batool</t>
  </si>
  <si>
    <t>Suhana Khan</t>
  </si>
  <si>
    <t>Patang Ali</t>
  </si>
  <si>
    <t>Basit Hussain</t>
  </si>
  <si>
    <t>Muhammad Faraz</t>
  </si>
  <si>
    <t>Abul Ahad</t>
  </si>
  <si>
    <t>Muhammad Bilawal</t>
  </si>
  <si>
    <t>Fayaz</t>
  </si>
  <si>
    <t>Nadir Ali</t>
  </si>
  <si>
    <t>Umair Ali</t>
  </si>
  <si>
    <t>Nena</t>
  </si>
  <si>
    <t>One</t>
  </si>
  <si>
    <t>Shah Zain</t>
  </si>
  <si>
    <t>Manthar Ali</t>
  </si>
  <si>
    <t>Bilawal</t>
  </si>
  <si>
    <t>Moosa Gul</t>
  </si>
  <si>
    <t>Waheed Gul</t>
  </si>
  <si>
    <t>Hasnain Ali</t>
  </si>
  <si>
    <t>Ali Khan</t>
  </si>
  <si>
    <t>Dil Nawaz</t>
  </si>
  <si>
    <t>SUNDAY - SUNDAY</t>
  </si>
  <si>
    <t>SUNDAY</t>
  </si>
  <si>
    <t>SUNDAY - SUNDAY - SUNDAY - SUNDAY</t>
  </si>
  <si>
    <t>Urooj</t>
  </si>
  <si>
    <t>Tahira Bibi</t>
  </si>
  <si>
    <t>Syed Kareem</t>
  </si>
  <si>
    <t>Qehar(Late)</t>
  </si>
  <si>
    <t>Shazia</t>
  </si>
  <si>
    <t>Muhammad Shareef</t>
  </si>
  <si>
    <t>Israr Khan</t>
  </si>
  <si>
    <t>Umar</t>
  </si>
  <si>
    <t>Abdul Samad</t>
  </si>
  <si>
    <t>Sabir</t>
  </si>
  <si>
    <t>Muhafiz Hussain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</si>
</sst>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,mmm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6" fillId="0" borderId="0"/>
    <xf numFmtId="0" fontId="17" fillId="0" borderId="0">
      <protection locked="0"/>
    </xf>
  </cellStyleXfs>
  <cellXfs count="105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7" fillId="0" borderId="0" xfId="0" applyFont="1" applyAlignment="1">
      <alignment vertical="center"/>
    </xf>
    <xf numFmtId="0" fontId="7" fillId="0" borderId="1" xfId="0" applyFont="1" applyBorder="1"/>
    <xf numFmtId="0" fontId="11" fillId="0" borderId="3" xfId="0" applyFont="1" applyBorder="1"/>
    <xf numFmtId="0" fontId="12" fillId="0" borderId="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9" fontId="12" fillId="0" borderId="5" xfId="1" applyFont="1" applyFill="1" applyBorder="1" applyAlignment="1">
      <alignment horizontal="center" vertical="center"/>
    </xf>
    <xf numFmtId="9" fontId="12" fillId="0" borderId="3" xfId="1" applyFont="1" applyFill="1" applyBorder="1" applyAlignment="1">
      <alignment horizontal="center" vertical="center"/>
    </xf>
    <xf numFmtId="9" fontId="12" fillId="0" borderId="4" xfId="1" applyFont="1" applyFill="1" applyBorder="1" applyAlignment="1">
      <alignment horizontal="center" vertical="center"/>
    </xf>
    <xf numFmtId="9" fontId="12" fillId="3" borderId="16" xfId="1" applyFont="1" applyFill="1" applyBorder="1"/>
    <xf numFmtId="9" fontId="12" fillId="0" borderId="19" xfId="1" applyFont="1" applyFill="1" applyBorder="1" applyAlignment="1">
      <alignment horizontal="center" vertical="center"/>
    </xf>
    <xf numFmtId="9" fontId="12" fillId="3" borderId="20" xfId="1" applyFont="1" applyFill="1" applyBorder="1"/>
    <xf numFmtId="0" fontId="13" fillId="0" borderId="15" xfId="0" applyFont="1" applyBorder="1" applyAlignment="1">
      <alignment horizontal="center"/>
    </xf>
    <xf numFmtId="0" fontId="11" fillId="0" borderId="11" xfId="0" applyFont="1" applyBorder="1"/>
    <xf numFmtId="0" fontId="13" fillId="0" borderId="11" xfId="0" applyFont="1" applyBorder="1" applyAlignment="1">
      <alignment horizontal="center"/>
    </xf>
    <xf numFmtId="9" fontId="12" fillId="0" borderId="11" xfId="1" applyFont="1" applyFill="1" applyBorder="1" applyAlignment="1">
      <alignment horizontal="center" vertical="center"/>
    </xf>
    <xf numFmtId="9" fontId="12" fillId="3" borderId="14" xfId="1" applyFont="1" applyFill="1" applyBorder="1"/>
    <xf numFmtId="0" fontId="14" fillId="0" borderId="18" xfId="0" applyFont="1" applyBorder="1" applyAlignment="1">
      <alignment horizontal="center"/>
    </xf>
    <xf numFmtId="9" fontId="14" fillId="0" borderId="19" xfId="1" applyFont="1" applyFill="1" applyBorder="1" applyAlignment="1">
      <alignment horizontal="center"/>
    </xf>
    <xf numFmtId="9" fontId="15" fillId="0" borderId="19" xfId="1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/>
    </xf>
    <xf numFmtId="9" fontId="15" fillId="0" borderId="21" xfId="1" applyFont="1" applyFill="1" applyBorder="1" applyAlignment="1">
      <alignment horizontal="center" vertical="center" wrapText="1"/>
    </xf>
    <xf numFmtId="9" fontId="12" fillId="0" borderId="10" xfId="1" applyFont="1" applyFill="1" applyBorder="1" applyAlignment="1">
      <alignment horizontal="center" vertical="center"/>
    </xf>
    <xf numFmtId="9" fontId="3" fillId="0" borderId="23" xfId="1" applyFont="1" applyFill="1" applyBorder="1" applyAlignment="1">
      <alignment horizontal="center" vertical="center"/>
    </xf>
    <xf numFmtId="9" fontId="15" fillId="0" borderId="18" xfId="1" applyFont="1" applyFill="1" applyBorder="1" applyAlignment="1">
      <alignment horizontal="center" vertical="center" wrapText="1"/>
    </xf>
    <xf numFmtId="9" fontId="15" fillId="0" borderId="20" xfId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3" fillId="0" borderId="25" xfId="0" applyFont="1" applyBorder="1"/>
    <xf numFmtId="0" fontId="3" fillId="3" borderId="26" xfId="0" applyFont="1" applyFill="1" applyBorder="1"/>
    <xf numFmtId="0" fontId="3" fillId="0" borderId="26" xfId="0" applyFont="1" applyBorder="1"/>
    <xf numFmtId="0" fontId="11" fillId="0" borderId="6" xfId="0" applyFont="1" applyBorder="1"/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9" fontId="12" fillId="0" borderId="7" xfId="1" applyFont="1" applyFill="1" applyBorder="1" applyAlignment="1">
      <alignment horizontal="center" vertical="center"/>
    </xf>
    <xf numFmtId="9" fontId="12" fillId="0" borderId="6" xfId="1" applyFont="1" applyFill="1" applyBorder="1" applyAlignment="1">
      <alignment horizontal="center" vertical="center"/>
    </xf>
    <xf numFmtId="9" fontId="12" fillId="0" borderId="17" xfId="1" applyFont="1" applyFill="1" applyBorder="1" applyAlignment="1">
      <alignment horizontal="center" vertical="center"/>
    </xf>
    <xf numFmtId="9" fontId="12" fillId="3" borderId="28" xfId="1" applyFont="1" applyFill="1" applyBorder="1"/>
    <xf numFmtId="0" fontId="9" fillId="0" borderId="19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3" fillId="4" borderId="27" xfId="0" applyFont="1" applyFill="1" applyBorder="1"/>
    <xf numFmtId="0" fontId="3" fillId="4" borderId="6" xfId="0" applyFont="1" applyFill="1" applyBorder="1"/>
    <xf numFmtId="0" fontId="3" fillId="4" borderId="28" xfId="0" applyFont="1" applyFill="1" applyBorder="1"/>
    <xf numFmtId="0" fontId="3" fillId="4" borderId="22" xfId="0" applyFont="1" applyFill="1" applyBorder="1"/>
    <xf numFmtId="0" fontId="3" fillId="4" borderId="3" xfId="0" applyFont="1" applyFill="1" applyBorder="1"/>
    <xf numFmtId="0" fontId="3" fillId="4" borderId="16" xfId="0" applyFont="1" applyFill="1" applyBorder="1"/>
    <xf numFmtId="0" fontId="13" fillId="4" borderId="15" xfId="0" applyFont="1" applyFill="1" applyBorder="1" applyAlignment="1">
      <alignment horizontal="center"/>
    </xf>
    <xf numFmtId="0" fontId="13" fillId="4" borderId="11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9" fillId="4" borderId="23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7" fontId="10" fillId="0" borderId="24" xfId="0" applyNumberFormat="1" applyFont="1" applyBorder="1" applyAlignment="1">
      <alignment horizontal="center"/>
    </xf>
    <xf numFmtId="17" fontId="10" fillId="0" borderId="12" xfId="0" applyNumberFormat="1" applyFont="1" applyBorder="1" applyAlignment="1">
      <alignment horizontal="center"/>
    </xf>
    <xf numFmtId="17" fontId="10" fillId="0" borderId="11" xfId="0" applyNumberFormat="1" applyFont="1" applyBorder="1" applyAlignment="1">
      <alignment horizontal="center"/>
    </xf>
    <xf numFmtId="17" fontId="10" fillId="0" borderId="13" xfId="0" applyNumberFormat="1" applyFont="1" applyBorder="1" applyAlignment="1">
      <alignment horizontal="center"/>
    </xf>
    <xf numFmtId="17" fontId="10" fillId="0" borderId="14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7" fontId="8" fillId="2" borderId="4" xfId="0" applyNumberFormat="1" applyFont="1" applyFill="1" applyBorder="1" applyAlignment="1">
      <alignment horizontal="center" vertical="center"/>
    </xf>
    <xf numFmtId="17" fontId="8" fillId="2" borderId="8" xfId="0" applyNumberFormat="1" applyFont="1" applyFill="1" applyBorder="1" applyAlignment="1">
      <alignment horizontal="center" vertical="center"/>
    </xf>
    <xf numFmtId="17" fontId="8" fillId="2" borderId="5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textRotation="255"/>
    </xf>
    <xf numFmtId="0" fontId="2" fillId="6" borderId="9" xfId="0" applyFont="1" applyFill="1" applyBorder="1" applyAlignment="1">
      <alignment horizontal="center" vertical="center" textRotation="255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49" fontId="20" fillId="3" borderId="6" xfId="0" applyNumberFormat="1" applyFont="1" applyFill="1" applyBorder="1" applyAlignment="1">
      <alignment horizontal="center" vertical="center"/>
    </xf>
    <xf numFmtId="49" fontId="20" fillId="7" borderId="6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vertical="center" textRotation="255"/>
    </xf>
    <xf numFmtId="0" fontId="0" fillId="8" borderId="3" xfId="0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/>
    </xf>
    <xf numFmtId="49" fontId="20" fillId="3" borderId="3" xfId="0" applyNumberFormat="1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</cellXfs>
  <cellStyles count="4">
    <cellStyle name="Normal" xfId="0" builtinId="0"/>
    <cellStyle name="Normal 2" xfId="3" xr:uid="{010AB91E-D090-4692-815D-BDCEF2C4C5C3}"/>
    <cellStyle name="Normal 3" xfId="2" xr:uid="{D01529DD-DBD0-4DD1-A870-353143804F43}"/>
    <cellStyle name="Percent" xfId="1" builtinId="5"/>
  </cellStyles>
  <dxfs count="1015"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291C1222-C7B9-4B9A-A9C3-110AAEA8F73E}">
      <tableStyleElement type="wholeTable" dxfId="1014"/>
      <tableStyleElement type="headerRow" dxfId="1013"/>
      <tableStyleElement type="totalRow" dxfId="1012"/>
      <tableStyleElement type="firstColumn" dxfId="1011"/>
      <tableStyleElement type="lastColumn" dxfId="1010"/>
      <tableStyleElement type="firstRowStripe" dxfId="1009"/>
      <tableStyleElement type="firstColumnStripe" dxfId="1008"/>
    </tableStyle>
    <tableStyle name="PivotStylePreset2_Accent1" table="0" count="10" xr9:uid="{40508A4A-A46F-4E18-BA94-D1C2B66BBA21}">
      <tableStyleElement type="headerRow" dxfId="1007"/>
      <tableStyleElement type="totalRow" dxfId="1006"/>
      <tableStyleElement type="firstRowStripe" dxfId="1005"/>
      <tableStyleElement type="firstColumnStripe" dxfId="1004"/>
      <tableStyleElement type="firstSubtotalRow" dxfId="1003"/>
      <tableStyleElement type="secondSubtotalRow" dxfId="1002"/>
      <tableStyleElement type="firstRowSubheading" dxfId="1001"/>
      <tableStyleElement type="secondRowSubheading" dxfId="1000"/>
      <tableStyleElement type="pageFieldLabels" dxfId="999"/>
      <tableStyleElement type="pageFieldValues" dxfId="99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B969-B87D-4540-B048-C5AD2B9E6653}">
  <dimension ref="A3:O13"/>
  <sheetViews>
    <sheetView tabSelected="1" topLeftCell="A3" workbookViewId="0">
      <selection activeCell="A12" sqref="A12:XFD12"/>
    </sheetView>
  </sheetViews>
  <sheetFormatPr defaultRowHeight="15"/>
  <cols>
    <col min="1" max="1" width="14.85546875" bestFit="1" customWidth="1"/>
  </cols>
  <sheetData>
    <row r="3" spans="1:15" ht="15.75" thickBot="1"/>
    <row r="4" spans="1:15" ht="16.5" thickBot="1">
      <c r="A4" s="66" t="s">
        <v>3</v>
      </c>
      <c r="B4" s="68" t="s">
        <v>46</v>
      </c>
      <c r="C4" s="69"/>
      <c r="D4" s="69"/>
      <c r="E4" s="70"/>
      <c r="F4" s="70"/>
      <c r="G4" s="70"/>
      <c r="H4" s="70"/>
      <c r="I4" s="69"/>
      <c r="J4" s="69"/>
      <c r="K4" s="69"/>
      <c r="L4" s="70"/>
      <c r="M4" s="70"/>
      <c r="N4" s="71"/>
      <c r="O4" s="72"/>
    </row>
    <row r="5" spans="1:15" ht="34.5" thickBot="1">
      <c r="A5" s="67"/>
      <c r="B5" s="47" t="s">
        <v>10</v>
      </c>
      <c r="C5" s="47" t="s">
        <v>11</v>
      </c>
      <c r="D5" s="47" t="s">
        <v>12</v>
      </c>
      <c r="E5" s="48" t="s">
        <v>35</v>
      </c>
      <c r="F5" s="47" t="s">
        <v>36</v>
      </c>
      <c r="G5" s="47" t="s">
        <v>37</v>
      </c>
      <c r="H5" s="49" t="s">
        <v>38</v>
      </c>
      <c r="I5" s="50" t="s">
        <v>39</v>
      </c>
      <c r="J5" s="51" t="s">
        <v>40</v>
      </c>
      <c r="K5" s="52" t="s">
        <v>41</v>
      </c>
      <c r="L5" s="62" t="s">
        <v>42</v>
      </c>
      <c r="M5" s="63" t="s">
        <v>43</v>
      </c>
      <c r="N5" s="63" t="s">
        <v>43</v>
      </c>
      <c r="O5" s="64" t="s">
        <v>44</v>
      </c>
    </row>
    <row r="6" spans="1:15" ht="18.75">
      <c r="A6" s="36" t="s">
        <v>58</v>
      </c>
      <c r="B6" s="39">
        <v>27</v>
      </c>
      <c r="C6" s="39">
        <v>27</v>
      </c>
      <c r="D6" s="39">
        <f>SUM(B6:C6)</f>
        <v>54</v>
      </c>
      <c r="E6" s="40">
        <v>24</v>
      </c>
      <c r="F6" s="41">
        <f>B6*E6</f>
        <v>648</v>
      </c>
      <c r="G6" s="41">
        <f t="shared" ref="G6:G11" si="0">C6*E6</f>
        <v>648</v>
      </c>
      <c r="H6" s="42">
        <f>SUM(F6:G6)</f>
        <v>1296</v>
      </c>
      <c r="I6" s="53" t="e">
        <f>#REF!</f>
        <v>#REF!</v>
      </c>
      <c r="J6" s="54" t="e">
        <f>#REF!</f>
        <v>#REF!</v>
      </c>
      <c r="K6" s="55" t="e">
        <f>SUM(I6:J6)</f>
        <v>#REF!</v>
      </c>
      <c r="L6" s="43" t="e">
        <f>J6/G6</f>
        <v>#REF!</v>
      </c>
      <c r="M6" s="44" t="e">
        <f>I6/F6</f>
        <v>#REF!</v>
      </c>
      <c r="N6" s="45" t="e">
        <f>K6/H6</f>
        <v>#REF!</v>
      </c>
      <c r="O6" s="46" t="e">
        <f>AVERAGE(L6:M6)</f>
        <v>#REF!</v>
      </c>
    </row>
    <row r="7" spans="1:15" ht="18.75">
      <c r="A7" s="37" t="s">
        <v>45</v>
      </c>
      <c r="B7" s="12">
        <v>32</v>
      </c>
      <c r="C7" s="12">
        <v>24</v>
      </c>
      <c r="D7" s="12">
        <f t="shared" ref="D7:D11" si="1">SUM(B7:C7)</f>
        <v>56</v>
      </c>
      <c r="E7" s="35">
        <v>24</v>
      </c>
      <c r="F7" s="13">
        <f t="shared" ref="F7:F11" si="2">B7*E7</f>
        <v>768</v>
      </c>
      <c r="G7" s="13">
        <f t="shared" si="0"/>
        <v>576</v>
      </c>
      <c r="H7" s="14">
        <f t="shared" ref="H7:H11" si="3">SUM(F7:G7)</f>
        <v>1344</v>
      </c>
      <c r="I7" s="56" t="e">
        <f>#REF!</f>
        <v>#REF!</v>
      </c>
      <c r="J7" s="57" t="e">
        <f>#REF!</f>
        <v>#REF!</v>
      </c>
      <c r="K7" s="58" t="e">
        <f t="shared" ref="K7:K11" si="4">SUM(I7:J7)</f>
        <v>#REF!</v>
      </c>
      <c r="L7" s="15" t="e">
        <f t="shared" ref="L7:L11" si="5">J7/G7</f>
        <v>#REF!</v>
      </c>
      <c r="M7" s="16" t="e">
        <f t="shared" ref="M7:M11" si="6">I7/F7</f>
        <v>#REF!</v>
      </c>
      <c r="N7" s="17" t="e">
        <f t="shared" ref="N7:N11" si="7">K7/H7</f>
        <v>#REF!</v>
      </c>
      <c r="O7" s="18" t="e">
        <f t="shared" ref="O7:O11" si="8">AVERAGE(L7:M7)</f>
        <v>#REF!</v>
      </c>
    </row>
    <row r="8" spans="1:15" ht="18.75">
      <c r="A8" s="38" t="s">
        <v>25</v>
      </c>
      <c r="B8" s="12">
        <v>26</v>
      </c>
      <c r="C8" s="12">
        <v>26</v>
      </c>
      <c r="D8" s="12">
        <f t="shared" si="1"/>
        <v>52</v>
      </c>
      <c r="E8" s="35">
        <v>24</v>
      </c>
      <c r="F8" s="13">
        <f t="shared" si="2"/>
        <v>624</v>
      </c>
      <c r="G8" s="13">
        <f t="shared" si="0"/>
        <v>624</v>
      </c>
      <c r="H8" s="14">
        <f t="shared" si="3"/>
        <v>1248</v>
      </c>
      <c r="I8" s="56" t="e">
        <f>#REF!</f>
        <v>#REF!</v>
      </c>
      <c r="J8" s="57" t="e">
        <f>#REF!</f>
        <v>#REF!</v>
      </c>
      <c r="K8" s="58" t="e">
        <f t="shared" si="4"/>
        <v>#REF!</v>
      </c>
      <c r="L8" s="15" t="e">
        <f t="shared" si="5"/>
        <v>#REF!</v>
      </c>
      <c r="M8" s="16" t="e">
        <f t="shared" si="6"/>
        <v>#REF!</v>
      </c>
      <c r="N8" s="17" t="e">
        <f t="shared" si="7"/>
        <v>#REF!</v>
      </c>
      <c r="O8" s="18" t="e">
        <f t="shared" si="8"/>
        <v>#REF!</v>
      </c>
    </row>
    <row r="9" spans="1:15" ht="18.75">
      <c r="A9" s="37" t="s">
        <v>27</v>
      </c>
      <c r="B9" s="12">
        <v>28</v>
      </c>
      <c r="C9" s="12">
        <v>24</v>
      </c>
      <c r="D9" s="12">
        <f t="shared" si="1"/>
        <v>52</v>
      </c>
      <c r="E9" s="13">
        <v>24</v>
      </c>
      <c r="F9" s="13">
        <f t="shared" si="2"/>
        <v>672</v>
      </c>
      <c r="G9" s="13">
        <f t="shared" si="0"/>
        <v>576</v>
      </c>
      <c r="H9" s="14">
        <f t="shared" si="3"/>
        <v>1248</v>
      </c>
      <c r="I9" s="56" t="e">
        <f>#REF!</f>
        <v>#REF!</v>
      </c>
      <c r="J9" s="57" t="e">
        <f>#REF!</f>
        <v>#REF!</v>
      </c>
      <c r="K9" s="58" t="e">
        <f>SUM(I9:J9)</f>
        <v>#REF!</v>
      </c>
      <c r="L9" s="15" t="e">
        <f t="shared" si="5"/>
        <v>#REF!</v>
      </c>
      <c r="M9" s="16" t="e">
        <f t="shared" si="6"/>
        <v>#REF!</v>
      </c>
      <c r="N9" s="17" t="e">
        <f>K9/H9</f>
        <v>#REF!</v>
      </c>
      <c r="O9" s="18" t="e">
        <f t="shared" si="8"/>
        <v>#REF!</v>
      </c>
    </row>
    <row r="10" spans="1:15" ht="18.75">
      <c r="A10" s="37" t="s">
        <v>29</v>
      </c>
      <c r="B10" s="12">
        <v>21</v>
      </c>
      <c r="C10" s="12">
        <v>32</v>
      </c>
      <c r="D10" s="12">
        <f t="shared" si="1"/>
        <v>53</v>
      </c>
      <c r="E10" s="13">
        <v>24</v>
      </c>
      <c r="F10" s="13">
        <f t="shared" si="2"/>
        <v>504</v>
      </c>
      <c r="G10" s="13">
        <f t="shared" si="0"/>
        <v>768</v>
      </c>
      <c r="H10" s="14">
        <f t="shared" si="3"/>
        <v>1272</v>
      </c>
      <c r="I10" s="56" t="e">
        <f>#REF!</f>
        <v>#REF!</v>
      </c>
      <c r="J10" s="57" t="e">
        <f>#REF!</f>
        <v>#REF!</v>
      </c>
      <c r="K10" s="58" t="e">
        <f t="shared" si="4"/>
        <v>#REF!</v>
      </c>
      <c r="L10" s="15" t="e">
        <f t="shared" si="5"/>
        <v>#REF!</v>
      </c>
      <c r="M10" s="16" t="e">
        <f t="shared" si="6"/>
        <v>#REF!</v>
      </c>
      <c r="N10" s="17" t="e">
        <f t="shared" si="7"/>
        <v>#REF!</v>
      </c>
      <c r="O10" s="18" t="e">
        <f t="shared" si="8"/>
        <v>#REF!</v>
      </c>
    </row>
    <row r="11" spans="1:15" ht="19.5" thickBot="1">
      <c r="A11" s="37" t="s">
        <v>30</v>
      </c>
      <c r="B11" s="12">
        <v>23</v>
      </c>
      <c r="C11" s="12">
        <v>23</v>
      </c>
      <c r="D11" s="12">
        <f t="shared" si="1"/>
        <v>46</v>
      </c>
      <c r="E11" s="13">
        <v>24</v>
      </c>
      <c r="F11" s="13">
        <f t="shared" si="2"/>
        <v>552</v>
      </c>
      <c r="G11" s="13">
        <f t="shared" si="0"/>
        <v>552</v>
      </c>
      <c r="H11" s="14">
        <f t="shared" si="3"/>
        <v>1104</v>
      </c>
      <c r="I11" s="56" t="e">
        <f>#REF!</f>
        <v>#REF!</v>
      </c>
      <c r="J11" s="57" t="e">
        <f>#REF!</f>
        <v>#REF!</v>
      </c>
      <c r="K11" s="58" t="e">
        <f t="shared" si="4"/>
        <v>#REF!</v>
      </c>
      <c r="L11" s="15" t="e">
        <f t="shared" si="5"/>
        <v>#REF!</v>
      </c>
      <c r="M11" s="16" t="e">
        <f t="shared" si="6"/>
        <v>#REF!</v>
      </c>
      <c r="N11" s="17" t="e">
        <f t="shared" si="7"/>
        <v>#REF!</v>
      </c>
      <c r="O11" s="18" t="e">
        <f t="shared" si="8"/>
        <v>#REF!</v>
      </c>
    </row>
    <row r="12" spans="1:15" ht="18.75">
      <c r="A12" s="21" t="s">
        <v>12</v>
      </c>
      <c r="B12" s="22">
        <f>SUM(B6:B11)</f>
        <v>157</v>
      </c>
      <c r="C12" s="22">
        <f>SUM(C6:C11)</f>
        <v>156</v>
      </c>
      <c r="D12" s="22">
        <f>SUM(D6:D11)</f>
        <v>313</v>
      </c>
      <c r="E12" s="23">
        <f>SUM(E6:E11)</f>
        <v>144</v>
      </c>
      <c r="F12" s="23">
        <f>SUM(F6:F11)</f>
        <v>3768</v>
      </c>
      <c r="G12" s="23">
        <f>SUM(G6:G11)</f>
        <v>3744</v>
      </c>
      <c r="H12" s="29">
        <f>SUM(H6:H11)</f>
        <v>7512</v>
      </c>
      <c r="I12" s="59" t="e">
        <f>SUM(I6:I11)</f>
        <v>#REF!</v>
      </c>
      <c r="J12" s="60" t="e">
        <f>SUM(J6:J11)</f>
        <v>#REF!</v>
      </c>
      <c r="K12" s="61" t="e">
        <f>SUM(K6:K11)</f>
        <v>#REF!</v>
      </c>
      <c r="L12" s="31" t="e">
        <f>J12/G12</f>
        <v>#REF!</v>
      </c>
      <c r="M12" s="24" t="e">
        <f>I12/F12</f>
        <v>#REF!</v>
      </c>
      <c r="N12" s="24" t="e">
        <f>AVERAGE(N6:N11)</f>
        <v>#REF!</v>
      </c>
      <c r="O12" s="25" t="e">
        <f>AVERAGE(O6:O11)</f>
        <v>#REF!</v>
      </c>
    </row>
    <row r="13" spans="1:15" ht="15.75" thickBot="1">
      <c r="A13" s="26" t="s">
        <v>15</v>
      </c>
      <c r="B13" s="27">
        <v>1</v>
      </c>
      <c r="C13" s="27">
        <v>1</v>
      </c>
      <c r="D13" s="28">
        <v>1</v>
      </c>
      <c r="E13" s="27">
        <v>1</v>
      </c>
      <c r="F13" s="27">
        <v>1</v>
      </c>
      <c r="G13" s="28">
        <v>1</v>
      </c>
      <c r="H13" s="30">
        <v>1</v>
      </c>
      <c r="I13" s="33" t="e">
        <f>I12/F12</f>
        <v>#REF!</v>
      </c>
      <c r="J13" s="28" t="e">
        <f>J12/G12</f>
        <v>#REF!</v>
      </c>
      <c r="K13" s="34" t="e">
        <f>K12/H12</f>
        <v>#REF!</v>
      </c>
      <c r="L13" s="32">
        <v>0.54</v>
      </c>
      <c r="M13" s="19">
        <v>0.56000000000000005</v>
      </c>
      <c r="N13" s="19">
        <v>0.55000000000000004</v>
      </c>
      <c r="O13" s="20" t="e">
        <f>AVERAGE(L12:M12)</f>
        <v>#REF!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53FF-FEAE-4C2F-91B6-E3AECEBDD145}">
  <dimension ref="A1:AO40"/>
  <sheetViews>
    <sheetView topLeftCell="A5" zoomScale="98" zoomScaleNormal="98" workbookViewId="0">
      <selection activeCell="AC5" sqref="AC5:AC40"/>
    </sheetView>
  </sheetViews>
  <sheetFormatPr defaultColWidth="3.85546875" defaultRowHeight="1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9" width="3.7109375" style="1" bestFit="1" customWidth="1"/>
    <col min="10" max="10" width="3.85546875" style="1"/>
    <col min="11" max="11" width="4.5703125" style="1" bestFit="1" customWidth="1"/>
    <col min="12" max="12" width="3.85546875" style="1"/>
    <col min="13" max="13" width="4.85546875" style="1" customWidth="1"/>
    <col min="14" max="15" width="3.7109375" style="1" bestFit="1" customWidth="1"/>
    <col min="16" max="16" width="3.85546875" style="1"/>
    <col min="17" max="17" width="4.5703125" style="1" bestFit="1" customWidth="1"/>
    <col min="18" max="19" width="4.5703125" style="1" customWidth="1"/>
    <col min="20" max="20" width="4.7109375" style="1" bestFit="1" customWidth="1"/>
    <col min="21" max="22" width="3.7109375" style="1" bestFit="1" customWidth="1"/>
    <col min="23" max="23" width="3.85546875" style="1"/>
    <col min="24" max="24" width="4.5703125" style="1" bestFit="1" customWidth="1"/>
    <col min="25" max="25" width="3.85546875" style="1"/>
    <col min="26" max="26" width="4.7109375" style="1" bestFit="1" customWidth="1"/>
    <col min="27" max="27" width="3.85546875" style="1"/>
    <col min="28" max="29" width="3.7109375" style="1" bestFit="1" customWidth="1"/>
    <col min="30" max="30" width="3.85546875" style="1"/>
    <col min="31" max="31" width="4.5703125" style="1" bestFit="1" customWidth="1"/>
    <col min="32" max="35" width="3.85546875" style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79" t="s">
        <v>59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10"/>
      <c r="AK1" s="10"/>
    </row>
    <row r="2" spans="1:41" ht="17.25">
      <c r="A2" s="80" t="s">
        <v>60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11"/>
      <c r="AK2" s="11"/>
      <c r="AL2" s="11"/>
    </row>
    <row r="3" spans="1:41" ht="15.75">
      <c r="A3" s="81" t="s">
        <v>0</v>
      </c>
      <c r="B3" s="97" t="s">
        <v>111</v>
      </c>
      <c r="C3" s="81" t="s">
        <v>1</v>
      </c>
      <c r="D3" s="81" t="s">
        <v>2</v>
      </c>
      <c r="E3" s="81" t="s">
        <v>3</v>
      </c>
      <c r="F3" s="2" t="str">
        <f>TEXT(F4,"ddd")</f>
        <v>Fri</v>
      </c>
      <c r="G3" s="2" t="str">
        <f t="shared" ref="G3:AI3" si="0">TEXT(G4,"ddd")</f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73" t="s">
        <v>4</v>
      </c>
      <c r="AK3" s="73" t="s">
        <v>5</v>
      </c>
      <c r="AL3" s="74" t="s">
        <v>19</v>
      </c>
      <c r="AM3" s="75"/>
      <c r="AN3" s="3"/>
      <c r="AO3" s="3"/>
    </row>
    <row r="4" spans="1:41" ht="37.5">
      <c r="A4" s="81"/>
      <c r="B4" s="98"/>
      <c r="C4" s="81"/>
      <c r="D4" s="81"/>
      <c r="E4" s="81"/>
      <c r="F4" s="9">
        <v>45597</v>
      </c>
      <c r="G4" s="9">
        <v>45598</v>
      </c>
      <c r="H4" s="9">
        <v>45599</v>
      </c>
      <c r="I4" s="9">
        <v>45600</v>
      </c>
      <c r="J4" s="9">
        <v>45601</v>
      </c>
      <c r="K4" s="9">
        <v>45602</v>
      </c>
      <c r="L4" s="9">
        <v>45603</v>
      </c>
      <c r="M4" s="9">
        <v>45604</v>
      </c>
      <c r="N4" s="9">
        <v>45605</v>
      </c>
      <c r="O4" s="9">
        <v>45606</v>
      </c>
      <c r="P4" s="9">
        <v>45607</v>
      </c>
      <c r="Q4" s="9">
        <v>45608</v>
      </c>
      <c r="R4" s="9">
        <v>45609</v>
      </c>
      <c r="S4" s="9">
        <v>45610</v>
      </c>
      <c r="T4" s="9">
        <v>45611</v>
      </c>
      <c r="U4" s="9">
        <v>45612</v>
      </c>
      <c r="V4" s="9">
        <v>45613</v>
      </c>
      <c r="W4" s="9">
        <v>45614</v>
      </c>
      <c r="X4" s="9">
        <v>45615</v>
      </c>
      <c r="Y4" s="9">
        <v>45616</v>
      </c>
      <c r="Z4" s="9">
        <v>45617</v>
      </c>
      <c r="AA4" s="9">
        <v>45618</v>
      </c>
      <c r="AB4" s="9">
        <v>45619</v>
      </c>
      <c r="AC4" s="9">
        <v>45620</v>
      </c>
      <c r="AD4" s="9">
        <v>45621</v>
      </c>
      <c r="AE4" s="9">
        <v>45622</v>
      </c>
      <c r="AF4" s="9">
        <v>45623</v>
      </c>
      <c r="AG4" s="9">
        <v>45624</v>
      </c>
      <c r="AH4" s="9">
        <v>45625</v>
      </c>
      <c r="AI4" s="9">
        <v>45626</v>
      </c>
      <c r="AJ4" s="73"/>
      <c r="AK4" s="73"/>
      <c r="AL4" s="4" t="s">
        <v>20</v>
      </c>
      <c r="AM4" s="4">
        <f>SUM(AM5:AM8)</f>
        <v>30</v>
      </c>
      <c r="AN4" s="3"/>
      <c r="AO4" s="3"/>
    </row>
    <row r="5" spans="1:41" ht="15" customHeight="1">
      <c r="A5" s="6">
        <v>1</v>
      </c>
      <c r="B5" s="82">
        <v>910</v>
      </c>
      <c r="C5" s="83" t="s">
        <v>61</v>
      </c>
      <c r="D5" s="84" t="s">
        <v>62</v>
      </c>
      <c r="E5" s="5" t="s">
        <v>58</v>
      </c>
      <c r="F5" s="99" t="s">
        <v>17</v>
      </c>
      <c r="G5" s="99" t="s">
        <v>17</v>
      </c>
      <c r="H5" s="77" t="s">
        <v>196</v>
      </c>
      <c r="I5" s="99" t="s">
        <v>17</v>
      </c>
      <c r="J5" s="99" t="s">
        <v>17</v>
      </c>
      <c r="K5" s="99" t="s">
        <v>17</v>
      </c>
      <c r="L5" s="99" t="s">
        <v>17</v>
      </c>
      <c r="M5" s="99" t="s">
        <v>17</v>
      </c>
      <c r="N5" s="99" t="s">
        <v>17</v>
      </c>
      <c r="O5" s="77" t="s">
        <v>196</v>
      </c>
      <c r="P5" s="99" t="s">
        <v>17</v>
      </c>
      <c r="Q5" s="99" t="s">
        <v>17</v>
      </c>
      <c r="R5" s="99" t="s">
        <v>17</v>
      </c>
      <c r="S5" s="99" t="s">
        <v>17</v>
      </c>
      <c r="T5" s="99" t="s">
        <v>17</v>
      </c>
      <c r="U5" s="99" t="s">
        <v>17</v>
      </c>
      <c r="V5" s="77" t="s">
        <v>196</v>
      </c>
      <c r="W5" s="99" t="s">
        <v>17</v>
      </c>
      <c r="X5" s="99" t="s">
        <v>17</v>
      </c>
      <c r="Y5" s="99" t="s">
        <v>17</v>
      </c>
      <c r="Z5" s="99" t="s">
        <v>17</v>
      </c>
      <c r="AA5" s="99" t="s">
        <v>17</v>
      </c>
      <c r="AB5" s="99" t="s">
        <v>17</v>
      </c>
      <c r="AC5" s="77" t="s">
        <v>196</v>
      </c>
      <c r="AD5" s="99" t="s">
        <v>17</v>
      </c>
      <c r="AE5" s="99" t="s">
        <v>17</v>
      </c>
      <c r="AF5" s="99" t="s">
        <v>17</v>
      </c>
      <c r="AG5" s="99" t="s">
        <v>17</v>
      </c>
      <c r="AH5" s="99" t="s">
        <v>17</v>
      </c>
      <c r="AI5" s="99" t="s">
        <v>17</v>
      </c>
      <c r="AJ5" s="4">
        <f>COUNTIF(F5:AI5,"P")</f>
        <v>26</v>
      </c>
      <c r="AK5" s="4">
        <f>COUNTIF(F5:AI5,"A")</f>
        <v>0</v>
      </c>
      <c r="AL5" s="65" t="s">
        <v>6</v>
      </c>
      <c r="AM5" s="6">
        <v>24</v>
      </c>
      <c r="AN5" s="7"/>
      <c r="AO5" s="3"/>
    </row>
    <row r="6" spans="1:41" ht="16.5">
      <c r="A6" s="6">
        <v>2</v>
      </c>
      <c r="B6" s="85">
        <v>911</v>
      </c>
      <c r="C6" s="86" t="s">
        <v>54</v>
      </c>
      <c r="D6" s="87" t="s">
        <v>63</v>
      </c>
      <c r="E6" s="5" t="s">
        <v>58</v>
      </c>
      <c r="F6" s="99" t="s">
        <v>17</v>
      </c>
      <c r="G6" s="99" t="s">
        <v>17</v>
      </c>
      <c r="H6" s="78"/>
      <c r="I6" s="99" t="s">
        <v>17</v>
      </c>
      <c r="J6" s="99" t="s">
        <v>17</v>
      </c>
      <c r="K6" s="99" t="s">
        <v>17</v>
      </c>
      <c r="L6" s="99" t="s">
        <v>17</v>
      </c>
      <c r="M6" s="99" t="s">
        <v>17</v>
      </c>
      <c r="N6" s="99" t="s">
        <v>17</v>
      </c>
      <c r="O6" s="78"/>
      <c r="P6" s="99" t="s">
        <v>17</v>
      </c>
      <c r="Q6" s="99" t="s">
        <v>17</v>
      </c>
      <c r="R6" s="99" t="s">
        <v>17</v>
      </c>
      <c r="S6" s="99" t="s">
        <v>17</v>
      </c>
      <c r="T6" s="99" t="s">
        <v>17</v>
      </c>
      <c r="U6" s="99" t="s">
        <v>17</v>
      </c>
      <c r="V6" s="78"/>
      <c r="W6" s="99" t="s">
        <v>17</v>
      </c>
      <c r="X6" s="99" t="s">
        <v>17</v>
      </c>
      <c r="Y6" s="99" t="s">
        <v>17</v>
      </c>
      <c r="Z6" s="99" t="s">
        <v>17</v>
      </c>
      <c r="AA6" s="99" t="s">
        <v>17</v>
      </c>
      <c r="AB6" s="99" t="s">
        <v>17</v>
      </c>
      <c r="AC6" s="78"/>
      <c r="AD6" s="99" t="s">
        <v>17</v>
      </c>
      <c r="AE6" s="99" t="s">
        <v>17</v>
      </c>
      <c r="AF6" s="99" t="s">
        <v>17</v>
      </c>
      <c r="AG6" s="99" t="s">
        <v>17</v>
      </c>
      <c r="AH6" s="99" t="s">
        <v>17</v>
      </c>
      <c r="AI6" s="99" t="s">
        <v>17</v>
      </c>
      <c r="AJ6" s="4">
        <f>COUNTIF(F6:AI6,"P")</f>
        <v>26</v>
      </c>
      <c r="AK6" s="4">
        <f>COUNTIF(F6:AI6,"A")</f>
        <v>0</v>
      </c>
      <c r="AL6" s="65" t="s">
        <v>7</v>
      </c>
      <c r="AM6" s="6">
        <v>4</v>
      </c>
      <c r="AN6" s="3"/>
      <c r="AO6" s="3"/>
    </row>
    <row r="7" spans="1:41" ht="16.5">
      <c r="A7" s="6">
        <v>3</v>
      </c>
      <c r="B7" s="85">
        <v>913</v>
      </c>
      <c r="C7" s="86" t="s">
        <v>64</v>
      </c>
      <c r="D7" s="87" t="s">
        <v>65</v>
      </c>
      <c r="E7" s="5" t="s">
        <v>58</v>
      </c>
      <c r="F7" s="99" t="s">
        <v>17</v>
      </c>
      <c r="G7" s="99" t="s">
        <v>17</v>
      </c>
      <c r="H7" s="78"/>
      <c r="I7" s="99" t="s">
        <v>17</v>
      </c>
      <c r="J7" s="99" t="s">
        <v>17</v>
      </c>
      <c r="K7" s="99" t="s">
        <v>17</v>
      </c>
      <c r="L7" s="99" t="s">
        <v>17</v>
      </c>
      <c r="M7" s="99" t="s">
        <v>17</v>
      </c>
      <c r="N7" s="99" t="s">
        <v>17</v>
      </c>
      <c r="O7" s="78"/>
      <c r="P7" s="99" t="s">
        <v>17</v>
      </c>
      <c r="Q7" s="99" t="s">
        <v>17</v>
      </c>
      <c r="R7" s="99" t="s">
        <v>17</v>
      </c>
      <c r="S7" s="99" t="s">
        <v>17</v>
      </c>
      <c r="T7" s="99" t="s">
        <v>17</v>
      </c>
      <c r="U7" s="99" t="s">
        <v>17</v>
      </c>
      <c r="V7" s="78"/>
      <c r="W7" s="99" t="s">
        <v>17</v>
      </c>
      <c r="X7" s="99" t="s">
        <v>17</v>
      </c>
      <c r="Y7" s="99" t="s">
        <v>17</v>
      </c>
      <c r="Z7" s="99" t="s">
        <v>17</v>
      </c>
      <c r="AA7" s="99" t="s">
        <v>17</v>
      </c>
      <c r="AB7" s="99" t="s">
        <v>17</v>
      </c>
      <c r="AC7" s="78"/>
      <c r="AD7" s="99" t="s">
        <v>17</v>
      </c>
      <c r="AE7" s="99" t="s">
        <v>17</v>
      </c>
      <c r="AF7" s="99" t="s">
        <v>17</v>
      </c>
      <c r="AG7" s="99" t="s">
        <v>17</v>
      </c>
      <c r="AH7" s="99" t="s">
        <v>17</v>
      </c>
      <c r="AI7" s="99" t="s">
        <v>17</v>
      </c>
      <c r="AJ7" s="4">
        <f>COUNTIF(F7:AI7,"P")</f>
        <v>26</v>
      </c>
      <c r="AK7" s="4">
        <f>COUNTIF(F7:AI7,"A")</f>
        <v>0</v>
      </c>
      <c r="AL7" s="65" t="s">
        <v>23</v>
      </c>
      <c r="AM7" s="6">
        <v>1</v>
      </c>
      <c r="AN7" s="3"/>
      <c r="AO7" s="3"/>
    </row>
    <row r="8" spans="1:41" ht="16.5">
      <c r="A8" s="6">
        <v>4</v>
      </c>
      <c r="B8" s="85">
        <v>914</v>
      </c>
      <c r="C8" s="86" t="s">
        <v>66</v>
      </c>
      <c r="D8" s="87" t="s">
        <v>67</v>
      </c>
      <c r="E8" s="5" t="s">
        <v>58</v>
      </c>
      <c r="F8" s="99" t="s">
        <v>17</v>
      </c>
      <c r="G8" s="99" t="s">
        <v>17</v>
      </c>
      <c r="H8" s="78"/>
      <c r="I8" s="99" t="s">
        <v>17</v>
      </c>
      <c r="J8" s="99" t="s">
        <v>17</v>
      </c>
      <c r="K8" s="99" t="s">
        <v>17</v>
      </c>
      <c r="L8" s="99" t="s">
        <v>17</v>
      </c>
      <c r="M8" s="99" t="s">
        <v>17</v>
      </c>
      <c r="N8" s="99" t="s">
        <v>17</v>
      </c>
      <c r="O8" s="78"/>
      <c r="P8" s="99" t="s">
        <v>17</v>
      </c>
      <c r="Q8" s="99" t="s">
        <v>17</v>
      </c>
      <c r="R8" s="99" t="s">
        <v>17</v>
      </c>
      <c r="S8" s="99" t="s">
        <v>17</v>
      </c>
      <c r="T8" s="99" t="s">
        <v>17</v>
      </c>
      <c r="U8" s="99" t="s">
        <v>17</v>
      </c>
      <c r="V8" s="78"/>
      <c r="W8" s="99" t="s">
        <v>17</v>
      </c>
      <c r="X8" s="99" t="s">
        <v>17</v>
      </c>
      <c r="Y8" s="99" t="s">
        <v>17</v>
      </c>
      <c r="Z8" s="99" t="s">
        <v>17</v>
      </c>
      <c r="AA8" s="99" t="s">
        <v>17</v>
      </c>
      <c r="AB8" s="99" t="s">
        <v>17</v>
      </c>
      <c r="AC8" s="78"/>
      <c r="AD8" s="99" t="s">
        <v>17</v>
      </c>
      <c r="AE8" s="99" t="s">
        <v>17</v>
      </c>
      <c r="AF8" s="99" t="s">
        <v>17</v>
      </c>
      <c r="AG8" s="99" t="s">
        <v>17</v>
      </c>
      <c r="AH8" s="99" t="s">
        <v>17</v>
      </c>
      <c r="AI8" s="99" t="s">
        <v>17</v>
      </c>
      <c r="AJ8" s="4">
        <f>COUNTIF(F8:AI8,"P")</f>
        <v>26</v>
      </c>
      <c r="AK8" s="4">
        <f>COUNTIF(F8:AI8,"A")</f>
        <v>0</v>
      </c>
      <c r="AL8" s="65" t="s">
        <v>21</v>
      </c>
      <c r="AM8" s="6">
        <v>1</v>
      </c>
      <c r="AN8"/>
      <c r="AO8"/>
    </row>
    <row r="9" spans="1:41" ht="16.5">
      <c r="A9" s="6">
        <v>5</v>
      </c>
      <c r="B9" s="85">
        <v>916</v>
      </c>
      <c r="C9" s="86" t="s">
        <v>68</v>
      </c>
      <c r="D9" s="87" t="s">
        <v>49</v>
      </c>
      <c r="E9" s="5" t="s">
        <v>58</v>
      </c>
      <c r="F9" s="99" t="s">
        <v>17</v>
      </c>
      <c r="G9" s="99" t="s">
        <v>17</v>
      </c>
      <c r="H9" s="78"/>
      <c r="I9" s="99" t="s">
        <v>17</v>
      </c>
      <c r="J9" s="99" t="s">
        <v>17</v>
      </c>
      <c r="K9" s="99" t="s">
        <v>17</v>
      </c>
      <c r="L9" s="99" t="s">
        <v>17</v>
      </c>
      <c r="M9" s="99" t="s">
        <v>17</v>
      </c>
      <c r="N9" s="99" t="s">
        <v>17</v>
      </c>
      <c r="O9" s="78"/>
      <c r="P9" s="99" t="s">
        <v>17</v>
      </c>
      <c r="Q9" s="99" t="s">
        <v>17</v>
      </c>
      <c r="R9" s="99" t="s">
        <v>17</v>
      </c>
      <c r="S9" s="99" t="s">
        <v>17</v>
      </c>
      <c r="T9" s="99" t="s">
        <v>17</v>
      </c>
      <c r="U9" s="99" t="s">
        <v>17</v>
      </c>
      <c r="V9" s="78"/>
      <c r="W9" s="99" t="s">
        <v>17</v>
      </c>
      <c r="X9" s="99" t="s">
        <v>17</v>
      </c>
      <c r="Y9" s="99" t="s">
        <v>17</v>
      </c>
      <c r="Z9" s="99" t="s">
        <v>17</v>
      </c>
      <c r="AA9" s="99" t="s">
        <v>17</v>
      </c>
      <c r="AB9" s="99" t="s">
        <v>17</v>
      </c>
      <c r="AC9" s="78"/>
      <c r="AD9" s="99" t="s">
        <v>17</v>
      </c>
      <c r="AE9" s="99" t="s">
        <v>17</v>
      </c>
      <c r="AF9" s="99" t="s">
        <v>17</v>
      </c>
      <c r="AG9" s="99" t="s">
        <v>17</v>
      </c>
      <c r="AH9" s="99" t="s">
        <v>17</v>
      </c>
      <c r="AI9" s="99" t="s">
        <v>17</v>
      </c>
      <c r="AJ9" s="4">
        <f>COUNTIF(F9:AI9,"P")</f>
        <v>26</v>
      </c>
      <c r="AK9" s="4">
        <f>COUNTIF(F9:AI9,"A")</f>
        <v>0</v>
      </c>
      <c r="AL9" s="65"/>
      <c r="AM9" s="6"/>
    </row>
    <row r="10" spans="1:41" ht="16.5">
      <c r="A10" s="6">
        <v>6</v>
      </c>
      <c r="B10" s="85">
        <v>917</v>
      </c>
      <c r="C10" s="86" t="s">
        <v>69</v>
      </c>
      <c r="D10" s="87" t="s">
        <v>70</v>
      </c>
      <c r="E10" s="5" t="s">
        <v>58</v>
      </c>
      <c r="F10" s="99" t="s">
        <v>17</v>
      </c>
      <c r="G10" s="99" t="s">
        <v>17</v>
      </c>
      <c r="H10" s="78"/>
      <c r="I10" s="99" t="s">
        <v>17</v>
      </c>
      <c r="J10" s="99" t="s">
        <v>17</v>
      </c>
      <c r="K10" s="99" t="s">
        <v>17</v>
      </c>
      <c r="L10" s="99" t="s">
        <v>17</v>
      </c>
      <c r="M10" s="99" t="s">
        <v>17</v>
      </c>
      <c r="N10" s="99" t="s">
        <v>17</v>
      </c>
      <c r="O10" s="78"/>
      <c r="P10" s="99" t="s">
        <v>17</v>
      </c>
      <c r="Q10" s="99" t="s">
        <v>17</v>
      </c>
      <c r="R10" s="99" t="s">
        <v>17</v>
      </c>
      <c r="S10" s="99" t="s">
        <v>17</v>
      </c>
      <c r="T10" s="99" t="s">
        <v>17</v>
      </c>
      <c r="U10" s="99" t="s">
        <v>17</v>
      </c>
      <c r="V10" s="78"/>
      <c r="W10" s="99" t="s">
        <v>17</v>
      </c>
      <c r="X10" s="99" t="s">
        <v>17</v>
      </c>
      <c r="Y10" s="99" t="s">
        <v>17</v>
      </c>
      <c r="Z10" s="99" t="s">
        <v>17</v>
      </c>
      <c r="AA10" s="99" t="s">
        <v>17</v>
      </c>
      <c r="AB10" s="99" t="s">
        <v>17</v>
      </c>
      <c r="AC10" s="78"/>
      <c r="AD10" s="99" t="s">
        <v>17</v>
      </c>
      <c r="AE10" s="99" t="s">
        <v>17</v>
      </c>
      <c r="AF10" s="99" t="s">
        <v>17</v>
      </c>
      <c r="AG10" s="99" t="s">
        <v>17</v>
      </c>
      <c r="AH10" s="99" t="s">
        <v>17</v>
      </c>
      <c r="AI10" s="99" t="s">
        <v>17</v>
      </c>
      <c r="AJ10" s="4">
        <f>COUNTIF(F10:AI10,"P")</f>
        <v>26</v>
      </c>
      <c r="AK10" s="4">
        <f>COUNTIF(F10:AI10,"A")</f>
        <v>0</v>
      </c>
    </row>
    <row r="11" spans="1:41" ht="16.5">
      <c r="A11" s="6">
        <v>7</v>
      </c>
      <c r="B11" s="85">
        <v>918</v>
      </c>
      <c r="C11" s="86" t="s">
        <v>71</v>
      </c>
      <c r="D11" s="87" t="s">
        <v>70</v>
      </c>
      <c r="E11" s="5" t="s">
        <v>58</v>
      </c>
      <c r="F11" s="99" t="s">
        <v>17</v>
      </c>
      <c r="G11" s="99" t="s">
        <v>17</v>
      </c>
      <c r="H11" s="78"/>
      <c r="I11" s="99" t="s">
        <v>17</v>
      </c>
      <c r="J11" s="99" t="s">
        <v>17</v>
      </c>
      <c r="K11" s="99" t="s">
        <v>17</v>
      </c>
      <c r="L11" s="99" t="s">
        <v>17</v>
      </c>
      <c r="M11" s="99" t="s">
        <v>17</v>
      </c>
      <c r="N11" s="99" t="s">
        <v>17</v>
      </c>
      <c r="O11" s="78"/>
      <c r="P11" s="99" t="s">
        <v>17</v>
      </c>
      <c r="Q11" s="99" t="s">
        <v>17</v>
      </c>
      <c r="R11" s="99" t="s">
        <v>17</v>
      </c>
      <c r="S11" s="99" t="s">
        <v>17</v>
      </c>
      <c r="T11" s="99" t="s">
        <v>17</v>
      </c>
      <c r="U11" s="99" t="s">
        <v>17</v>
      </c>
      <c r="V11" s="78"/>
      <c r="W11" s="99" t="s">
        <v>17</v>
      </c>
      <c r="X11" s="99" t="s">
        <v>17</v>
      </c>
      <c r="Y11" s="99" t="s">
        <v>17</v>
      </c>
      <c r="Z11" s="99" t="s">
        <v>17</v>
      </c>
      <c r="AA11" s="99" t="s">
        <v>17</v>
      </c>
      <c r="AB11" s="99" t="s">
        <v>17</v>
      </c>
      <c r="AC11" s="78"/>
      <c r="AD11" s="99" t="s">
        <v>17</v>
      </c>
      <c r="AE11" s="99" t="s">
        <v>17</v>
      </c>
      <c r="AF11" s="99" t="s">
        <v>17</v>
      </c>
      <c r="AG11" s="99" t="s">
        <v>17</v>
      </c>
      <c r="AH11" s="99" t="s">
        <v>17</v>
      </c>
      <c r="AI11" s="99" t="s">
        <v>17</v>
      </c>
      <c r="AJ11" s="4">
        <f>COUNTIF(F11:AI11,"P")</f>
        <v>26</v>
      </c>
      <c r="AK11" s="4">
        <f>COUNTIF(F11:AI11,"A")</f>
        <v>0</v>
      </c>
      <c r="AL11" s="75" t="s">
        <v>8</v>
      </c>
      <c r="AM11" s="75"/>
      <c r="AN11" s="75"/>
      <c r="AO11" s="76"/>
    </row>
    <row r="12" spans="1:41" ht="16.5">
      <c r="A12" s="6">
        <v>8</v>
      </c>
      <c r="B12" s="85">
        <v>919</v>
      </c>
      <c r="C12" s="86" t="s">
        <v>72</v>
      </c>
      <c r="D12" s="87" t="s">
        <v>73</v>
      </c>
      <c r="E12" s="5" t="s">
        <v>58</v>
      </c>
      <c r="F12" s="99" t="s">
        <v>17</v>
      </c>
      <c r="G12" s="99" t="s">
        <v>17</v>
      </c>
      <c r="H12" s="78"/>
      <c r="I12" s="99" t="s">
        <v>17</v>
      </c>
      <c r="J12" s="99" t="s">
        <v>17</v>
      </c>
      <c r="K12" s="99" t="s">
        <v>17</v>
      </c>
      <c r="L12" s="99" t="s">
        <v>17</v>
      </c>
      <c r="M12" s="99" t="s">
        <v>17</v>
      </c>
      <c r="N12" s="99" t="s">
        <v>17</v>
      </c>
      <c r="O12" s="78"/>
      <c r="P12" s="99" t="s">
        <v>17</v>
      </c>
      <c r="Q12" s="99" t="s">
        <v>17</v>
      </c>
      <c r="R12" s="99" t="s">
        <v>17</v>
      </c>
      <c r="S12" s="99" t="s">
        <v>17</v>
      </c>
      <c r="T12" s="99" t="s">
        <v>17</v>
      </c>
      <c r="U12" s="99" t="s">
        <v>17</v>
      </c>
      <c r="V12" s="78"/>
      <c r="W12" s="99" t="s">
        <v>17</v>
      </c>
      <c r="X12" s="99" t="s">
        <v>17</v>
      </c>
      <c r="Y12" s="99" t="s">
        <v>17</v>
      </c>
      <c r="Z12" s="99" t="s">
        <v>17</v>
      </c>
      <c r="AA12" s="99" t="s">
        <v>17</v>
      </c>
      <c r="AB12" s="99" t="s">
        <v>17</v>
      </c>
      <c r="AC12" s="78"/>
      <c r="AD12" s="99" t="s">
        <v>17</v>
      </c>
      <c r="AE12" s="99" t="s">
        <v>17</v>
      </c>
      <c r="AF12" s="99" t="s">
        <v>17</v>
      </c>
      <c r="AG12" s="99" t="s">
        <v>17</v>
      </c>
      <c r="AH12" s="99" t="s">
        <v>17</v>
      </c>
      <c r="AI12" s="99" t="s">
        <v>17</v>
      </c>
      <c r="AJ12" s="4">
        <f>COUNTIF(F12:AI12,"P")</f>
        <v>26</v>
      </c>
      <c r="AK12" s="4">
        <f>COUNTIF(F12:AI12,"A")</f>
        <v>0</v>
      </c>
      <c r="AL12" s="65" t="s">
        <v>9</v>
      </c>
      <c r="AM12" s="4" t="s">
        <v>10</v>
      </c>
      <c r="AN12" s="4" t="s">
        <v>11</v>
      </c>
      <c r="AO12" s="4" t="s">
        <v>12</v>
      </c>
    </row>
    <row r="13" spans="1:41" ht="16.5">
      <c r="A13" s="6">
        <v>9</v>
      </c>
      <c r="B13" s="88">
        <v>921</v>
      </c>
      <c r="C13" s="86" t="s">
        <v>74</v>
      </c>
      <c r="D13" s="87" t="s">
        <v>73</v>
      </c>
      <c r="E13" s="5" t="s">
        <v>58</v>
      </c>
      <c r="F13" s="99" t="s">
        <v>17</v>
      </c>
      <c r="G13" s="99" t="s">
        <v>17</v>
      </c>
      <c r="H13" s="78"/>
      <c r="I13" s="99" t="s">
        <v>17</v>
      </c>
      <c r="J13" s="99" t="s">
        <v>17</v>
      </c>
      <c r="K13" s="99" t="s">
        <v>17</v>
      </c>
      <c r="L13" s="99" t="s">
        <v>17</v>
      </c>
      <c r="M13" s="99" t="s">
        <v>17</v>
      </c>
      <c r="N13" s="99" t="s">
        <v>17</v>
      </c>
      <c r="O13" s="78"/>
      <c r="P13" s="99" t="s">
        <v>17</v>
      </c>
      <c r="Q13" s="99" t="s">
        <v>17</v>
      </c>
      <c r="R13" s="99" t="s">
        <v>17</v>
      </c>
      <c r="S13" s="99" t="s">
        <v>17</v>
      </c>
      <c r="T13" s="99" t="s">
        <v>17</v>
      </c>
      <c r="U13" s="99" t="s">
        <v>17</v>
      </c>
      <c r="V13" s="78"/>
      <c r="W13" s="99" t="s">
        <v>17</v>
      </c>
      <c r="X13" s="99" t="s">
        <v>17</v>
      </c>
      <c r="Y13" s="99" t="s">
        <v>17</v>
      </c>
      <c r="Z13" s="99" t="s">
        <v>17</v>
      </c>
      <c r="AA13" s="99" t="s">
        <v>17</v>
      </c>
      <c r="AB13" s="99" t="s">
        <v>17</v>
      </c>
      <c r="AC13" s="78"/>
      <c r="AD13" s="99" t="s">
        <v>17</v>
      </c>
      <c r="AE13" s="99" t="s">
        <v>17</v>
      </c>
      <c r="AF13" s="99" t="s">
        <v>17</v>
      </c>
      <c r="AG13" s="99" t="s">
        <v>17</v>
      </c>
      <c r="AH13" s="99" t="s">
        <v>17</v>
      </c>
      <c r="AI13" s="99" t="s">
        <v>17</v>
      </c>
      <c r="AJ13" s="4">
        <f>COUNTIF(F13:AI13,"P")</f>
        <v>26</v>
      </c>
      <c r="AK13" s="4">
        <f>COUNTIF(F13:AI13,"A")</f>
        <v>0</v>
      </c>
      <c r="AL13" s="65" t="s">
        <v>13</v>
      </c>
      <c r="AM13" s="6">
        <f>27*$AM$5</f>
        <v>648</v>
      </c>
      <c r="AN13" s="6">
        <f>27*$AM$5</f>
        <v>648</v>
      </c>
      <c r="AO13" s="6">
        <f>SUM(AM13:AN13)</f>
        <v>1296</v>
      </c>
    </row>
    <row r="14" spans="1:41" ht="16.5">
      <c r="A14" s="6">
        <v>10</v>
      </c>
      <c r="B14" s="88">
        <v>922</v>
      </c>
      <c r="C14" s="86" t="s">
        <v>56</v>
      </c>
      <c r="D14" s="87" t="s">
        <v>75</v>
      </c>
      <c r="E14" s="5" t="s">
        <v>58</v>
      </c>
      <c r="F14" s="99" t="s">
        <v>17</v>
      </c>
      <c r="G14" s="99" t="s">
        <v>17</v>
      </c>
      <c r="H14" s="78"/>
      <c r="I14" s="99" t="s">
        <v>17</v>
      </c>
      <c r="J14" s="99" t="s">
        <v>17</v>
      </c>
      <c r="K14" s="99" t="s">
        <v>17</v>
      </c>
      <c r="L14" s="99" t="s">
        <v>17</v>
      </c>
      <c r="M14" s="99" t="s">
        <v>17</v>
      </c>
      <c r="N14" s="99" t="s">
        <v>17</v>
      </c>
      <c r="O14" s="78"/>
      <c r="P14" s="99" t="s">
        <v>17</v>
      </c>
      <c r="Q14" s="99" t="s">
        <v>17</v>
      </c>
      <c r="R14" s="99" t="s">
        <v>17</v>
      </c>
      <c r="S14" s="99" t="s">
        <v>17</v>
      </c>
      <c r="T14" s="99" t="s">
        <v>17</v>
      </c>
      <c r="U14" s="99" t="s">
        <v>17</v>
      </c>
      <c r="V14" s="78"/>
      <c r="W14" s="99" t="s">
        <v>17</v>
      </c>
      <c r="X14" s="99" t="s">
        <v>17</v>
      </c>
      <c r="Y14" s="99" t="s">
        <v>17</v>
      </c>
      <c r="Z14" s="99" t="s">
        <v>17</v>
      </c>
      <c r="AA14" s="99" t="s">
        <v>17</v>
      </c>
      <c r="AB14" s="99" t="s">
        <v>17</v>
      </c>
      <c r="AC14" s="78"/>
      <c r="AD14" s="99" t="s">
        <v>17</v>
      </c>
      <c r="AE14" s="99" t="s">
        <v>17</v>
      </c>
      <c r="AF14" s="99" t="s">
        <v>17</v>
      </c>
      <c r="AG14" s="99" t="s">
        <v>17</v>
      </c>
      <c r="AH14" s="99" t="s">
        <v>17</v>
      </c>
      <c r="AI14" s="99" t="s">
        <v>17</v>
      </c>
      <c r="AJ14" s="4">
        <f>COUNTIF(F14:AI14,"P")</f>
        <v>26</v>
      </c>
      <c r="AK14" s="4">
        <f>COUNTIF(F14:AI14,"A")</f>
        <v>0</v>
      </c>
      <c r="AL14" s="65" t="s">
        <v>14</v>
      </c>
      <c r="AM14" s="6" t="e">
        <f>SUM(AJ6,AJ9,AJ11,AJ13,AJ16,AJ21,AJ22,AJ23,AJ24,AJ25,AJ26,AJ27,AJ32,AJ34,AJ36,AJ40,#REF!,#REF!,#REF!,#REF!,#REF!,#REF!,#REF!,#REF!,#REF!,#REF!,#REF!)</f>
        <v>#REF!</v>
      </c>
      <c r="AN14" s="6" t="e">
        <f>SUM(AJ5,AJ7,AJ8,AJ10,AJ12,AJ14,AJ15,AJ17,AJ18,AJ19,AJ20,AJ28,AJ29,AJ30,AJ31,AJ33,AJ35,AJ37,AJ38,AJ39,#REF!,#REF!,#REF!,#REF!,#REF!,#REF!,#REF!)</f>
        <v>#REF!</v>
      </c>
      <c r="AO14" s="6" t="e">
        <f>AM14+AN14</f>
        <v>#REF!</v>
      </c>
    </row>
    <row r="15" spans="1:41" ht="16.5">
      <c r="A15" s="6">
        <v>11</v>
      </c>
      <c r="B15" s="88">
        <v>923</v>
      </c>
      <c r="C15" s="86" t="s">
        <v>76</v>
      </c>
      <c r="D15" s="87" t="s">
        <v>75</v>
      </c>
      <c r="E15" s="5" t="s">
        <v>58</v>
      </c>
      <c r="F15" s="99" t="s">
        <v>17</v>
      </c>
      <c r="G15" s="99" t="s">
        <v>17</v>
      </c>
      <c r="H15" s="78"/>
      <c r="I15" s="99" t="s">
        <v>17</v>
      </c>
      <c r="J15" s="99" t="s">
        <v>17</v>
      </c>
      <c r="K15" s="99" t="s">
        <v>17</v>
      </c>
      <c r="L15" s="99" t="s">
        <v>17</v>
      </c>
      <c r="M15" s="99" t="s">
        <v>17</v>
      </c>
      <c r="N15" s="99" t="s">
        <v>17</v>
      </c>
      <c r="O15" s="78"/>
      <c r="P15" s="99" t="s">
        <v>17</v>
      </c>
      <c r="Q15" s="99" t="s">
        <v>17</v>
      </c>
      <c r="R15" s="99" t="s">
        <v>17</v>
      </c>
      <c r="S15" s="99" t="s">
        <v>17</v>
      </c>
      <c r="T15" s="99" t="s">
        <v>17</v>
      </c>
      <c r="U15" s="99" t="s">
        <v>17</v>
      </c>
      <c r="V15" s="78"/>
      <c r="W15" s="99" t="s">
        <v>17</v>
      </c>
      <c r="X15" s="99" t="s">
        <v>17</v>
      </c>
      <c r="Y15" s="99" t="s">
        <v>17</v>
      </c>
      <c r="Z15" s="99" t="s">
        <v>17</v>
      </c>
      <c r="AA15" s="99" t="s">
        <v>17</v>
      </c>
      <c r="AB15" s="99" t="s">
        <v>17</v>
      </c>
      <c r="AC15" s="78"/>
      <c r="AD15" s="99" t="s">
        <v>17</v>
      </c>
      <c r="AE15" s="99" t="s">
        <v>17</v>
      </c>
      <c r="AF15" s="99" t="s">
        <v>17</v>
      </c>
      <c r="AG15" s="99" t="s">
        <v>17</v>
      </c>
      <c r="AH15" s="99" t="s">
        <v>17</v>
      </c>
      <c r="AI15" s="99" t="s">
        <v>17</v>
      </c>
      <c r="AJ15" s="4">
        <f>COUNTIF(F15:AI15,"P")</f>
        <v>26</v>
      </c>
      <c r="AK15" s="4">
        <f>COUNTIF(F15:AI15,"A")</f>
        <v>0</v>
      </c>
      <c r="AL15" s="65" t="s">
        <v>15</v>
      </c>
      <c r="AM15" s="8" t="e">
        <f>AM14/AM13</f>
        <v>#REF!</v>
      </c>
      <c r="AN15" s="8" t="e">
        <f>AN14/AN13</f>
        <v>#REF!</v>
      </c>
      <c r="AO15" s="8" t="e">
        <f>AO14/AO13</f>
        <v>#REF!</v>
      </c>
    </row>
    <row r="16" spans="1:41" ht="16.5">
      <c r="A16" s="6">
        <v>12</v>
      </c>
      <c r="B16" s="88">
        <v>924</v>
      </c>
      <c r="C16" s="86" t="s">
        <v>77</v>
      </c>
      <c r="D16" s="87" t="s">
        <v>78</v>
      </c>
      <c r="E16" s="5" t="s">
        <v>58</v>
      </c>
      <c r="F16" s="99" t="s">
        <v>17</v>
      </c>
      <c r="G16" s="99" t="s">
        <v>17</v>
      </c>
      <c r="H16" s="78"/>
      <c r="I16" s="99" t="s">
        <v>17</v>
      </c>
      <c r="J16" s="99" t="s">
        <v>17</v>
      </c>
      <c r="K16" s="99" t="s">
        <v>17</v>
      </c>
      <c r="L16" s="99" t="s">
        <v>17</v>
      </c>
      <c r="M16" s="99" t="s">
        <v>17</v>
      </c>
      <c r="N16" s="99" t="s">
        <v>17</v>
      </c>
      <c r="O16" s="78"/>
      <c r="P16" s="99" t="s">
        <v>17</v>
      </c>
      <c r="Q16" s="99" t="s">
        <v>17</v>
      </c>
      <c r="R16" s="99" t="s">
        <v>17</v>
      </c>
      <c r="S16" s="99" t="s">
        <v>17</v>
      </c>
      <c r="T16" s="99" t="s">
        <v>17</v>
      </c>
      <c r="U16" s="99" t="s">
        <v>17</v>
      </c>
      <c r="V16" s="78"/>
      <c r="W16" s="99" t="s">
        <v>17</v>
      </c>
      <c r="X16" s="99" t="s">
        <v>17</v>
      </c>
      <c r="Y16" s="99" t="s">
        <v>17</v>
      </c>
      <c r="Z16" s="99" t="s">
        <v>17</v>
      </c>
      <c r="AA16" s="99" t="s">
        <v>17</v>
      </c>
      <c r="AB16" s="99" t="s">
        <v>17</v>
      </c>
      <c r="AC16" s="78"/>
      <c r="AD16" s="99" t="s">
        <v>17</v>
      </c>
      <c r="AE16" s="99" t="s">
        <v>17</v>
      </c>
      <c r="AF16" s="99" t="s">
        <v>17</v>
      </c>
      <c r="AG16" s="99" t="s">
        <v>17</v>
      </c>
      <c r="AH16" s="99" t="s">
        <v>17</v>
      </c>
      <c r="AI16" s="99" t="s">
        <v>17</v>
      </c>
      <c r="AJ16" s="4">
        <f>COUNTIF(F16:AI16,"P")</f>
        <v>26</v>
      </c>
      <c r="AK16" s="4">
        <f>COUNTIF(F16:AI16,"A")</f>
        <v>0</v>
      </c>
      <c r="AL16"/>
      <c r="AM16"/>
      <c r="AN16"/>
      <c r="AO16"/>
    </row>
    <row r="17" spans="1:41" ht="16.5">
      <c r="A17" s="6">
        <v>13</v>
      </c>
      <c r="B17" s="88">
        <v>928</v>
      </c>
      <c r="C17" s="86" t="s">
        <v>79</v>
      </c>
      <c r="D17" s="87" t="s">
        <v>80</v>
      </c>
      <c r="E17" s="5" t="s">
        <v>58</v>
      </c>
      <c r="F17" s="99" t="s">
        <v>17</v>
      </c>
      <c r="G17" s="99" t="s">
        <v>17</v>
      </c>
      <c r="H17" s="78"/>
      <c r="I17" s="99" t="s">
        <v>17</v>
      </c>
      <c r="J17" s="99" t="s">
        <v>17</v>
      </c>
      <c r="K17" s="99" t="s">
        <v>17</v>
      </c>
      <c r="L17" s="99" t="s">
        <v>17</v>
      </c>
      <c r="M17" s="99" t="s">
        <v>17</v>
      </c>
      <c r="N17" s="99" t="s">
        <v>17</v>
      </c>
      <c r="O17" s="78"/>
      <c r="P17" s="99" t="s">
        <v>17</v>
      </c>
      <c r="Q17" s="99" t="s">
        <v>17</v>
      </c>
      <c r="R17" s="99" t="s">
        <v>17</v>
      </c>
      <c r="S17" s="99" t="s">
        <v>17</v>
      </c>
      <c r="T17" s="99" t="s">
        <v>17</v>
      </c>
      <c r="U17" s="99" t="s">
        <v>17</v>
      </c>
      <c r="V17" s="78"/>
      <c r="W17" s="99" t="s">
        <v>17</v>
      </c>
      <c r="X17" s="99" t="s">
        <v>17</v>
      </c>
      <c r="Y17" s="99" t="s">
        <v>17</v>
      </c>
      <c r="Z17" s="99" t="s">
        <v>17</v>
      </c>
      <c r="AA17" s="99" t="s">
        <v>17</v>
      </c>
      <c r="AB17" s="99" t="s">
        <v>17</v>
      </c>
      <c r="AC17" s="78"/>
      <c r="AD17" s="99" t="s">
        <v>17</v>
      </c>
      <c r="AE17" s="99" t="s">
        <v>17</v>
      </c>
      <c r="AF17" s="99" t="s">
        <v>17</v>
      </c>
      <c r="AG17" s="99" t="s">
        <v>17</v>
      </c>
      <c r="AH17" s="99" t="s">
        <v>17</v>
      </c>
      <c r="AI17" s="99" t="s">
        <v>17</v>
      </c>
      <c r="AJ17" s="4">
        <f>COUNTIF(F17:AI17,"P")</f>
        <v>26</v>
      </c>
      <c r="AK17" s="4">
        <f>COUNTIF(F17:AI17,"A")</f>
        <v>0</v>
      </c>
      <c r="AL17"/>
      <c r="AM17"/>
      <c r="AN17"/>
      <c r="AO17"/>
    </row>
    <row r="18" spans="1:41" ht="16.5">
      <c r="A18" s="6">
        <v>14</v>
      </c>
      <c r="B18" s="88">
        <v>929</v>
      </c>
      <c r="C18" s="86" t="s">
        <v>81</v>
      </c>
      <c r="D18" s="87" t="s">
        <v>18</v>
      </c>
      <c r="E18" s="5" t="s">
        <v>58</v>
      </c>
      <c r="F18" s="99" t="s">
        <v>17</v>
      </c>
      <c r="G18" s="99" t="s">
        <v>17</v>
      </c>
      <c r="H18" s="78"/>
      <c r="I18" s="99" t="s">
        <v>17</v>
      </c>
      <c r="J18" s="99" t="s">
        <v>17</v>
      </c>
      <c r="K18" s="99" t="s">
        <v>17</v>
      </c>
      <c r="L18" s="99" t="s">
        <v>17</v>
      </c>
      <c r="M18" s="99" t="s">
        <v>17</v>
      </c>
      <c r="N18" s="99" t="s">
        <v>17</v>
      </c>
      <c r="O18" s="78"/>
      <c r="P18" s="99" t="s">
        <v>17</v>
      </c>
      <c r="Q18" s="99" t="s">
        <v>17</v>
      </c>
      <c r="R18" s="99" t="s">
        <v>17</v>
      </c>
      <c r="S18" s="99" t="s">
        <v>17</v>
      </c>
      <c r="T18" s="99" t="s">
        <v>17</v>
      </c>
      <c r="U18" s="99" t="s">
        <v>17</v>
      </c>
      <c r="V18" s="78"/>
      <c r="W18" s="99" t="s">
        <v>17</v>
      </c>
      <c r="X18" s="99" t="s">
        <v>17</v>
      </c>
      <c r="Y18" s="99" t="s">
        <v>17</v>
      </c>
      <c r="Z18" s="99" t="s">
        <v>17</v>
      </c>
      <c r="AA18" s="99" t="s">
        <v>17</v>
      </c>
      <c r="AB18" s="99" t="s">
        <v>17</v>
      </c>
      <c r="AC18" s="78"/>
      <c r="AD18" s="99" t="s">
        <v>17</v>
      </c>
      <c r="AE18" s="99" t="s">
        <v>17</v>
      </c>
      <c r="AF18" s="99" t="s">
        <v>17</v>
      </c>
      <c r="AG18" s="99" t="s">
        <v>17</v>
      </c>
      <c r="AH18" s="99" t="s">
        <v>17</v>
      </c>
      <c r="AI18" s="99" t="s">
        <v>17</v>
      </c>
      <c r="AJ18" s="4">
        <f>COUNTIF(F18:AI18,"P")</f>
        <v>26</v>
      </c>
      <c r="AK18" s="4">
        <f>COUNTIF(F18:AI18,"A")</f>
        <v>0</v>
      </c>
      <c r="AL18"/>
      <c r="AM18"/>
      <c r="AN18"/>
      <c r="AO18"/>
    </row>
    <row r="19" spans="1:41" ht="16.5">
      <c r="A19" s="6">
        <v>15</v>
      </c>
      <c r="B19" s="88">
        <v>930</v>
      </c>
      <c r="C19" s="86" t="s">
        <v>31</v>
      </c>
      <c r="D19" s="87" t="s">
        <v>18</v>
      </c>
      <c r="E19" s="5" t="s">
        <v>58</v>
      </c>
      <c r="F19" s="99" t="s">
        <v>17</v>
      </c>
      <c r="G19" s="99" t="s">
        <v>17</v>
      </c>
      <c r="H19" s="78"/>
      <c r="I19" s="99" t="s">
        <v>17</v>
      </c>
      <c r="J19" s="99" t="s">
        <v>17</v>
      </c>
      <c r="K19" s="99" t="s">
        <v>17</v>
      </c>
      <c r="L19" s="99" t="s">
        <v>17</v>
      </c>
      <c r="M19" s="99" t="s">
        <v>17</v>
      </c>
      <c r="N19" s="99" t="s">
        <v>17</v>
      </c>
      <c r="O19" s="78"/>
      <c r="P19" s="99" t="s">
        <v>17</v>
      </c>
      <c r="Q19" s="99" t="s">
        <v>17</v>
      </c>
      <c r="R19" s="99" t="s">
        <v>17</v>
      </c>
      <c r="S19" s="99" t="s">
        <v>17</v>
      </c>
      <c r="T19" s="99" t="s">
        <v>17</v>
      </c>
      <c r="U19" s="99" t="s">
        <v>17</v>
      </c>
      <c r="V19" s="78"/>
      <c r="W19" s="99" t="s">
        <v>17</v>
      </c>
      <c r="X19" s="99" t="s">
        <v>17</v>
      </c>
      <c r="Y19" s="99" t="s">
        <v>17</v>
      </c>
      <c r="Z19" s="99" t="s">
        <v>17</v>
      </c>
      <c r="AA19" s="99" t="s">
        <v>17</v>
      </c>
      <c r="AB19" s="99" t="s">
        <v>17</v>
      </c>
      <c r="AC19" s="78"/>
      <c r="AD19" s="99" t="s">
        <v>17</v>
      </c>
      <c r="AE19" s="99" t="s">
        <v>17</v>
      </c>
      <c r="AF19" s="99" t="s">
        <v>17</v>
      </c>
      <c r="AG19" s="99" t="s">
        <v>17</v>
      </c>
      <c r="AH19" s="99" t="s">
        <v>17</v>
      </c>
      <c r="AI19" s="99" t="s">
        <v>17</v>
      </c>
      <c r="AJ19" s="4">
        <f>COUNTIF(F19:AI19,"P")</f>
        <v>26</v>
      </c>
      <c r="AK19" s="4">
        <f>COUNTIF(F19:AI19,"A")</f>
        <v>0</v>
      </c>
      <c r="AL19" s="75" t="s">
        <v>22</v>
      </c>
      <c r="AM19" s="75"/>
      <c r="AN19" s="75"/>
      <c r="AO19" s="76"/>
    </row>
    <row r="20" spans="1:41" ht="16.5">
      <c r="A20" s="6">
        <v>16</v>
      </c>
      <c r="B20" s="88">
        <v>931</v>
      </c>
      <c r="C20" s="86" t="s">
        <v>82</v>
      </c>
      <c r="D20" s="87" t="s">
        <v>83</v>
      </c>
      <c r="E20" s="5" t="s">
        <v>58</v>
      </c>
      <c r="F20" s="99" t="s">
        <v>17</v>
      </c>
      <c r="G20" s="99" t="s">
        <v>17</v>
      </c>
      <c r="H20" s="78"/>
      <c r="I20" s="99" t="s">
        <v>17</v>
      </c>
      <c r="J20" s="99" t="s">
        <v>17</v>
      </c>
      <c r="K20" s="99" t="s">
        <v>17</v>
      </c>
      <c r="L20" s="99" t="s">
        <v>17</v>
      </c>
      <c r="M20" s="99" t="s">
        <v>17</v>
      </c>
      <c r="N20" s="99" t="s">
        <v>17</v>
      </c>
      <c r="O20" s="78"/>
      <c r="P20" s="99" t="s">
        <v>17</v>
      </c>
      <c r="Q20" s="99" t="s">
        <v>17</v>
      </c>
      <c r="R20" s="99" t="s">
        <v>17</v>
      </c>
      <c r="S20" s="99" t="s">
        <v>17</v>
      </c>
      <c r="T20" s="99" t="s">
        <v>17</v>
      </c>
      <c r="U20" s="99" t="s">
        <v>17</v>
      </c>
      <c r="V20" s="78"/>
      <c r="W20" s="99" t="s">
        <v>17</v>
      </c>
      <c r="X20" s="99" t="s">
        <v>17</v>
      </c>
      <c r="Y20" s="99" t="s">
        <v>17</v>
      </c>
      <c r="Z20" s="99" t="s">
        <v>17</v>
      </c>
      <c r="AA20" s="99" t="s">
        <v>17</v>
      </c>
      <c r="AB20" s="99" t="s">
        <v>17</v>
      </c>
      <c r="AC20" s="78"/>
      <c r="AD20" s="99" t="s">
        <v>17</v>
      </c>
      <c r="AE20" s="99" t="s">
        <v>17</v>
      </c>
      <c r="AF20" s="99" t="s">
        <v>17</v>
      </c>
      <c r="AG20" s="99" t="s">
        <v>17</v>
      </c>
      <c r="AH20" s="99" t="s">
        <v>17</v>
      </c>
      <c r="AI20" s="99" t="s">
        <v>17</v>
      </c>
      <c r="AJ20" s="4">
        <f>COUNTIF(F20:AI20,"P")</f>
        <v>26</v>
      </c>
      <c r="AK20" s="4">
        <f>COUNTIF(F20:AI20,"A")</f>
        <v>0</v>
      </c>
      <c r="AL20" s="65" t="s">
        <v>9</v>
      </c>
      <c r="AM20" s="4" t="s">
        <v>10</v>
      </c>
      <c r="AN20" s="4" t="s">
        <v>11</v>
      </c>
      <c r="AO20" s="4" t="s">
        <v>12</v>
      </c>
    </row>
    <row r="21" spans="1:41" ht="16.5">
      <c r="A21" s="6">
        <v>17</v>
      </c>
      <c r="B21" s="85">
        <v>934</v>
      </c>
      <c r="C21" s="86" t="s">
        <v>52</v>
      </c>
      <c r="D21" s="87" t="s">
        <v>80</v>
      </c>
      <c r="E21" s="5" t="s">
        <v>58</v>
      </c>
      <c r="F21" s="99" t="s">
        <v>17</v>
      </c>
      <c r="G21" s="99" t="s">
        <v>17</v>
      </c>
      <c r="H21" s="78"/>
      <c r="I21" s="99" t="s">
        <v>17</v>
      </c>
      <c r="J21" s="99" t="s">
        <v>17</v>
      </c>
      <c r="K21" s="99" t="s">
        <v>17</v>
      </c>
      <c r="L21" s="99" t="s">
        <v>17</v>
      </c>
      <c r="M21" s="99" t="s">
        <v>17</v>
      </c>
      <c r="N21" s="99" t="s">
        <v>17</v>
      </c>
      <c r="O21" s="78"/>
      <c r="P21" s="99" t="s">
        <v>17</v>
      </c>
      <c r="Q21" s="99" t="s">
        <v>17</v>
      </c>
      <c r="R21" s="99" t="s">
        <v>17</v>
      </c>
      <c r="S21" s="99" t="s">
        <v>17</v>
      </c>
      <c r="T21" s="99" t="s">
        <v>17</v>
      </c>
      <c r="U21" s="99" t="s">
        <v>17</v>
      </c>
      <c r="V21" s="78"/>
      <c r="W21" s="99" t="s">
        <v>17</v>
      </c>
      <c r="X21" s="99" t="s">
        <v>17</v>
      </c>
      <c r="Y21" s="99" t="s">
        <v>17</v>
      </c>
      <c r="Z21" s="99" t="s">
        <v>17</v>
      </c>
      <c r="AA21" s="99" t="s">
        <v>17</v>
      </c>
      <c r="AB21" s="99" t="s">
        <v>17</v>
      </c>
      <c r="AC21" s="78"/>
      <c r="AD21" s="99" t="s">
        <v>17</v>
      </c>
      <c r="AE21" s="99" t="s">
        <v>17</v>
      </c>
      <c r="AF21" s="99" t="s">
        <v>17</v>
      </c>
      <c r="AG21" s="99" t="s">
        <v>17</v>
      </c>
      <c r="AH21" s="99" t="s">
        <v>17</v>
      </c>
      <c r="AI21" s="99" t="s">
        <v>17</v>
      </c>
      <c r="AJ21" s="4">
        <f>COUNTIF(F21:AI21,"P")</f>
        <v>26</v>
      </c>
      <c r="AK21" s="4">
        <f>COUNTIF(F21:AI21,"A")</f>
        <v>0</v>
      </c>
      <c r="AL21" s="65" t="s">
        <v>13</v>
      </c>
      <c r="AM21" s="6">
        <f>27*$AM$5</f>
        <v>648</v>
      </c>
      <c r="AN21" s="6">
        <f>27*$AM$5</f>
        <v>648</v>
      </c>
      <c r="AO21" s="6">
        <f>AM21+AN21</f>
        <v>1296</v>
      </c>
    </row>
    <row r="22" spans="1:41" ht="16.5">
      <c r="A22" s="6">
        <v>18</v>
      </c>
      <c r="B22" s="85">
        <v>938</v>
      </c>
      <c r="C22" s="86" t="s">
        <v>84</v>
      </c>
      <c r="D22" s="87" t="s">
        <v>85</v>
      </c>
      <c r="E22" s="5" t="s">
        <v>58</v>
      </c>
      <c r="F22" s="99" t="s">
        <v>17</v>
      </c>
      <c r="G22" s="99" t="s">
        <v>17</v>
      </c>
      <c r="H22" s="78"/>
      <c r="I22" s="99" t="s">
        <v>17</v>
      </c>
      <c r="J22" s="99" t="s">
        <v>17</v>
      </c>
      <c r="K22" s="99" t="s">
        <v>17</v>
      </c>
      <c r="L22" s="99" t="s">
        <v>17</v>
      </c>
      <c r="M22" s="99" t="s">
        <v>17</v>
      </c>
      <c r="N22" s="99" t="s">
        <v>17</v>
      </c>
      <c r="O22" s="78"/>
      <c r="P22" s="99" t="s">
        <v>17</v>
      </c>
      <c r="Q22" s="99" t="s">
        <v>17</v>
      </c>
      <c r="R22" s="99" t="s">
        <v>17</v>
      </c>
      <c r="S22" s="99" t="s">
        <v>17</v>
      </c>
      <c r="T22" s="99" t="s">
        <v>17</v>
      </c>
      <c r="U22" s="99" t="s">
        <v>17</v>
      </c>
      <c r="V22" s="78"/>
      <c r="W22" s="99" t="s">
        <v>17</v>
      </c>
      <c r="X22" s="99" t="s">
        <v>17</v>
      </c>
      <c r="Y22" s="99" t="s">
        <v>17</v>
      </c>
      <c r="Z22" s="99" t="s">
        <v>17</v>
      </c>
      <c r="AA22" s="99" t="s">
        <v>17</v>
      </c>
      <c r="AB22" s="99" t="s">
        <v>17</v>
      </c>
      <c r="AC22" s="78"/>
      <c r="AD22" s="99" t="s">
        <v>17</v>
      </c>
      <c r="AE22" s="99" t="s">
        <v>17</v>
      </c>
      <c r="AF22" s="99" t="s">
        <v>17</v>
      </c>
      <c r="AG22" s="99" t="s">
        <v>17</v>
      </c>
      <c r="AH22" s="99" t="s">
        <v>17</v>
      </c>
      <c r="AI22" s="99" t="s">
        <v>17</v>
      </c>
      <c r="AJ22" s="4">
        <f>COUNTIF(F22:AI22,"P")</f>
        <v>26</v>
      </c>
      <c r="AK22" s="4">
        <f>COUNTIF(F22:AI22,"A")</f>
        <v>0</v>
      </c>
      <c r="AL22" s="65" t="s">
        <v>16</v>
      </c>
      <c r="AM22" s="6" t="e">
        <f>AM21-AM14</f>
        <v>#REF!</v>
      </c>
      <c r="AN22" s="6" t="e">
        <f>AN21-AN14</f>
        <v>#REF!</v>
      </c>
      <c r="AO22" s="6" t="e">
        <f>AM22+AN22</f>
        <v>#REF!</v>
      </c>
    </row>
    <row r="23" spans="1:41" ht="16.5">
      <c r="A23" s="6">
        <v>19</v>
      </c>
      <c r="B23" s="85">
        <v>939</v>
      </c>
      <c r="C23" s="86" t="s">
        <v>28</v>
      </c>
      <c r="D23" s="87" t="s">
        <v>86</v>
      </c>
      <c r="E23" s="5" t="s">
        <v>58</v>
      </c>
      <c r="F23" s="99" t="s">
        <v>17</v>
      </c>
      <c r="G23" s="99" t="s">
        <v>17</v>
      </c>
      <c r="H23" s="78"/>
      <c r="I23" s="99" t="s">
        <v>17</v>
      </c>
      <c r="J23" s="99" t="s">
        <v>17</v>
      </c>
      <c r="K23" s="99" t="s">
        <v>17</v>
      </c>
      <c r="L23" s="99" t="s">
        <v>17</v>
      </c>
      <c r="M23" s="99" t="s">
        <v>17</v>
      </c>
      <c r="N23" s="99" t="s">
        <v>17</v>
      </c>
      <c r="O23" s="78"/>
      <c r="P23" s="99" t="s">
        <v>17</v>
      </c>
      <c r="Q23" s="99" t="s">
        <v>17</v>
      </c>
      <c r="R23" s="99" t="s">
        <v>17</v>
      </c>
      <c r="S23" s="99" t="s">
        <v>17</v>
      </c>
      <c r="T23" s="99" t="s">
        <v>17</v>
      </c>
      <c r="U23" s="99" t="s">
        <v>17</v>
      </c>
      <c r="V23" s="78"/>
      <c r="W23" s="99" t="s">
        <v>17</v>
      </c>
      <c r="X23" s="99" t="s">
        <v>17</v>
      </c>
      <c r="Y23" s="99" t="s">
        <v>17</v>
      </c>
      <c r="Z23" s="99" t="s">
        <v>17</v>
      </c>
      <c r="AA23" s="99" t="s">
        <v>17</v>
      </c>
      <c r="AB23" s="99" t="s">
        <v>17</v>
      </c>
      <c r="AC23" s="78"/>
      <c r="AD23" s="99" t="s">
        <v>17</v>
      </c>
      <c r="AE23" s="99" t="s">
        <v>17</v>
      </c>
      <c r="AF23" s="99" t="s">
        <v>17</v>
      </c>
      <c r="AG23" s="99" t="s">
        <v>17</v>
      </c>
      <c r="AH23" s="99" t="s">
        <v>17</v>
      </c>
      <c r="AI23" s="99" t="s">
        <v>17</v>
      </c>
      <c r="AJ23" s="4">
        <f>COUNTIF(F23:AI23,"P")</f>
        <v>26</v>
      </c>
      <c r="AK23" s="4">
        <f>COUNTIF(F23:AI23,"A")</f>
        <v>0</v>
      </c>
      <c r="AL23" s="65" t="s">
        <v>15</v>
      </c>
      <c r="AM23" s="8" t="e">
        <f>AM22/AM21</f>
        <v>#REF!</v>
      </c>
      <c r="AN23" s="8" t="e">
        <f>AN22/AN21</f>
        <v>#REF!</v>
      </c>
      <c r="AO23" s="8" t="e">
        <f>AO22/AO21</f>
        <v>#REF!</v>
      </c>
    </row>
    <row r="24" spans="1:41" ht="16.5">
      <c r="A24" s="6">
        <v>20</v>
      </c>
      <c r="B24" s="85">
        <v>940</v>
      </c>
      <c r="C24" s="86" t="s">
        <v>87</v>
      </c>
      <c r="D24" s="87" t="s">
        <v>86</v>
      </c>
      <c r="E24" s="5" t="s">
        <v>58</v>
      </c>
      <c r="F24" s="99" t="s">
        <v>17</v>
      </c>
      <c r="G24" s="99" t="s">
        <v>17</v>
      </c>
      <c r="H24" s="78"/>
      <c r="I24" s="99" t="s">
        <v>17</v>
      </c>
      <c r="J24" s="99" t="s">
        <v>17</v>
      </c>
      <c r="K24" s="99" t="s">
        <v>17</v>
      </c>
      <c r="L24" s="99" t="s">
        <v>17</v>
      </c>
      <c r="M24" s="99" t="s">
        <v>17</v>
      </c>
      <c r="N24" s="99" t="s">
        <v>17</v>
      </c>
      <c r="O24" s="78"/>
      <c r="P24" s="99" t="s">
        <v>17</v>
      </c>
      <c r="Q24" s="99" t="s">
        <v>17</v>
      </c>
      <c r="R24" s="99" t="s">
        <v>17</v>
      </c>
      <c r="S24" s="99" t="s">
        <v>17</v>
      </c>
      <c r="T24" s="99" t="s">
        <v>17</v>
      </c>
      <c r="U24" s="99" t="s">
        <v>17</v>
      </c>
      <c r="V24" s="78"/>
      <c r="W24" s="99" t="s">
        <v>17</v>
      </c>
      <c r="X24" s="99" t="s">
        <v>17</v>
      </c>
      <c r="Y24" s="99" t="s">
        <v>17</v>
      </c>
      <c r="Z24" s="99" t="s">
        <v>17</v>
      </c>
      <c r="AA24" s="99" t="s">
        <v>17</v>
      </c>
      <c r="AB24" s="99" t="s">
        <v>17</v>
      </c>
      <c r="AC24" s="78"/>
      <c r="AD24" s="99" t="s">
        <v>17</v>
      </c>
      <c r="AE24" s="99" t="s">
        <v>17</v>
      </c>
      <c r="AF24" s="99" t="s">
        <v>17</v>
      </c>
      <c r="AG24" s="99" t="s">
        <v>17</v>
      </c>
      <c r="AH24" s="99" t="s">
        <v>17</v>
      </c>
      <c r="AI24" s="99" t="s">
        <v>17</v>
      </c>
      <c r="AJ24" s="4">
        <f>COUNTIF(F24:AI24,"P")</f>
        <v>26</v>
      </c>
      <c r="AK24" s="4">
        <f>COUNTIF(F24:AI24,"A")</f>
        <v>0</v>
      </c>
    </row>
    <row r="25" spans="1:41" ht="16.5">
      <c r="A25" s="6">
        <v>21</v>
      </c>
      <c r="B25" s="85">
        <v>943</v>
      </c>
      <c r="C25" s="86" t="s">
        <v>88</v>
      </c>
      <c r="D25" s="87" t="s">
        <v>89</v>
      </c>
      <c r="E25" s="5" t="s">
        <v>58</v>
      </c>
      <c r="F25" s="99" t="s">
        <v>17</v>
      </c>
      <c r="G25" s="99" t="s">
        <v>17</v>
      </c>
      <c r="H25" s="78"/>
      <c r="I25" s="99" t="s">
        <v>17</v>
      </c>
      <c r="J25" s="99" t="s">
        <v>17</v>
      </c>
      <c r="K25" s="99" t="s">
        <v>17</v>
      </c>
      <c r="L25" s="99" t="s">
        <v>17</v>
      </c>
      <c r="M25" s="99" t="s">
        <v>17</v>
      </c>
      <c r="N25" s="99" t="s">
        <v>17</v>
      </c>
      <c r="O25" s="78"/>
      <c r="P25" s="99" t="s">
        <v>17</v>
      </c>
      <c r="Q25" s="99" t="s">
        <v>17</v>
      </c>
      <c r="R25" s="99" t="s">
        <v>17</v>
      </c>
      <c r="S25" s="99" t="s">
        <v>17</v>
      </c>
      <c r="T25" s="99" t="s">
        <v>17</v>
      </c>
      <c r="U25" s="99" t="s">
        <v>17</v>
      </c>
      <c r="V25" s="78"/>
      <c r="W25" s="99" t="s">
        <v>17</v>
      </c>
      <c r="X25" s="99" t="s">
        <v>17</v>
      </c>
      <c r="Y25" s="99" t="s">
        <v>17</v>
      </c>
      <c r="Z25" s="99" t="s">
        <v>17</v>
      </c>
      <c r="AA25" s="99" t="s">
        <v>17</v>
      </c>
      <c r="AB25" s="99" t="s">
        <v>17</v>
      </c>
      <c r="AC25" s="78"/>
      <c r="AD25" s="99" t="s">
        <v>17</v>
      </c>
      <c r="AE25" s="99" t="s">
        <v>17</v>
      </c>
      <c r="AF25" s="99" t="s">
        <v>17</v>
      </c>
      <c r="AG25" s="99" t="s">
        <v>17</v>
      </c>
      <c r="AH25" s="99" t="s">
        <v>17</v>
      </c>
      <c r="AI25" s="99" t="s">
        <v>17</v>
      </c>
      <c r="AJ25" s="4">
        <f>COUNTIF(F25:AI25,"P")</f>
        <v>26</v>
      </c>
      <c r="AK25" s="4">
        <f>COUNTIF(F25:AI25,"A")</f>
        <v>0</v>
      </c>
    </row>
    <row r="26" spans="1:41" ht="16.5">
      <c r="A26" s="6">
        <v>22</v>
      </c>
      <c r="B26" s="85">
        <v>944</v>
      </c>
      <c r="C26" s="86" t="s">
        <v>48</v>
      </c>
      <c r="D26" s="87" t="s">
        <v>89</v>
      </c>
      <c r="E26" s="5" t="s">
        <v>58</v>
      </c>
      <c r="F26" s="99" t="s">
        <v>17</v>
      </c>
      <c r="G26" s="99" t="s">
        <v>17</v>
      </c>
      <c r="H26" s="78"/>
      <c r="I26" s="99" t="s">
        <v>17</v>
      </c>
      <c r="J26" s="99" t="s">
        <v>17</v>
      </c>
      <c r="K26" s="99" t="s">
        <v>17</v>
      </c>
      <c r="L26" s="99" t="s">
        <v>17</v>
      </c>
      <c r="M26" s="99" t="s">
        <v>17</v>
      </c>
      <c r="N26" s="99" t="s">
        <v>17</v>
      </c>
      <c r="O26" s="78"/>
      <c r="P26" s="99" t="s">
        <v>17</v>
      </c>
      <c r="Q26" s="99" t="s">
        <v>17</v>
      </c>
      <c r="R26" s="99" t="s">
        <v>17</v>
      </c>
      <c r="S26" s="99" t="s">
        <v>17</v>
      </c>
      <c r="T26" s="99" t="s">
        <v>17</v>
      </c>
      <c r="U26" s="99" t="s">
        <v>17</v>
      </c>
      <c r="V26" s="78"/>
      <c r="W26" s="99" t="s">
        <v>17</v>
      </c>
      <c r="X26" s="99" t="s">
        <v>17</v>
      </c>
      <c r="Y26" s="99" t="s">
        <v>17</v>
      </c>
      <c r="Z26" s="99" t="s">
        <v>17</v>
      </c>
      <c r="AA26" s="99" t="s">
        <v>17</v>
      </c>
      <c r="AB26" s="99" t="s">
        <v>17</v>
      </c>
      <c r="AC26" s="78"/>
      <c r="AD26" s="99" t="s">
        <v>17</v>
      </c>
      <c r="AE26" s="99" t="s">
        <v>17</v>
      </c>
      <c r="AF26" s="99" t="s">
        <v>17</v>
      </c>
      <c r="AG26" s="99" t="s">
        <v>17</v>
      </c>
      <c r="AH26" s="99" t="s">
        <v>17</v>
      </c>
      <c r="AI26" s="99" t="s">
        <v>17</v>
      </c>
      <c r="AJ26" s="4">
        <f>COUNTIF(F26:AI26,"P")</f>
        <v>26</v>
      </c>
      <c r="AK26" s="4">
        <f>COUNTIF(F26:AI26,"A")</f>
        <v>0</v>
      </c>
    </row>
    <row r="27" spans="1:41" ht="16.5">
      <c r="A27" s="6">
        <v>23</v>
      </c>
      <c r="B27" s="89">
        <v>856</v>
      </c>
      <c r="C27" s="90" t="s">
        <v>90</v>
      </c>
      <c r="D27" s="91" t="s">
        <v>91</v>
      </c>
      <c r="E27" s="5" t="s">
        <v>58</v>
      </c>
      <c r="F27" s="99" t="s">
        <v>17</v>
      </c>
      <c r="G27" s="99" t="s">
        <v>17</v>
      </c>
      <c r="H27" s="78"/>
      <c r="I27" s="99" t="s">
        <v>17</v>
      </c>
      <c r="J27" s="99" t="s">
        <v>17</v>
      </c>
      <c r="K27" s="99" t="s">
        <v>17</v>
      </c>
      <c r="L27" s="99" t="s">
        <v>17</v>
      </c>
      <c r="M27" s="99" t="s">
        <v>17</v>
      </c>
      <c r="N27" s="99" t="s">
        <v>17</v>
      </c>
      <c r="O27" s="78"/>
      <c r="P27" s="99" t="s">
        <v>17</v>
      </c>
      <c r="Q27" s="99" t="s">
        <v>17</v>
      </c>
      <c r="R27" s="99" t="s">
        <v>17</v>
      </c>
      <c r="S27" s="99" t="s">
        <v>17</v>
      </c>
      <c r="T27" s="99" t="s">
        <v>17</v>
      </c>
      <c r="U27" s="99" t="s">
        <v>17</v>
      </c>
      <c r="V27" s="78"/>
      <c r="W27" s="99" t="s">
        <v>17</v>
      </c>
      <c r="X27" s="99" t="s">
        <v>17</v>
      </c>
      <c r="Y27" s="99" t="s">
        <v>17</v>
      </c>
      <c r="Z27" s="99" t="s">
        <v>17</v>
      </c>
      <c r="AA27" s="99" t="s">
        <v>17</v>
      </c>
      <c r="AB27" s="99" t="s">
        <v>17</v>
      </c>
      <c r="AC27" s="78"/>
      <c r="AD27" s="99" t="s">
        <v>17</v>
      </c>
      <c r="AE27" s="99" t="s">
        <v>17</v>
      </c>
      <c r="AF27" s="99" t="s">
        <v>17</v>
      </c>
      <c r="AG27" s="99" t="s">
        <v>17</v>
      </c>
      <c r="AH27" s="99" t="s">
        <v>17</v>
      </c>
      <c r="AI27" s="99" t="s">
        <v>17</v>
      </c>
      <c r="AJ27" s="4">
        <f>COUNTIF(F27:AI27,"P")</f>
        <v>26</v>
      </c>
      <c r="AK27" s="4">
        <f>COUNTIF(F27:AI27,"A")</f>
        <v>0</v>
      </c>
    </row>
    <row r="28" spans="1:41" ht="16.5">
      <c r="A28" s="6">
        <v>24</v>
      </c>
      <c r="B28" s="89">
        <v>865</v>
      </c>
      <c r="C28" s="90" t="s">
        <v>92</v>
      </c>
      <c r="D28" s="91" t="s">
        <v>93</v>
      </c>
      <c r="E28" s="5" t="s">
        <v>58</v>
      </c>
      <c r="F28" s="99" t="s">
        <v>17</v>
      </c>
      <c r="G28" s="99" t="s">
        <v>17</v>
      </c>
      <c r="H28" s="78"/>
      <c r="I28" s="99" t="s">
        <v>17</v>
      </c>
      <c r="J28" s="99" t="s">
        <v>17</v>
      </c>
      <c r="K28" s="99" t="s">
        <v>17</v>
      </c>
      <c r="L28" s="99" t="s">
        <v>17</v>
      </c>
      <c r="M28" s="99" t="s">
        <v>17</v>
      </c>
      <c r="N28" s="99" t="s">
        <v>17</v>
      </c>
      <c r="O28" s="78"/>
      <c r="P28" s="99" t="s">
        <v>17</v>
      </c>
      <c r="Q28" s="99" t="s">
        <v>17</v>
      </c>
      <c r="R28" s="99" t="s">
        <v>17</v>
      </c>
      <c r="S28" s="99" t="s">
        <v>17</v>
      </c>
      <c r="T28" s="99" t="s">
        <v>17</v>
      </c>
      <c r="U28" s="99" t="s">
        <v>17</v>
      </c>
      <c r="V28" s="78"/>
      <c r="W28" s="99" t="s">
        <v>17</v>
      </c>
      <c r="X28" s="99" t="s">
        <v>17</v>
      </c>
      <c r="Y28" s="99" t="s">
        <v>17</v>
      </c>
      <c r="Z28" s="99" t="s">
        <v>17</v>
      </c>
      <c r="AA28" s="99" t="s">
        <v>17</v>
      </c>
      <c r="AB28" s="99" t="s">
        <v>17</v>
      </c>
      <c r="AC28" s="78"/>
      <c r="AD28" s="99" t="s">
        <v>17</v>
      </c>
      <c r="AE28" s="99" t="s">
        <v>17</v>
      </c>
      <c r="AF28" s="99" t="s">
        <v>17</v>
      </c>
      <c r="AG28" s="99" t="s">
        <v>17</v>
      </c>
      <c r="AH28" s="99" t="s">
        <v>17</v>
      </c>
      <c r="AI28" s="99" t="s">
        <v>17</v>
      </c>
      <c r="AJ28" s="4">
        <f>COUNTIF(F28:AI28,"P")</f>
        <v>26</v>
      </c>
      <c r="AK28" s="4">
        <f>COUNTIF(F28:AI28,"A")</f>
        <v>0</v>
      </c>
    </row>
    <row r="29" spans="1:41" ht="16.5">
      <c r="A29" s="6">
        <v>25</v>
      </c>
      <c r="B29" s="92">
        <v>899</v>
      </c>
      <c r="C29" s="93" t="s">
        <v>94</v>
      </c>
      <c r="D29" s="94" t="s">
        <v>95</v>
      </c>
      <c r="E29" s="5" t="s">
        <v>58</v>
      </c>
      <c r="F29" s="99" t="s">
        <v>17</v>
      </c>
      <c r="G29" s="99" t="s">
        <v>17</v>
      </c>
      <c r="H29" s="78"/>
      <c r="I29" s="99" t="s">
        <v>17</v>
      </c>
      <c r="J29" s="99" t="s">
        <v>17</v>
      </c>
      <c r="K29" s="99" t="s">
        <v>17</v>
      </c>
      <c r="L29" s="99" t="s">
        <v>17</v>
      </c>
      <c r="M29" s="99" t="s">
        <v>17</v>
      </c>
      <c r="N29" s="99" t="s">
        <v>17</v>
      </c>
      <c r="O29" s="78"/>
      <c r="P29" s="99" t="s">
        <v>17</v>
      </c>
      <c r="Q29" s="99" t="s">
        <v>17</v>
      </c>
      <c r="R29" s="99" t="s">
        <v>17</v>
      </c>
      <c r="S29" s="99" t="s">
        <v>17</v>
      </c>
      <c r="T29" s="99" t="s">
        <v>17</v>
      </c>
      <c r="U29" s="99" t="s">
        <v>17</v>
      </c>
      <c r="V29" s="78"/>
      <c r="W29" s="99" t="s">
        <v>17</v>
      </c>
      <c r="X29" s="99" t="s">
        <v>17</v>
      </c>
      <c r="Y29" s="99" t="s">
        <v>17</v>
      </c>
      <c r="Z29" s="99" t="s">
        <v>17</v>
      </c>
      <c r="AA29" s="99" t="s">
        <v>17</v>
      </c>
      <c r="AB29" s="99" t="s">
        <v>17</v>
      </c>
      <c r="AC29" s="78"/>
      <c r="AD29" s="99" t="s">
        <v>17</v>
      </c>
      <c r="AE29" s="99" t="s">
        <v>17</v>
      </c>
      <c r="AF29" s="99" t="s">
        <v>17</v>
      </c>
      <c r="AG29" s="99" t="s">
        <v>17</v>
      </c>
      <c r="AH29" s="99" t="s">
        <v>17</v>
      </c>
      <c r="AI29" s="99" t="s">
        <v>17</v>
      </c>
      <c r="AJ29" s="4">
        <f>COUNTIF(F29:AI29,"P")</f>
        <v>26</v>
      </c>
      <c r="AK29" s="4">
        <f>COUNTIF(F29:AI29,"A")</f>
        <v>0</v>
      </c>
    </row>
    <row r="30" spans="1:41" ht="16.5">
      <c r="A30" s="6">
        <v>26</v>
      </c>
      <c r="B30" s="89">
        <v>893</v>
      </c>
      <c r="C30" s="90" t="s">
        <v>96</v>
      </c>
      <c r="D30" s="91" t="s">
        <v>78</v>
      </c>
      <c r="E30" s="5" t="s">
        <v>58</v>
      </c>
      <c r="F30" s="99" t="s">
        <v>17</v>
      </c>
      <c r="G30" s="99" t="s">
        <v>17</v>
      </c>
      <c r="H30" s="78"/>
      <c r="I30" s="99" t="s">
        <v>17</v>
      </c>
      <c r="J30" s="99" t="s">
        <v>17</v>
      </c>
      <c r="K30" s="99" t="s">
        <v>17</v>
      </c>
      <c r="L30" s="99" t="s">
        <v>17</v>
      </c>
      <c r="M30" s="99" t="s">
        <v>17</v>
      </c>
      <c r="N30" s="99" t="s">
        <v>17</v>
      </c>
      <c r="O30" s="78"/>
      <c r="P30" s="99" t="s">
        <v>17</v>
      </c>
      <c r="Q30" s="99" t="s">
        <v>17</v>
      </c>
      <c r="R30" s="99" t="s">
        <v>17</v>
      </c>
      <c r="S30" s="99" t="s">
        <v>17</v>
      </c>
      <c r="T30" s="99" t="s">
        <v>17</v>
      </c>
      <c r="U30" s="99" t="s">
        <v>17</v>
      </c>
      <c r="V30" s="78"/>
      <c r="W30" s="99" t="s">
        <v>17</v>
      </c>
      <c r="X30" s="99" t="s">
        <v>17</v>
      </c>
      <c r="Y30" s="99" t="s">
        <v>17</v>
      </c>
      <c r="Z30" s="99" t="s">
        <v>17</v>
      </c>
      <c r="AA30" s="99" t="s">
        <v>17</v>
      </c>
      <c r="AB30" s="99" t="s">
        <v>17</v>
      </c>
      <c r="AC30" s="78"/>
      <c r="AD30" s="99" t="s">
        <v>17</v>
      </c>
      <c r="AE30" s="99" t="s">
        <v>17</v>
      </c>
      <c r="AF30" s="99" t="s">
        <v>17</v>
      </c>
      <c r="AG30" s="99" t="s">
        <v>17</v>
      </c>
      <c r="AH30" s="99" t="s">
        <v>17</v>
      </c>
      <c r="AI30" s="99" t="s">
        <v>17</v>
      </c>
      <c r="AJ30" s="4">
        <f>COUNTIF(F30:AI30,"P")</f>
        <v>26</v>
      </c>
      <c r="AK30" s="4">
        <f>COUNTIF(F30:AI30,"A")</f>
        <v>0</v>
      </c>
    </row>
    <row r="31" spans="1:41" ht="16.5">
      <c r="A31" s="6">
        <v>27</v>
      </c>
      <c r="B31" s="92">
        <v>894</v>
      </c>
      <c r="C31" s="93" t="s">
        <v>97</v>
      </c>
      <c r="D31" s="94" t="s">
        <v>78</v>
      </c>
      <c r="E31" s="5" t="s">
        <v>58</v>
      </c>
      <c r="F31" s="99" t="s">
        <v>17</v>
      </c>
      <c r="G31" s="99" t="s">
        <v>17</v>
      </c>
      <c r="H31" s="78"/>
      <c r="I31" s="99" t="s">
        <v>17</v>
      </c>
      <c r="J31" s="99" t="s">
        <v>17</v>
      </c>
      <c r="K31" s="99" t="s">
        <v>17</v>
      </c>
      <c r="L31" s="99" t="s">
        <v>17</v>
      </c>
      <c r="M31" s="99" t="s">
        <v>17</v>
      </c>
      <c r="N31" s="99" t="s">
        <v>17</v>
      </c>
      <c r="O31" s="78"/>
      <c r="P31" s="99" t="s">
        <v>17</v>
      </c>
      <c r="Q31" s="99" t="s">
        <v>17</v>
      </c>
      <c r="R31" s="99" t="s">
        <v>17</v>
      </c>
      <c r="S31" s="99" t="s">
        <v>17</v>
      </c>
      <c r="T31" s="99" t="s">
        <v>17</v>
      </c>
      <c r="U31" s="99" t="s">
        <v>17</v>
      </c>
      <c r="V31" s="78"/>
      <c r="W31" s="99" t="s">
        <v>17</v>
      </c>
      <c r="X31" s="99" t="s">
        <v>17</v>
      </c>
      <c r="Y31" s="99" t="s">
        <v>17</v>
      </c>
      <c r="Z31" s="99" t="s">
        <v>17</v>
      </c>
      <c r="AA31" s="99" t="s">
        <v>17</v>
      </c>
      <c r="AB31" s="99" t="s">
        <v>17</v>
      </c>
      <c r="AC31" s="78"/>
      <c r="AD31" s="99" t="s">
        <v>17</v>
      </c>
      <c r="AE31" s="99" t="s">
        <v>17</v>
      </c>
      <c r="AF31" s="99" t="s">
        <v>17</v>
      </c>
      <c r="AG31" s="99" t="s">
        <v>17</v>
      </c>
      <c r="AH31" s="99" t="s">
        <v>17</v>
      </c>
      <c r="AI31" s="99" t="s">
        <v>17</v>
      </c>
      <c r="AJ31" s="4">
        <f>COUNTIF(F31:AI31,"P")</f>
        <v>26</v>
      </c>
      <c r="AK31" s="4">
        <f>COUNTIF(F31:AI31,"A")</f>
        <v>0</v>
      </c>
    </row>
    <row r="32" spans="1:41" ht="16.5">
      <c r="A32" s="6">
        <v>28</v>
      </c>
      <c r="B32" s="92">
        <v>889</v>
      </c>
      <c r="C32" s="95" t="s">
        <v>98</v>
      </c>
      <c r="D32" s="94" t="s">
        <v>26</v>
      </c>
      <c r="E32" s="5" t="s">
        <v>58</v>
      </c>
      <c r="F32" s="99" t="s">
        <v>17</v>
      </c>
      <c r="G32" s="99" t="s">
        <v>17</v>
      </c>
      <c r="H32" s="78"/>
      <c r="I32" s="99" t="s">
        <v>17</v>
      </c>
      <c r="J32" s="99" t="s">
        <v>17</v>
      </c>
      <c r="K32" s="99" t="s">
        <v>17</v>
      </c>
      <c r="L32" s="99" t="s">
        <v>17</v>
      </c>
      <c r="M32" s="99" t="s">
        <v>17</v>
      </c>
      <c r="N32" s="99" t="s">
        <v>17</v>
      </c>
      <c r="O32" s="78"/>
      <c r="P32" s="99" t="s">
        <v>17</v>
      </c>
      <c r="Q32" s="99" t="s">
        <v>17</v>
      </c>
      <c r="R32" s="99" t="s">
        <v>17</v>
      </c>
      <c r="S32" s="99" t="s">
        <v>17</v>
      </c>
      <c r="T32" s="99" t="s">
        <v>17</v>
      </c>
      <c r="U32" s="99" t="s">
        <v>17</v>
      </c>
      <c r="V32" s="78"/>
      <c r="W32" s="99" t="s">
        <v>17</v>
      </c>
      <c r="X32" s="99" t="s">
        <v>17</v>
      </c>
      <c r="Y32" s="99" t="s">
        <v>17</v>
      </c>
      <c r="Z32" s="99" t="s">
        <v>17</v>
      </c>
      <c r="AA32" s="99" t="s">
        <v>17</v>
      </c>
      <c r="AB32" s="99" t="s">
        <v>17</v>
      </c>
      <c r="AC32" s="78"/>
      <c r="AD32" s="99" t="s">
        <v>17</v>
      </c>
      <c r="AE32" s="99" t="s">
        <v>17</v>
      </c>
      <c r="AF32" s="99" t="s">
        <v>17</v>
      </c>
      <c r="AG32" s="99" t="s">
        <v>17</v>
      </c>
      <c r="AH32" s="99" t="s">
        <v>17</v>
      </c>
      <c r="AI32" s="99" t="s">
        <v>17</v>
      </c>
      <c r="AJ32" s="4">
        <f>COUNTIF(F32:AI32,"P")</f>
        <v>26</v>
      </c>
      <c r="AK32" s="4">
        <f>COUNTIF(F32:AI32,"A")</f>
        <v>0</v>
      </c>
    </row>
    <row r="33" spans="1:37" ht="16.5">
      <c r="A33" s="6">
        <v>29</v>
      </c>
      <c r="B33" s="92">
        <v>882</v>
      </c>
      <c r="C33" s="95" t="s">
        <v>34</v>
      </c>
      <c r="D33" s="94" t="s">
        <v>99</v>
      </c>
      <c r="E33" s="5" t="s">
        <v>58</v>
      </c>
      <c r="F33" s="99" t="s">
        <v>17</v>
      </c>
      <c r="G33" s="99" t="s">
        <v>17</v>
      </c>
      <c r="H33" s="78"/>
      <c r="I33" s="99" t="s">
        <v>17</v>
      </c>
      <c r="J33" s="99" t="s">
        <v>17</v>
      </c>
      <c r="K33" s="99" t="s">
        <v>17</v>
      </c>
      <c r="L33" s="99" t="s">
        <v>17</v>
      </c>
      <c r="M33" s="99" t="s">
        <v>17</v>
      </c>
      <c r="N33" s="99" t="s">
        <v>17</v>
      </c>
      <c r="O33" s="78"/>
      <c r="P33" s="99" t="s">
        <v>17</v>
      </c>
      <c r="Q33" s="99" t="s">
        <v>17</v>
      </c>
      <c r="R33" s="99" t="s">
        <v>17</v>
      </c>
      <c r="S33" s="99" t="s">
        <v>17</v>
      </c>
      <c r="T33" s="99" t="s">
        <v>17</v>
      </c>
      <c r="U33" s="99" t="s">
        <v>17</v>
      </c>
      <c r="V33" s="78"/>
      <c r="W33" s="99" t="s">
        <v>17</v>
      </c>
      <c r="X33" s="99" t="s">
        <v>17</v>
      </c>
      <c r="Y33" s="99" t="s">
        <v>17</v>
      </c>
      <c r="Z33" s="99" t="s">
        <v>17</v>
      </c>
      <c r="AA33" s="99" t="s">
        <v>17</v>
      </c>
      <c r="AB33" s="99" t="s">
        <v>17</v>
      </c>
      <c r="AC33" s="78"/>
      <c r="AD33" s="99" t="s">
        <v>17</v>
      </c>
      <c r="AE33" s="99" t="s">
        <v>17</v>
      </c>
      <c r="AF33" s="99" t="s">
        <v>17</v>
      </c>
      <c r="AG33" s="99" t="s">
        <v>17</v>
      </c>
      <c r="AH33" s="99" t="s">
        <v>17</v>
      </c>
      <c r="AI33" s="99" t="s">
        <v>17</v>
      </c>
      <c r="AJ33" s="4">
        <f>COUNTIF(F33:AI33,"P")</f>
        <v>26</v>
      </c>
      <c r="AK33" s="4">
        <f>COUNTIF(F33:AI33,"A")</f>
        <v>0</v>
      </c>
    </row>
    <row r="34" spans="1:37" ht="16.5">
      <c r="A34" s="6">
        <v>30</v>
      </c>
      <c r="B34" s="89">
        <v>887</v>
      </c>
      <c r="C34" s="96" t="s">
        <v>100</v>
      </c>
      <c r="D34" s="91" t="s">
        <v>101</v>
      </c>
      <c r="E34" s="5" t="s">
        <v>58</v>
      </c>
      <c r="F34" s="99" t="s">
        <v>17</v>
      </c>
      <c r="G34" s="99" t="s">
        <v>17</v>
      </c>
      <c r="H34" s="78"/>
      <c r="I34" s="99" t="s">
        <v>17</v>
      </c>
      <c r="J34" s="99" t="s">
        <v>17</v>
      </c>
      <c r="K34" s="99" t="s">
        <v>17</v>
      </c>
      <c r="L34" s="99" t="s">
        <v>17</v>
      </c>
      <c r="M34" s="99" t="s">
        <v>17</v>
      </c>
      <c r="N34" s="99" t="s">
        <v>17</v>
      </c>
      <c r="O34" s="78"/>
      <c r="P34" s="99" t="s">
        <v>17</v>
      </c>
      <c r="Q34" s="99" t="s">
        <v>17</v>
      </c>
      <c r="R34" s="99" t="s">
        <v>17</v>
      </c>
      <c r="S34" s="99" t="s">
        <v>17</v>
      </c>
      <c r="T34" s="99" t="s">
        <v>17</v>
      </c>
      <c r="U34" s="99" t="s">
        <v>17</v>
      </c>
      <c r="V34" s="78"/>
      <c r="W34" s="99" t="s">
        <v>17</v>
      </c>
      <c r="X34" s="99" t="s">
        <v>17</v>
      </c>
      <c r="Y34" s="99" t="s">
        <v>17</v>
      </c>
      <c r="Z34" s="99" t="s">
        <v>17</v>
      </c>
      <c r="AA34" s="99" t="s">
        <v>17</v>
      </c>
      <c r="AB34" s="99" t="s">
        <v>17</v>
      </c>
      <c r="AC34" s="78"/>
      <c r="AD34" s="99" t="s">
        <v>17</v>
      </c>
      <c r="AE34" s="99" t="s">
        <v>17</v>
      </c>
      <c r="AF34" s="99" t="s">
        <v>17</v>
      </c>
      <c r="AG34" s="99" t="s">
        <v>17</v>
      </c>
      <c r="AH34" s="99" t="s">
        <v>17</v>
      </c>
      <c r="AI34" s="99" t="s">
        <v>17</v>
      </c>
      <c r="AJ34" s="4">
        <f>COUNTIF(F34:AI34,"P")</f>
        <v>26</v>
      </c>
      <c r="AK34" s="4">
        <f>COUNTIF(F34:AI34,"A")</f>
        <v>0</v>
      </c>
    </row>
    <row r="35" spans="1:37" ht="16.5">
      <c r="A35" s="6">
        <v>31</v>
      </c>
      <c r="B35" s="89">
        <v>875</v>
      </c>
      <c r="C35" s="96" t="s">
        <v>102</v>
      </c>
      <c r="D35" s="91" t="s">
        <v>103</v>
      </c>
      <c r="E35" s="5" t="s">
        <v>58</v>
      </c>
      <c r="F35" s="99" t="s">
        <v>17</v>
      </c>
      <c r="G35" s="99" t="s">
        <v>17</v>
      </c>
      <c r="H35" s="78"/>
      <c r="I35" s="99" t="s">
        <v>17</v>
      </c>
      <c r="J35" s="99" t="s">
        <v>17</v>
      </c>
      <c r="K35" s="99" t="s">
        <v>17</v>
      </c>
      <c r="L35" s="99" t="s">
        <v>17</v>
      </c>
      <c r="M35" s="99" t="s">
        <v>17</v>
      </c>
      <c r="N35" s="99" t="s">
        <v>17</v>
      </c>
      <c r="O35" s="78"/>
      <c r="P35" s="99" t="s">
        <v>17</v>
      </c>
      <c r="Q35" s="99" t="s">
        <v>17</v>
      </c>
      <c r="R35" s="99" t="s">
        <v>17</v>
      </c>
      <c r="S35" s="99" t="s">
        <v>17</v>
      </c>
      <c r="T35" s="99" t="s">
        <v>17</v>
      </c>
      <c r="U35" s="99" t="s">
        <v>17</v>
      </c>
      <c r="V35" s="78"/>
      <c r="W35" s="99" t="s">
        <v>17</v>
      </c>
      <c r="X35" s="99" t="s">
        <v>17</v>
      </c>
      <c r="Y35" s="99" t="s">
        <v>17</v>
      </c>
      <c r="Z35" s="99" t="s">
        <v>17</v>
      </c>
      <c r="AA35" s="99" t="s">
        <v>17</v>
      </c>
      <c r="AB35" s="99" t="s">
        <v>17</v>
      </c>
      <c r="AC35" s="78"/>
      <c r="AD35" s="99" t="s">
        <v>17</v>
      </c>
      <c r="AE35" s="99" t="s">
        <v>17</v>
      </c>
      <c r="AF35" s="99" t="s">
        <v>17</v>
      </c>
      <c r="AG35" s="99" t="s">
        <v>17</v>
      </c>
      <c r="AH35" s="99" t="s">
        <v>17</v>
      </c>
      <c r="AI35" s="99" t="s">
        <v>17</v>
      </c>
      <c r="AJ35" s="4">
        <f>COUNTIF(F35:AI35,"P")</f>
        <v>26</v>
      </c>
      <c r="AK35" s="4">
        <f>COUNTIF(F35:AI35,"A")</f>
        <v>0</v>
      </c>
    </row>
    <row r="36" spans="1:37" ht="16.5">
      <c r="A36" s="6">
        <v>32</v>
      </c>
      <c r="B36" s="92">
        <v>877</v>
      </c>
      <c r="C36" s="95" t="s">
        <v>104</v>
      </c>
      <c r="D36" s="94" t="s">
        <v>103</v>
      </c>
      <c r="E36" s="5" t="s">
        <v>58</v>
      </c>
      <c r="F36" s="99" t="s">
        <v>17</v>
      </c>
      <c r="G36" s="99" t="s">
        <v>17</v>
      </c>
      <c r="H36" s="78"/>
      <c r="I36" s="99" t="s">
        <v>17</v>
      </c>
      <c r="J36" s="99" t="s">
        <v>17</v>
      </c>
      <c r="K36" s="99" t="s">
        <v>17</v>
      </c>
      <c r="L36" s="99" t="s">
        <v>17</v>
      </c>
      <c r="M36" s="99" t="s">
        <v>17</v>
      </c>
      <c r="N36" s="99" t="s">
        <v>17</v>
      </c>
      <c r="O36" s="78"/>
      <c r="P36" s="99" t="s">
        <v>17</v>
      </c>
      <c r="Q36" s="99" t="s">
        <v>17</v>
      </c>
      <c r="R36" s="99" t="s">
        <v>17</v>
      </c>
      <c r="S36" s="99" t="s">
        <v>17</v>
      </c>
      <c r="T36" s="99" t="s">
        <v>17</v>
      </c>
      <c r="U36" s="99" t="s">
        <v>17</v>
      </c>
      <c r="V36" s="78"/>
      <c r="W36" s="99" t="s">
        <v>17</v>
      </c>
      <c r="X36" s="99" t="s">
        <v>17</v>
      </c>
      <c r="Y36" s="99" t="s">
        <v>17</v>
      </c>
      <c r="Z36" s="99" t="s">
        <v>17</v>
      </c>
      <c r="AA36" s="99" t="s">
        <v>17</v>
      </c>
      <c r="AB36" s="99" t="s">
        <v>17</v>
      </c>
      <c r="AC36" s="78"/>
      <c r="AD36" s="99" t="s">
        <v>17</v>
      </c>
      <c r="AE36" s="99" t="s">
        <v>17</v>
      </c>
      <c r="AF36" s="99" t="s">
        <v>17</v>
      </c>
      <c r="AG36" s="99" t="s">
        <v>17</v>
      </c>
      <c r="AH36" s="99" t="s">
        <v>17</v>
      </c>
      <c r="AI36" s="99" t="s">
        <v>17</v>
      </c>
      <c r="AJ36" s="4">
        <f>COUNTIF(F36:AI36,"P")</f>
        <v>26</v>
      </c>
      <c r="AK36" s="4">
        <f>COUNTIF(F36:AI36,"A")</f>
        <v>0</v>
      </c>
    </row>
    <row r="37" spans="1:37" ht="16.5">
      <c r="A37" s="6">
        <v>33</v>
      </c>
      <c r="B37" s="89">
        <v>886</v>
      </c>
      <c r="C37" s="96" t="s">
        <v>105</v>
      </c>
      <c r="D37" s="91" t="s">
        <v>101</v>
      </c>
      <c r="E37" s="5" t="s">
        <v>58</v>
      </c>
      <c r="F37" s="99" t="s">
        <v>17</v>
      </c>
      <c r="G37" s="99" t="s">
        <v>17</v>
      </c>
      <c r="H37" s="78"/>
      <c r="I37" s="99" t="s">
        <v>17</v>
      </c>
      <c r="J37" s="99" t="s">
        <v>17</v>
      </c>
      <c r="K37" s="99" t="s">
        <v>17</v>
      </c>
      <c r="L37" s="99" t="s">
        <v>17</v>
      </c>
      <c r="M37" s="99" t="s">
        <v>17</v>
      </c>
      <c r="N37" s="99" t="s">
        <v>17</v>
      </c>
      <c r="O37" s="78"/>
      <c r="P37" s="99" t="s">
        <v>17</v>
      </c>
      <c r="Q37" s="99" t="s">
        <v>17</v>
      </c>
      <c r="R37" s="99" t="s">
        <v>17</v>
      </c>
      <c r="S37" s="99" t="s">
        <v>17</v>
      </c>
      <c r="T37" s="99" t="s">
        <v>17</v>
      </c>
      <c r="U37" s="99" t="s">
        <v>17</v>
      </c>
      <c r="V37" s="78"/>
      <c r="W37" s="99" t="s">
        <v>17</v>
      </c>
      <c r="X37" s="99" t="s">
        <v>17</v>
      </c>
      <c r="Y37" s="99" t="s">
        <v>17</v>
      </c>
      <c r="Z37" s="99" t="s">
        <v>17</v>
      </c>
      <c r="AA37" s="99" t="s">
        <v>17</v>
      </c>
      <c r="AB37" s="99" t="s">
        <v>17</v>
      </c>
      <c r="AC37" s="78"/>
      <c r="AD37" s="99" t="s">
        <v>17</v>
      </c>
      <c r="AE37" s="99" t="s">
        <v>17</v>
      </c>
      <c r="AF37" s="99" t="s">
        <v>17</v>
      </c>
      <c r="AG37" s="99" t="s">
        <v>17</v>
      </c>
      <c r="AH37" s="99" t="s">
        <v>17</v>
      </c>
      <c r="AI37" s="99" t="s">
        <v>17</v>
      </c>
      <c r="AJ37" s="4">
        <f>COUNTIF(F37:AI37,"P")</f>
        <v>26</v>
      </c>
      <c r="AK37" s="4">
        <f>COUNTIF(F37:AI37,"A")</f>
        <v>0</v>
      </c>
    </row>
    <row r="38" spans="1:37" ht="16.5">
      <c r="A38" s="6">
        <v>34</v>
      </c>
      <c r="B38" s="92">
        <v>860</v>
      </c>
      <c r="C38" s="93" t="s">
        <v>106</v>
      </c>
      <c r="D38" s="94" t="s">
        <v>107</v>
      </c>
      <c r="E38" s="5" t="s">
        <v>58</v>
      </c>
      <c r="F38" s="99" t="s">
        <v>17</v>
      </c>
      <c r="G38" s="99" t="s">
        <v>17</v>
      </c>
      <c r="H38" s="78"/>
      <c r="I38" s="99" t="s">
        <v>17</v>
      </c>
      <c r="J38" s="99" t="s">
        <v>17</v>
      </c>
      <c r="K38" s="99" t="s">
        <v>17</v>
      </c>
      <c r="L38" s="99" t="s">
        <v>17</v>
      </c>
      <c r="M38" s="99" t="s">
        <v>17</v>
      </c>
      <c r="N38" s="99" t="s">
        <v>17</v>
      </c>
      <c r="O38" s="78"/>
      <c r="P38" s="99" t="s">
        <v>17</v>
      </c>
      <c r="Q38" s="99" t="s">
        <v>17</v>
      </c>
      <c r="R38" s="99" t="s">
        <v>17</v>
      </c>
      <c r="S38" s="99" t="s">
        <v>17</v>
      </c>
      <c r="T38" s="99" t="s">
        <v>17</v>
      </c>
      <c r="U38" s="99" t="s">
        <v>17</v>
      </c>
      <c r="V38" s="78"/>
      <c r="W38" s="99" t="s">
        <v>17</v>
      </c>
      <c r="X38" s="99" t="s">
        <v>17</v>
      </c>
      <c r="Y38" s="99" t="s">
        <v>17</v>
      </c>
      <c r="Z38" s="99" t="s">
        <v>17</v>
      </c>
      <c r="AA38" s="99" t="s">
        <v>17</v>
      </c>
      <c r="AB38" s="99" t="s">
        <v>17</v>
      </c>
      <c r="AC38" s="78"/>
      <c r="AD38" s="99" t="s">
        <v>17</v>
      </c>
      <c r="AE38" s="99" t="s">
        <v>17</v>
      </c>
      <c r="AF38" s="99" t="s">
        <v>17</v>
      </c>
      <c r="AG38" s="99" t="s">
        <v>17</v>
      </c>
      <c r="AH38" s="99" t="s">
        <v>17</v>
      </c>
      <c r="AI38" s="99" t="s">
        <v>17</v>
      </c>
      <c r="AJ38" s="4">
        <f>COUNTIF(F38:AI38,"P")</f>
        <v>26</v>
      </c>
      <c r="AK38" s="4">
        <f>COUNTIF(F38:AI38,"A")</f>
        <v>0</v>
      </c>
    </row>
    <row r="39" spans="1:37" ht="16.5">
      <c r="A39" s="6">
        <v>35</v>
      </c>
      <c r="B39" s="92">
        <v>951</v>
      </c>
      <c r="C39" s="93" t="s">
        <v>108</v>
      </c>
      <c r="D39" s="94" t="s">
        <v>109</v>
      </c>
      <c r="E39" s="5" t="s">
        <v>58</v>
      </c>
      <c r="F39" s="99" t="s">
        <v>17</v>
      </c>
      <c r="G39" s="99" t="s">
        <v>17</v>
      </c>
      <c r="H39" s="78"/>
      <c r="I39" s="99" t="s">
        <v>17</v>
      </c>
      <c r="J39" s="99" t="s">
        <v>17</v>
      </c>
      <c r="K39" s="99" t="s">
        <v>17</v>
      </c>
      <c r="L39" s="99" t="s">
        <v>17</v>
      </c>
      <c r="M39" s="99" t="s">
        <v>17</v>
      </c>
      <c r="N39" s="99" t="s">
        <v>17</v>
      </c>
      <c r="O39" s="78"/>
      <c r="P39" s="99" t="s">
        <v>17</v>
      </c>
      <c r="Q39" s="99" t="s">
        <v>17</v>
      </c>
      <c r="R39" s="99" t="s">
        <v>17</v>
      </c>
      <c r="S39" s="99" t="s">
        <v>17</v>
      </c>
      <c r="T39" s="99" t="s">
        <v>17</v>
      </c>
      <c r="U39" s="99" t="s">
        <v>17</v>
      </c>
      <c r="V39" s="78"/>
      <c r="W39" s="99" t="s">
        <v>17</v>
      </c>
      <c r="X39" s="99" t="s">
        <v>17</v>
      </c>
      <c r="Y39" s="99" t="s">
        <v>17</v>
      </c>
      <c r="Z39" s="99" t="s">
        <v>17</v>
      </c>
      <c r="AA39" s="99" t="s">
        <v>17</v>
      </c>
      <c r="AB39" s="99" t="s">
        <v>17</v>
      </c>
      <c r="AC39" s="78"/>
      <c r="AD39" s="99" t="s">
        <v>17</v>
      </c>
      <c r="AE39" s="99" t="s">
        <v>17</v>
      </c>
      <c r="AF39" s="99" t="s">
        <v>17</v>
      </c>
      <c r="AG39" s="99" t="s">
        <v>17</v>
      </c>
      <c r="AH39" s="99" t="s">
        <v>17</v>
      </c>
      <c r="AI39" s="99" t="s">
        <v>17</v>
      </c>
      <c r="AJ39" s="4">
        <f>COUNTIF(F39:AI39,"P")</f>
        <v>26</v>
      </c>
      <c r="AK39" s="4">
        <f>COUNTIF(F39:AI39,"A")</f>
        <v>0</v>
      </c>
    </row>
    <row r="40" spans="1:37" ht="16.5">
      <c r="A40" s="6">
        <v>36</v>
      </c>
      <c r="B40" s="92">
        <v>947</v>
      </c>
      <c r="C40" s="93" t="s">
        <v>110</v>
      </c>
      <c r="D40" s="94" t="s">
        <v>53</v>
      </c>
      <c r="E40" s="5" t="s">
        <v>58</v>
      </c>
      <c r="F40" s="99" t="s">
        <v>17</v>
      </c>
      <c r="G40" s="99" t="s">
        <v>17</v>
      </c>
      <c r="H40" s="78"/>
      <c r="I40" s="99" t="s">
        <v>17</v>
      </c>
      <c r="J40" s="99" t="s">
        <v>17</v>
      </c>
      <c r="K40" s="99" t="s">
        <v>17</v>
      </c>
      <c r="L40" s="99" t="s">
        <v>17</v>
      </c>
      <c r="M40" s="99" t="s">
        <v>17</v>
      </c>
      <c r="N40" s="99" t="s">
        <v>17</v>
      </c>
      <c r="O40" s="78"/>
      <c r="P40" s="99" t="s">
        <v>17</v>
      </c>
      <c r="Q40" s="99" t="s">
        <v>17</v>
      </c>
      <c r="R40" s="99" t="s">
        <v>17</v>
      </c>
      <c r="S40" s="99" t="s">
        <v>17</v>
      </c>
      <c r="T40" s="99" t="s">
        <v>17</v>
      </c>
      <c r="U40" s="99" t="s">
        <v>17</v>
      </c>
      <c r="V40" s="78"/>
      <c r="W40" s="99" t="s">
        <v>17</v>
      </c>
      <c r="X40" s="99" t="s">
        <v>17</v>
      </c>
      <c r="Y40" s="99" t="s">
        <v>17</v>
      </c>
      <c r="Z40" s="99" t="s">
        <v>17</v>
      </c>
      <c r="AA40" s="99" t="s">
        <v>17</v>
      </c>
      <c r="AB40" s="99" t="s">
        <v>17</v>
      </c>
      <c r="AC40" s="78"/>
      <c r="AD40" s="99" t="s">
        <v>17</v>
      </c>
      <c r="AE40" s="99" t="s">
        <v>17</v>
      </c>
      <c r="AF40" s="99" t="s">
        <v>17</v>
      </c>
      <c r="AG40" s="99" t="s">
        <v>17</v>
      </c>
      <c r="AH40" s="99" t="s">
        <v>17</v>
      </c>
      <c r="AI40" s="99" t="s">
        <v>17</v>
      </c>
      <c r="AJ40" s="4">
        <f>COUNTIF(F40:AI40,"P")</f>
        <v>26</v>
      </c>
      <c r="AK40" s="4">
        <f>COUNTIF(F40:AI40,"A")</f>
        <v>0</v>
      </c>
    </row>
  </sheetData>
  <mergeCells count="16">
    <mergeCell ref="A2:AI2"/>
    <mergeCell ref="A1:AI1"/>
    <mergeCell ref="B3:B4"/>
    <mergeCell ref="H5:H40"/>
    <mergeCell ref="O5:O40"/>
    <mergeCell ref="V5:V40"/>
    <mergeCell ref="AC5:AC40"/>
    <mergeCell ref="AK3:AK4"/>
    <mergeCell ref="AL3:AM3"/>
    <mergeCell ref="AL11:AO11"/>
    <mergeCell ref="AL19:AO19"/>
    <mergeCell ref="A3:A4"/>
    <mergeCell ref="C3:C4"/>
    <mergeCell ref="D3:D4"/>
    <mergeCell ref="E3:E4"/>
    <mergeCell ref="AJ3:AJ4"/>
  </mergeCells>
  <phoneticPr fontId="18" type="noConversion"/>
  <conditionalFormatting sqref="F5:G40 I5:I40">
    <cfRule type="cellIs" dxfId="997" priority="197" operator="equal">
      <formula>"L"</formula>
    </cfRule>
    <cfRule type="expression" dxfId="996" priority="198">
      <formula>F$4=TODAY()</formula>
    </cfRule>
    <cfRule type="cellIs" dxfId="995" priority="199" operator="equal">
      <formula>"A"</formula>
    </cfRule>
    <cfRule type="cellIs" dxfId="994" priority="200" operator="equal">
      <formula>"P"</formula>
    </cfRule>
    <cfRule type="expression" dxfId="993" priority="201">
      <formula>F$3="Sun"</formula>
    </cfRule>
  </conditionalFormatting>
  <conditionalFormatting sqref="F3:AI4">
    <cfRule type="expression" dxfId="992" priority="208">
      <formula>F$4=TODAY()</formula>
    </cfRule>
    <cfRule type="expression" dxfId="991" priority="211">
      <formula>F$3="Sun"</formula>
    </cfRule>
  </conditionalFormatting>
  <conditionalFormatting sqref="AJ3:AK3 AJ5:AK40">
    <cfRule type="expression" dxfId="990" priority="212">
      <formula>#REF!="Sun"</formula>
    </cfRule>
  </conditionalFormatting>
  <conditionalFormatting sqref="AL5:AL9">
    <cfRule type="expression" dxfId="989" priority="231">
      <formula>AL$3="Sun"</formula>
    </cfRule>
  </conditionalFormatting>
  <conditionalFormatting sqref="AL12:AL15">
    <cfRule type="expression" dxfId="988" priority="229">
      <formula>AL$3="Sun"</formula>
    </cfRule>
  </conditionalFormatting>
  <conditionalFormatting sqref="AL20:AL23">
    <cfRule type="expression" dxfId="987" priority="228">
      <formula>AL$3="Sun"</formula>
    </cfRule>
  </conditionalFormatting>
  <conditionalFormatting sqref="AL4:AM4">
    <cfRule type="expression" dxfId="986" priority="232">
      <formula>AL$3="Sun"</formula>
    </cfRule>
  </conditionalFormatting>
  <conditionalFormatting sqref="AM12:AO12 AM20:AO20">
    <cfRule type="expression" dxfId="985" priority="233">
      <formula>AM$3="Sun"</formula>
    </cfRule>
  </conditionalFormatting>
  <conditionalFormatting sqref="AO21">
    <cfRule type="expression" dxfId="984" priority="230">
      <formula>AO$3="Sun"</formula>
    </cfRule>
  </conditionalFormatting>
  <conditionalFormatting sqref="B5:B40">
    <cfRule type="duplicateValues" dxfId="983" priority="171"/>
  </conditionalFormatting>
  <conditionalFormatting sqref="K5:K40">
    <cfRule type="cellIs" dxfId="982" priority="166" operator="equal">
      <formula>"L"</formula>
    </cfRule>
    <cfRule type="expression" dxfId="981" priority="167">
      <formula>K$4=TODAY()</formula>
    </cfRule>
    <cfRule type="cellIs" dxfId="980" priority="168" operator="equal">
      <formula>"A"</formula>
    </cfRule>
    <cfRule type="cellIs" dxfId="979" priority="169" operator="equal">
      <formula>"P"</formula>
    </cfRule>
    <cfRule type="expression" dxfId="978" priority="170">
      <formula>K$3="Sun"</formula>
    </cfRule>
  </conditionalFormatting>
  <conditionalFormatting sqref="J5:J40">
    <cfRule type="cellIs" dxfId="977" priority="161" operator="equal">
      <formula>"L"</formula>
    </cfRule>
    <cfRule type="expression" dxfId="976" priority="162">
      <formula>J$4=TODAY()</formula>
    </cfRule>
    <cfRule type="cellIs" dxfId="975" priority="163" operator="equal">
      <formula>"A"</formula>
    </cfRule>
    <cfRule type="cellIs" dxfId="974" priority="164" operator="equal">
      <formula>"P"</formula>
    </cfRule>
    <cfRule type="expression" dxfId="973" priority="165">
      <formula>J$3="Sun"</formula>
    </cfRule>
  </conditionalFormatting>
  <conditionalFormatting sqref="L5:L40">
    <cfRule type="cellIs" dxfId="972" priority="156" operator="equal">
      <formula>"L"</formula>
    </cfRule>
    <cfRule type="expression" dxfId="971" priority="157">
      <formula>L$4=TODAY()</formula>
    </cfRule>
    <cfRule type="cellIs" dxfId="970" priority="158" operator="equal">
      <formula>"A"</formula>
    </cfRule>
    <cfRule type="cellIs" dxfId="969" priority="159" operator="equal">
      <formula>"P"</formula>
    </cfRule>
    <cfRule type="expression" dxfId="968" priority="160">
      <formula>L$3="Sun"</formula>
    </cfRule>
  </conditionalFormatting>
  <conditionalFormatting sqref="M5:M40">
    <cfRule type="cellIs" dxfId="967" priority="151" operator="equal">
      <formula>"L"</formula>
    </cfRule>
    <cfRule type="expression" dxfId="966" priority="152">
      <formula>M$4=TODAY()</formula>
    </cfRule>
    <cfRule type="cellIs" dxfId="965" priority="153" operator="equal">
      <formula>"A"</formula>
    </cfRule>
    <cfRule type="cellIs" dxfId="964" priority="154" operator="equal">
      <formula>"P"</formula>
    </cfRule>
    <cfRule type="expression" dxfId="963" priority="155">
      <formula>M$3="Sun"</formula>
    </cfRule>
  </conditionalFormatting>
  <conditionalFormatting sqref="N5:N40">
    <cfRule type="cellIs" dxfId="962" priority="146" operator="equal">
      <formula>"L"</formula>
    </cfRule>
    <cfRule type="expression" dxfId="961" priority="147">
      <formula>N$4=TODAY()</formula>
    </cfRule>
    <cfRule type="cellIs" dxfId="960" priority="148" operator="equal">
      <formula>"A"</formula>
    </cfRule>
    <cfRule type="cellIs" dxfId="959" priority="149" operator="equal">
      <formula>"P"</formula>
    </cfRule>
    <cfRule type="expression" dxfId="958" priority="150">
      <formula>N$3="Sun"</formula>
    </cfRule>
  </conditionalFormatting>
  <conditionalFormatting sqref="P5:P40">
    <cfRule type="cellIs" dxfId="957" priority="136" operator="equal">
      <formula>"L"</formula>
    </cfRule>
    <cfRule type="expression" dxfId="956" priority="137">
      <formula>P$4=TODAY()</formula>
    </cfRule>
    <cfRule type="cellIs" dxfId="955" priority="138" operator="equal">
      <formula>"A"</formula>
    </cfRule>
    <cfRule type="cellIs" dxfId="954" priority="139" operator="equal">
      <formula>"P"</formula>
    </cfRule>
    <cfRule type="expression" dxfId="953" priority="140">
      <formula>P$3="Sun"</formula>
    </cfRule>
  </conditionalFormatting>
  <conditionalFormatting sqref="Q5:Q40">
    <cfRule type="cellIs" dxfId="952" priority="131" operator="equal">
      <formula>"L"</formula>
    </cfRule>
    <cfRule type="expression" dxfId="951" priority="132">
      <formula>Q$4=TODAY()</formula>
    </cfRule>
    <cfRule type="cellIs" dxfId="950" priority="133" operator="equal">
      <formula>"A"</formula>
    </cfRule>
    <cfRule type="cellIs" dxfId="949" priority="134" operator="equal">
      <formula>"P"</formula>
    </cfRule>
    <cfRule type="expression" dxfId="948" priority="135">
      <formula>Q$3="Sun"</formula>
    </cfRule>
  </conditionalFormatting>
  <conditionalFormatting sqref="R5:R40">
    <cfRule type="cellIs" dxfId="947" priority="126" operator="equal">
      <formula>"L"</formula>
    </cfRule>
    <cfRule type="expression" dxfId="946" priority="127">
      <formula>R$4=TODAY()</formula>
    </cfRule>
    <cfRule type="cellIs" dxfId="945" priority="128" operator="equal">
      <formula>"A"</formula>
    </cfRule>
    <cfRule type="cellIs" dxfId="944" priority="129" operator="equal">
      <formula>"P"</formula>
    </cfRule>
    <cfRule type="expression" dxfId="943" priority="130">
      <formula>R$3="Sun"</formula>
    </cfRule>
  </conditionalFormatting>
  <conditionalFormatting sqref="S5:S40">
    <cfRule type="cellIs" dxfId="942" priority="121" operator="equal">
      <formula>"L"</formula>
    </cfRule>
    <cfRule type="expression" dxfId="941" priority="122">
      <formula>S$4=TODAY()</formula>
    </cfRule>
    <cfRule type="cellIs" dxfId="940" priority="123" operator="equal">
      <formula>"A"</formula>
    </cfRule>
    <cfRule type="cellIs" dxfId="939" priority="124" operator="equal">
      <formula>"P"</formula>
    </cfRule>
    <cfRule type="expression" dxfId="938" priority="125">
      <formula>S$3="Sun"</formula>
    </cfRule>
  </conditionalFormatting>
  <conditionalFormatting sqref="T5:T40">
    <cfRule type="cellIs" dxfId="937" priority="116" operator="equal">
      <formula>"L"</formula>
    </cfRule>
    <cfRule type="expression" dxfId="936" priority="117">
      <formula>T$4=TODAY()</formula>
    </cfRule>
    <cfRule type="cellIs" dxfId="935" priority="118" operator="equal">
      <formula>"A"</formula>
    </cfRule>
    <cfRule type="cellIs" dxfId="934" priority="119" operator="equal">
      <formula>"P"</formula>
    </cfRule>
    <cfRule type="expression" dxfId="933" priority="120">
      <formula>T$3="Sun"</formula>
    </cfRule>
  </conditionalFormatting>
  <conditionalFormatting sqref="U5:U40">
    <cfRule type="cellIs" dxfId="932" priority="111" operator="equal">
      <formula>"L"</formula>
    </cfRule>
    <cfRule type="expression" dxfId="931" priority="112">
      <formula>U$4=TODAY()</formula>
    </cfRule>
    <cfRule type="cellIs" dxfId="930" priority="113" operator="equal">
      <formula>"A"</formula>
    </cfRule>
    <cfRule type="cellIs" dxfId="929" priority="114" operator="equal">
      <formula>"P"</formula>
    </cfRule>
    <cfRule type="expression" dxfId="928" priority="115">
      <formula>U$3="Sun"</formula>
    </cfRule>
  </conditionalFormatting>
  <conditionalFormatting sqref="W5:W40">
    <cfRule type="cellIs" dxfId="927" priority="101" operator="equal">
      <formula>"L"</formula>
    </cfRule>
    <cfRule type="expression" dxfId="926" priority="102">
      <formula>W$4=TODAY()</formula>
    </cfRule>
    <cfRule type="cellIs" dxfId="925" priority="103" operator="equal">
      <formula>"A"</formula>
    </cfRule>
    <cfRule type="cellIs" dxfId="924" priority="104" operator="equal">
      <formula>"P"</formula>
    </cfRule>
    <cfRule type="expression" dxfId="923" priority="105">
      <formula>W$3="Sun"</formula>
    </cfRule>
  </conditionalFormatting>
  <conditionalFormatting sqref="X5:X40">
    <cfRule type="cellIs" dxfId="922" priority="96" operator="equal">
      <formula>"L"</formula>
    </cfRule>
    <cfRule type="expression" dxfId="921" priority="97">
      <formula>X$4=TODAY()</formula>
    </cfRule>
    <cfRule type="cellIs" dxfId="920" priority="98" operator="equal">
      <formula>"A"</formula>
    </cfRule>
    <cfRule type="cellIs" dxfId="919" priority="99" operator="equal">
      <formula>"P"</formula>
    </cfRule>
    <cfRule type="expression" dxfId="918" priority="100">
      <formula>X$3="Sun"</formula>
    </cfRule>
  </conditionalFormatting>
  <conditionalFormatting sqref="Y5:Y40">
    <cfRule type="cellIs" dxfId="917" priority="91" operator="equal">
      <formula>"L"</formula>
    </cfRule>
    <cfRule type="expression" dxfId="916" priority="92">
      <formula>Y$4=TODAY()</formula>
    </cfRule>
    <cfRule type="cellIs" dxfId="915" priority="93" operator="equal">
      <formula>"A"</formula>
    </cfRule>
    <cfRule type="cellIs" dxfId="914" priority="94" operator="equal">
      <formula>"P"</formula>
    </cfRule>
    <cfRule type="expression" dxfId="913" priority="95">
      <formula>Y$3="Sun"</formula>
    </cfRule>
  </conditionalFormatting>
  <conditionalFormatting sqref="Z5:Z40">
    <cfRule type="cellIs" dxfId="912" priority="86" operator="equal">
      <formula>"L"</formula>
    </cfRule>
    <cfRule type="expression" dxfId="911" priority="87">
      <formula>Z$4=TODAY()</formula>
    </cfRule>
    <cfRule type="cellIs" dxfId="910" priority="88" operator="equal">
      <formula>"A"</formula>
    </cfRule>
    <cfRule type="cellIs" dxfId="909" priority="89" operator="equal">
      <formula>"P"</formula>
    </cfRule>
    <cfRule type="expression" dxfId="908" priority="90">
      <formula>Z$3="Sun"</formula>
    </cfRule>
  </conditionalFormatting>
  <conditionalFormatting sqref="AA5:AA40">
    <cfRule type="cellIs" dxfId="907" priority="81" operator="equal">
      <formula>"L"</formula>
    </cfRule>
    <cfRule type="expression" dxfId="906" priority="82">
      <formula>AA$4=TODAY()</formula>
    </cfRule>
    <cfRule type="cellIs" dxfId="905" priority="83" operator="equal">
      <formula>"A"</formula>
    </cfRule>
    <cfRule type="cellIs" dxfId="904" priority="84" operator="equal">
      <formula>"P"</formula>
    </cfRule>
    <cfRule type="expression" dxfId="903" priority="85">
      <formula>AA$3="Sun"</formula>
    </cfRule>
  </conditionalFormatting>
  <conditionalFormatting sqref="AB5:AB40">
    <cfRule type="cellIs" dxfId="902" priority="76" operator="equal">
      <formula>"L"</formula>
    </cfRule>
    <cfRule type="expression" dxfId="901" priority="77">
      <formula>AB$4=TODAY()</formula>
    </cfRule>
    <cfRule type="cellIs" dxfId="900" priority="78" operator="equal">
      <formula>"A"</formula>
    </cfRule>
    <cfRule type="cellIs" dxfId="899" priority="79" operator="equal">
      <formula>"P"</formula>
    </cfRule>
    <cfRule type="expression" dxfId="898" priority="80">
      <formula>AB$3="Sun"</formula>
    </cfRule>
  </conditionalFormatting>
  <conditionalFormatting sqref="AD5:AD40">
    <cfRule type="cellIs" dxfId="897" priority="66" operator="equal">
      <formula>"L"</formula>
    </cfRule>
    <cfRule type="expression" dxfId="896" priority="67">
      <formula>AD$4=TODAY()</formula>
    </cfRule>
    <cfRule type="cellIs" dxfId="895" priority="68" operator="equal">
      <formula>"A"</formula>
    </cfRule>
    <cfRule type="cellIs" dxfId="894" priority="69" operator="equal">
      <formula>"P"</formula>
    </cfRule>
    <cfRule type="expression" dxfId="893" priority="70">
      <formula>AD$3="Sun"</formula>
    </cfRule>
  </conditionalFormatting>
  <conditionalFormatting sqref="AF5:AF40">
    <cfRule type="cellIs" dxfId="892" priority="61" operator="equal">
      <formula>"L"</formula>
    </cfRule>
    <cfRule type="expression" dxfId="891" priority="62">
      <formula>AF$4=TODAY()</formula>
    </cfRule>
    <cfRule type="cellIs" dxfId="890" priority="63" operator="equal">
      <formula>"A"</formula>
    </cfRule>
    <cfRule type="cellIs" dxfId="889" priority="64" operator="equal">
      <formula>"P"</formula>
    </cfRule>
    <cfRule type="expression" dxfId="888" priority="65">
      <formula>AF$3="Sun"</formula>
    </cfRule>
  </conditionalFormatting>
  <conditionalFormatting sqref="AG5:AG40">
    <cfRule type="cellIs" dxfId="887" priority="56" operator="equal">
      <formula>"L"</formula>
    </cfRule>
    <cfRule type="expression" dxfId="886" priority="57">
      <formula>AG$4=TODAY()</formula>
    </cfRule>
    <cfRule type="cellIs" dxfId="885" priority="58" operator="equal">
      <formula>"A"</formula>
    </cfRule>
    <cfRule type="cellIs" dxfId="884" priority="59" operator="equal">
      <formula>"P"</formula>
    </cfRule>
    <cfRule type="expression" dxfId="883" priority="60">
      <formula>AG$3="Sun"</formula>
    </cfRule>
  </conditionalFormatting>
  <conditionalFormatting sqref="AH5:AH40">
    <cfRule type="cellIs" dxfId="882" priority="51" operator="equal">
      <formula>"L"</formula>
    </cfRule>
    <cfRule type="expression" dxfId="881" priority="52">
      <formula>AH$4=TODAY()</formula>
    </cfRule>
    <cfRule type="cellIs" dxfId="880" priority="53" operator="equal">
      <formula>"A"</formula>
    </cfRule>
    <cfRule type="cellIs" dxfId="879" priority="54" operator="equal">
      <formula>"P"</formula>
    </cfRule>
    <cfRule type="expression" dxfId="878" priority="55">
      <formula>AH$3="Sun"</formula>
    </cfRule>
  </conditionalFormatting>
  <conditionalFormatting sqref="AI5:AI40">
    <cfRule type="cellIs" dxfId="877" priority="46" operator="equal">
      <formula>"L"</formula>
    </cfRule>
    <cfRule type="expression" dxfId="876" priority="47">
      <formula>AI$4=TODAY()</formula>
    </cfRule>
    <cfRule type="cellIs" dxfId="875" priority="48" operator="equal">
      <formula>"A"</formula>
    </cfRule>
    <cfRule type="cellIs" dxfId="874" priority="49" operator="equal">
      <formula>"P"</formula>
    </cfRule>
    <cfRule type="expression" dxfId="873" priority="50">
      <formula>AI$3="Sun"</formula>
    </cfRule>
  </conditionalFormatting>
  <conditionalFormatting sqref="H5">
    <cfRule type="cellIs" dxfId="872" priority="36" operator="equal">
      <formula>"L"</formula>
    </cfRule>
    <cfRule type="expression" dxfId="871" priority="37">
      <formula>H$4=TODAY()</formula>
    </cfRule>
    <cfRule type="cellIs" dxfId="870" priority="38" operator="equal">
      <formula>"A"</formula>
    </cfRule>
    <cfRule type="cellIs" dxfId="869" priority="39" operator="equal">
      <formula>"P"</formula>
    </cfRule>
    <cfRule type="expression" dxfId="868" priority="40">
      <formula>H$3="Sun"</formula>
    </cfRule>
  </conditionalFormatting>
  <conditionalFormatting sqref="AE5:AE40">
    <cfRule type="cellIs" dxfId="852" priority="16" operator="equal">
      <formula>"L"</formula>
    </cfRule>
    <cfRule type="expression" dxfId="851" priority="17">
      <formula>AE$4=TODAY()</formula>
    </cfRule>
    <cfRule type="cellIs" dxfId="850" priority="18" operator="equal">
      <formula>"A"</formula>
    </cfRule>
    <cfRule type="cellIs" dxfId="849" priority="19" operator="equal">
      <formula>"P"</formula>
    </cfRule>
    <cfRule type="expression" dxfId="848" priority="20">
      <formula>AE$3="Sun"</formula>
    </cfRule>
  </conditionalFormatting>
  <conditionalFormatting sqref="O5">
    <cfRule type="cellIs" dxfId="847" priority="11" operator="equal">
      <formula>"L"</formula>
    </cfRule>
    <cfRule type="expression" dxfId="846" priority="12">
      <formula>O$4=TODAY()</formula>
    </cfRule>
    <cfRule type="cellIs" dxfId="845" priority="13" operator="equal">
      <formula>"A"</formula>
    </cfRule>
    <cfRule type="cellIs" dxfId="844" priority="14" operator="equal">
      <formula>"P"</formula>
    </cfRule>
    <cfRule type="expression" dxfId="843" priority="15">
      <formula>O$3="Sun"</formula>
    </cfRule>
  </conditionalFormatting>
  <conditionalFormatting sqref="V5">
    <cfRule type="cellIs" dxfId="842" priority="6" operator="equal">
      <formula>"L"</formula>
    </cfRule>
    <cfRule type="expression" dxfId="841" priority="7">
      <formula>V$4=TODAY()</formula>
    </cfRule>
    <cfRule type="cellIs" dxfId="840" priority="8" operator="equal">
      <formula>"A"</formula>
    </cfRule>
    <cfRule type="cellIs" dxfId="839" priority="9" operator="equal">
      <formula>"P"</formula>
    </cfRule>
    <cfRule type="expression" dxfId="838" priority="10">
      <formula>V$3="Sun"</formula>
    </cfRule>
  </conditionalFormatting>
  <conditionalFormatting sqref="AC5">
    <cfRule type="cellIs" dxfId="837" priority="1" operator="equal">
      <formula>"L"</formula>
    </cfRule>
    <cfRule type="expression" dxfId="836" priority="2">
      <formula>AC$4=TODAY()</formula>
    </cfRule>
    <cfRule type="cellIs" dxfId="835" priority="3" operator="equal">
      <formula>"A"</formula>
    </cfRule>
    <cfRule type="cellIs" dxfId="834" priority="4" operator="equal">
      <formula>"P"</formula>
    </cfRule>
    <cfRule type="expression" dxfId="833" priority="5">
      <formula>AC$3="Sun"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E4AD8-D09D-418E-988B-E7979AEDC5C7}">
  <dimension ref="A1:AO35"/>
  <sheetViews>
    <sheetView topLeftCell="A5" zoomScale="98" zoomScaleNormal="98" workbookViewId="0">
      <selection activeCell="AC5" sqref="AC5:AC35"/>
    </sheetView>
  </sheetViews>
  <sheetFormatPr defaultColWidth="3.85546875" defaultRowHeight="1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9" width="3.7109375" style="1" bestFit="1" customWidth="1"/>
    <col min="10" max="10" width="3.85546875" style="1"/>
    <col min="11" max="11" width="4.5703125" style="1" bestFit="1" customWidth="1"/>
    <col min="12" max="12" width="3.85546875" style="1"/>
    <col min="13" max="13" width="4.85546875" style="1" customWidth="1"/>
    <col min="14" max="15" width="3.7109375" style="1" bestFit="1" customWidth="1"/>
    <col min="16" max="16" width="3.85546875" style="1"/>
    <col min="17" max="17" width="4.5703125" style="1" bestFit="1" customWidth="1"/>
    <col min="18" max="19" width="4.5703125" style="1" customWidth="1"/>
    <col min="20" max="20" width="4.7109375" style="1" bestFit="1" customWidth="1"/>
    <col min="21" max="22" width="3.7109375" style="1" bestFit="1" customWidth="1"/>
    <col min="23" max="23" width="3.85546875" style="1"/>
    <col min="24" max="24" width="4.5703125" style="1" bestFit="1" customWidth="1"/>
    <col min="25" max="25" width="3.85546875" style="1"/>
    <col min="26" max="26" width="4.7109375" style="1" bestFit="1" customWidth="1"/>
    <col min="27" max="27" width="3.85546875" style="1"/>
    <col min="28" max="29" width="3.7109375" style="1" bestFit="1" customWidth="1"/>
    <col min="30" max="30" width="3.85546875" style="1"/>
    <col min="31" max="31" width="4.5703125" style="1" bestFit="1" customWidth="1"/>
    <col min="32" max="35" width="3.85546875" style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79" t="s">
        <v>59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10"/>
      <c r="AK1" s="10"/>
    </row>
    <row r="2" spans="1:41" ht="17.25">
      <c r="A2" s="80" t="s">
        <v>60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11"/>
      <c r="AK2" s="11"/>
      <c r="AL2" s="11"/>
    </row>
    <row r="3" spans="1:41" ht="15.75">
      <c r="A3" s="81" t="s">
        <v>0</v>
      </c>
      <c r="B3" s="97" t="s">
        <v>111</v>
      </c>
      <c r="C3" s="81" t="s">
        <v>1</v>
      </c>
      <c r="D3" s="81" t="s">
        <v>2</v>
      </c>
      <c r="E3" s="81" t="s">
        <v>3</v>
      </c>
      <c r="F3" s="2" t="str">
        <f>TEXT(F4,"ddd")</f>
        <v>Fri</v>
      </c>
      <c r="G3" s="2" t="str">
        <f t="shared" ref="G3:AI3" si="0">TEXT(G4,"ddd")</f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73" t="s">
        <v>4</v>
      </c>
      <c r="AK3" s="73" t="s">
        <v>5</v>
      </c>
      <c r="AL3" s="74" t="s">
        <v>19</v>
      </c>
      <c r="AM3" s="75"/>
      <c r="AN3" s="3"/>
      <c r="AO3" s="3"/>
    </row>
    <row r="4" spans="1:41" ht="37.5">
      <c r="A4" s="81"/>
      <c r="B4" s="98"/>
      <c r="C4" s="81"/>
      <c r="D4" s="81"/>
      <c r="E4" s="81"/>
      <c r="F4" s="9">
        <v>45597</v>
      </c>
      <c r="G4" s="9">
        <v>45598</v>
      </c>
      <c r="H4" s="9">
        <v>45599</v>
      </c>
      <c r="I4" s="9">
        <v>45600</v>
      </c>
      <c r="J4" s="9">
        <v>45601</v>
      </c>
      <c r="K4" s="9">
        <v>45602</v>
      </c>
      <c r="L4" s="9">
        <v>45603</v>
      </c>
      <c r="M4" s="9">
        <v>45604</v>
      </c>
      <c r="N4" s="9">
        <v>45605</v>
      </c>
      <c r="O4" s="9">
        <v>45606</v>
      </c>
      <c r="P4" s="9">
        <v>45607</v>
      </c>
      <c r="Q4" s="9">
        <v>45608</v>
      </c>
      <c r="R4" s="9">
        <v>45609</v>
      </c>
      <c r="S4" s="9">
        <v>45610</v>
      </c>
      <c r="T4" s="9">
        <v>45611</v>
      </c>
      <c r="U4" s="9">
        <v>45612</v>
      </c>
      <c r="V4" s="9">
        <v>45613</v>
      </c>
      <c r="W4" s="9">
        <v>45614</v>
      </c>
      <c r="X4" s="9">
        <v>45615</v>
      </c>
      <c r="Y4" s="9">
        <v>45616</v>
      </c>
      <c r="Z4" s="9">
        <v>45617</v>
      </c>
      <c r="AA4" s="9">
        <v>45618</v>
      </c>
      <c r="AB4" s="9">
        <v>45619</v>
      </c>
      <c r="AC4" s="9">
        <v>45620</v>
      </c>
      <c r="AD4" s="9">
        <v>45621</v>
      </c>
      <c r="AE4" s="9">
        <v>45622</v>
      </c>
      <c r="AF4" s="9">
        <v>45623</v>
      </c>
      <c r="AG4" s="9">
        <v>45624</v>
      </c>
      <c r="AH4" s="9">
        <v>45625</v>
      </c>
      <c r="AI4" s="9">
        <v>45626</v>
      </c>
      <c r="AJ4" s="73"/>
      <c r="AK4" s="73"/>
      <c r="AL4" s="4" t="s">
        <v>20</v>
      </c>
      <c r="AM4" s="4">
        <f>SUM(AM5:AM8)</f>
        <v>30</v>
      </c>
      <c r="AN4" s="3"/>
      <c r="AO4" s="3"/>
    </row>
    <row r="5" spans="1:41" ht="15" customHeight="1">
      <c r="A5" s="6">
        <v>1</v>
      </c>
      <c r="B5" s="85">
        <v>915</v>
      </c>
      <c r="C5" s="86" t="s">
        <v>112</v>
      </c>
      <c r="D5" s="87" t="s">
        <v>49</v>
      </c>
      <c r="E5" s="5" t="s">
        <v>185</v>
      </c>
      <c r="F5" s="99" t="s">
        <v>17</v>
      </c>
      <c r="G5" s="99" t="s">
        <v>17</v>
      </c>
      <c r="H5" s="77" t="s">
        <v>196</v>
      </c>
      <c r="I5" s="99" t="s">
        <v>17</v>
      </c>
      <c r="J5" s="99" t="s">
        <v>17</v>
      </c>
      <c r="K5" s="99" t="s">
        <v>17</v>
      </c>
      <c r="L5" s="99" t="s">
        <v>17</v>
      </c>
      <c r="M5" s="99" t="s">
        <v>17</v>
      </c>
      <c r="N5" s="99" t="s">
        <v>17</v>
      </c>
      <c r="O5" s="77" t="s">
        <v>196</v>
      </c>
      <c r="P5" s="99" t="s">
        <v>17</v>
      </c>
      <c r="Q5" s="99" t="s">
        <v>17</v>
      </c>
      <c r="R5" s="99" t="s">
        <v>17</v>
      </c>
      <c r="S5" s="99" t="s">
        <v>17</v>
      </c>
      <c r="T5" s="99" t="s">
        <v>17</v>
      </c>
      <c r="U5" s="99" t="s">
        <v>17</v>
      </c>
      <c r="V5" s="77" t="s">
        <v>196</v>
      </c>
      <c r="W5" s="99" t="s">
        <v>17</v>
      </c>
      <c r="X5" s="99" t="s">
        <v>17</v>
      </c>
      <c r="Y5" s="99" t="s">
        <v>17</v>
      </c>
      <c r="Z5" s="99" t="s">
        <v>17</v>
      </c>
      <c r="AA5" s="99" t="s">
        <v>17</v>
      </c>
      <c r="AB5" s="99" t="s">
        <v>17</v>
      </c>
      <c r="AC5" s="77" t="s">
        <v>196</v>
      </c>
      <c r="AD5" s="99" t="s">
        <v>17</v>
      </c>
      <c r="AE5" s="99" t="s">
        <v>17</v>
      </c>
      <c r="AF5" s="99" t="s">
        <v>17</v>
      </c>
      <c r="AG5" s="99" t="s">
        <v>17</v>
      </c>
      <c r="AH5" s="99" t="s">
        <v>17</v>
      </c>
      <c r="AI5" s="99" t="s">
        <v>17</v>
      </c>
      <c r="AJ5" s="4">
        <f>COUNTIF(F5:AI5,"P")</f>
        <v>26</v>
      </c>
      <c r="AK5" s="4">
        <f>COUNTIF(F5:AI5,"A")</f>
        <v>0</v>
      </c>
      <c r="AL5" s="65" t="s">
        <v>6</v>
      </c>
      <c r="AM5" s="6">
        <v>24</v>
      </c>
      <c r="AN5" s="7"/>
      <c r="AO5" s="3"/>
    </row>
    <row r="6" spans="1:41" ht="16.5">
      <c r="A6" s="6">
        <v>2</v>
      </c>
      <c r="B6" s="88">
        <v>920</v>
      </c>
      <c r="C6" s="86" t="s">
        <v>113</v>
      </c>
      <c r="D6" s="87" t="s">
        <v>73</v>
      </c>
      <c r="E6" s="5" t="s">
        <v>185</v>
      </c>
      <c r="F6" s="99" t="s">
        <v>17</v>
      </c>
      <c r="G6" s="99" t="s">
        <v>17</v>
      </c>
      <c r="H6" s="78"/>
      <c r="I6" s="99" t="s">
        <v>17</v>
      </c>
      <c r="J6" s="99" t="s">
        <v>17</v>
      </c>
      <c r="K6" s="99" t="s">
        <v>17</v>
      </c>
      <c r="L6" s="99" t="s">
        <v>17</v>
      </c>
      <c r="M6" s="99" t="s">
        <v>17</v>
      </c>
      <c r="N6" s="99" t="s">
        <v>17</v>
      </c>
      <c r="O6" s="78"/>
      <c r="P6" s="99" t="s">
        <v>17</v>
      </c>
      <c r="Q6" s="99" t="s">
        <v>17</v>
      </c>
      <c r="R6" s="99" t="s">
        <v>17</v>
      </c>
      <c r="S6" s="99" t="s">
        <v>17</v>
      </c>
      <c r="T6" s="99" t="s">
        <v>17</v>
      </c>
      <c r="U6" s="99" t="s">
        <v>17</v>
      </c>
      <c r="V6" s="78"/>
      <c r="W6" s="99" t="s">
        <v>17</v>
      </c>
      <c r="X6" s="99" t="s">
        <v>17</v>
      </c>
      <c r="Y6" s="99" t="s">
        <v>17</v>
      </c>
      <c r="Z6" s="99" t="s">
        <v>17</v>
      </c>
      <c r="AA6" s="99" t="s">
        <v>17</v>
      </c>
      <c r="AB6" s="99" t="s">
        <v>17</v>
      </c>
      <c r="AC6" s="78"/>
      <c r="AD6" s="99" t="s">
        <v>17</v>
      </c>
      <c r="AE6" s="99" t="s">
        <v>17</v>
      </c>
      <c r="AF6" s="99" t="s">
        <v>17</v>
      </c>
      <c r="AG6" s="99" t="s">
        <v>17</v>
      </c>
      <c r="AH6" s="99" t="s">
        <v>17</v>
      </c>
      <c r="AI6" s="99" t="s">
        <v>17</v>
      </c>
      <c r="AJ6" s="4">
        <f>COUNTIF(F6:AI6,"P")</f>
        <v>26</v>
      </c>
      <c r="AK6" s="4">
        <f>COUNTIF(F6:AI6,"A")</f>
        <v>0</v>
      </c>
      <c r="AL6" s="65" t="s">
        <v>7</v>
      </c>
      <c r="AM6" s="6">
        <v>4</v>
      </c>
      <c r="AN6" s="3"/>
      <c r="AO6" s="3"/>
    </row>
    <row r="7" spans="1:41" ht="16.5">
      <c r="A7" s="6">
        <v>3</v>
      </c>
      <c r="B7" s="88">
        <v>925</v>
      </c>
      <c r="C7" s="83" t="s">
        <v>114</v>
      </c>
      <c r="D7" s="83" t="s">
        <v>115</v>
      </c>
      <c r="E7" s="5" t="s">
        <v>185</v>
      </c>
      <c r="F7" s="99" t="s">
        <v>17</v>
      </c>
      <c r="G7" s="99" t="s">
        <v>17</v>
      </c>
      <c r="H7" s="78"/>
      <c r="I7" s="99" t="s">
        <v>17</v>
      </c>
      <c r="J7" s="99" t="s">
        <v>17</v>
      </c>
      <c r="K7" s="99" t="s">
        <v>17</v>
      </c>
      <c r="L7" s="99" t="s">
        <v>17</v>
      </c>
      <c r="M7" s="99" t="s">
        <v>17</v>
      </c>
      <c r="N7" s="99" t="s">
        <v>17</v>
      </c>
      <c r="O7" s="78"/>
      <c r="P7" s="99" t="s">
        <v>17</v>
      </c>
      <c r="Q7" s="99" t="s">
        <v>17</v>
      </c>
      <c r="R7" s="99" t="s">
        <v>17</v>
      </c>
      <c r="S7" s="99" t="s">
        <v>17</v>
      </c>
      <c r="T7" s="99" t="s">
        <v>17</v>
      </c>
      <c r="U7" s="99" t="s">
        <v>17</v>
      </c>
      <c r="V7" s="78"/>
      <c r="W7" s="99" t="s">
        <v>17</v>
      </c>
      <c r="X7" s="99" t="s">
        <v>17</v>
      </c>
      <c r="Y7" s="99" t="s">
        <v>17</v>
      </c>
      <c r="Z7" s="99" t="s">
        <v>17</v>
      </c>
      <c r="AA7" s="99" t="s">
        <v>17</v>
      </c>
      <c r="AB7" s="99" t="s">
        <v>17</v>
      </c>
      <c r="AC7" s="78"/>
      <c r="AD7" s="99" t="s">
        <v>17</v>
      </c>
      <c r="AE7" s="99" t="s">
        <v>17</v>
      </c>
      <c r="AF7" s="99" t="s">
        <v>17</v>
      </c>
      <c r="AG7" s="99" t="s">
        <v>17</v>
      </c>
      <c r="AH7" s="99" t="s">
        <v>17</v>
      </c>
      <c r="AI7" s="99" t="s">
        <v>17</v>
      </c>
      <c r="AJ7" s="4">
        <f>COUNTIF(F7:AI7,"P")</f>
        <v>26</v>
      </c>
      <c r="AK7" s="4">
        <f>COUNTIF(F7:AI7,"A")</f>
        <v>0</v>
      </c>
      <c r="AL7" s="65" t="s">
        <v>23</v>
      </c>
      <c r="AM7" s="6">
        <v>1</v>
      </c>
      <c r="AN7" s="3"/>
      <c r="AO7" s="3"/>
    </row>
    <row r="8" spans="1:41" ht="16.5">
      <c r="A8" s="6">
        <v>4</v>
      </c>
      <c r="B8" s="88">
        <v>932</v>
      </c>
      <c r="C8" s="83" t="s">
        <v>116</v>
      </c>
      <c r="D8" s="83" t="s">
        <v>83</v>
      </c>
      <c r="E8" s="5" t="s">
        <v>185</v>
      </c>
      <c r="F8" s="99" t="s">
        <v>17</v>
      </c>
      <c r="G8" s="99" t="s">
        <v>17</v>
      </c>
      <c r="H8" s="78"/>
      <c r="I8" s="99" t="s">
        <v>17</v>
      </c>
      <c r="J8" s="99" t="s">
        <v>17</v>
      </c>
      <c r="K8" s="99" t="s">
        <v>17</v>
      </c>
      <c r="L8" s="99" t="s">
        <v>17</v>
      </c>
      <c r="M8" s="99" t="s">
        <v>17</v>
      </c>
      <c r="N8" s="99" t="s">
        <v>17</v>
      </c>
      <c r="O8" s="78"/>
      <c r="P8" s="99" t="s">
        <v>17</v>
      </c>
      <c r="Q8" s="99" t="s">
        <v>17</v>
      </c>
      <c r="R8" s="99" t="s">
        <v>17</v>
      </c>
      <c r="S8" s="99" t="s">
        <v>17</v>
      </c>
      <c r="T8" s="99" t="s">
        <v>17</v>
      </c>
      <c r="U8" s="99" t="s">
        <v>17</v>
      </c>
      <c r="V8" s="78"/>
      <c r="W8" s="99" t="s">
        <v>17</v>
      </c>
      <c r="X8" s="99" t="s">
        <v>17</v>
      </c>
      <c r="Y8" s="99" t="s">
        <v>17</v>
      </c>
      <c r="Z8" s="99" t="s">
        <v>17</v>
      </c>
      <c r="AA8" s="99" t="s">
        <v>17</v>
      </c>
      <c r="AB8" s="99" t="s">
        <v>17</v>
      </c>
      <c r="AC8" s="78"/>
      <c r="AD8" s="99" t="s">
        <v>17</v>
      </c>
      <c r="AE8" s="99" t="s">
        <v>17</v>
      </c>
      <c r="AF8" s="99" t="s">
        <v>17</v>
      </c>
      <c r="AG8" s="99" t="s">
        <v>17</v>
      </c>
      <c r="AH8" s="99" t="s">
        <v>17</v>
      </c>
      <c r="AI8" s="99" t="s">
        <v>17</v>
      </c>
      <c r="AJ8" s="4">
        <f>COUNTIF(F8:AI8,"P")</f>
        <v>26</v>
      </c>
      <c r="AK8" s="4">
        <f>COUNTIF(F8:AI8,"A")</f>
        <v>0</v>
      </c>
      <c r="AL8" s="65" t="s">
        <v>21</v>
      </c>
      <c r="AM8" s="6">
        <v>1</v>
      </c>
      <c r="AN8"/>
      <c r="AO8"/>
    </row>
    <row r="9" spans="1:41" ht="16.5">
      <c r="A9" s="6">
        <v>5</v>
      </c>
      <c r="B9" s="85">
        <v>935</v>
      </c>
      <c r="C9" s="83" t="s">
        <v>117</v>
      </c>
      <c r="D9" s="83" t="s">
        <v>18</v>
      </c>
      <c r="E9" s="5" t="s">
        <v>185</v>
      </c>
      <c r="F9" s="99" t="s">
        <v>17</v>
      </c>
      <c r="G9" s="99" t="s">
        <v>17</v>
      </c>
      <c r="H9" s="78"/>
      <c r="I9" s="99" t="s">
        <v>17</v>
      </c>
      <c r="J9" s="99" t="s">
        <v>17</v>
      </c>
      <c r="K9" s="99" t="s">
        <v>17</v>
      </c>
      <c r="L9" s="99" t="s">
        <v>17</v>
      </c>
      <c r="M9" s="99" t="s">
        <v>17</v>
      </c>
      <c r="N9" s="99" t="s">
        <v>17</v>
      </c>
      <c r="O9" s="78"/>
      <c r="P9" s="99" t="s">
        <v>17</v>
      </c>
      <c r="Q9" s="99" t="s">
        <v>17</v>
      </c>
      <c r="R9" s="99" t="s">
        <v>17</v>
      </c>
      <c r="S9" s="99" t="s">
        <v>17</v>
      </c>
      <c r="T9" s="99" t="s">
        <v>17</v>
      </c>
      <c r="U9" s="99" t="s">
        <v>17</v>
      </c>
      <c r="V9" s="78"/>
      <c r="W9" s="99" t="s">
        <v>17</v>
      </c>
      <c r="X9" s="99" t="s">
        <v>17</v>
      </c>
      <c r="Y9" s="99" t="s">
        <v>17</v>
      </c>
      <c r="Z9" s="99" t="s">
        <v>17</v>
      </c>
      <c r="AA9" s="99" t="s">
        <v>17</v>
      </c>
      <c r="AB9" s="99" t="s">
        <v>17</v>
      </c>
      <c r="AC9" s="78"/>
      <c r="AD9" s="99" t="s">
        <v>17</v>
      </c>
      <c r="AE9" s="99" t="s">
        <v>17</v>
      </c>
      <c r="AF9" s="99" t="s">
        <v>17</v>
      </c>
      <c r="AG9" s="99" t="s">
        <v>17</v>
      </c>
      <c r="AH9" s="99" t="s">
        <v>17</v>
      </c>
      <c r="AI9" s="99" t="s">
        <v>17</v>
      </c>
      <c r="AJ9" s="4">
        <f>COUNTIF(F9:AI9,"P")</f>
        <v>26</v>
      </c>
      <c r="AK9" s="4">
        <f>COUNTIF(F9:AI9,"A")</f>
        <v>0</v>
      </c>
      <c r="AL9" s="65"/>
      <c r="AM9" s="6"/>
    </row>
    <row r="10" spans="1:41" ht="16.5">
      <c r="A10" s="6">
        <v>6</v>
      </c>
      <c r="B10" s="85">
        <v>941</v>
      </c>
      <c r="C10" s="83" t="s">
        <v>118</v>
      </c>
      <c r="D10" s="83" t="s">
        <v>89</v>
      </c>
      <c r="E10" s="5" t="s">
        <v>185</v>
      </c>
      <c r="F10" s="99" t="s">
        <v>17</v>
      </c>
      <c r="G10" s="99" t="s">
        <v>17</v>
      </c>
      <c r="H10" s="78"/>
      <c r="I10" s="99" t="s">
        <v>17</v>
      </c>
      <c r="J10" s="99" t="s">
        <v>17</v>
      </c>
      <c r="K10" s="99" t="s">
        <v>17</v>
      </c>
      <c r="L10" s="99" t="s">
        <v>17</v>
      </c>
      <c r="M10" s="99" t="s">
        <v>17</v>
      </c>
      <c r="N10" s="99" t="s">
        <v>17</v>
      </c>
      <c r="O10" s="78"/>
      <c r="P10" s="99" t="s">
        <v>17</v>
      </c>
      <c r="Q10" s="99" t="s">
        <v>17</v>
      </c>
      <c r="R10" s="99" t="s">
        <v>17</v>
      </c>
      <c r="S10" s="99" t="s">
        <v>17</v>
      </c>
      <c r="T10" s="99" t="s">
        <v>17</v>
      </c>
      <c r="U10" s="99" t="s">
        <v>17</v>
      </c>
      <c r="V10" s="78"/>
      <c r="W10" s="99" t="s">
        <v>17</v>
      </c>
      <c r="X10" s="99" t="s">
        <v>17</v>
      </c>
      <c r="Y10" s="99" t="s">
        <v>17</v>
      </c>
      <c r="Z10" s="99" t="s">
        <v>17</v>
      </c>
      <c r="AA10" s="99" t="s">
        <v>17</v>
      </c>
      <c r="AB10" s="99" t="s">
        <v>17</v>
      </c>
      <c r="AC10" s="78"/>
      <c r="AD10" s="99" t="s">
        <v>17</v>
      </c>
      <c r="AE10" s="99" t="s">
        <v>17</v>
      </c>
      <c r="AF10" s="99" t="s">
        <v>17</v>
      </c>
      <c r="AG10" s="99" t="s">
        <v>17</v>
      </c>
      <c r="AH10" s="99" t="s">
        <v>17</v>
      </c>
      <c r="AI10" s="99" t="s">
        <v>17</v>
      </c>
      <c r="AJ10" s="4">
        <f>COUNTIF(F10:AI10,"P")</f>
        <v>26</v>
      </c>
      <c r="AK10" s="4">
        <f>COUNTIF(F10:AI10,"A")</f>
        <v>0</v>
      </c>
    </row>
    <row r="11" spans="1:41" ht="16.5">
      <c r="A11" s="6">
        <v>7</v>
      </c>
      <c r="B11" s="85">
        <v>942</v>
      </c>
      <c r="C11" s="83" t="s">
        <v>119</v>
      </c>
      <c r="D11" s="83" t="s">
        <v>89</v>
      </c>
      <c r="E11" s="5" t="s">
        <v>185</v>
      </c>
      <c r="F11" s="99" t="s">
        <v>17</v>
      </c>
      <c r="G11" s="99" t="s">
        <v>17</v>
      </c>
      <c r="H11" s="78"/>
      <c r="I11" s="99" t="s">
        <v>17</v>
      </c>
      <c r="J11" s="99" t="s">
        <v>17</v>
      </c>
      <c r="K11" s="99" t="s">
        <v>17</v>
      </c>
      <c r="L11" s="99" t="s">
        <v>17</v>
      </c>
      <c r="M11" s="99" t="s">
        <v>17</v>
      </c>
      <c r="N11" s="99" t="s">
        <v>17</v>
      </c>
      <c r="O11" s="78"/>
      <c r="P11" s="99" t="s">
        <v>17</v>
      </c>
      <c r="Q11" s="99" t="s">
        <v>17</v>
      </c>
      <c r="R11" s="99" t="s">
        <v>17</v>
      </c>
      <c r="S11" s="99" t="s">
        <v>17</v>
      </c>
      <c r="T11" s="99" t="s">
        <v>17</v>
      </c>
      <c r="U11" s="99" t="s">
        <v>17</v>
      </c>
      <c r="V11" s="78"/>
      <c r="W11" s="99" t="s">
        <v>17</v>
      </c>
      <c r="X11" s="99" t="s">
        <v>17</v>
      </c>
      <c r="Y11" s="99" t="s">
        <v>17</v>
      </c>
      <c r="Z11" s="99" t="s">
        <v>17</v>
      </c>
      <c r="AA11" s="99" t="s">
        <v>17</v>
      </c>
      <c r="AB11" s="99" t="s">
        <v>17</v>
      </c>
      <c r="AC11" s="78"/>
      <c r="AD11" s="99" t="s">
        <v>17</v>
      </c>
      <c r="AE11" s="99" t="s">
        <v>17</v>
      </c>
      <c r="AF11" s="99" t="s">
        <v>17</v>
      </c>
      <c r="AG11" s="99" t="s">
        <v>17</v>
      </c>
      <c r="AH11" s="99" t="s">
        <v>17</v>
      </c>
      <c r="AI11" s="99" t="s">
        <v>17</v>
      </c>
      <c r="AJ11" s="4">
        <f>COUNTIF(F11:AI11,"P")</f>
        <v>26</v>
      </c>
      <c r="AK11" s="4">
        <f>COUNTIF(F11:AI11,"A")</f>
        <v>0</v>
      </c>
      <c r="AL11" s="75" t="s">
        <v>8</v>
      </c>
      <c r="AM11" s="75"/>
      <c r="AN11" s="75"/>
      <c r="AO11" s="76"/>
    </row>
    <row r="12" spans="1:41" ht="16.5">
      <c r="A12" s="6">
        <v>8</v>
      </c>
      <c r="B12" s="85">
        <v>945</v>
      </c>
      <c r="C12" s="83" t="s">
        <v>120</v>
      </c>
      <c r="D12" s="83" t="s">
        <v>121</v>
      </c>
      <c r="E12" s="5" t="s">
        <v>185</v>
      </c>
      <c r="F12" s="99" t="s">
        <v>17</v>
      </c>
      <c r="G12" s="99" t="s">
        <v>17</v>
      </c>
      <c r="H12" s="78"/>
      <c r="I12" s="99" t="s">
        <v>17</v>
      </c>
      <c r="J12" s="99" t="s">
        <v>17</v>
      </c>
      <c r="K12" s="99" t="s">
        <v>17</v>
      </c>
      <c r="L12" s="99" t="s">
        <v>17</v>
      </c>
      <c r="M12" s="99" t="s">
        <v>17</v>
      </c>
      <c r="N12" s="99" t="s">
        <v>17</v>
      </c>
      <c r="O12" s="78"/>
      <c r="P12" s="99" t="s">
        <v>17</v>
      </c>
      <c r="Q12" s="99" t="s">
        <v>17</v>
      </c>
      <c r="R12" s="99" t="s">
        <v>17</v>
      </c>
      <c r="S12" s="99" t="s">
        <v>17</v>
      </c>
      <c r="T12" s="99" t="s">
        <v>17</v>
      </c>
      <c r="U12" s="99" t="s">
        <v>17</v>
      </c>
      <c r="V12" s="78"/>
      <c r="W12" s="99" t="s">
        <v>17</v>
      </c>
      <c r="X12" s="99" t="s">
        <v>17</v>
      </c>
      <c r="Y12" s="99" t="s">
        <v>17</v>
      </c>
      <c r="Z12" s="99" t="s">
        <v>17</v>
      </c>
      <c r="AA12" s="99" t="s">
        <v>17</v>
      </c>
      <c r="AB12" s="99" t="s">
        <v>17</v>
      </c>
      <c r="AC12" s="78"/>
      <c r="AD12" s="99" t="s">
        <v>17</v>
      </c>
      <c r="AE12" s="99" t="s">
        <v>17</v>
      </c>
      <c r="AF12" s="99" t="s">
        <v>17</v>
      </c>
      <c r="AG12" s="99" t="s">
        <v>17</v>
      </c>
      <c r="AH12" s="99" t="s">
        <v>17</v>
      </c>
      <c r="AI12" s="99" t="s">
        <v>17</v>
      </c>
      <c r="AJ12" s="4">
        <f>COUNTIF(F12:AI12,"P")</f>
        <v>26</v>
      </c>
      <c r="AK12" s="4">
        <f>COUNTIF(F12:AI12,"A")</f>
        <v>0</v>
      </c>
      <c r="AL12" s="65" t="s">
        <v>9</v>
      </c>
      <c r="AM12" s="4" t="s">
        <v>10</v>
      </c>
      <c r="AN12" s="4" t="s">
        <v>11</v>
      </c>
      <c r="AO12" s="4" t="s">
        <v>12</v>
      </c>
    </row>
    <row r="13" spans="1:41" ht="16.5">
      <c r="A13" s="6">
        <v>9</v>
      </c>
      <c r="B13" s="92">
        <v>861</v>
      </c>
      <c r="C13" s="92" t="s">
        <v>122</v>
      </c>
      <c r="D13" s="92" t="s">
        <v>123</v>
      </c>
      <c r="E13" s="5" t="s">
        <v>185</v>
      </c>
      <c r="F13" s="99" t="s">
        <v>17</v>
      </c>
      <c r="G13" s="99" t="s">
        <v>17</v>
      </c>
      <c r="H13" s="78"/>
      <c r="I13" s="99" t="s">
        <v>17</v>
      </c>
      <c r="J13" s="99" t="s">
        <v>17</v>
      </c>
      <c r="K13" s="99" t="s">
        <v>17</v>
      </c>
      <c r="L13" s="99" t="s">
        <v>17</v>
      </c>
      <c r="M13" s="99" t="s">
        <v>17</v>
      </c>
      <c r="N13" s="99" t="s">
        <v>17</v>
      </c>
      <c r="O13" s="78"/>
      <c r="P13" s="99" t="s">
        <v>17</v>
      </c>
      <c r="Q13" s="99" t="s">
        <v>17</v>
      </c>
      <c r="R13" s="99" t="s">
        <v>17</v>
      </c>
      <c r="S13" s="99" t="s">
        <v>17</v>
      </c>
      <c r="T13" s="99" t="s">
        <v>17</v>
      </c>
      <c r="U13" s="99" t="s">
        <v>17</v>
      </c>
      <c r="V13" s="78"/>
      <c r="W13" s="99" t="s">
        <v>17</v>
      </c>
      <c r="X13" s="99" t="s">
        <v>17</v>
      </c>
      <c r="Y13" s="99" t="s">
        <v>17</v>
      </c>
      <c r="Z13" s="99" t="s">
        <v>17</v>
      </c>
      <c r="AA13" s="99" t="s">
        <v>17</v>
      </c>
      <c r="AB13" s="99" t="s">
        <v>17</v>
      </c>
      <c r="AC13" s="78"/>
      <c r="AD13" s="99" t="s">
        <v>17</v>
      </c>
      <c r="AE13" s="99" t="s">
        <v>17</v>
      </c>
      <c r="AF13" s="99" t="s">
        <v>17</v>
      </c>
      <c r="AG13" s="99" t="s">
        <v>17</v>
      </c>
      <c r="AH13" s="99" t="s">
        <v>17</v>
      </c>
      <c r="AI13" s="99" t="s">
        <v>17</v>
      </c>
      <c r="AJ13" s="4">
        <f>COUNTIF(F13:AI13,"P")</f>
        <v>26</v>
      </c>
      <c r="AK13" s="4">
        <f>COUNTIF(F13:AI13,"A")</f>
        <v>0</v>
      </c>
      <c r="AL13" s="65" t="s">
        <v>13</v>
      </c>
      <c r="AM13" s="6">
        <f>27*$AM$5</f>
        <v>648</v>
      </c>
      <c r="AN13" s="6">
        <f>27*$AM$5</f>
        <v>648</v>
      </c>
      <c r="AO13" s="6">
        <f>SUM(AM13:AN13)</f>
        <v>1296</v>
      </c>
    </row>
    <row r="14" spans="1:41" ht="16.5">
      <c r="A14" s="6">
        <v>10</v>
      </c>
      <c r="B14" s="92">
        <v>868</v>
      </c>
      <c r="C14" s="92" t="s">
        <v>124</v>
      </c>
      <c r="D14" s="92" t="s">
        <v>125</v>
      </c>
      <c r="E14" s="5" t="s">
        <v>185</v>
      </c>
      <c r="F14" s="99" t="s">
        <v>17</v>
      </c>
      <c r="G14" s="99" t="s">
        <v>17</v>
      </c>
      <c r="H14" s="78"/>
      <c r="I14" s="99" t="s">
        <v>17</v>
      </c>
      <c r="J14" s="99" t="s">
        <v>17</v>
      </c>
      <c r="K14" s="99" t="s">
        <v>17</v>
      </c>
      <c r="L14" s="99" t="s">
        <v>17</v>
      </c>
      <c r="M14" s="99" t="s">
        <v>17</v>
      </c>
      <c r="N14" s="99" t="s">
        <v>17</v>
      </c>
      <c r="O14" s="78"/>
      <c r="P14" s="99" t="s">
        <v>17</v>
      </c>
      <c r="Q14" s="99" t="s">
        <v>17</v>
      </c>
      <c r="R14" s="99" t="s">
        <v>17</v>
      </c>
      <c r="S14" s="99" t="s">
        <v>17</v>
      </c>
      <c r="T14" s="99" t="s">
        <v>17</v>
      </c>
      <c r="U14" s="99" t="s">
        <v>17</v>
      </c>
      <c r="V14" s="78"/>
      <c r="W14" s="99" t="s">
        <v>17</v>
      </c>
      <c r="X14" s="99" t="s">
        <v>17</v>
      </c>
      <c r="Y14" s="99" t="s">
        <v>17</v>
      </c>
      <c r="Z14" s="99" t="s">
        <v>17</v>
      </c>
      <c r="AA14" s="99" t="s">
        <v>17</v>
      </c>
      <c r="AB14" s="99" t="s">
        <v>17</v>
      </c>
      <c r="AC14" s="78"/>
      <c r="AD14" s="99" t="s">
        <v>17</v>
      </c>
      <c r="AE14" s="99" t="s">
        <v>17</v>
      </c>
      <c r="AF14" s="99" t="s">
        <v>17</v>
      </c>
      <c r="AG14" s="99" t="s">
        <v>17</v>
      </c>
      <c r="AH14" s="99" t="s">
        <v>17</v>
      </c>
      <c r="AI14" s="99" t="s">
        <v>17</v>
      </c>
      <c r="AJ14" s="4">
        <f>COUNTIF(F14:AI14,"P")</f>
        <v>26</v>
      </c>
      <c r="AK14" s="4">
        <f>COUNTIF(F14:AI14,"A")</f>
        <v>0</v>
      </c>
      <c r="AL14" s="65" t="s">
        <v>14</v>
      </c>
      <c r="AM14" s="6" t="e">
        <f>SUM(AJ6,AJ9,AJ11,AJ13,AJ16,AJ21,AJ22,AJ23,AJ24,AJ25,AJ26,AJ27,AJ32,AJ34,#REF!,#REF!,#REF!,#REF!,#REF!,#REF!,#REF!,#REF!,#REF!,#REF!,#REF!,#REF!,#REF!)</f>
        <v>#REF!</v>
      </c>
      <c r="AN14" s="6" t="e">
        <f>SUM(AJ5,AJ7,AJ8,AJ10,AJ12,AJ14,AJ15,AJ17,AJ18,AJ19,AJ20,AJ28,AJ29,AJ30,AJ31,AJ33,AJ35,#REF!,#REF!,#REF!,#REF!,#REF!,#REF!,#REF!,#REF!,#REF!,#REF!)</f>
        <v>#REF!</v>
      </c>
      <c r="AO14" s="6" t="e">
        <f>AM14+AN14</f>
        <v>#REF!</v>
      </c>
    </row>
    <row r="15" spans="1:41" ht="16.5">
      <c r="A15" s="6">
        <v>11</v>
      </c>
      <c r="B15" s="100">
        <v>849</v>
      </c>
      <c r="C15" s="100" t="s">
        <v>126</v>
      </c>
      <c r="D15" s="100" t="s">
        <v>93</v>
      </c>
      <c r="E15" s="5" t="s">
        <v>185</v>
      </c>
      <c r="F15" s="99" t="s">
        <v>17</v>
      </c>
      <c r="G15" s="99" t="s">
        <v>17</v>
      </c>
      <c r="H15" s="78"/>
      <c r="I15" s="99" t="s">
        <v>17</v>
      </c>
      <c r="J15" s="99" t="s">
        <v>17</v>
      </c>
      <c r="K15" s="99" t="s">
        <v>17</v>
      </c>
      <c r="L15" s="99" t="s">
        <v>17</v>
      </c>
      <c r="M15" s="99" t="s">
        <v>17</v>
      </c>
      <c r="N15" s="99" t="s">
        <v>17</v>
      </c>
      <c r="O15" s="78"/>
      <c r="P15" s="99" t="s">
        <v>17</v>
      </c>
      <c r="Q15" s="99" t="s">
        <v>17</v>
      </c>
      <c r="R15" s="99" t="s">
        <v>17</v>
      </c>
      <c r="S15" s="99" t="s">
        <v>17</v>
      </c>
      <c r="T15" s="99" t="s">
        <v>17</v>
      </c>
      <c r="U15" s="99" t="s">
        <v>17</v>
      </c>
      <c r="V15" s="78"/>
      <c r="W15" s="99" t="s">
        <v>17</v>
      </c>
      <c r="X15" s="99" t="s">
        <v>17</v>
      </c>
      <c r="Y15" s="99" t="s">
        <v>17</v>
      </c>
      <c r="Z15" s="99" t="s">
        <v>17</v>
      </c>
      <c r="AA15" s="99" t="s">
        <v>17</v>
      </c>
      <c r="AB15" s="99" t="s">
        <v>17</v>
      </c>
      <c r="AC15" s="78"/>
      <c r="AD15" s="99" t="s">
        <v>17</v>
      </c>
      <c r="AE15" s="99" t="s">
        <v>17</v>
      </c>
      <c r="AF15" s="99" t="s">
        <v>17</v>
      </c>
      <c r="AG15" s="99" t="s">
        <v>17</v>
      </c>
      <c r="AH15" s="99" t="s">
        <v>17</v>
      </c>
      <c r="AI15" s="99" t="s">
        <v>17</v>
      </c>
      <c r="AJ15" s="4">
        <f>COUNTIF(F15:AI15,"P")</f>
        <v>26</v>
      </c>
      <c r="AK15" s="4">
        <f>COUNTIF(F15:AI15,"A")</f>
        <v>0</v>
      </c>
      <c r="AL15" s="65" t="s">
        <v>15</v>
      </c>
      <c r="AM15" s="8" t="e">
        <f>AM14/AM13</f>
        <v>#REF!</v>
      </c>
      <c r="AN15" s="8" t="e">
        <f>AN14/AN13</f>
        <v>#REF!</v>
      </c>
      <c r="AO15" s="8" t="e">
        <f>AO14/AO13</f>
        <v>#REF!</v>
      </c>
    </row>
    <row r="16" spans="1:41" ht="16.5">
      <c r="A16" s="6">
        <v>12</v>
      </c>
      <c r="B16" s="92">
        <v>876</v>
      </c>
      <c r="C16" s="92" t="s">
        <v>18</v>
      </c>
      <c r="D16" s="92" t="s">
        <v>103</v>
      </c>
      <c r="E16" s="5" t="s">
        <v>185</v>
      </c>
      <c r="F16" s="99" t="s">
        <v>17</v>
      </c>
      <c r="G16" s="99" t="s">
        <v>17</v>
      </c>
      <c r="H16" s="78"/>
      <c r="I16" s="99" t="s">
        <v>17</v>
      </c>
      <c r="J16" s="99" t="s">
        <v>17</v>
      </c>
      <c r="K16" s="99" t="s">
        <v>17</v>
      </c>
      <c r="L16" s="99" t="s">
        <v>17</v>
      </c>
      <c r="M16" s="99" t="s">
        <v>17</v>
      </c>
      <c r="N16" s="99" t="s">
        <v>17</v>
      </c>
      <c r="O16" s="78"/>
      <c r="P16" s="99" t="s">
        <v>17</v>
      </c>
      <c r="Q16" s="99" t="s">
        <v>17</v>
      </c>
      <c r="R16" s="99" t="s">
        <v>17</v>
      </c>
      <c r="S16" s="99" t="s">
        <v>17</v>
      </c>
      <c r="T16" s="99" t="s">
        <v>17</v>
      </c>
      <c r="U16" s="99" t="s">
        <v>17</v>
      </c>
      <c r="V16" s="78"/>
      <c r="W16" s="99" t="s">
        <v>17</v>
      </c>
      <c r="X16" s="99" t="s">
        <v>17</v>
      </c>
      <c r="Y16" s="99" t="s">
        <v>17</v>
      </c>
      <c r="Z16" s="99" t="s">
        <v>17</v>
      </c>
      <c r="AA16" s="99" t="s">
        <v>17</v>
      </c>
      <c r="AB16" s="99" t="s">
        <v>17</v>
      </c>
      <c r="AC16" s="78"/>
      <c r="AD16" s="99" t="s">
        <v>17</v>
      </c>
      <c r="AE16" s="99" t="s">
        <v>17</v>
      </c>
      <c r="AF16" s="99" t="s">
        <v>17</v>
      </c>
      <c r="AG16" s="99" t="s">
        <v>17</v>
      </c>
      <c r="AH16" s="99" t="s">
        <v>17</v>
      </c>
      <c r="AI16" s="99" t="s">
        <v>17</v>
      </c>
      <c r="AJ16" s="4">
        <f>COUNTIF(F16:AI16,"P")</f>
        <v>26</v>
      </c>
      <c r="AK16" s="4">
        <f>COUNTIF(F16:AI16,"A")</f>
        <v>0</v>
      </c>
      <c r="AL16"/>
      <c r="AM16"/>
      <c r="AN16"/>
      <c r="AO16"/>
    </row>
    <row r="17" spans="1:41" ht="16.5">
      <c r="A17" s="6">
        <v>13</v>
      </c>
      <c r="B17" s="89">
        <v>901</v>
      </c>
      <c r="C17" s="89" t="s">
        <v>127</v>
      </c>
      <c r="D17" s="89" t="s">
        <v>128</v>
      </c>
      <c r="E17" s="5" t="s">
        <v>185</v>
      </c>
      <c r="F17" s="99" t="s">
        <v>17</v>
      </c>
      <c r="G17" s="99" t="s">
        <v>17</v>
      </c>
      <c r="H17" s="78"/>
      <c r="I17" s="99" t="s">
        <v>17</v>
      </c>
      <c r="J17" s="99" t="s">
        <v>17</v>
      </c>
      <c r="K17" s="99" t="s">
        <v>17</v>
      </c>
      <c r="L17" s="99" t="s">
        <v>17</v>
      </c>
      <c r="M17" s="99" t="s">
        <v>17</v>
      </c>
      <c r="N17" s="99" t="s">
        <v>17</v>
      </c>
      <c r="O17" s="78"/>
      <c r="P17" s="99" t="s">
        <v>17</v>
      </c>
      <c r="Q17" s="99" t="s">
        <v>17</v>
      </c>
      <c r="R17" s="99" t="s">
        <v>17</v>
      </c>
      <c r="S17" s="99" t="s">
        <v>17</v>
      </c>
      <c r="T17" s="99" t="s">
        <v>17</v>
      </c>
      <c r="U17" s="99" t="s">
        <v>17</v>
      </c>
      <c r="V17" s="78"/>
      <c r="W17" s="99" t="s">
        <v>17</v>
      </c>
      <c r="X17" s="99" t="s">
        <v>17</v>
      </c>
      <c r="Y17" s="99" t="s">
        <v>17</v>
      </c>
      <c r="Z17" s="99" t="s">
        <v>17</v>
      </c>
      <c r="AA17" s="99" t="s">
        <v>17</v>
      </c>
      <c r="AB17" s="99" t="s">
        <v>17</v>
      </c>
      <c r="AC17" s="78"/>
      <c r="AD17" s="99" t="s">
        <v>17</v>
      </c>
      <c r="AE17" s="99" t="s">
        <v>17</v>
      </c>
      <c r="AF17" s="99" t="s">
        <v>17</v>
      </c>
      <c r="AG17" s="99" t="s">
        <v>17</v>
      </c>
      <c r="AH17" s="99" t="s">
        <v>17</v>
      </c>
      <c r="AI17" s="99" t="s">
        <v>17</v>
      </c>
      <c r="AJ17" s="4">
        <f>COUNTIF(F17:AI17,"P")</f>
        <v>26</v>
      </c>
      <c r="AK17" s="4">
        <f>COUNTIF(F17:AI17,"A")</f>
        <v>0</v>
      </c>
      <c r="AL17"/>
      <c r="AM17"/>
      <c r="AN17"/>
      <c r="AO17"/>
    </row>
    <row r="18" spans="1:41" ht="16.5">
      <c r="A18" s="6">
        <v>14</v>
      </c>
      <c r="B18" s="92">
        <v>902</v>
      </c>
      <c r="C18" s="92" t="s">
        <v>129</v>
      </c>
      <c r="D18" s="92" t="s">
        <v>128</v>
      </c>
      <c r="E18" s="5" t="s">
        <v>185</v>
      </c>
      <c r="F18" s="99" t="s">
        <v>17</v>
      </c>
      <c r="G18" s="99" t="s">
        <v>17</v>
      </c>
      <c r="H18" s="78"/>
      <c r="I18" s="99" t="s">
        <v>17</v>
      </c>
      <c r="J18" s="99" t="s">
        <v>17</v>
      </c>
      <c r="K18" s="99" t="s">
        <v>17</v>
      </c>
      <c r="L18" s="99" t="s">
        <v>17</v>
      </c>
      <c r="M18" s="99" t="s">
        <v>17</v>
      </c>
      <c r="N18" s="99" t="s">
        <v>17</v>
      </c>
      <c r="O18" s="78"/>
      <c r="P18" s="99" t="s">
        <v>17</v>
      </c>
      <c r="Q18" s="99" t="s">
        <v>17</v>
      </c>
      <c r="R18" s="99" t="s">
        <v>17</v>
      </c>
      <c r="S18" s="99" t="s">
        <v>17</v>
      </c>
      <c r="T18" s="99" t="s">
        <v>17</v>
      </c>
      <c r="U18" s="99" t="s">
        <v>17</v>
      </c>
      <c r="V18" s="78"/>
      <c r="W18" s="99" t="s">
        <v>17</v>
      </c>
      <c r="X18" s="99" t="s">
        <v>17</v>
      </c>
      <c r="Y18" s="99" t="s">
        <v>17</v>
      </c>
      <c r="Z18" s="99" t="s">
        <v>17</v>
      </c>
      <c r="AA18" s="99" t="s">
        <v>17</v>
      </c>
      <c r="AB18" s="99" t="s">
        <v>17</v>
      </c>
      <c r="AC18" s="78"/>
      <c r="AD18" s="99" t="s">
        <v>17</v>
      </c>
      <c r="AE18" s="99" t="s">
        <v>17</v>
      </c>
      <c r="AF18" s="99" t="s">
        <v>17</v>
      </c>
      <c r="AG18" s="99" t="s">
        <v>17</v>
      </c>
      <c r="AH18" s="99" t="s">
        <v>17</v>
      </c>
      <c r="AI18" s="99" t="s">
        <v>17</v>
      </c>
      <c r="AJ18" s="4">
        <f>COUNTIF(F18:AI18,"P")</f>
        <v>26</v>
      </c>
      <c r="AK18" s="4">
        <f>COUNTIF(F18:AI18,"A")</f>
        <v>0</v>
      </c>
      <c r="AL18"/>
      <c r="AM18"/>
      <c r="AN18"/>
      <c r="AO18"/>
    </row>
    <row r="19" spans="1:41" ht="16.5">
      <c r="A19" s="6">
        <v>15</v>
      </c>
      <c r="B19" s="89">
        <v>903</v>
      </c>
      <c r="C19" s="89" t="s">
        <v>130</v>
      </c>
      <c r="D19" s="89" t="s">
        <v>128</v>
      </c>
      <c r="E19" s="5" t="s">
        <v>185</v>
      </c>
      <c r="F19" s="99" t="s">
        <v>17</v>
      </c>
      <c r="G19" s="99" t="s">
        <v>17</v>
      </c>
      <c r="H19" s="78"/>
      <c r="I19" s="99" t="s">
        <v>17</v>
      </c>
      <c r="J19" s="99" t="s">
        <v>17</v>
      </c>
      <c r="K19" s="99" t="s">
        <v>17</v>
      </c>
      <c r="L19" s="99" t="s">
        <v>17</v>
      </c>
      <c r="M19" s="99" t="s">
        <v>17</v>
      </c>
      <c r="N19" s="99" t="s">
        <v>17</v>
      </c>
      <c r="O19" s="78"/>
      <c r="P19" s="99" t="s">
        <v>17</v>
      </c>
      <c r="Q19" s="99" t="s">
        <v>17</v>
      </c>
      <c r="R19" s="99" t="s">
        <v>17</v>
      </c>
      <c r="S19" s="99" t="s">
        <v>17</v>
      </c>
      <c r="T19" s="99" t="s">
        <v>17</v>
      </c>
      <c r="U19" s="99" t="s">
        <v>17</v>
      </c>
      <c r="V19" s="78"/>
      <c r="W19" s="99" t="s">
        <v>17</v>
      </c>
      <c r="X19" s="99" t="s">
        <v>17</v>
      </c>
      <c r="Y19" s="99" t="s">
        <v>17</v>
      </c>
      <c r="Z19" s="99" t="s">
        <v>17</v>
      </c>
      <c r="AA19" s="99" t="s">
        <v>17</v>
      </c>
      <c r="AB19" s="99" t="s">
        <v>17</v>
      </c>
      <c r="AC19" s="78"/>
      <c r="AD19" s="99" t="s">
        <v>17</v>
      </c>
      <c r="AE19" s="99" t="s">
        <v>17</v>
      </c>
      <c r="AF19" s="99" t="s">
        <v>17</v>
      </c>
      <c r="AG19" s="99" t="s">
        <v>17</v>
      </c>
      <c r="AH19" s="99" t="s">
        <v>17</v>
      </c>
      <c r="AI19" s="99" t="s">
        <v>17</v>
      </c>
      <c r="AJ19" s="4">
        <f>COUNTIF(F19:AI19,"P")</f>
        <v>26</v>
      </c>
      <c r="AK19" s="4">
        <f>COUNTIF(F19:AI19,"A")</f>
        <v>0</v>
      </c>
      <c r="AL19" s="75" t="s">
        <v>22</v>
      </c>
      <c r="AM19" s="75"/>
      <c r="AN19" s="75"/>
      <c r="AO19" s="76"/>
    </row>
    <row r="20" spans="1:41" ht="16.5">
      <c r="A20" s="6">
        <v>16</v>
      </c>
      <c r="B20" s="92">
        <v>904</v>
      </c>
      <c r="C20" s="92" t="s">
        <v>131</v>
      </c>
      <c r="D20" s="92" t="s">
        <v>128</v>
      </c>
      <c r="E20" s="5" t="s">
        <v>185</v>
      </c>
      <c r="F20" s="99" t="s">
        <v>17</v>
      </c>
      <c r="G20" s="99" t="s">
        <v>17</v>
      </c>
      <c r="H20" s="78"/>
      <c r="I20" s="99" t="s">
        <v>17</v>
      </c>
      <c r="J20" s="99" t="s">
        <v>17</v>
      </c>
      <c r="K20" s="99" t="s">
        <v>17</v>
      </c>
      <c r="L20" s="99" t="s">
        <v>17</v>
      </c>
      <c r="M20" s="99" t="s">
        <v>17</v>
      </c>
      <c r="N20" s="99" t="s">
        <v>17</v>
      </c>
      <c r="O20" s="78"/>
      <c r="P20" s="99" t="s">
        <v>17</v>
      </c>
      <c r="Q20" s="99" t="s">
        <v>17</v>
      </c>
      <c r="R20" s="99" t="s">
        <v>17</v>
      </c>
      <c r="S20" s="99" t="s">
        <v>17</v>
      </c>
      <c r="T20" s="99" t="s">
        <v>17</v>
      </c>
      <c r="U20" s="99" t="s">
        <v>17</v>
      </c>
      <c r="V20" s="78"/>
      <c r="W20" s="99" t="s">
        <v>17</v>
      </c>
      <c r="X20" s="99" t="s">
        <v>17</v>
      </c>
      <c r="Y20" s="99" t="s">
        <v>17</v>
      </c>
      <c r="Z20" s="99" t="s">
        <v>17</v>
      </c>
      <c r="AA20" s="99" t="s">
        <v>17</v>
      </c>
      <c r="AB20" s="99" t="s">
        <v>17</v>
      </c>
      <c r="AC20" s="78"/>
      <c r="AD20" s="99" t="s">
        <v>17</v>
      </c>
      <c r="AE20" s="99" t="s">
        <v>17</v>
      </c>
      <c r="AF20" s="99" t="s">
        <v>17</v>
      </c>
      <c r="AG20" s="99" t="s">
        <v>17</v>
      </c>
      <c r="AH20" s="99" t="s">
        <v>17</v>
      </c>
      <c r="AI20" s="99" t="s">
        <v>17</v>
      </c>
      <c r="AJ20" s="4">
        <f>COUNTIF(F20:AI20,"P")</f>
        <v>26</v>
      </c>
      <c r="AK20" s="4">
        <f>COUNTIF(F20:AI20,"A")</f>
        <v>0</v>
      </c>
      <c r="AL20" s="65" t="s">
        <v>9</v>
      </c>
      <c r="AM20" s="4" t="s">
        <v>10</v>
      </c>
      <c r="AN20" s="4" t="s">
        <v>11</v>
      </c>
      <c r="AO20" s="4" t="s">
        <v>12</v>
      </c>
    </row>
    <row r="21" spans="1:41" ht="16.5">
      <c r="A21" s="6">
        <v>17</v>
      </c>
      <c r="B21" s="89">
        <v>908</v>
      </c>
      <c r="C21" s="89" t="s">
        <v>132</v>
      </c>
      <c r="D21" s="89" t="s">
        <v>133</v>
      </c>
      <c r="E21" s="5" t="s">
        <v>185</v>
      </c>
      <c r="F21" s="99" t="s">
        <v>17</v>
      </c>
      <c r="G21" s="99" t="s">
        <v>17</v>
      </c>
      <c r="H21" s="78"/>
      <c r="I21" s="99" t="s">
        <v>17</v>
      </c>
      <c r="J21" s="99" t="s">
        <v>17</v>
      </c>
      <c r="K21" s="99" t="s">
        <v>17</v>
      </c>
      <c r="L21" s="99" t="s">
        <v>17</v>
      </c>
      <c r="M21" s="99" t="s">
        <v>17</v>
      </c>
      <c r="N21" s="99" t="s">
        <v>17</v>
      </c>
      <c r="O21" s="78"/>
      <c r="P21" s="99" t="s">
        <v>17</v>
      </c>
      <c r="Q21" s="99" t="s">
        <v>17</v>
      </c>
      <c r="R21" s="99" t="s">
        <v>17</v>
      </c>
      <c r="S21" s="99" t="s">
        <v>17</v>
      </c>
      <c r="T21" s="99" t="s">
        <v>17</v>
      </c>
      <c r="U21" s="99" t="s">
        <v>17</v>
      </c>
      <c r="V21" s="78"/>
      <c r="W21" s="99" t="s">
        <v>17</v>
      </c>
      <c r="X21" s="99" t="s">
        <v>17</v>
      </c>
      <c r="Y21" s="99" t="s">
        <v>17</v>
      </c>
      <c r="Z21" s="99" t="s">
        <v>17</v>
      </c>
      <c r="AA21" s="99" t="s">
        <v>17</v>
      </c>
      <c r="AB21" s="99" t="s">
        <v>17</v>
      </c>
      <c r="AC21" s="78"/>
      <c r="AD21" s="99" t="s">
        <v>17</v>
      </c>
      <c r="AE21" s="99" t="s">
        <v>17</v>
      </c>
      <c r="AF21" s="99" t="s">
        <v>17</v>
      </c>
      <c r="AG21" s="99" t="s">
        <v>17</v>
      </c>
      <c r="AH21" s="99" t="s">
        <v>17</v>
      </c>
      <c r="AI21" s="99" t="s">
        <v>17</v>
      </c>
      <c r="AJ21" s="4">
        <f>COUNTIF(F21:AI21,"P")</f>
        <v>26</v>
      </c>
      <c r="AK21" s="4">
        <f>COUNTIF(F21:AI21,"A")</f>
        <v>0</v>
      </c>
      <c r="AL21" s="65" t="s">
        <v>13</v>
      </c>
      <c r="AM21" s="6">
        <f>27*$AM$5</f>
        <v>648</v>
      </c>
      <c r="AN21" s="6">
        <f>27*$AM$5</f>
        <v>648</v>
      </c>
      <c r="AO21" s="6">
        <f>AM21+AN21</f>
        <v>1296</v>
      </c>
    </row>
    <row r="22" spans="1:41" ht="16.5">
      <c r="A22" s="6">
        <v>18</v>
      </c>
      <c r="B22" s="92">
        <v>907</v>
      </c>
      <c r="C22" s="92" t="s">
        <v>134</v>
      </c>
      <c r="D22" s="92" t="s">
        <v>133</v>
      </c>
      <c r="E22" s="5" t="s">
        <v>185</v>
      </c>
      <c r="F22" s="99" t="s">
        <v>17</v>
      </c>
      <c r="G22" s="99" t="s">
        <v>17</v>
      </c>
      <c r="H22" s="78"/>
      <c r="I22" s="99" t="s">
        <v>17</v>
      </c>
      <c r="J22" s="99" t="s">
        <v>17</v>
      </c>
      <c r="K22" s="99" t="s">
        <v>17</v>
      </c>
      <c r="L22" s="99" t="s">
        <v>17</v>
      </c>
      <c r="M22" s="99" t="s">
        <v>17</v>
      </c>
      <c r="N22" s="99" t="s">
        <v>17</v>
      </c>
      <c r="O22" s="78"/>
      <c r="P22" s="99" t="s">
        <v>17</v>
      </c>
      <c r="Q22" s="99" t="s">
        <v>17</v>
      </c>
      <c r="R22" s="99" t="s">
        <v>17</v>
      </c>
      <c r="S22" s="99" t="s">
        <v>17</v>
      </c>
      <c r="T22" s="99" t="s">
        <v>17</v>
      </c>
      <c r="U22" s="99" t="s">
        <v>17</v>
      </c>
      <c r="V22" s="78"/>
      <c r="W22" s="99" t="s">
        <v>17</v>
      </c>
      <c r="X22" s="99" t="s">
        <v>17</v>
      </c>
      <c r="Y22" s="99" t="s">
        <v>17</v>
      </c>
      <c r="Z22" s="99" t="s">
        <v>17</v>
      </c>
      <c r="AA22" s="99" t="s">
        <v>17</v>
      </c>
      <c r="AB22" s="99" t="s">
        <v>17</v>
      </c>
      <c r="AC22" s="78"/>
      <c r="AD22" s="99" t="s">
        <v>17</v>
      </c>
      <c r="AE22" s="99" t="s">
        <v>17</v>
      </c>
      <c r="AF22" s="99" t="s">
        <v>17</v>
      </c>
      <c r="AG22" s="99" t="s">
        <v>17</v>
      </c>
      <c r="AH22" s="99" t="s">
        <v>17</v>
      </c>
      <c r="AI22" s="99" t="s">
        <v>17</v>
      </c>
      <c r="AJ22" s="4">
        <f>COUNTIF(F22:AI22,"P")</f>
        <v>26</v>
      </c>
      <c r="AK22" s="4">
        <f>COUNTIF(F22:AI22,"A")</f>
        <v>0</v>
      </c>
      <c r="AL22" s="65" t="s">
        <v>16</v>
      </c>
      <c r="AM22" s="6" t="e">
        <f>AM21-AM14</f>
        <v>#REF!</v>
      </c>
      <c r="AN22" s="6" t="e">
        <f>AN21-AN14</f>
        <v>#REF!</v>
      </c>
      <c r="AO22" s="6" t="e">
        <f>AM22+AN22</f>
        <v>#REF!</v>
      </c>
    </row>
    <row r="23" spans="1:41" ht="16.5">
      <c r="A23" s="6">
        <v>19</v>
      </c>
      <c r="B23" s="92">
        <v>909</v>
      </c>
      <c r="C23" s="92" t="s">
        <v>135</v>
      </c>
      <c r="D23" s="92" t="s">
        <v>78</v>
      </c>
      <c r="E23" s="5" t="s">
        <v>185</v>
      </c>
      <c r="F23" s="99" t="s">
        <v>17</v>
      </c>
      <c r="G23" s="99" t="s">
        <v>17</v>
      </c>
      <c r="H23" s="78"/>
      <c r="I23" s="99" t="s">
        <v>17</v>
      </c>
      <c r="J23" s="99" t="s">
        <v>17</v>
      </c>
      <c r="K23" s="99" t="s">
        <v>17</v>
      </c>
      <c r="L23" s="99" t="s">
        <v>17</v>
      </c>
      <c r="M23" s="99" t="s">
        <v>17</v>
      </c>
      <c r="N23" s="99" t="s">
        <v>17</v>
      </c>
      <c r="O23" s="78"/>
      <c r="P23" s="99" t="s">
        <v>17</v>
      </c>
      <c r="Q23" s="99" t="s">
        <v>17</v>
      </c>
      <c r="R23" s="99" t="s">
        <v>17</v>
      </c>
      <c r="S23" s="99" t="s">
        <v>17</v>
      </c>
      <c r="T23" s="99" t="s">
        <v>17</v>
      </c>
      <c r="U23" s="99" t="s">
        <v>17</v>
      </c>
      <c r="V23" s="78"/>
      <c r="W23" s="99" t="s">
        <v>17</v>
      </c>
      <c r="X23" s="99" t="s">
        <v>17</v>
      </c>
      <c r="Y23" s="99" t="s">
        <v>17</v>
      </c>
      <c r="Z23" s="99" t="s">
        <v>17</v>
      </c>
      <c r="AA23" s="99" t="s">
        <v>17</v>
      </c>
      <c r="AB23" s="99" t="s">
        <v>17</v>
      </c>
      <c r="AC23" s="78"/>
      <c r="AD23" s="99" t="s">
        <v>17</v>
      </c>
      <c r="AE23" s="99" t="s">
        <v>17</v>
      </c>
      <c r="AF23" s="99" t="s">
        <v>17</v>
      </c>
      <c r="AG23" s="99" t="s">
        <v>17</v>
      </c>
      <c r="AH23" s="99" t="s">
        <v>17</v>
      </c>
      <c r="AI23" s="99" t="s">
        <v>17</v>
      </c>
      <c r="AJ23" s="4">
        <f>COUNTIF(F23:AI23,"P")</f>
        <v>26</v>
      </c>
      <c r="AK23" s="4">
        <f>COUNTIF(F23:AI23,"A")</f>
        <v>0</v>
      </c>
      <c r="AL23" s="65" t="s">
        <v>15</v>
      </c>
      <c r="AM23" s="8" t="e">
        <f>AM22/AM21</f>
        <v>#REF!</v>
      </c>
      <c r="AN23" s="8" t="e">
        <f>AN22/AN21</f>
        <v>#REF!</v>
      </c>
      <c r="AO23" s="8" t="e">
        <f>AO22/AO21</f>
        <v>#REF!</v>
      </c>
    </row>
    <row r="24" spans="1:41" ht="16.5">
      <c r="A24" s="6">
        <v>20</v>
      </c>
      <c r="B24" s="89">
        <v>881</v>
      </c>
      <c r="C24" s="101" t="s">
        <v>32</v>
      </c>
      <c r="D24" s="89" t="s">
        <v>75</v>
      </c>
      <c r="E24" s="5" t="s">
        <v>185</v>
      </c>
      <c r="F24" s="99" t="s">
        <v>17</v>
      </c>
      <c r="G24" s="99" t="s">
        <v>17</v>
      </c>
      <c r="H24" s="78"/>
      <c r="I24" s="99" t="s">
        <v>17</v>
      </c>
      <c r="J24" s="99" t="s">
        <v>17</v>
      </c>
      <c r="K24" s="99" t="s">
        <v>17</v>
      </c>
      <c r="L24" s="99" t="s">
        <v>17</v>
      </c>
      <c r="M24" s="99" t="s">
        <v>17</v>
      </c>
      <c r="N24" s="99" t="s">
        <v>17</v>
      </c>
      <c r="O24" s="78"/>
      <c r="P24" s="99" t="s">
        <v>17</v>
      </c>
      <c r="Q24" s="99" t="s">
        <v>17</v>
      </c>
      <c r="R24" s="99" t="s">
        <v>17</v>
      </c>
      <c r="S24" s="99" t="s">
        <v>17</v>
      </c>
      <c r="T24" s="99" t="s">
        <v>17</v>
      </c>
      <c r="U24" s="99" t="s">
        <v>17</v>
      </c>
      <c r="V24" s="78"/>
      <c r="W24" s="99" t="s">
        <v>17</v>
      </c>
      <c r="X24" s="99" t="s">
        <v>17</v>
      </c>
      <c r="Y24" s="99" t="s">
        <v>17</v>
      </c>
      <c r="Z24" s="99" t="s">
        <v>17</v>
      </c>
      <c r="AA24" s="99" t="s">
        <v>17</v>
      </c>
      <c r="AB24" s="99" t="s">
        <v>17</v>
      </c>
      <c r="AC24" s="78"/>
      <c r="AD24" s="99" t="s">
        <v>17</v>
      </c>
      <c r="AE24" s="99" t="s">
        <v>17</v>
      </c>
      <c r="AF24" s="99" t="s">
        <v>17</v>
      </c>
      <c r="AG24" s="99" t="s">
        <v>17</v>
      </c>
      <c r="AH24" s="99" t="s">
        <v>17</v>
      </c>
      <c r="AI24" s="99" t="s">
        <v>17</v>
      </c>
      <c r="AJ24" s="4">
        <f>COUNTIF(F24:AI24,"P")</f>
        <v>26</v>
      </c>
      <c r="AK24" s="4">
        <f>COUNTIF(F24:AI24,"A")</f>
        <v>0</v>
      </c>
    </row>
    <row r="25" spans="1:41" ht="16.5">
      <c r="A25" s="6">
        <v>21</v>
      </c>
      <c r="B25" s="92">
        <v>878</v>
      </c>
      <c r="C25" s="102" t="s">
        <v>136</v>
      </c>
      <c r="D25" s="92" t="s">
        <v>137</v>
      </c>
      <c r="E25" s="5" t="s">
        <v>185</v>
      </c>
      <c r="F25" s="99" t="s">
        <v>17</v>
      </c>
      <c r="G25" s="99" t="s">
        <v>17</v>
      </c>
      <c r="H25" s="78"/>
      <c r="I25" s="99" t="s">
        <v>17</v>
      </c>
      <c r="J25" s="99" t="s">
        <v>17</v>
      </c>
      <c r="K25" s="99" t="s">
        <v>17</v>
      </c>
      <c r="L25" s="99" t="s">
        <v>17</v>
      </c>
      <c r="M25" s="99" t="s">
        <v>17</v>
      </c>
      <c r="N25" s="99" t="s">
        <v>17</v>
      </c>
      <c r="O25" s="78"/>
      <c r="P25" s="99" t="s">
        <v>17</v>
      </c>
      <c r="Q25" s="99" t="s">
        <v>17</v>
      </c>
      <c r="R25" s="99" t="s">
        <v>17</v>
      </c>
      <c r="S25" s="99" t="s">
        <v>17</v>
      </c>
      <c r="T25" s="99" t="s">
        <v>17</v>
      </c>
      <c r="U25" s="99" t="s">
        <v>17</v>
      </c>
      <c r="V25" s="78"/>
      <c r="W25" s="99" t="s">
        <v>17</v>
      </c>
      <c r="X25" s="99" t="s">
        <v>17</v>
      </c>
      <c r="Y25" s="99" t="s">
        <v>17</v>
      </c>
      <c r="Z25" s="99" t="s">
        <v>17</v>
      </c>
      <c r="AA25" s="99" t="s">
        <v>17</v>
      </c>
      <c r="AB25" s="99" t="s">
        <v>17</v>
      </c>
      <c r="AC25" s="78"/>
      <c r="AD25" s="99" t="s">
        <v>17</v>
      </c>
      <c r="AE25" s="99" t="s">
        <v>17</v>
      </c>
      <c r="AF25" s="99" t="s">
        <v>17</v>
      </c>
      <c r="AG25" s="99" t="s">
        <v>17</v>
      </c>
      <c r="AH25" s="99" t="s">
        <v>17</v>
      </c>
      <c r="AI25" s="99" t="s">
        <v>17</v>
      </c>
      <c r="AJ25" s="4">
        <f>COUNTIF(F25:AI25,"P")</f>
        <v>26</v>
      </c>
      <c r="AK25" s="4">
        <f>COUNTIF(F25:AI25,"A")</f>
        <v>0</v>
      </c>
    </row>
    <row r="26" spans="1:41" ht="16.5">
      <c r="A26" s="6">
        <v>22</v>
      </c>
      <c r="B26" s="89">
        <v>880</v>
      </c>
      <c r="C26" s="101" t="s">
        <v>138</v>
      </c>
      <c r="D26" s="89" t="s">
        <v>137</v>
      </c>
      <c r="E26" s="5" t="s">
        <v>185</v>
      </c>
      <c r="F26" s="99" t="s">
        <v>17</v>
      </c>
      <c r="G26" s="99" t="s">
        <v>17</v>
      </c>
      <c r="H26" s="78"/>
      <c r="I26" s="99" t="s">
        <v>17</v>
      </c>
      <c r="J26" s="99" t="s">
        <v>17</v>
      </c>
      <c r="K26" s="99" t="s">
        <v>17</v>
      </c>
      <c r="L26" s="99" t="s">
        <v>17</v>
      </c>
      <c r="M26" s="99" t="s">
        <v>17</v>
      </c>
      <c r="N26" s="99" t="s">
        <v>17</v>
      </c>
      <c r="O26" s="78"/>
      <c r="P26" s="99" t="s">
        <v>17</v>
      </c>
      <c r="Q26" s="99" t="s">
        <v>17</v>
      </c>
      <c r="R26" s="99" t="s">
        <v>17</v>
      </c>
      <c r="S26" s="99" t="s">
        <v>17</v>
      </c>
      <c r="T26" s="99" t="s">
        <v>17</v>
      </c>
      <c r="U26" s="99" t="s">
        <v>17</v>
      </c>
      <c r="V26" s="78"/>
      <c r="W26" s="99" t="s">
        <v>17</v>
      </c>
      <c r="X26" s="99" t="s">
        <v>17</v>
      </c>
      <c r="Y26" s="99" t="s">
        <v>17</v>
      </c>
      <c r="Z26" s="99" t="s">
        <v>17</v>
      </c>
      <c r="AA26" s="99" t="s">
        <v>17</v>
      </c>
      <c r="AB26" s="99" t="s">
        <v>17</v>
      </c>
      <c r="AC26" s="78"/>
      <c r="AD26" s="99" t="s">
        <v>17</v>
      </c>
      <c r="AE26" s="99" t="s">
        <v>17</v>
      </c>
      <c r="AF26" s="99" t="s">
        <v>17</v>
      </c>
      <c r="AG26" s="99" t="s">
        <v>17</v>
      </c>
      <c r="AH26" s="99" t="s">
        <v>17</v>
      </c>
      <c r="AI26" s="99" t="s">
        <v>17</v>
      </c>
      <c r="AJ26" s="4">
        <f>COUNTIF(F26:AI26,"P")</f>
        <v>26</v>
      </c>
      <c r="AK26" s="4">
        <f>COUNTIF(F26:AI26,"A")</f>
        <v>0</v>
      </c>
    </row>
    <row r="27" spans="1:41" ht="16.5">
      <c r="A27" s="6">
        <v>23</v>
      </c>
      <c r="B27" s="89">
        <v>885</v>
      </c>
      <c r="C27" s="101" t="s">
        <v>139</v>
      </c>
      <c r="D27" s="89" t="s">
        <v>101</v>
      </c>
      <c r="E27" s="5" t="s">
        <v>185</v>
      </c>
      <c r="F27" s="99" t="s">
        <v>17</v>
      </c>
      <c r="G27" s="99" t="s">
        <v>17</v>
      </c>
      <c r="H27" s="78"/>
      <c r="I27" s="99" t="s">
        <v>17</v>
      </c>
      <c r="J27" s="99" t="s">
        <v>17</v>
      </c>
      <c r="K27" s="99" t="s">
        <v>17</v>
      </c>
      <c r="L27" s="99" t="s">
        <v>17</v>
      </c>
      <c r="M27" s="99" t="s">
        <v>17</v>
      </c>
      <c r="N27" s="99" t="s">
        <v>17</v>
      </c>
      <c r="O27" s="78"/>
      <c r="P27" s="99" t="s">
        <v>17</v>
      </c>
      <c r="Q27" s="99" t="s">
        <v>17</v>
      </c>
      <c r="R27" s="99" t="s">
        <v>17</v>
      </c>
      <c r="S27" s="99" t="s">
        <v>17</v>
      </c>
      <c r="T27" s="99" t="s">
        <v>17</v>
      </c>
      <c r="U27" s="99" t="s">
        <v>17</v>
      </c>
      <c r="V27" s="78"/>
      <c r="W27" s="99" t="s">
        <v>17</v>
      </c>
      <c r="X27" s="99" t="s">
        <v>17</v>
      </c>
      <c r="Y27" s="99" t="s">
        <v>17</v>
      </c>
      <c r="Z27" s="99" t="s">
        <v>17</v>
      </c>
      <c r="AA27" s="99" t="s">
        <v>17</v>
      </c>
      <c r="AB27" s="99" t="s">
        <v>17</v>
      </c>
      <c r="AC27" s="78"/>
      <c r="AD27" s="99" t="s">
        <v>17</v>
      </c>
      <c r="AE27" s="99" t="s">
        <v>17</v>
      </c>
      <c r="AF27" s="99" t="s">
        <v>17</v>
      </c>
      <c r="AG27" s="99" t="s">
        <v>17</v>
      </c>
      <c r="AH27" s="99" t="s">
        <v>17</v>
      </c>
      <c r="AI27" s="99" t="s">
        <v>17</v>
      </c>
      <c r="AJ27" s="4">
        <f>COUNTIF(F27:AI27,"P")</f>
        <v>26</v>
      </c>
      <c r="AK27" s="4">
        <f>COUNTIF(F27:AI27,"A")</f>
        <v>0</v>
      </c>
    </row>
    <row r="28" spans="1:41" ht="16.5">
      <c r="A28" s="6">
        <v>24</v>
      </c>
      <c r="B28" s="92">
        <v>883</v>
      </c>
      <c r="C28" s="102" t="s">
        <v>140</v>
      </c>
      <c r="D28" s="92" t="s">
        <v>101</v>
      </c>
      <c r="E28" s="5" t="s">
        <v>185</v>
      </c>
      <c r="F28" s="99" t="s">
        <v>17</v>
      </c>
      <c r="G28" s="99" t="s">
        <v>17</v>
      </c>
      <c r="H28" s="78"/>
      <c r="I28" s="99" t="s">
        <v>17</v>
      </c>
      <c r="J28" s="99" t="s">
        <v>17</v>
      </c>
      <c r="K28" s="99" t="s">
        <v>17</v>
      </c>
      <c r="L28" s="99" t="s">
        <v>17</v>
      </c>
      <c r="M28" s="99" t="s">
        <v>17</v>
      </c>
      <c r="N28" s="99" t="s">
        <v>17</v>
      </c>
      <c r="O28" s="78"/>
      <c r="P28" s="99" t="s">
        <v>17</v>
      </c>
      <c r="Q28" s="99" t="s">
        <v>17</v>
      </c>
      <c r="R28" s="99" t="s">
        <v>17</v>
      </c>
      <c r="S28" s="99" t="s">
        <v>17</v>
      </c>
      <c r="T28" s="99" t="s">
        <v>17</v>
      </c>
      <c r="U28" s="99" t="s">
        <v>17</v>
      </c>
      <c r="V28" s="78"/>
      <c r="W28" s="99" t="s">
        <v>17</v>
      </c>
      <c r="X28" s="99" t="s">
        <v>17</v>
      </c>
      <c r="Y28" s="99" t="s">
        <v>17</v>
      </c>
      <c r="Z28" s="99" t="s">
        <v>17</v>
      </c>
      <c r="AA28" s="99" t="s">
        <v>17</v>
      </c>
      <c r="AB28" s="99" t="s">
        <v>17</v>
      </c>
      <c r="AC28" s="78"/>
      <c r="AD28" s="99" t="s">
        <v>17</v>
      </c>
      <c r="AE28" s="99" t="s">
        <v>17</v>
      </c>
      <c r="AF28" s="99" t="s">
        <v>17</v>
      </c>
      <c r="AG28" s="99" t="s">
        <v>17</v>
      </c>
      <c r="AH28" s="99" t="s">
        <v>17</v>
      </c>
      <c r="AI28" s="99" t="s">
        <v>17</v>
      </c>
      <c r="AJ28" s="4">
        <f>COUNTIF(F28:AI28,"P")</f>
        <v>26</v>
      </c>
      <c r="AK28" s="4">
        <f>COUNTIF(F28:AI28,"A")</f>
        <v>0</v>
      </c>
    </row>
    <row r="29" spans="1:41" ht="16.5">
      <c r="A29" s="6">
        <v>25</v>
      </c>
      <c r="B29" s="92">
        <v>879</v>
      </c>
      <c r="C29" s="102" t="s">
        <v>141</v>
      </c>
      <c r="D29" s="92" t="s">
        <v>137</v>
      </c>
      <c r="E29" s="5" t="s">
        <v>185</v>
      </c>
      <c r="F29" s="99" t="s">
        <v>17</v>
      </c>
      <c r="G29" s="99" t="s">
        <v>17</v>
      </c>
      <c r="H29" s="78"/>
      <c r="I29" s="99" t="s">
        <v>17</v>
      </c>
      <c r="J29" s="99" t="s">
        <v>17</v>
      </c>
      <c r="K29" s="99" t="s">
        <v>17</v>
      </c>
      <c r="L29" s="99" t="s">
        <v>17</v>
      </c>
      <c r="M29" s="99" t="s">
        <v>17</v>
      </c>
      <c r="N29" s="99" t="s">
        <v>17</v>
      </c>
      <c r="O29" s="78"/>
      <c r="P29" s="99" t="s">
        <v>17</v>
      </c>
      <c r="Q29" s="99" t="s">
        <v>17</v>
      </c>
      <c r="R29" s="99" t="s">
        <v>17</v>
      </c>
      <c r="S29" s="99" t="s">
        <v>17</v>
      </c>
      <c r="T29" s="99" t="s">
        <v>17</v>
      </c>
      <c r="U29" s="99" t="s">
        <v>17</v>
      </c>
      <c r="V29" s="78"/>
      <c r="W29" s="99" t="s">
        <v>17</v>
      </c>
      <c r="X29" s="99" t="s">
        <v>17</v>
      </c>
      <c r="Y29" s="99" t="s">
        <v>17</v>
      </c>
      <c r="Z29" s="99" t="s">
        <v>17</v>
      </c>
      <c r="AA29" s="99" t="s">
        <v>17</v>
      </c>
      <c r="AB29" s="99" t="s">
        <v>17</v>
      </c>
      <c r="AC29" s="78"/>
      <c r="AD29" s="99" t="s">
        <v>17</v>
      </c>
      <c r="AE29" s="99" t="s">
        <v>17</v>
      </c>
      <c r="AF29" s="99" t="s">
        <v>17</v>
      </c>
      <c r="AG29" s="99" t="s">
        <v>17</v>
      </c>
      <c r="AH29" s="99" t="s">
        <v>17</v>
      </c>
      <c r="AI29" s="99" t="s">
        <v>17</v>
      </c>
      <c r="AJ29" s="4">
        <f>COUNTIF(F29:AI29,"P")</f>
        <v>26</v>
      </c>
      <c r="AK29" s="4">
        <f>COUNTIF(F29:AI29,"A")</f>
        <v>0</v>
      </c>
    </row>
    <row r="30" spans="1:41" ht="16.5">
      <c r="A30" s="6">
        <v>26</v>
      </c>
      <c r="B30" s="92">
        <v>892</v>
      </c>
      <c r="C30" s="102" t="s">
        <v>142</v>
      </c>
      <c r="D30" s="92" t="s">
        <v>65</v>
      </c>
      <c r="E30" s="5" t="s">
        <v>185</v>
      </c>
      <c r="F30" s="99" t="s">
        <v>17</v>
      </c>
      <c r="G30" s="99" t="s">
        <v>17</v>
      </c>
      <c r="H30" s="78"/>
      <c r="I30" s="99" t="s">
        <v>17</v>
      </c>
      <c r="J30" s="99" t="s">
        <v>17</v>
      </c>
      <c r="K30" s="99" t="s">
        <v>17</v>
      </c>
      <c r="L30" s="99" t="s">
        <v>17</v>
      </c>
      <c r="M30" s="99" t="s">
        <v>17</v>
      </c>
      <c r="N30" s="99" t="s">
        <v>17</v>
      </c>
      <c r="O30" s="78"/>
      <c r="P30" s="99" t="s">
        <v>17</v>
      </c>
      <c r="Q30" s="99" t="s">
        <v>17</v>
      </c>
      <c r="R30" s="99" t="s">
        <v>17</v>
      </c>
      <c r="S30" s="99" t="s">
        <v>17</v>
      </c>
      <c r="T30" s="99" t="s">
        <v>17</v>
      </c>
      <c r="U30" s="99" t="s">
        <v>17</v>
      </c>
      <c r="V30" s="78"/>
      <c r="W30" s="99" t="s">
        <v>17</v>
      </c>
      <c r="X30" s="99" t="s">
        <v>17</v>
      </c>
      <c r="Y30" s="99" t="s">
        <v>17</v>
      </c>
      <c r="Z30" s="99" t="s">
        <v>17</v>
      </c>
      <c r="AA30" s="99" t="s">
        <v>17</v>
      </c>
      <c r="AB30" s="99" t="s">
        <v>17</v>
      </c>
      <c r="AC30" s="78"/>
      <c r="AD30" s="99" t="s">
        <v>17</v>
      </c>
      <c r="AE30" s="99" t="s">
        <v>17</v>
      </c>
      <c r="AF30" s="99" t="s">
        <v>17</v>
      </c>
      <c r="AG30" s="99" t="s">
        <v>17</v>
      </c>
      <c r="AH30" s="99" t="s">
        <v>17</v>
      </c>
      <c r="AI30" s="99" t="s">
        <v>17</v>
      </c>
      <c r="AJ30" s="4">
        <f>COUNTIF(F30:AI30,"P")</f>
        <v>26</v>
      </c>
      <c r="AK30" s="4">
        <f>COUNTIF(F30:AI30,"A")</f>
        <v>0</v>
      </c>
    </row>
    <row r="31" spans="1:41" ht="16.5">
      <c r="A31" s="6">
        <v>27</v>
      </c>
      <c r="B31" s="103">
        <v>864</v>
      </c>
      <c r="C31" s="103" t="s">
        <v>143</v>
      </c>
      <c r="D31" s="103" t="s">
        <v>144</v>
      </c>
      <c r="E31" s="5" t="s">
        <v>185</v>
      </c>
      <c r="F31" s="99" t="s">
        <v>17</v>
      </c>
      <c r="G31" s="99" t="s">
        <v>17</v>
      </c>
      <c r="H31" s="78"/>
      <c r="I31" s="99" t="s">
        <v>17</v>
      </c>
      <c r="J31" s="99" t="s">
        <v>17</v>
      </c>
      <c r="K31" s="99" t="s">
        <v>17</v>
      </c>
      <c r="L31" s="99" t="s">
        <v>17</v>
      </c>
      <c r="M31" s="99" t="s">
        <v>17</v>
      </c>
      <c r="N31" s="99" t="s">
        <v>17</v>
      </c>
      <c r="O31" s="78"/>
      <c r="P31" s="99" t="s">
        <v>17</v>
      </c>
      <c r="Q31" s="99" t="s">
        <v>17</v>
      </c>
      <c r="R31" s="99" t="s">
        <v>17</v>
      </c>
      <c r="S31" s="99" t="s">
        <v>17</v>
      </c>
      <c r="T31" s="99" t="s">
        <v>17</v>
      </c>
      <c r="U31" s="99" t="s">
        <v>17</v>
      </c>
      <c r="V31" s="78"/>
      <c r="W31" s="99" t="s">
        <v>17</v>
      </c>
      <c r="X31" s="99" t="s">
        <v>17</v>
      </c>
      <c r="Y31" s="99" t="s">
        <v>17</v>
      </c>
      <c r="Z31" s="99" t="s">
        <v>17</v>
      </c>
      <c r="AA31" s="99" t="s">
        <v>17</v>
      </c>
      <c r="AB31" s="99" t="s">
        <v>17</v>
      </c>
      <c r="AC31" s="78"/>
      <c r="AD31" s="99" t="s">
        <v>17</v>
      </c>
      <c r="AE31" s="99" t="s">
        <v>17</v>
      </c>
      <c r="AF31" s="99" t="s">
        <v>17</v>
      </c>
      <c r="AG31" s="99" t="s">
        <v>17</v>
      </c>
      <c r="AH31" s="99" t="s">
        <v>17</v>
      </c>
      <c r="AI31" s="99" t="s">
        <v>17</v>
      </c>
      <c r="AJ31" s="4">
        <f>COUNTIF(F31:AI31,"P")</f>
        <v>26</v>
      </c>
      <c r="AK31" s="4">
        <f>COUNTIF(F31:AI31,"A")</f>
        <v>0</v>
      </c>
    </row>
    <row r="32" spans="1:41" ht="16.5">
      <c r="A32" s="6">
        <v>28</v>
      </c>
      <c r="B32" s="89">
        <v>799</v>
      </c>
      <c r="C32" s="89" t="s">
        <v>145</v>
      </c>
      <c r="D32" s="89" t="s">
        <v>95</v>
      </c>
      <c r="E32" s="5" t="s">
        <v>185</v>
      </c>
      <c r="F32" s="99" t="s">
        <v>17</v>
      </c>
      <c r="G32" s="99" t="s">
        <v>17</v>
      </c>
      <c r="H32" s="78"/>
      <c r="I32" s="99" t="s">
        <v>17</v>
      </c>
      <c r="J32" s="99" t="s">
        <v>17</v>
      </c>
      <c r="K32" s="99" t="s">
        <v>17</v>
      </c>
      <c r="L32" s="99" t="s">
        <v>17</v>
      </c>
      <c r="M32" s="99" t="s">
        <v>17</v>
      </c>
      <c r="N32" s="99" t="s">
        <v>17</v>
      </c>
      <c r="O32" s="78"/>
      <c r="P32" s="99" t="s">
        <v>17</v>
      </c>
      <c r="Q32" s="99" t="s">
        <v>17</v>
      </c>
      <c r="R32" s="99" t="s">
        <v>17</v>
      </c>
      <c r="S32" s="99" t="s">
        <v>17</v>
      </c>
      <c r="T32" s="99" t="s">
        <v>17</v>
      </c>
      <c r="U32" s="99" t="s">
        <v>17</v>
      </c>
      <c r="V32" s="78"/>
      <c r="W32" s="99" t="s">
        <v>17</v>
      </c>
      <c r="X32" s="99" t="s">
        <v>17</v>
      </c>
      <c r="Y32" s="99" t="s">
        <v>17</v>
      </c>
      <c r="Z32" s="99" t="s">
        <v>17</v>
      </c>
      <c r="AA32" s="99" t="s">
        <v>17</v>
      </c>
      <c r="AB32" s="99" t="s">
        <v>17</v>
      </c>
      <c r="AC32" s="78"/>
      <c r="AD32" s="99" t="s">
        <v>17</v>
      </c>
      <c r="AE32" s="99" t="s">
        <v>17</v>
      </c>
      <c r="AF32" s="99" t="s">
        <v>17</v>
      </c>
      <c r="AG32" s="99" t="s">
        <v>17</v>
      </c>
      <c r="AH32" s="99" t="s">
        <v>17</v>
      </c>
      <c r="AI32" s="99" t="s">
        <v>17</v>
      </c>
      <c r="AJ32" s="4">
        <f>COUNTIF(F32:AI32,"P")</f>
        <v>26</v>
      </c>
      <c r="AK32" s="4">
        <f>COUNTIF(F32:AI32,"A")</f>
        <v>0</v>
      </c>
    </row>
    <row r="33" spans="1:37" ht="16.5">
      <c r="A33" s="6">
        <v>29</v>
      </c>
      <c r="B33" s="92">
        <v>837</v>
      </c>
      <c r="C33" s="92" t="s">
        <v>146</v>
      </c>
      <c r="D33" s="92" t="s">
        <v>147</v>
      </c>
      <c r="E33" s="5" t="s">
        <v>185</v>
      </c>
      <c r="F33" s="99" t="s">
        <v>17</v>
      </c>
      <c r="G33" s="99" t="s">
        <v>17</v>
      </c>
      <c r="H33" s="78"/>
      <c r="I33" s="99" t="s">
        <v>17</v>
      </c>
      <c r="J33" s="99" t="s">
        <v>17</v>
      </c>
      <c r="K33" s="99" t="s">
        <v>17</v>
      </c>
      <c r="L33" s="99" t="s">
        <v>17</v>
      </c>
      <c r="M33" s="99" t="s">
        <v>17</v>
      </c>
      <c r="N33" s="99" t="s">
        <v>17</v>
      </c>
      <c r="O33" s="78"/>
      <c r="P33" s="99" t="s">
        <v>17</v>
      </c>
      <c r="Q33" s="99" t="s">
        <v>17</v>
      </c>
      <c r="R33" s="99" t="s">
        <v>17</v>
      </c>
      <c r="S33" s="99" t="s">
        <v>17</v>
      </c>
      <c r="T33" s="99" t="s">
        <v>17</v>
      </c>
      <c r="U33" s="99" t="s">
        <v>17</v>
      </c>
      <c r="V33" s="78"/>
      <c r="W33" s="99" t="s">
        <v>17</v>
      </c>
      <c r="X33" s="99" t="s">
        <v>17</v>
      </c>
      <c r="Y33" s="99" t="s">
        <v>17</v>
      </c>
      <c r="Z33" s="99" t="s">
        <v>17</v>
      </c>
      <c r="AA33" s="99" t="s">
        <v>17</v>
      </c>
      <c r="AB33" s="99" t="s">
        <v>17</v>
      </c>
      <c r="AC33" s="78"/>
      <c r="AD33" s="99" t="s">
        <v>17</v>
      </c>
      <c r="AE33" s="99" t="s">
        <v>17</v>
      </c>
      <c r="AF33" s="99" t="s">
        <v>17</v>
      </c>
      <c r="AG33" s="99" t="s">
        <v>17</v>
      </c>
      <c r="AH33" s="99" t="s">
        <v>17</v>
      </c>
      <c r="AI33" s="99" t="s">
        <v>17</v>
      </c>
      <c r="AJ33" s="4">
        <f>COUNTIF(F33:AI33,"P")</f>
        <v>26</v>
      </c>
      <c r="AK33" s="4">
        <f>COUNTIF(F33:AI33,"A")</f>
        <v>0</v>
      </c>
    </row>
    <row r="34" spans="1:37" ht="16.5">
      <c r="A34" s="6">
        <v>30</v>
      </c>
      <c r="B34" s="92">
        <v>950</v>
      </c>
      <c r="C34" s="92" t="s">
        <v>148</v>
      </c>
      <c r="D34" s="92" t="s">
        <v>149</v>
      </c>
      <c r="E34" s="5" t="s">
        <v>185</v>
      </c>
      <c r="F34" s="99" t="s">
        <v>17</v>
      </c>
      <c r="G34" s="99" t="s">
        <v>17</v>
      </c>
      <c r="H34" s="78"/>
      <c r="I34" s="99" t="s">
        <v>17</v>
      </c>
      <c r="J34" s="99" t="s">
        <v>17</v>
      </c>
      <c r="K34" s="99" t="s">
        <v>17</v>
      </c>
      <c r="L34" s="99" t="s">
        <v>17</v>
      </c>
      <c r="M34" s="99" t="s">
        <v>17</v>
      </c>
      <c r="N34" s="99" t="s">
        <v>17</v>
      </c>
      <c r="O34" s="78"/>
      <c r="P34" s="99" t="s">
        <v>17</v>
      </c>
      <c r="Q34" s="99" t="s">
        <v>17</v>
      </c>
      <c r="R34" s="99" t="s">
        <v>17</v>
      </c>
      <c r="S34" s="99" t="s">
        <v>17</v>
      </c>
      <c r="T34" s="99" t="s">
        <v>17</v>
      </c>
      <c r="U34" s="99" t="s">
        <v>17</v>
      </c>
      <c r="V34" s="78"/>
      <c r="W34" s="99" t="s">
        <v>17</v>
      </c>
      <c r="X34" s="99" t="s">
        <v>17</v>
      </c>
      <c r="Y34" s="99" t="s">
        <v>17</v>
      </c>
      <c r="Z34" s="99" t="s">
        <v>17</v>
      </c>
      <c r="AA34" s="99" t="s">
        <v>17</v>
      </c>
      <c r="AB34" s="99" t="s">
        <v>17</v>
      </c>
      <c r="AC34" s="78"/>
      <c r="AD34" s="99" t="s">
        <v>17</v>
      </c>
      <c r="AE34" s="99" t="s">
        <v>17</v>
      </c>
      <c r="AF34" s="99" t="s">
        <v>17</v>
      </c>
      <c r="AG34" s="99" t="s">
        <v>17</v>
      </c>
      <c r="AH34" s="99" t="s">
        <v>17</v>
      </c>
      <c r="AI34" s="99" t="s">
        <v>17</v>
      </c>
      <c r="AJ34" s="4">
        <f>COUNTIF(F34:AI34,"P")</f>
        <v>26</v>
      </c>
      <c r="AK34" s="4">
        <f>COUNTIF(F34:AI34,"A")</f>
        <v>0</v>
      </c>
    </row>
    <row r="35" spans="1:37" ht="16.5">
      <c r="A35" s="6">
        <v>31</v>
      </c>
      <c r="B35" s="92">
        <v>948</v>
      </c>
      <c r="C35" s="92" t="s">
        <v>31</v>
      </c>
      <c r="D35" s="92" t="s">
        <v>53</v>
      </c>
      <c r="E35" s="5" t="s">
        <v>185</v>
      </c>
      <c r="F35" s="99" t="s">
        <v>17</v>
      </c>
      <c r="G35" s="99" t="s">
        <v>17</v>
      </c>
      <c r="H35" s="78"/>
      <c r="I35" s="99" t="s">
        <v>17</v>
      </c>
      <c r="J35" s="99" t="s">
        <v>17</v>
      </c>
      <c r="K35" s="99" t="s">
        <v>17</v>
      </c>
      <c r="L35" s="99" t="s">
        <v>17</v>
      </c>
      <c r="M35" s="99" t="s">
        <v>17</v>
      </c>
      <c r="N35" s="99" t="s">
        <v>17</v>
      </c>
      <c r="O35" s="78"/>
      <c r="P35" s="99" t="s">
        <v>17</v>
      </c>
      <c r="Q35" s="99" t="s">
        <v>17</v>
      </c>
      <c r="R35" s="99" t="s">
        <v>17</v>
      </c>
      <c r="S35" s="99" t="s">
        <v>17</v>
      </c>
      <c r="T35" s="99" t="s">
        <v>17</v>
      </c>
      <c r="U35" s="99" t="s">
        <v>17</v>
      </c>
      <c r="V35" s="78"/>
      <c r="W35" s="99" t="s">
        <v>17</v>
      </c>
      <c r="X35" s="99" t="s">
        <v>17</v>
      </c>
      <c r="Y35" s="99" t="s">
        <v>17</v>
      </c>
      <c r="Z35" s="99" t="s">
        <v>17</v>
      </c>
      <c r="AA35" s="99" t="s">
        <v>17</v>
      </c>
      <c r="AB35" s="99" t="s">
        <v>17</v>
      </c>
      <c r="AC35" s="78"/>
      <c r="AD35" s="99" t="s">
        <v>17</v>
      </c>
      <c r="AE35" s="99" t="s">
        <v>17</v>
      </c>
      <c r="AF35" s="99" t="s">
        <v>17</v>
      </c>
      <c r="AG35" s="99" t="s">
        <v>17</v>
      </c>
      <c r="AH35" s="99" t="s">
        <v>17</v>
      </c>
      <c r="AI35" s="99" t="s">
        <v>17</v>
      </c>
      <c r="AJ35" s="4">
        <f>COUNTIF(F35:AI35,"P")</f>
        <v>26</v>
      </c>
      <c r="AK35" s="4">
        <f>COUNTIF(F35:AI35,"A")</f>
        <v>0</v>
      </c>
    </row>
  </sheetData>
  <mergeCells count="16">
    <mergeCell ref="AJ3:AJ4"/>
    <mergeCell ref="AK3:AK4"/>
    <mergeCell ref="AL3:AM3"/>
    <mergeCell ref="H5:H35"/>
    <mergeCell ref="O5:O35"/>
    <mergeCell ref="V5:V35"/>
    <mergeCell ref="AC5:AC35"/>
    <mergeCell ref="AL11:AO11"/>
    <mergeCell ref="AL19:AO19"/>
    <mergeCell ref="A1:AI1"/>
    <mergeCell ref="A2:AI2"/>
    <mergeCell ref="A3:A4"/>
    <mergeCell ref="B3:B4"/>
    <mergeCell ref="C3:C4"/>
    <mergeCell ref="D3:D4"/>
    <mergeCell ref="E3:E4"/>
  </mergeCells>
  <conditionalFormatting sqref="F5:G35 I5:I35">
    <cfRule type="cellIs" dxfId="832" priority="153" operator="equal">
      <formula>"L"</formula>
    </cfRule>
    <cfRule type="expression" dxfId="831" priority="154">
      <formula>F$4=TODAY()</formula>
    </cfRule>
    <cfRule type="cellIs" dxfId="830" priority="155" operator="equal">
      <formula>"A"</formula>
    </cfRule>
    <cfRule type="cellIs" dxfId="829" priority="156" operator="equal">
      <formula>"P"</formula>
    </cfRule>
    <cfRule type="expression" dxfId="828" priority="157">
      <formula>F$3="Sun"</formula>
    </cfRule>
  </conditionalFormatting>
  <conditionalFormatting sqref="F3:AI4">
    <cfRule type="expression" dxfId="827" priority="158">
      <formula>F$4=TODAY()</formula>
    </cfRule>
    <cfRule type="expression" dxfId="826" priority="159">
      <formula>F$3="Sun"</formula>
    </cfRule>
  </conditionalFormatting>
  <conditionalFormatting sqref="AJ3:AK3 AJ5:AK35">
    <cfRule type="expression" dxfId="825" priority="160">
      <formula>#REF!="Sun"</formula>
    </cfRule>
  </conditionalFormatting>
  <conditionalFormatting sqref="AL5:AL9">
    <cfRule type="expression" dxfId="824" priority="164">
      <formula>AL$3="Sun"</formula>
    </cfRule>
  </conditionalFormatting>
  <conditionalFormatting sqref="AL12:AL15">
    <cfRule type="expression" dxfId="823" priority="162">
      <formula>AL$3="Sun"</formula>
    </cfRule>
  </conditionalFormatting>
  <conditionalFormatting sqref="AL20:AL23">
    <cfRule type="expression" dxfId="822" priority="161">
      <formula>AL$3="Sun"</formula>
    </cfRule>
  </conditionalFormatting>
  <conditionalFormatting sqref="AL4:AM4">
    <cfRule type="expression" dxfId="821" priority="165">
      <formula>AL$3="Sun"</formula>
    </cfRule>
  </conditionalFormatting>
  <conditionalFormatting sqref="AM12:AO12 AM20:AO20">
    <cfRule type="expression" dxfId="820" priority="166">
      <formula>AM$3="Sun"</formula>
    </cfRule>
  </conditionalFormatting>
  <conditionalFormatting sqref="AO21">
    <cfRule type="expression" dxfId="819" priority="163">
      <formula>AO$3="Sun"</formula>
    </cfRule>
  </conditionalFormatting>
  <conditionalFormatting sqref="K5:K35">
    <cfRule type="cellIs" dxfId="817" priority="147" operator="equal">
      <formula>"L"</formula>
    </cfRule>
    <cfRule type="expression" dxfId="816" priority="148">
      <formula>K$4=TODAY()</formula>
    </cfRule>
    <cfRule type="cellIs" dxfId="815" priority="149" operator="equal">
      <formula>"A"</formula>
    </cfRule>
    <cfRule type="cellIs" dxfId="814" priority="150" operator="equal">
      <formula>"P"</formula>
    </cfRule>
    <cfRule type="expression" dxfId="813" priority="151">
      <formula>K$3="Sun"</formula>
    </cfRule>
  </conditionalFormatting>
  <conditionalFormatting sqref="J5:J35">
    <cfRule type="cellIs" dxfId="812" priority="142" operator="equal">
      <formula>"L"</formula>
    </cfRule>
    <cfRule type="expression" dxfId="811" priority="143">
      <formula>J$4=TODAY()</formula>
    </cfRule>
    <cfRule type="cellIs" dxfId="810" priority="144" operator="equal">
      <formula>"A"</formula>
    </cfRule>
    <cfRule type="cellIs" dxfId="809" priority="145" operator="equal">
      <formula>"P"</formula>
    </cfRule>
    <cfRule type="expression" dxfId="808" priority="146">
      <formula>J$3="Sun"</formula>
    </cfRule>
  </conditionalFormatting>
  <conditionalFormatting sqref="L5:L35">
    <cfRule type="cellIs" dxfId="807" priority="137" operator="equal">
      <formula>"L"</formula>
    </cfRule>
    <cfRule type="expression" dxfId="806" priority="138">
      <formula>L$4=TODAY()</formula>
    </cfRule>
    <cfRule type="cellIs" dxfId="805" priority="139" operator="equal">
      <formula>"A"</formula>
    </cfRule>
    <cfRule type="cellIs" dxfId="804" priority="140" operator="equal">
      <formula>"P"</formula>
    </cfRule>
    <cfRule type="expression" dxfId="803" priority="141">
      <formula>L$3="Sun"</formula>
    </cfRule>
  </conditionalFormatting>
  <conditionalFormatting sqref="M5:M35">
    <cfRule type="cellIs" dxfId="802" priority="132" operator="equal">
      <formula>"L"</formula>
    </cfRule>
    <cfRule type="expression" dxfId="801" priority="133">
      <formula>M$4=TODAY()</formula>
    </cfRule>
    <cfRule type="cellIs" dxfId="800" priority="134" operator="equal">
      <formula>"A"</formula>
    </cfRule>
    <cfRule type="cellIs" dxfId="799" priority="135" operator="equal">
      <formula>"P"</formula>
    </cfRule>
    <cfRule type="expression" dxfId="798" priority="136">
      <formula>M$3="Sun"</formula>
    </cfRule>
  </conditionalFormatting>
  <conditionalFormatting sqref="N5:N35">
    <cfRule type="cellIs" dxfId="797" priority="127" operator="equal">
      <formula>"L"</formula>
    </cfRule>
    <cfRule type="expression" dxfId="796" priority="128">
      <formula>N$4=TODAY()</formula>
    </cfRule>
    <cfRule type="cellIs" dxfId="795" priority="129" operator="equal">
      <formula>"A"</formula>
    </cfRule>
    <cfRule type="cellIs" dxfId="794" priority="130" operator="equal">
      <formula>"P"</formula>
    </cfRule>
    <cfRule type="expression" dxfId="793" priority="131">
      <formula>N$3="Sun"</formula>
    </cfRule>
  </conditionalFormatting>
  <conditionalFormatting sqref="P5:P35">
    <cfRule type="cellIs" dxfId="792" priority="122" operator="equal">
      <formula>"L"</formula>
    </cfRule>
    <cfRule type="expression" dxfId="791" priority="123">
      <formula>P$4=TODAY()</formula>
    </cfRule>
    <cfRule type="cellIs" dxfId="790" priority="124" operator="equal">
      <formula>"A"</formula>
    </cfRule>
    <cfRule type="cellIs" dxfId="789" priority="125" operator="equal">
      <formula>"P"</formula>
    </cfRule>
    <cfRule type="expression" dxfId="788" priority="126">
      <formula>P$3="Sun"</formula>
    </cfRule>
  </conditionalFormatting>
  <conditionalFormatting sqref="Q5:Q35">
    <cfRule type="cellIs" dxfId="787" priority="117" operator="equal">
      <formula>"L"</formula>
    </cfRule>
    <cfRule type="expression" dxfId="786" priority="118">
      <formula>Q$4=TODAY()</formula>
    </cfRule>
    <cfRule type="cellIs" dxfId="785" priority="119" operator="equal">
      <formula>"A"</formula>
    </cfRule>
    <cfRule type="cellIs" dxfId="784" priority="120" operator="equal">
      <formula>"P"</formula>
    </cfRule>
    <cfRule type="expression" dxfId="783" priority="121">
      <formula>Q$3="Sun"</formula>
    </cfRule>
  </conditionalFormatting>
  <conditionalFormatting sqref="R5:R35">
    <cfRule type="cellIs" dxfId="782" priority="112" operator="equal">
      <formula>"L"</formula>
    </cfRule>
    <cfRule type="expression" dxfId="781" priority="113">
      <formula>R$4=TODAY()</formula>
    </cfRule>
    <cfRule type="cellIs" dxfId="780" priority="114" operator="equal">
      <formula>"A"</formula>
    </cfRule>
    <cfRule type="cellIs" dxfId="779" priority="115" operator="equal">
      <formula>"P"</formula>
    </cfRule>
    <cfRule type="expression" dxfId="778" priority="116">
      <formula>R$3="Sun"</formula>
    </cfRule>
  </conditionalFormatting>
  <conditionalFormatting sqref="S5:S35">
    <cfRule type="cellIs" dxfId="777" priority="107" operator="equal">
      <formula>"L"</formula>
    </cfRule>
    <cfRule type="expression" dxfId="776" priority="108">
      <formula>S$4=TODAY()</formula>
    </cfRule>
    <cfRule type="cellIs" dxfId="775" priority="109" operator="equal">
      <formula>"A"</formula>
    </cfRule>
    <cfRule type="cellIs" dxfId="774" priority="110" operator="equal">
      <formula>"P"</formula>
    </cfRule>
    <cfRule type="expression" dxfId="773" priority="111">
      <formula>S$3="Sun"</formula>
    </cfRule>
  </conditionalFormatting>
  <conditionalFormatting sqref="T5:T35">
    <cfRule type="cellIs" dxfId="772" priority="102" operator="equal">
      <formula>"L"</formula>
    </cfRule>
    <cfRule type="expression" dxfId="771" priority="103">
      <formula>T$4=TODAY()</formula>
    </cfRule>
    <cfRule type="cellIs" dxfId="770" priority="104" operator="equal">
      <formula>"A"</formula>
    </cfRule>
    <cfRule type="cellIs" dxfId="769" priority="105" operator="equal">
      <formula>"P"</formula>
    </cfRule>
    <cfRule type="expression" dxfId="768" priority="106">
      <formula>T$3="Sun"</formula>
    </cfRule>
  </conditionalFormatting>
  <conditionalFormatting sqref="U5:U35">
    <cfRule type="cellIs" dxfId="767" priority="97" operator="equal">
      <formula>"L"</formula>
    </cfRule>
    <cfRule type="expression" dxfId="766" priority="98">
      <formula>U$4=TODAY()</formula>
    </cfRule>
    <cfRule type="cellIs" dxfId="765" priority="99" operator="equal">
      <formula>"A"</formula>
    </cfRule>
    <cfRule type="cellIs" dxfId="764" priority="100" operator="equal">
      <formula>"P"</formula>
    </cfRule>
    <cfRule type="expression" dxfId="763" priority="101">
      <formula>U$3="Sun"</formula>
    </cfRule>
  </conditionalFormatting>
  <conditionalFormatting sqref="W5:W35">
    <cfRule type="cellIs" dxfId="762" priority="92" operator="equal">
      <formula>"L"</formula>
    </cfRule>
    <cfRule type="expression" dxfId="761" priority="93">
      <formula>W$4=TODAY()</formula>
    </cfRule>
    <cfRule type="cellIs" dxfId="760" priority="94" operator="equal">
      <formula>"A"</formula>
    </cfRule>
    <cfRule type="cellIs" dxfId="759" priority="95" operator="equal">
      <formula>"P"</formula>
    </cfRule>
    <cfRule type="expression" dxfId="758" priority="96">
      <formula>W$3="Sun"</formula>
    </cfRule>
  </conditionalFormatting>
  <conditionalFormatting sqref="X5:X35">
    <cfRule type="cellIs" dxfId="757" priority="87" operator="equal">
      <formula>"L"</formula>
    </cfRule>
    <cfRule type="expression" dxfId="756" priority="88">
      <formula>X$4=TODAY()</formula>
    </cfRule>
    <cfRule type="cellIs" dxfId="755" priority="89" operator="equal">
      <formula>"A"</formula>
    </cfRule>
    <cfRule type="cellIs" dxfId="754" priority="90" operator="equal">
      <formula>"P"</formula>
    </cfRule>
    <cfRule type="expression" dxfId="753" priority="91">
      <formula>X$3="Sun"</formula>
    </cfRule>
  </conditionalFormatting>
  <conditionalFormatting sqref="Y5:Y35">
    <cfRule type="cellIs" dxfId="752" priority="82" operator="equal">
      <formula>"L"</formula>
    </cfRule>
    <cfRule type="expression" dxfId="751" priority="83">
      <formula>Y$4=TODAY()</formula>
    </cfRule>
    <cfRule type="cellIs" dxfId="750" priority="84" operator="equal">
      <formula>"A"</formula>
    </cfRule>
    <cfRule type="cellIs" dxfId="749" priority="85" operator="equal">
      <formula>"P"</formula>
    </cfRule>
    <cfRule type="expression" dxfId="748" priority="86">
      <formula>Y$3="Sun"</formula>
    </cfRule>
  </conditionalFormatting>
  <conditionalFormatting sqref="Z5:Z35">
    <cfRule type="cellIs" dxfId="747" priority="77" operator="equal">
      <formula>"L"</formula>
    </cfRule>
    <cfRule type="expression" dxfId="746" priority="78">
      <formula>Z$4=TODAY()</formula>
    </cfRule>
    <cfRule type="cellIs" dxfId="745" priority="79" operator="equal">
      <formula>"A"</formula>
    </cfRule>
    <cfRule type="cellIs" dxfId="744" priority="80" operator="equal">
      <formula>"P"</formula>
    </cfRule>
    <cfRule type="expression" dxfId="743" priority="81">
      <formula>Z$3="Sun"</formula>
    </cfRule>
  </conditionalFormatting>
  <conditionalFormatting sqref="AA5:AA35">
    <cfRule type="cellIs" dxfId="742" priority="72" operator="equal">
      <formula>"L"</formula>
    </cfRule>
    <cfRule type="expression" dxfId="741" priority="73">
      <formula>AA$4=TODAY()</formula>
    </cfRule>
    <cfRule type="cellIs" dxfId="740" priority="74" operator="equal">
      <formula>"A"</formula>
    </cfRule>
    <cfRule type="cellIs" dxfId="739" priority="75" operator="equal">
      <formula>"P"</formula>
    </cfRule>
    <cfRule type="expression" dxfId="738" priority="76">
      <formula>AA$3="Sun"</formula>
    </cfRule>
  </conditionalFormatting>
  <conditionalFormatting sqref="AB5:AB35">
    <cfRule type="cellIs" dxfId="737" priority="67" operator="equal">
      <formula>"L"</formula>
    </cfRule>
    <cfRule type="expression" dxfId="736" priority="68">
      <formula>AB$4=TODAY()</formula>
    </cfRule>
    <cfRule type="cellIs" dxfId="735" priority="69" operator="equal">
      <formula>"A"</formula>
    </cfRule>
    <cfRule type="cellIs" dxfId="734" priority="70" operator="equal">
      <formula>"P"</formula>
    </cfRule>
    <cfRule type="expression" dxfId="733" priority="71">
      <formula>AB$3="Sun"</formula>
    </cfRule>
  </conditionalFormatting>
  <conditionalFormatting sqref="AD5:AD35">
    <cfRule type="cellIs" dxfId="732" priority="62" operator="equal">
      <formula>"L"</formula>
    </cfRule>
    <cfRule type="expression" dxfId="731" priority="63">
      <formula>AD$4=TODAY()</formula>
    </cfRule>
    <cfRule type="cellIs" dxfId="730" priority="64" operator="equal">
      <formula>"A"</formula>
    </cfRule>
    <cfRule type="cellIs" dxfId="729" priority="65" operator="equal">
      <formula>"P"</formula>
    </cfRule>
    <cfRule type="expression" dxfId="728" priority="66">
      <formula>AD$3="Sun"</formula>
    </cfRule>
  </conditionalFormatting>
  <conditionalFormatting sqref="AF5:AF35">
    <cfRule type="cellIs" dxfId="727" priority="57" operator="equal">
      <formula>"L"</formula>
    </cfRule>
    <cfRule type="expression" dxfId="726" priority="58">
      <formula>AF$4=TODAY()</formula>
    </cfRule>
    <cfRule type="cellIs" dxfId="725" priority="59" operator="equal">
      <formula>"A"</formula>
    </cfRule>
    <cfRule type="cellIs" dxfId="724" priority="60" operator="equal">
      <formula>"P"</formula>
    </cfRule>
    <cfRule type="expression" dxfId="723" priority="61">
      <formula>AF$3="Sun"</formula>
    </cfRule>
  </conditionalFormatting>
  <conditionalFormatting sqref="AG5:AG35">
    <cfRule type="cellIs" dxfId="722" priority="52" operator="equal">
      <formula>"L"</formula>
    </cfRule>
    <cfRule type="expression" dxfId="721" priority="53">
      <formula>AG$4=TODAY()</formula>
    </cfRule>
    <cfRule type="cellIs" dxfId="720" priority="54" operator="equal">
      <formula>"A"</formula>
    </cfRule>
    <cfRule type="cellIs" dxfId="719" priority="55" operator="equal">
      <formula>"P"</formula>
    </cfRule>
    <cfRule type="expression" dxfId="718" priority="56">
      <formula>AG$3="Sun"</formula>
    </cfRule>
  </conditionalFormatting>
  <conditionalFormatting sqref="AH5:AH35">
    <cfRule type="cellIs" dxfId="717" priority="47" operator="equal">
      <formula>"L"</formula>
    </cfRule>
    <cfRule type="expression" dxfId="716" priority="48">
      <formula>AH$4=TODAY()</formula>
    </cfRule>
    <cfRule type="cellIs" dxfId="715" priority="49" operator="equal">
      <formula>"A"</formula>
    </cfRule>
    <cfRule type="cellIs" dxfId="714" priority="50" operator="equal">
      <formula>"P"</formula>
    </cfRule>
    <cfRule type="expression" dxfId="713" priority="51">
      <formula>AH$3="Sun"</formula>
    </cfRule>
  </conditionalFormatting>
  <conditionalFormatting sqref="AI5:AI35">
    <cfRule type="cellIs" dxfId="712" priority="42" operator="equal">
      <formula>"L"</formula>
    </cfRule>
    <cfRule type="expression" dxfId="711" priority="43">
      <formula>AI$4=TODAY()</formula>
    </cfRule>
    <cfRule type="cellIs" dxfId="710" priority="44" operator="equal">
      <formula>"A"</formula>
    </cfRule>
    <cfRule type="cellIs" dxfId="709" priority="45" operator="equal">
      <formula>"P"</formula>
    </cfRule>
    <cfRule type="expression" dxfId="708" priority="46">
      <formula>AI$3="Sun"</formula>
    </cfRule>
  </conditionalFormatting>
  <conditionalFormatting sqref="H5">
    <cfRule type="cellIs" dxfId="707" priority="37" operator="equal">
      <formula>"L"</formula>
    </cfRule>
    <cfRule type="expression" dxfId="706" priority="38">
      <formula>H$4=TODAY()</formula>
    </cfRule>
    <cfRule type="cellIs" dxfId="705" priority="39" operator="equal">
      <formula>"A"</formula>
    </cfRule>
    <cfRule type="cellIs" dxfId="704" priority="40" operator="equal">
      <formula>"P"</formula>
    </cfRule>
    <cfRule type="expression" dxfId="703" priority="41">
      <formula>H$3="Sun"</formula>
    </cfRule>
  </conditionalFormatting>
  <conditionalFormatting sqref="AE5:AE35">
    <cfRule type="cellIs" dxfId="687" priority="17" operator="equal">
      <formula>"L"</formula>
    </cfRule>
    <cfRule type="expression" dxfId="686" priority="18">
      <formula>AE$4=TODAY()</formula>
    </cfRule>
    <cfRule type="cellIs" dxfId="685" priority="19" operator="equal">
      <formula>"A"</formula>
    </cfRule>
    <cfRule type="cellIs" dxfId="684" priority="20" operator="equal">
      <formula>"P"</formula>
    </cfRule>
    <cfRule type="expression" dxfId="683" priority="21">
      <formula>AE$3="Sun"</formula>
    </cfRule>
  </conditionalFormatting>
  <conditionalFormatting sqref="B5:B35">
    <cfRule type="duplicateValues" dxfId="682" priority="16"/>
  </conditionalFormatting>
  <conditionalFormatting sqref="O5">
    <cfRule type="cellIs" dxfId="681" priority="11" operator="equal">
      <formula>"L"</formula>
    </cfRule>
    <cfRule type="expression" dxfId="680" priority="12">
      <formula>O$4=TODAY()</formula>
    </cfRule>
    <cfRule type="cellIs" dxfId="679" priority="13" operator="equal">
      <formula>"A"</formula>
    </cfRule>
    <cfRule type="cellIs" dxfId="678" priority="14" operator="equal">
      <formula>"P"</formula>
    </cfRule>
    <cfRule type="expression" dxfId="677" priority="15">
      <formula>O$3="Sun"</formula>
    </cfRule>
  </conditionalFormatting>
  <conditionalFormatting sqref="V5">
    <cfRule type="cellIs" dxfId="676" priority="6" operator="equal">
      <formula>"L"</formula>
    </cfRule>
    <cfRule type="expression" dxfId="675" priority="7">
      <formula>V$4=TODAY()</formula>
    </cfRule>
    <cfRule type="cellIs" dxfId="674" priority="8" operator="equal">
      <formula>"A"</formula>
    </cfRule>
    <cfRule type="cellIs" dxfId="673" priority="9" operator="equal">
      <formula>"P"</formula>
    </cfRule>
    <cfRule type="expression" dxfId="672" priority="10">
      <formula>V$3="Sun"</formula>
    </cfRule>
  </conditionalFormatting>
  <conditionalFormatting sqref="AC5">
    <cfRule type="cellIs" dxfId="671" priority="1" operator="equal">
      <formula>"L"</formula>
    </cfRule>
    <cfRule type="expression" dxfId="670" priority="2">
      <formula>AC$4=TODAY()</formula>
    </cfRule>
    <cfRule type="cellIs" dxfId="669" priority="3" operator="equal">
      <formula>"A"</formula>
    </cfRule>
    <cfRule type="cellIs" dxfId="668" priority="4" operator="equal">
      <formula>"P"</formula>
    </cfRule>
    <cfRule type="expression" dxfId="667" priority="5">
      <formula>AC$3="Sun"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B7E4-1F45-425C-992D-2D9FC6DEC93E}">
  <dimension ref="A1:AO18"/>
  <sheetViews>
    <sheetView topLeftCell="A4" zoomScale="98" zoomScaleNormal="98" workbookViewId="0">
      <selection activeCell="AC5" sqref="AC5:AC18"/>
    </sheetView>
  </sheetViews>
  <sheetFormatPr defaultColWidth="3.85546875" defaultRowHeight="1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9" width="3.7109375" style="1" bestFit="1" customWidth="1"/>
    <col min="10" max="10" width="3.85546875" style="1"/>
    <col min="11" max="11" width="4.5703125" style="1" bestFit="1" customWidth="1"/>
    <col min="12" max="12" width="3.85546875" style="1"/>
    <col min="13" max="13" width="4.85546875" style="1" customWidth="1"/>
    <col min="14" max="15" width="3.7109375" style="1" bestFit="1" customWidth="1"/>
    <col min="16" max="16" width="3.85546875" style="1"/>
    <col min="17" max="17" width="4.5703125" style="1" bestFit="1" customWidth="1"/>
    <col min="18" max="19" width="4.5703125" style="1" customWidth="1"/>
    <col min="20" max="20" width="4.7109375" style="1" bestFit="1" customWidth="1"/>
    <col min="21" max="22" width="3.7109375" style="1" bestFit="1" customWidth="1"/>
    <col min="23" max="23" width="3.85546875" style="1"/>
    <col min="24" max="24" width="4.5703125" style="1" bestFit="1" customWidth="1"/>
    <col min="25" max="25" width="3.85546875" style="1"/>
    <col min="26" max="26" width="4.7109375" style="1" bestFit="1" customWidth="1"/>
    <col min="27" max="27" width="3.85546875" style="1"/>
    <col min="28" max="29" width="3.7109375" style="1" bestFit="1" customWidth="1"/>
    <col min="30" max="30" width="3.85546875" style="1"/>
    <col min="31" max="31" width="4.5703125" style="1" bestFit="1" customWidth="1"/>
    <col min="32" max="35" width="3.85546875" style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79" t="s">
        <v>59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10"/>
      <c r="AK1" s="10"/>
    </row>
    <row r="2" spans="1:41" ht="17.25">
      <c r="A2" s="80" t="s">
        <v>60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11"/>
      <c r="AK2" s="11"/>
      <c r="AL2" s="11"/>
    </row>
    <row r="3" spans="1:41" ht="15.75">
      <c r="A3" s="81" t="s">
        <v>0</v>
      </c>
      <c r="B3" s="97" t="s">
        <v>111</v>
      </c>
      <c r="C3" s="81" t="s">
        <v>1</v>
      </c>
      <c r="D3" s="81" t="s">
        <v>2</v>
      </c>
      <c r="E3" s="81" t="s">
        <v>3</v>
      </c>
      <c r="F3" s="2" t="str">
        <f>TEXT(F4,"ddd")</f>
        <v>Fri</v>
      </c>
      <c r="G3" s="2" t="str">
        <f t="shared" ref="G3:AI3" si="0">TEXT(G4,"ddd")</f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73" t="s">
        <v>4</v>
      </c>
      <c r="AK3" s="73" t="s">
        <v>5</v>
      </c>
      <c r="AL3" s="74" t="s">
        <v>19</v>
      </c>
      <c r="AM3" s="75"/>
      <c r="AN3" s="3"/>
      <c r="AO3" s="3"/>
    </row>
    <row r="4" spans="1:41" ht="37.5">
      <c r="A4" s="81"/>
      <c r="B4" s="98"/>
      <c r="C4" s="81"/>
      <c r="D4" s="81"/>
      <c r="E4" s="81"/>
      <c r="F4" s="9">
        <v>45597</v>
      </c>
      <c r="G4" s="9">
        <v>45598</v>
      </c>
      <c r="H4" s="9">
        <v>45599</v>
      </c>
      <c r="I4" s="9">
        <v>45600</v>
      </c>
      <c r="J4" s="9">
        <v>45601</v>
      </c>
      <c r="K4" s="9">
        <v>45602</v>
      </c>
      <c r="L4" s="9">
        <v>45603</v>
      </c>
      <c r="M4" s="9">
        <v>45604</v>
      </c>
      <c r="N4" s="9">
        <v>45605</v>
      </c>
      <c r="O4" s="9">
        <v>45606</v>
      </c>
      <c r="P4" s="9">
        <v>45607</v>
      </c>
      <c r="Q4" s="9">
        <v>45608</v>
      </c>
      <c r="R4" s="9">
        <v>45609</v>
      </c>
      <c r="S4" s="9">
        <v>45610</v>
      </c>
      <c r="T4" s="9">
        <v>45611</v>
      </c>
      <c r="U4" s="9">
        <v>45612</v>
      </c>
      <c r="V4" s="9">
        <v>45613</v>
      </c>
      <c r="W4" s="9">
        <v>45614</v>
      </c>
      <c r="X4" s="9">
        <v>45615</v>
      </c>
      <c r="Y4" s="9">
        <v>45616</v>
      </c>
      <c r="Z4" s="9">
        <v>45617</v>
      </c>
      <c r="AA4" s="9">
        <v>45618</v>
      </c>
      <c r="AB4" s="9">
        <v>45619</v>
      </c>
      <c r="AC4" s="9">
        <v>45620</v>
      </c>
      <c r="AD4" s="9">
        <v>45621</v>
      </c>
      <c r="AE4" s="9">
        <v>45622</v>
      </c>
      <c r="AF4" s="9">
        <v>45623</v>
      </c>
      <c r="AG4" s="9">
        <v>45624</v>
      </c>
      <c r="AH4" s="9">
        <v>45625</v>
      </c>
      <c r="AI4" s="9">
        <v>45626</v>
      </c>
      <c r="AJ4" s="73"/>
      <c r="AK4" s="73"/>
      <c r="AL4" s="4" t="s">
        <v>20</v>
      </c>
      <c r="AM4" s="4">
        <f>SUM(AM5:AM8)</f>
        <v>30</v>
      </c>
      <c r="AN4" s="3"/>
      <c r="AO4" s="3"/>
    </row>
    <row r="5" spans="1:41" ht="15" customHeight="1">
      <c r="A5" s="6">
        <v>1</v>
      </c>
      <c r="B5" s="85">
        <v>933</v>
      </c>
      <c r="C5" s="83" t="s">
        <v>150</v>
      </c>
      <c r="D5" s="83" t="s">
        <v>83</v>
      </c>
      <c r="E5" s="5" t="s">
        <v>25</v>
      </c>
      <c r="F5" s="99" t="s">
        <v>17</v>
      </c>
      <c r="G5" s="99" t="s">
        <v>17</v>
      </c>
      <c r="H5" s="77" t="s">
        <v>194</v>
      </c>
      <c r="I5" s="99" t="s">
        <v>17</v>
      </c>
      <c r="J5" s="99" t="s">
        <v>17</v>
      </c>
      <c r="K5" s="99" t="s">
        <v>17</v>
      </c>
      <c r="L5" s="99" t="s">
        <v>17</v>
      </c>
      <c r="M5" s="99" t="s">
        <v>17</v>
      </c>
      <c r="N5" s="99" t="s">
        <v>17</v>
      </c>
      <c r="O5" s="77" t="s">
        <v>194</v>
      </c>
      <c r="P5" s="99" t="s">
        <v>17</v>
      </c>
      <c r="Q5" s="99" t="s">
        <v>17</v>
      </c>
      <c r="R5" s="99" t="s">
        <v>17</v>
      </c>
      <c r="S5" s="99" t="s">
        <v>17</v>
      </c>
      <c r="T5" s="99" t="s">
        <v>17</v>
      </c>
      <c r="U5" s="99" t="s">
        <v>17</v>
      </c>
      <c r="V5" s="77" t="s">
        <v>194</v>
      </c>
      <c r="W5" s="99" t="s">
        <v>17</v>
      </c>
      <c r="X5" s="99" t="s">
        <v>17</v>
      </c>
      <c r="Y5" s="99" t="s">
        <v>17</v>
      </c>
      <c r="Z5" s="99" t="s">
        <v>17</v>
      </c>
      <c r="AA5" s="99" t="s">
        <v>17</v>
      </c>
      <c r="AB5" s="99" t="s">
        <v>17</v>
      </c>
      <c r="AC5" s="77" t="s">
        <v>194</v>
      </c>
      <c r="AD5" s="99" t="s">
        <v>17</v>
      </c>
      <c r="AE5" s="99" t="s">
        <v>17</v>
      </c>
      <c r="AF5" s="99" t="s">
        <v>17</v>
      </c>
      <c r="AG5" s="99" t="s">
        <v>17</v>
      </c>
      <c r="AH5" s="99" t="s">
        <v>17</v>
      </c>
      <c r="AI5" s="99" t="s">
        <v>17</v>
      </c>
      <c r="AJ5" s="4">
        <f>COUNTIF(F5:AI5,"P")</f>
        <v>26</v>
      </c>
      <c r="AK5" s="4">
        <f>COUNTIF(F5:AI5,"A")</f>
        <v>0</v>
      </c>
      <c r="AL5" s="65" t="s">
        <v>6</v>
      </c>
      <c r="AM5" s="6">
        <v>24</v>
      </c>
      <c r="AN5" s="7"/>
      <c r="AO5" s="3"/>
    </row>
    <row r="6" spans="1:41" ht="16.5">
      <c r="A6" s="6">
        <v>2</v>
      </c>
      <c r="B6" s="89">
        <v>832</v>
      </c>
      <c r="C6" s="89" t="s">
        <v>151</v>
      </c>
      <c r="D6" s="89" t="s">
        <v>152</v>
      </c>
      <c r="E6" s="5" t="s">
        <v>25</v>
      </c>
      <c r="F6" s="99" t="s">
        <v>17</v>
      </c>
      <c r="G6" s="99" t="s">
        <v>17</v>
      </c>
      <c r="H6" s="78"/>
      <c r="I6" s="99" t="s">
        <v>17</v>
      </c>
      <c r="J6" s="99" t="s">
        <v>17</v>
      </c>
      <c r="K6" s="99" t="s">
        <v>17</v>
      </c>
      <c r="L6" s="99" t="s">
        <v>17</v>
      </c>
      <c r="M6" s="99" t="s">
        <v>17</v>
      </c>
      <c r="N6" s="99" t="s">
        <v>17</v>
      </c>
      <c r="O6" s="78"/>
      <c r="P6" s="99" t="s">
        <v>17</v>
      </c>
      <c r="Q6" s="99" t="s">
        <v>17</v>
      </c>
      <c r="R6" s="99" t="s">
        <v>17</v>
      </c>
      <c r="S6" s="99" t="s">
        <v>17</v>
      </c>
      <c r="T6" s="99" t="s">
        <v>17</v>
      </c>
      <c r="U6" s="99" t="s">
        <v>17</v>
      </c>
      <c r="V6" s="78"/>
      <c r="W6" s="99" t="s">
        <v>17</v>
      </c>
      <c r="X6" s="99" t="s">
        <v>17</v>
      </c>
      <c r="Y6" s="99" t="s">
        <v>17</v>
      </c>
      <c r="Z6" s="99" t="s">
        <v>17</v>
      </c>
      <c r="AA6" s="99" t="s">
        <v>17</v>
      </c>
      <c r="AB6" s="99" t="s">
        <v>17</v>
      </c>
      <c r="AC6" s="78"/>
      <c r="AD6" s="99" t="s">
        <v>17</v>
      </c>
      <c r="AE6" s="99" t="s">
        <v>17</v>
      </c>
      <c r="AF6" s="99" t="s">
        <v>17</v>
      </c>
      <c r="AG6" s="99" t="s">
        <v>17</v>
      </c>
      <c r="AH6" s="99" t="s">
        <v>17</v>
      </c>
      <c r="AI6" s="99" t="s">
        <v>17</v>
      </c>
      <c r="AJ6" s="4">
        <f>COUNTIF(F6:AI6,"P")</f>
        <v>26</v>
      </c>
      <c r="AK6" s="4">
        <f>COUNTIF(F6:AI6,"A")</f>
        <v>0</v>
      </c>
      <c r="AL6" s="65" t="s">
        <v>7</v>
      </c>
      <c r="AM6" s="6">
        <v>4</v>
      </c>
      <c r="AN6" s="3"/>
      <c r="AO6" s="3"/>
    </row>
    <row r="7" spans="1:41" ht="16.5">
      <c r="A7" s="6">
        <v>3</v>
      </c>
      <c r="B7" s="103">
        <v>833</v>
      </c>
      <c r="C7" s="103" t="s">
        <v>153</v>
      </c>
      <c r="D7" s="103" t="s">
        <v>91</v>
      </c>
      <c r="E7" s="5" t="s">
        <v>25</v>
      </c>
      <c r="F7" s="99" t="s">
        <v>17</v>
      </c>
      <c r="G7" s="99" t="s">
        <v>17</v>
      </c>
      <c r="H7" s="78"/>
      <c r="I7" s="99" t="s">
        <v>17</v>
      </c>
      <c r="J7" s="99" t="s">
        <v>17</v>
      </c>
      <c r="K7" s="99" t="s">
        <v>17</v>
      </c>
      <c r="L7" s="99" t="s">
        <v>17</v>
      </c>
      <c r="M7" s="99" t="s">
        <v>17</v>
      </c>
      <c r="N7" s="99" t="s">
        <v>17</v>
      </c>
      <c r="O7" s="78"/>
      <c r="P7" s="99" t="s">
        <v>17</v>
      </c>
      <c r="Q7" s="99" t="s">
        <v>17</v>
      </c>
      <c r="R7" s="99" t="s">
        <v>17</v>
      </c>
      <c r="S7" s="99" t="s">
        <v>17</v>
      </c>
      <c r="T7" s="99" t="s">
        <v>17</v>
      </c>
      <c r="U7" s="99" t="s">
        <v>17</v>
      </c>
      <c r="V7" s="78"/>
      <c r="W7" s="99" t="s">
        <v>17</v>
      </c>
      <c r="X7" s="99" t="s">
        <v>17</v>
      </c>
      <c r="Y7" s="99" t="s">
        <v>17</v>
      </c>
      <c r="Z7" s="99" t="s">
        <v>17</v>
      </c>
      <c r="AA7" s="99" t="s">
        <v>17</v>
      </c>
      <c r="AB7" s="99" t="s">
        <v>17</v>
      </c>
      <c r="AC7" s="78"/>
      <c r="AD7" s="99" t="s">
        <v>17</v>
      </c>
      <c r="AE7" s="99" t="s">
        <v>17</v>
      </c>
      <c r="AF7" s="99" t="s">
        <v>17</v>
      </c>
      <c r="AG7" s="99" t="s">
        <v>17</v>
      </c>
      <c r="AH7" s="99" t="s">
        <v>17</v>
      </c>
      <c r="AI7" s="99" t="s">
        <v>17</v>
      </c>
      <c r="AJ7" s="4">
        <f>COUNTIF(F7:AI7,"P")</f>
        <v>26</v>
      </c>
      <c r="AK7" s="4">
        <f>COUNTIF(F7:AI7,"A")</f>
        <v>0</v>
      </c>
      <c r="AL7" s="65" t="s">
        <v>23</v>
      </c>
      <c r="AM7" s="6">
        <v>1</v>
      </c>
      <c r="AN7" s="3"/>
      <c r="AO7" s="3"/>
    </row>
    <row r="8" spans="1:41" ht="16.5">
      <c r="A8" s="6">
        <v>4</v>
      </c>
      <c r="B8" s="92">
        <v>838</v>
      </c>
      <c r="C8" s="92" t="s">
        <v>154</v>
      </c>
      <c r="D8" s="92" t="s">
        <v>51</v>
      </c>
      <c r="E8" s="5" t="s">
        <v>25</v>
      </c>
      <c r="F8" s="99" t="s">
        <v>17</v>
      </c>
      <c r="G8" s="99" t="s">
        <v>17</v>
      </c>
      <c r="H8" s="78"/>
      <c r="I8" s="99" t="s">
        <v>17</v>
      </c>
      <c r="J8" s="99" t="s">
        <v>17</v>
      </c>
      <c r="K8" s="99" t="s">
        <v>17</v>
      </c>
      <c r="L8" s="99" t="s">
        <v>17</v>
      </c>
      <c r="M8" s="99" t="s">
        <v>17</v>
      </c>
      <c r="N8" s="99" t="s">
        <v>17</v>
      </c>
      <c r="O8" s="78"/>
      <c r="P8" s="99" t="s">
        <v>17</v>
      </c>
      <c r="Q8" s="99" t="s">
        <v>17</v>
      </c>
      <c r="R8" s="99" t="s">
        <v>17</v>
      </c>
      <c r="S8" s="99" t="s">
        <v>17</v>
      </c>
      <c r="T8" s="99" t="s">
        <v>17</v>
      </c>
      <c r="U8" s="99" t="s">
        <v>17</v>
      </c>
      <c r="V8" s="78"/>
      <c r="W8" s="99" t="s">
        <v>17</v>
      </c>
      <c r="X8" s="99" t="s">
        <v>17</v>
      </c>
      <c r="Y8" s="99" t="s">
        <v>17</v>
      </c>
      <c r="Z8" s="99" t="s">
        <v>17</v>
      </c>
      <c r="AA8" s="99" t="s">
        <v>17</v>
      </c>
      <c r="AB8" s="99" t="s">
        <v>17</v>
      </c>
      <c r="AC8" s="78"/>
      <c r="AD8" s="99" t="s">
        <v>17</v>
      </c>
      <c r="AE8" s="99" t="s">
        <v>17</v>
      </c>
      <c r="AF8" s="99" t="s">
        <v>17</v>
      </c>
      <c r="AG8" s="99" t="s">
        <v>17</v>
      </c>
      <c r="AH8" s="99" t="s">
        <v>17</v>
      </c>
      <c r="AI8" s="99" t="s">
        <v>17</v>
      </c>
      <c r="AJ8" s="4">
        <f>COUNTIF(F8:AI8,"P")</f>
        <v>26</v>
      </c>
      <c r="AK8" s="4">
        <f>COUNTIF(F8:AI8,"A")</f>
        <v>0</v>
      </c>
      <c r="AL8" s="65" t="s">
        <v>21</v>
      </c>
      <c r="AM8" s="6">
        <v>1</v>
      </c>
      <c r="AN8"/>
      <c r="AO8"/>
    </row>
    <row r="9" spans="1:41" ht="16.5">
      <c r="A9" s="6">
        <v>5</v>
      </c>
      <c r="B9" s="92">
        <v>855</v>
      </c>
      <c r="C9" s="92" t="s">
        <v>155</v>
      </c>
      <c r="D9" s="92" t="s">
        <v>156</v>
      </c>
      <c r="E9" s="5" t="s">
        <v>25</v>
      </c>
      <c r="F9" s="99" t="s">
        <v>17</v>
      </c>
      <c r="G9" s="99" t="s">
        <v>17</v>
      </c>
      <c r="H9" s="78"/>
      <c r="I9" s="99" t="s">
        <v>17</v>
      </c>
      <c r="J9" s="99" t="s">
        <v>17</v>
      </c>
      <c r="K9" s="99" t="s">
        <v>17</v>
      </c>
      <c r="L9" s="99" t="s">
        <v>17</v>
      </c>
      <c r="M9" s="99" t="s">
        <v>17</v>
      </c>
      <c r="N9" s="99" t="s">
        <v>17</v>
      </c>
      <c r="O9" s="78"/>
      <c r="P9" s="99" t="s">
        <v>17</v>
      </c>
      <c r="Q9" s="99" t="s">
        <v>17</v>
      </c>
      <c r="R9" s="99" t="s">
        <v>17</v>
      </c>
      <c r="S9" s="99" t="s">
        <v>17</v>
      </c>
      <c r="T9" s="99" t="s">
        <v>17</v>
      </c>
      <c r="U9" s="99" t="s">
        <v>17</v>
      </c>
      <c r="V9" s="78"/>
      <c r="W9" s="99" t="s">
        <v>17</v>
      </c>
      <c r="X9" s="99" t="s">
        <v>17</v>
      </c>
      <c r="Y9" s="99" t="s">
        <v>17</v>
      </c>
      <c r="Z9" s="99" t="s">
        <v>17</v>
      </c>
      <c r="AA9" s="99" t="s">
        <v>17</v>
      </c>
      <c r="AB9" s="99" t="s">
        <v>17</v>
      </c>
      <c r="AC9" s="78"/>
      <c r="AD9" s="99" t="s">
        <v>17</v>
      </c>
      <c r="AE9" s="99" t="s">
        <v>17</v>
      </c>
      <c r="AF9" s="99" t="s">
        <v>17</v>
      </c>
      <c r="AG9" s="99" t="s">
        <v>17</v>
      </c>
      <c r="AH9" s="99" t="s">
        <v>17</v>
      </c>
      <c r="AI9" s="99" t="s">
        <v>17</v>
      </c>
      <c r="AJ9" s="4">
        <f>COUNTIF(F9:AI9,"P")</f>
        <v>26</v>
      </c>
      <c r="AK9" s="4">
        <f>COUNTIF(F9:AI9,"A")</f>
        <v>0</v>
      </c>
      <c r="AL9" s="65"/>
      <c r="AM9" s="6"/>
    </row>
    <row r="10" spans="1:41" ht="16.5">
      <c r="A10" s="6">
        <v>6</v>
      </c>
      <c r="B10" s="100">
        <v>811</v>
      </c>
      <c r="C10" s="100" t="s">
        <v>157</v>
      </c>
      <c r="D10" s="100" t="s">
        <v>33</v>
      </c>
      <c r="E10" s="5" t="s">
        <v>25</v>
      </c>
      <c r="F10" s="99" t="s">
        <v>17</v>
      </c>
      <c r="G10" s="99" t="s">
        <v>17</v>
      </c>
      <c r="H10" s="78"/>
      <c r="I10" s="99" t="s">
        <v>17</v>
      </c>
      <c r="J10" s="99" t="s">
        <v>17</v>
      </c>
      <c r="K10" s="99" t="s">
        <v>17</v>
      </c>
      <c r="L10" s="99" t="s">
        <v>17</v>
      </c>
      <c r="M10" s="99" t="s">
        <v>17</v>
      </c>
      <c r="N10" s="99" t="s">
        <v>17</v>
      </c>
      <c r="O10" s="78"/>
      <c r="P10" s="99" t="s">
        <v>17</v>
      </c>
      <c r="Q10" s="99" t="s">
        <v>17</v>
      </c>
      <c r="R10" s="99" t="s">
        <v>17</v>
      </c>
      <c r="S10" s="99" t="s">
        <v>17</v>
      </c>
      <c r="T10" s="99" t="s">
        <v>17</v>
      </c>
      <c r="U10" s="99" t="s">
        <v>17</v>
      </c>
      <c r="V10" s="78"/>
      <c r="W10" s="99" t="s">
        <v>17</v>
      </c>
      <c r="X10" s="99" t="s">
        <v>17</v>
      </c>
      <c r="Y10" s="99" t="s">
        <v>17</v>
      </c>
      <c r="Z10" s="99" t="s">
        <v>17</v>
      </c>
      <c r="AA10" s="99" t="s">
        <v>17</v>
      </c>
      <c r="AB10" s="99" t="s">
        <v>17</v>
      </c>
      <c r="AC10" s="78"/>
      <c r="AD10" s="99" t="s">
        <v>17</v>
      </c>
      <c r="AE10" s="99" t="s">
        <v>17</v>
      </c>
      <c r="AF10" s="99" t="s">
        <v>17</v>
      </c>
      <c r="AG10" s="99" t="s">
        <v>17</v>
      </c>
      <c r="AH10" s="99" t="s">
        <v>17</v>
      </c>
      <c r="AI10" s="99" t="s">
        <v>17</v>
      </c>
      <c r="AJ10" s="4">
        <f>COUNTIF(F10:AI10,"P")</f>
        <v>26</v>
      </c>
      <c r="AK10" s="4">
        <f>COUNTIF(F10:AI10,"A")</f>
        <v>0</v>
      </c>
    </row>
    <row r="11" spans="1:41" ht="16.5">
      <c r="A11" s="6">
        <v>7</v>
      </c>
      <c r="B11" s="89">
        <v>869</v>
      </c>
      <c r="C11" s="89" t="s">
        <v>158</v>
      </c>
      <c r="D11" s="89" t="s">
        <v>125</v>
      </c>
      <c r="E11" s="5" t="s">
        <v>25</v>
      </c>
      <c r="F11" s="99" t="s">
        <v>17</v>
      </c>
      <c r="G11" s="99" t="s">
        <v>17</v>
      </c>
      <c r="H11" s="78"/>
      <c r="I11" s="99" t="s">
        <v>17</v>
      </c>
      <c r="J11" s="99" t="s">
        <v>17</v>
      </c>
      <c r="K11" s="99" t="s">
        <v>17</v>
      </c>
      <c r="L11" s="99" t="s">
        <v>17</v>
      </c>
      <c r="M11" s="99" t="s">
        <v>17</v>
      </c>
      <c r="N11" s="99" t="s">
        <v>17</v>
      </c>
      <c r="O11" s="78"/>
      <c r="P11" s="99" t="s">
        <v>17</v>
      </c>
      <c r="Q11" s="99" t="s">
        <v>17</v>
      </c>
      <c r="R11" s="99" t="s">
        <v>17</v>
      </c>
      <c r="S11" s="99" t="s">
        <v>17</v>
      </c>
      <c r="T11" s="99" t="s">
        <v>17</v>
      </c>
      <c r="U11" s="99" t="s">
        <v>17</v>
      </c>
      <c r="V11" s="78"/>
      <c r="W11" s="99" t="s">
        <v>17</v>
      </c>
      <c r="X11" s="99" t="s">
        <v>17</v>
      </c>
      <c r="Y11" s="99" t="s">
        <v>17</v>
      </c>
      <c r="Z11" s="99" t="s">
        <v>17</v>
      </c>
      <c r="AA11" s="99" t="s">
        <v>17</v>
      </c>
      <c r="AB11" s="99" t="s">
        <v>17</v>
      </c>
      <c r="AC11" s="78"/>
      <c r="AD11" s="99" t="s">
        <v>17</v>
      </c>
      <c r="AE11" s="99" t="s">
        <v>17</v>
      </c>
      <c r="AF11" s="99" t="s">
        <v>17</v>
      </c>
      <c r="AG11" s="99" t="s">
        <v>17</v>
      </c>
      <c r="AH11" s="99" t="s">
        <v>17</v>
      </c>
      <c r="AI11" s="99" t="s">
        <v>17</v>
      </c>
      <c r="AJ11" s="4">
        <f>COUNTIF(F11:AI11,"P")</f>
        <v>26</v>
      </c>
      <c r="AK11" s="4">
        <f>COUNTIF(F11:AI11,"A")</f>
        <v>0</v>
      </c>
      <c r="AL11" s="75" t="s">
        <v>8</v>
      </c>
      <c r="AM11" s="75"/>
      <c r="AN11" s="75"/>
      <c r="AO11" s="76"/>
    </row>
    <row r="12" spans="1:41" ht="16.5">
      <c r="A12" s="6">
        <v>8</v>
      </c>
      <c r="B12" s="92">
        <v>890</v>
      </c>
      <c r="C12" s="92" t="s">
        <v>159</v>
      </c>
      <c r="D12" s="92" t="s">
        <v>55</v>
      </c>
      <c r="E12" s="5" t="s">
        <v>25</v>
      </c>
      <c r="F12" s="99" t="s">
        <v>17</v>
      </c>
      <c r="G12" s="99" t="s">
        <v>17</v>
      </c>
      <c r="H12" s="78"/>
      <c r="I12" s="99" t="s">
        <v>17</v>
      </c>
      <c r="J12" s="99" t="s">
        <v>17</v>
      </c>
      <c r="K12" s="99" t="s">
        <v>17</v>
      </c>
      <c r="L12" s="99" t="s">
        <v>17</v>
      </c>
      <c r="M12" s="99" t="s">
        <v>17</v>
      </c>
      <c r="N12" s="99" t="s">
        <v>17</v>
      </c>
      <c r="O12" s="78"/>
      <c r="P12" s="99" t="s">
        <v>17</v>
      </c>
      <c r="Q12" s="99" t="s">
        <v>17</v>
      </c>
      <c r="R12" s="99" t="s">
        <v>17</v>
      </c>
      <c r="S12" s="99" t="s">
        <v>17</v>
      </c>
      <c r="T12" s="99" t="s">
        <v>17</v>
      </c>
      <c r="U12" s="99" t="s">
        <v>17</v>
      </c>
      <c r="V12" s="78"/>
      <c r="W12" s="99" t="s">
        <v>17</v>
      </c>
      <c r="X12" s="99" t="s">
        <v>17</v>
      </c>
      <c r="Y12" s="99" t="s">
        <v>17</v>
      </c>
      <c r="Z12" s="99" t="s">
        <v>17</v>
      </c>
      <c r="AA12" s="99" t="s">
        <v>17</v>
      </c>
      <c r="AB12" s="99" t="s">
        <v>17</v>
      </c>
      <c r="AC12" s="78"/>
      <c r="AD12" s="99" t="s">
        <v>17</v>
      </c>
      <c r="AE12" s="99" t="s">
        <v>17</v>
      </c>
      <c r="AF12" s="99" t="s">
        <v>17</v>
      </c>
      <c r="AG12" s="99" t="s">
        <v>17</v>
      </c>
      <c r="AH12" s="99" t="s">
        <v>17</v>
      </c>
      <c r="AI12" s="99" t="s">
        <v>17</v>
      </c>
      <c r="AJ12" s="4">
        <f>COUNTIF(F12:AI12,"P")</f>
        <v>26</v>
      </c>
      <c r="AK12" s="4">
        <f>COUNTIF(F12:AI12,"A")</f>
        <v>0</v>
      </c>
      <c r="AL12" s="65" t="s">
        <v>9</v>
      </c>
      <c r="AM12" s="4" t="s">
        <v>10</v>
      </c>
      <c r="AN12" s="4" t="s">
        <v>11</v>
      </c>
      <c r="AO12" s="4" t="s">
        <v>12</v>
      </c>
    </row>
    <row r="13" spans="1:41" ht="16.5">
      <c r="A13" s="6">
        <v>9</v>
      </c>
      <c r="B13" s="89">
        <v>872</v>
      </c>
      <c r="C13" s="89" t="s">
        <v>160</v>
      </c>
      <c r="D13" s="89" t="s">
        <v>137</v>
      </c>
      <c r="E13" s="5" t="s">
        <v>25</v>
      </c>
      <c r="F13" s="99" t="s">
        <v>17</v>
      </c>
      <c r="G13" s="99" t="s">
        <v>17</v>
      </c>
      <c r="H13" s="78"/>
      <c r="I13" s="99" t="s">
        <v>17</v>
      </c>
      <c r="J13" s="99" t="s">
        <v>17</v>
      </c>
      <c r="K13" s="99" t="s">
        <v>17</v>
      </c>
      <c r="L13" s="99" t="s">
        <v>17</v>
      </c>
      <c r="M13" s="99" t="s">
        <v>17</v>
      </c>
      <c r="N13" s="99" t="s">
        <v>17</v>
      </c>
      <c r="O13" s="78"/>
      <c r="P13" s="99" t="s">
        <v>17</v>
      </c>
      <c r="Q13" s="99" t="s">
        <v>17</v>
      </c>
      <c r="R13" s="99" t="s">
        <v>17</v>
      </c>
      <c r="S13" s="99" t="s">
        <v>17</v>
      </c>
      <c r="T13" s="99" t="s">
        <v>17</v>
      </c>
      <c r="U13" s="99" t="s">
        <v>17</v>
      </c>
      <c r="V13" s="78"/>
      <c r="W13" s="99" t="s">
        <v>17</v>
      </c>
      <c r="X13" s="99" t="s">
        <v>17</v>
      </c>
      <c r="Y13" s="99" t="s">
        <v>17</v>
      </c>
      <c r="Z13" s="99" t="s">
        <v>17</v>
      </c>
      <c r="AA13" s="99" t="s">
        <v>17</v>
      </c>
      <c r="AB13" s="99" t="s">
        <v>17</v>
      </c>
      <c r="AC13" s="78"/>
      <c r="AD13" s="99" t="s">
        <v>17</v>
      </c>
      <c r="AE13" s="99" t="s">
        <v>17</v>
      </c>
      <c r="AF13" s="99" t="s">
        <v>17</v>
      </c>
      <c r="AG13" s="99" t="s">
        <v>17</v>
      </c>
      <c r="AH13" s="99" t="s">
        <v>17</v>
      </c>
      <c r="AI13" s="99" t="s">
        <v>17</v>
      </c>
      <c r="AJ13" s="4">
        <f>COUNTIF(F13:AI13,"P")</f>
        <v>26</v>
      </c>
      <c r="AK13" s="4">
        <f>COUNTIF(F13:AI13,"A")</f>
        <v>0</v>
      </c>
      <c r="AL13" s="65" t="s">
        <v>13</v>
      </c>
      <c r="AM13" s="6">
        <f>27*$AM$5</f>
        <v>648</v>
      </c>
      <c r="AN13" s="6">
        <f>27*$AM$5</f>
        <v>648</v>
      </c>
      <c r="AO13" s="6">
        <f>SUM(AM13:AN13)</f>
        <v>1296</v>
      </c>
    </row>
    <row r="14" spans="1:41" ht="16.5">
      <c r="A14" s="6">
        <v>10</v>
      </c>
      <c r="B14" s="92">
        <v>830</v>
      </c>
      <c r="C14" s="92" t="s">
        <v>161</v>
      </c>
      <c r="D14" s="92" t="s">
        <v>162</v>
      </c>
      <c r="E14" s="5" t="s">
        <v>25</v>
      </c>
      <c r="F14" s="99" t="s">
        <v>17</v>
      </c>
      <c r="G14" s="99" t="s">
        <v>17</v>
      </c>
      <c r="H14" s="78"/>
      <c r="I14" s="99" t="s">
        <v>17</v>
      </c>
      <c r="J14" s="99" t="s">
        <v>17</v>
      </c>
      <c r="K14" s="99" t="s">
        <v>17</v>
      </c>
      <c r="L14" s="99" t="s">
        <v>17</v>
      </c>
      <c r="M14" s="99" t="s">
        <v>17</v>
      </c>
      <c r="N14" s="99" t="s">
        <v>17</v>
      </c>
      <c r="O14" s="78"/>
      <c r="P14" s="99" t="s">
        <v>17</v>
      </c>
      <c r="Q14" s="99" t="s">
        <v>17</v>
      </c>
      <c r="R14" s="99" t="s">
        <v>17</v>
      </c>
      <c r="S14" s="99" t="s">
        <v>17</v>
      </c>
      <c r="T14" s="99" t="s">
        <v>17</v>
      </c>
      <c r="U14" s="99" t="s">
        <v>17</v>
      </c>
      <c r="V14" s="78"/>
      <c r="W14" s="99" t="s">
        <v>17</v>
      </c>
      <c r="X14" s="99" t="s">
        <v>17</v>
      </c>
      <c r="Y14" s="99" t="s">
        <v>17</v>
      </c>
      <c r="Z14" s="99" t="s">
        <v>17</v>
      </c>
      <c r="AA14" s="99" t="s">
        <v>17</v>
      </c>
      <c r="AB14" s="99" t="s">
        <v>17</v>
      </c>
      <c r="AC14" s="78"/>
      <c r="AD14" s="99" t="s">
        <v>17</v>
      </c>
      <c r="AE14" s="99" t="s">
        <v>17</v>
      </c>
      <c r="AF14" s="99" t="s">
        <v>17</v>
      </c>
      <c r="AG14" s="99" t="s">
        <v>17</v>
      </c>
      <c r="AH14" s="99" t="s">
        <v>17</v>
      </c>
      <c r="AI14" s="99" t="s">
        <v>17</v>
      </c>
      <c r="AJ14" s="4">
        <f>COUNTIF(F14:AI14,"P")</f>
        <v>26</v>
      </c>
      <c r="AK14" s="4">
        <f>COUNTIF(F14:AI14,"A")</f>
        <v>0</v>
      </c>
      <c r="AL14" s="65" t="s">
        <v>14</v>
      </c>
      <c r="AM14" s="6" t="e">
        <f>SUM(AJ6,AJ9,AJ11,AJ13,AJ16,#REF!,#REF!,#REF!,#REF!,#REF!,#REF!,#REF!,#REF!,#REF!,#REF!,#REF!,#REF!,#REF!,#REF!,#REF!,#REF!,#REF!,#REF!,#REF!,#REF!,#REF!,#REF!)</f>
        <v>#REF!</v>
      </c>
      <c r="AN14" s="6" t="e">
        <f>SUM(AJ5,AJ7,AJ8,AJ10,AJ12,AJ14,AJ15,AJ17,AJ18,#REF!,#REF!,#REF!,#REF!,#REF!,#REF!,#REF!,#REF!,#REF!,#REF!,#REF!,#REF!,#REF!,#REF!,#REF!,#REF!,#REF!,#REF!)</f>
        <v>#REF!</v>
      </c>
      <c r="AO14" s="6" t="e">
        <f>AM14+AN14</f>
        <v>#REF!</v>
      </c>
    </row>
    <row r="15" spans="1:41" ht="16.5">
      <c r="A15" s="6">
        <v>11</v>
      </c>
      <c r="B15" s="92">
        <v>841</v>
      </c>
      <c r="C15" s="92" t="s">
        <v>163</v>
      </c>
      <c r="D15" s="92" t="s">
        <v>164</v>
      </c>
      <c r="E15" s="5" t="s">
        <v>25</v>
      </c>
      <c r="F15" s="99" t="s">
        <v>17</v>
      </c>
      <c r="G15" s="99" t="s">
        <v>17</v>
      </c>
      <c r="H15" s="78"/>
      <c r="I15" s="99" t="s">
        <v>17</v>
      </c>
      <c r="J15" s="99" t="s">
        <v>17</v>
      </c>
      <c r="K15" s="99" t="s">
        <v>17</v>
      </c>
      <c r="L15" s="99" t="s">
        <v>17</v>
      </c>
      <c r="M15" s="99" t="s">
        <v>17</v>
      </c>
      <c r="N15" s="99" t="s">
        <v>17</v>
      </c>
      <c r="O15" s="78"/>
      <c r="P15" s="99" t="s">
        <v>17</v>
      </c>
      <c r="Q15" s="99" t="s">
        <v>17</v>
      </c>
      <c r="R15" s="99" t="s">
        <v>17</v>
      </c>
      <c r="S15" s="99" t="s">
        <v>17</v>
      </c>
      <c r="T15" s="99" t="s">
        <v>17</v>
      </c>
      <c r="U15" s="99" t="s">
        <v>17</v>
      </c>
      <c r="V15" s="78"/>
      <c r="W15" s="99" t="s">
        <v>17</v>
      </c>
      <c r="X15" s="99" t="s">
        <v>17</v>
      </c>
      <c r="Y15" s="99" t="s">
        <v>17</v>
      </c>
      <c r="Z15" s="99" t="s">
        <v>17</v>
      </c>
      <c r="AA15" s="99" t="s">
        <v>17</v>
      </c>
      <c r="AB15" s="99" t="s">
        <v>17</v>
      </c>
      <c r="AC15" s="78"/>
      <c r="AD15" s="99" t="s">
        <v>17</v>
      </c>
      <c r="AE15" s="99" t="s">
        <v>17</v>
      </c>
      <c r="AF15" s="99" t="s">
        <v>17</v>
      </c>
      <c r="AG15" s="99" t="s">
        <v>17</v>
      </c>
      <c r="AH15" s="99" t="s">
        <v>17</v>
      </c>
      <c r="AI15" s="99" t="s">
        <v>17</v>
      </c>
      <c r="AJ15" s="4">
        <f>COUNTIF(F15:AI15,"P")</f>
        <v>26</v>
      </c>
      <c r="AK15" s="4">
        <f>COUNTIF(F15:AI15,"A")</f>
        <v>0</v>
      </c>
      <c r="AL15" s="65" t="s">
        <v>15</v>
      </c>
      <c r="AM15" s="8" t="e">
        <f>AM14/AM13</f>
        <v>#REF!</v>
      </c>
      <c r="AN15" s="8" t="e">
        <f>AN14/AN13</f>
        <v>#REF!</v>
      </c>
      <c r="AO15" s="8" t="e">
        <f>AO14/AO13</f>
        <v>#REF!</v>
      </c>
    </row>
    <row r="16" spans="1:41" ht="16.5">
      <c r="A16" s="6">
        <v>12</v>
      </c>
      <c r="B16" s="92">
        <v>874</v>
      </c>
      <c r="C16" s="92" t="s">
        <v>165</v>
      </c>
      <c r="D16" s="92" t="s">
        <v>103</v>
      </c>
      <c r="E16" s="5" t="s">
        <v>25</v>
      </c>
      <c r="F16" s="99" t="s">
        <v>17</v>
      </c>
      <c r="G16" s="99" t="s">
        <v>17</v>
      </c>
      <c r="H16" s="78"/>
      <c r="I16" s="99" t="s">
        <v>17</v>
      </c>
      <c r="J16" s="99" t="s">
        <v>17</v>
      </c>
      <c r="K16" s="99" t="s">
        <v>17</v>
      </c>
      <c r="L16" s="99" t="s">
        <v>17</v>
      </c>
      <c r="M16" s="99" t="s">
        <v>17</v>
      </c>
      <c r="N16" s="99" t="s">
        <v>17</v>
      </c>
      <c r="O16" s="78"/>
      <c r="P16" s="99" t="s">
        <v>17</v>
      </c>
      <c r="Q16" s="99" t="s">
        <v>17</v>
      </c>
      <c r="R16" s="99" t="s">
        <v>17</v>
      </c>
      <c r="S16" s="99" t="s">
        <v>17</v>
      </c>
      <c r="T16" s="99" t="s">
        <v>17</v>
      </c>
      <c r="U16" s="99" t="s">
        <v>17</v>
      </c>
      <c r="V16" s="78"/>
      <c r="W16" s="99" t="s">
        <v>17</v>
      </c>
      <c r="X16" s="99" t="s">
        <v>17</v>
      </c>
      <c r="Y16" s="99" t="s">
        <v>17</v>
      </c>
      <c r="Z16" s="99" t="s">
        <v>17</v>
      </c>
      <c r="AA16" s="99" t="s">
        <v>17</v>
      </c>
      <c r="AB16" s="99" t="s">
        <v>17</v>
      </c>
      <c r="AC16" s="78"/>
      <c r="AD16" s="99" t="s">
        <v>17</v>
      </c>
      <c r="AE16" s="99" t="s">
        <v>17</v>
      </c>
      <c r="AF16" s="99" t="s">
        <v>17</v>
      </c>
      <c r="AG16" s="99" t="s">
        <v>17</v>
      </c>
      <c r="AH16" s="99" t="s">
        <v>17</v>
      </c>
      <c r="AI16" s="99" t="s">
        <v>17</v>
      </c>
      <c r="AJ16" s="4">
        <f>COUNTIF(F16:AI16,"P")</f>
        <v>26</v>
      </c>
      <c r="AK16" s="4">
        <f>COUNTIF(F16:AI16,"A")</f>
        <v>0</v>
      </c>
      <c r="AL16"/>
      <c r="AM16"/>
      <c r="AN16"/>
      <c r="AO16"/>
    </row>
    <row r="17" spans="1:41" ht="16.5">
      <c r="A17" s="6">
        <v>13</v>
      </c>
      <c r="B17" s="89">
        <v>884</v>
      </c>
      <c r="C17" s="89" t="s">
        <v>57</v>
      </c>
      <c r="D17" s="89" t="s">
        <v>101</v>
      </c>
      <c r="E17" s="5" t="s">
        <v>25</v>
      </c>
      <c r="F17" s="99" t="s">
        <v>17</v>
      </c>
      <c r="G17" s="99" t="s">
        <v>17</v>
      </c>
      <c r="H17" s="78"/>
      <c r="I17" s="99" t="s">
        <v>17</v>
      </c>
      <c r="J17" s="99" t="s">
        <v>17</v>
      </c>
      <c r="K17" s="99" t="s">
        <v>17</v>
      </c>
      <c r="L17" s="99" t="s">
        <v>17</v>
      </c>
      <c r="M17" s="99" t="s">
        <v>17</v>
      </c>
      <c r="N17" s="99" t="s">
        <v>17</v>
      </c>
      <c r="O17" s="78"/>
      <c r="P17" s="99" t="s">
        <v>17</v>
      </c>
      <c r="Q17" s="99" t="s">
        <v>17</v>
      </c>
      <c r="R17" s="99" t="s">
        <v>17</v>
      </c>
      <c r="S17" s="99" t="s">
        <v>17</v>
      </c>
      <c r="T17" s="99" t="s">
        <v>17</v>
      </c>
      <c r="U17" s="99" t="s">
        <v>17</v>
      </c>
      <c r="V17" s="78"/>
      <c r="W17" s="99" t="s">
        <v>17</v>
      </c>
      <c r="X17" s="99" t="s">
        <v>17</v>
      </c>
      <c r="Y17" s="99" t="s">
        <v>17</v>
      </c>
      <c r="Z17" s="99" t="s">
        <v>17</v>
      </c>
      <c r="AA17" s="99" t="s">
        <v>17</v>
      </c>
      <c r="AB17" s="99" t="s">
        <v>17</v>
      </c>
      <c r="AC17" s="78"/>
      <c r="AD17" s="99" t="s">
        <v>17</v>
      </c>
      <c r="AE17" s="99" t="s">
        <v>17</v>
      </c>
      <c r="AF17" s="99" t="s">
        <v>17</v>
      </c>
      <c r="AG17" s="99" t="s">
        <v>17</v>
      </c>
      <c r="AH17" s="99" t="s">
        <v>17</v>
      </c>
      <c r="AI17" s="99" t="s">
        <v>17</v>
      </c>
      <c r="AJ17" s="4">
        <f>COUNTIF(F17:AI17,"P")</f>
        <v>26</v>
      </c>
      <c r="AK17" s="4">
        <f>COUNTIF(F17:AI17,"A")</f>
        <v>0</v>
      </c>
      <c r="AL17"/>
      <c r="AM17"/>
      <c r="AN17"/>
      <c r="AO17"/>
    </row>
    <row r="18" spans="1:41" ht="16.5">
      <c r="A18" s="6">
        <v>14</v>
      </c>
      <c r="B18" s="89">
        <v>900</v>
      </c>
      <c r="C18" s="89" t="s">
        <v>166</v>
      </c>
      <c r="D18" s="89" t="s">
        <v>167</v>
      </c>
      <c r="E18" s="5" t="s">
        <v>25</v>
      </c>
      <c r="F18" s="99" t="s">
        <v>17</v>
      </c>
      <c r="G18" s="99" t="s">
        <v>17</v>
      </c>
      <c r="H18" s="78"/>
      <c r="I18" s="99" t="s">
        <v>17</v>
      </c>
      <c r="J18" s="99" t="s">
        <v>17</v>
      </c>
      <c r="K18" s="99" t="s">
        <v>17</v>
      </c>
      <c r="L18" s="99" t="s">
        <v>17</v>
      </c>
      <c r="M18" s="99" t="s">
        <v>17</v>
      </c>
      <c r="N18" s="99" t="s">
        <v>17</v>
      </c>
      <c r="O18" s="78"/>
      <c r="P18" s="99" t="s">
        <v>17</v>
      </c>
      <c r="Q18" s="99" t="s">
        <v>17</v>
      </c>
      <c r="R18" s="99" t="s">
        <v>17</v>
      </c>
      <c r="S18" s="99" t="s">
        <v>17</v>
      </c>
      <c r="T18" s="99" t="s">
        <v>17</v>
      </c>
      <c r="U18" s="99" t="s">
        <v>17</v>
      </c>
      <c r="V18" s="78"/>
      <c r="W18" s="99" t="s">
        <v>17</v>
      </c>
      <c r="X18" s="99" t="s">
        <v>17</v>
      </c>
      <c r="Y18" s="99" t="s">
        <v>17</v>
      </c>
      <c r="Z18" s="99" t="s">
        <v>17</v>
      </c>
      <c r="AA18" s="99" t="s">
        <v>17</v>
      </c>
      <c r="AB18" s="99" t="s">
        <v>17</v>
      </c>
      <c r="AC18" s="78"/>
      <c r="AD18" s="99" t="s">
        <v>17</v>
      </c>
      <c r="AE18" s="99" t="s">
        <v>17</v>
      </c>
      <c r="AF18" s="99" t="s">
        <v>17</v>
      </c>
      <c r="AG18" s="99" t="s">
        <v>17</v>
      </c>
      <c r="AH18" s="99" t="s">
        <v>17</v>
      </c>
      <c r="AI18" s="99" t="s">
        <v>17</v>
      </c>
      <c r="AJ18" s="4">
        <f>COUNTIF(F18:AI18,"P")</f>
        <v>26</v>
      </c>
      <c r="AK18" s="4">
        <f>COUNTIF(F18:AI18,"A")</f>
        <v>0</v>
      </c>
      <c r="AL18"/>
      <c r="AM18"/>
      <c r="AN18"/>
      <c r="AO18"/>
    </row>
  </sheetData>
  <mergeCells count="15">
    <mergeCell ref="AJ3:AJ4"/>
    <mergeCell ref="AK3:AK4"/>
    <mergeCell ref="AL3:AM3"/>
    <mergeCell ref="H5:H18"/>
    <mergeCell ref="O5:O18"/>
    <mergeCell ref="V5:V18"/>
    <mergeCell ref="AC5:AC18"/>
    <mergeCell ref="AL11:AO11"/>
    <mergeCell ref="A1:AI1"/>
    <mergeCell ref="A2:AI2"/>
    <mergeCell ref="A3:A4"/>
    <mergeCell ref="B3:B4"/>
    <mergeCell ref="C3:C4"/>
    <mergeCell ref="D3:D4"/>
    <mergeCell ref="E3:E4"/>
  </mergeCells>
  <conditionalFormatting sqref="F5:G18 I5:I18">
    <cfRule type="cellIs" dxfId="666" priority="153" operator="equal">
      <formula>"L"</formula>
    </cfRule>
    <cfRule type="expression" dxfId="665" priority="154">
      <formula>F$4=TODAY()</formula>
    </cfRule>
    <cfRule type="cellIs" dxfId="664" priority="155" operator="equal">
      <formula>"A"</formula>
    </cfRule>
    <cfRule type="cellIs" dxfId="663" priority="156" operator="equal">
      <formula>"P"</formula>
    </cfRule>
    <cfRule type="expression" dxfId="662" priority="157">
      <formula>F$3="Sun"</formula>
    </cfRule>
  </conditionalFormatting>
  <conditionalFormatting sqref="F3:AI4">
    <cfRule type="expression" dxfId="661" priority="158">
      <formula>F$4=TODAY()</formula>
    </cfRule>
    <cfRule type="expression" dxfId="660" priority="159">
      <formula>F$3="Sun"</formula>
    </cfRule>
  </conditionalFormatting>
  <conditionalFormatting sqref="AJ3:AK3 AJ5:AK18">
    <cfRule type="expression" dxfId="659" priority="160">
      <formula>#REF!="Sun"</formula>
    </cfRule>
  </conditionalFormatting>
  <conditionalFormatting sqref="AL5:AL9">
    <cfRule type="expression" dxfId="658" priority="164">
      <formula>AL$3="Sun"</formula>
    </cfRule>
  </conditionalFormatting>
  <conditionalFormatting sqref="AL12:AL15">
    <cfRule type="expression" dxfId="657" priority="162">
      <formula>AL$3="Sun"</formula>
    </cfRule>
  </conditionalFormatting>
  <conditionalFormatting sqref="AL4:AM4">
    <cfRule type="expression" dxfId="655" priority="165">
      <formula>AL$3="Sun"</formula>
    </cfRule>
  </conditionalFormatting>
  <conditionalFormatting sqref="AM12:AO12">
    <cfRule type="expression" dxfId="654" priority="166">
      <formula>AM$3="Sun"</formula>
    </cfRule>
  </conditionalFormatting>
  <conditionalFormatting sqref="K5:K18">
    <cfRule type="cellIs" dxfId="652" priority="148" operator="equal">
      <formula>"L"</formula>
    </cfRule>
    <cfRule type="expression" dxfId="651" priority="149">
      <formula>K$4=TODAY()</formula>
    </cfRule>
    <cfRule type="cellIs" dxfId="650" priority="150" operator="equal">
      <formula>"A"</formula>
    </cfRule>
    <cfRule type="cellIs" dxfId="649" priority="151" operator="equal">
      <formula>"P"</formula>
    </cfRule>
    <cfRule type="expression" dxfId="648" priority="152">
      <formula>K$3="Sun"</formula>
    </cfRule>
  </conditionalFormatting>
  <conditionalFormatting sqref="J5:J18">
    <cfRule type="cellIs" dxfId="647" priority="143" operator="equal">
      <formula>"L"</formula>
    </cfRule>
    <cfRule type="expression" dxfId="646" priority="144">
      <formula>J$4=TODAY()</formula>
    </cfRule>
    <cfRule type="cellIs" dxfId="645" priority="145" operator="equal">
      <formula>"A"</formula>
    </cfRule>
    <cfRule type="cellIs" dxfId="644" priority="146" operator="equal">
      <formula>"P"</formula>
    </cfRule>
    <cfRule type="expression" dxfId="643" priority="147">
      <formula>J$3="Sun"</formula>
    </cfRule>
  </conditionalFormatting>
  <conditionalFormatting sqref="L5:L18">
    <cfRule type="cellIs" dxfId="642" priority="138" operator="equal">
      <formula>"L"</formula>
    </cfRule>
    <cfRule type="expression" dxfId="641" priority="139">
      <formula>L$4=TODAY()</formula>
    </cfRule>
    <cfRule type="cellIs" dxfId="640" priority="140" operator="equal">
      <formula>"A"</formula>
    </cfRule>
    <cfRule type="cellIs" dxfId="639" priority="141" operator="equal">
      <formula>"P"</formula>
    </cfRule>
    <cfRule type="expression" dxfId="638" priority="142">
      <formula>L$3="Sun"</formula>
    </cfRule>
  </conditionalFormatting>
  <conditionalFormatting sqref="M5:M18">
    <cfRule type="cellIs" dxfId="637" priority="133" operator="equal">
      <formula>"L"</formula>
    </cfRule>
    <cfRule type="expression" dxfId="636" priority="134">
      <formula>M$4=TODAY()</formula>
    </cfRule>
    <cfRule type="cellIs" dxfId="635" priority="135" operator="equal">
      <formula>"A"</formula>
    </cfRule>
    <cfRule type="cellIs" dxfId="634" priority="136" operator="equal">
      <formula>"P"</formula>
    </cfRule>
    <cfRule type="expression" dxfId="633" priority="137">
      <formula>M$3="Sun"</formula>
    </cfRule>
  </conditionalFormatting>
  <conditionalFormatting sqref="N5:N18">
    <cfRule type="cellIs" dxfId="632" priority="128" operator="equal">
      <formula>"L"</formula>
    </cfRule>
    <cfRule type="expression" dxfId="631" priority="129">
      <formula>N$4=TODAY()</formula>
    </cfRule>
    <cfRule type="cellIs" dxfId="630" priority="130" operator="equal">
      <formula>"A"</formula>
    </cfRule>
    <cfRule type="cellIs" dxfId="629" priority="131" operator="equal">
      <formula>"P"</formula>
    </cfRule>
    <cfRule type="expression" dxfId="628" priority="132">
      <formula>N$3="Sun"</formula>
    </cfRule>
  </conditionalFormatting>
  <conditionalFormatting sqref="P5:P18">
    <cfRule type="cellIs" dxfId="627" priority="123" operator="equal">
      <formula>"L"</formula>
    </cfRule>
    <cfRule type="expression" dxfId="626" priority="124">
      <formula>P$4=TODAY()</formula>
    </cfRule>
    <cfRule type="cellIs" dxfId="625" priority="125" operator="equal">
      <formula>"A"</formula>
    </cfRule>
    <cfRule type="cellIs" dxfId="624" priority="126" operator="equal">
      <formula>"P"</formula>
    </cfRule>
    <cfRule type="expression" dxfId="623" priority="127">
      <formula>P$3="Sun"</formula>
    </cfRule>
  </conditionalFormatting>
  <conditionalFormatting sqref="Q5:Q18">
    <cfRule type="cellIs" dxfId="622" priority="118" operator="equal">
      <formula>"L"</formula>
    </cfRule>
    <cfRule type="expression" dxfId="621" priority="119">
      <formula>Q$4=TODAY()</formula>
    </cfRule>
    <cfRule type="cellIs" dxfId="620" priority="120" operator="equal">
      <formula>"A"</formula>
    </cfRule>
    <cfRule type="cellIs" dxfId="619" priority="121" operator="equal">
      <formula>"P"</formula>
    </cfRule>
    <cfRule type="expression" dxfId="618" priority="122">
      <formula>Q$3="Sun"</formula>
    </cfRule>
  </conditionalFormatting>
  <conditionalFormatting sqref="R5:R18">
    <cfRule type="cellIs" dxfId="617" priority="113" operator="equal">
      <formula>"L"</formula>
    </cfRule>
    <cfRule type="expression" dxfId="616" priority="114">
      <formula>R$4=TODAY()</formula>
    </cfRule>
    <cfRule type="cellIs" dxfId="615" priority="115" operator="equal">
      <formula>"A"</formula>
    </cfRule>
    <cfRule type="cellIs" dxfId="614" priority="116" operator="equal">
      <formula>"P"</formula>
    </cfRule>
    <cfRule type="expression" dxfId="613" priority="117">
      <formula>R$3="Sun"</formula>
    </cfRule>
  </conditionalFormatting>
  <conditionalFormatting sqref="S5:S18">
    <cfRule type="cellIs" dxfId="612" priority="108" operator="equal">
      <formula>"L"</formula>
    </cfRule>
    <cfRule type="expression" dxfId="611" priority="109">
      <formula>S$4=TODAY()</formula>
    </cfRule>
    <cfRule type="cellIs" dxfId="610" priority="110" operator="equal">
      <formula>"A"</formula>
    </cfRule>
    <cfRule type="cellIs" dxfId="609" priority="111" operator="equal">
      <formula>"P"</formula>
    </cfRule>
    <cfRule type="expression" dxfId="608" priority="112">
      <formula>S$3="Sun"</formula>
    </cfRule>
  </conditionalFormatting>
  <conditionalFormatting sqref="T5:T18">
    <cfRule type="cellIs" dxfId="607" priority="103" operator="equal">
      <formula>"L"</formula>
    </cfRule>
    <cfRule type="expression" dxfId="606" priority="104">
      <formula>T$4=TODAY()</formula>
    </cfRule>
    <cfRule type="cellIs" dxfId="605" priority="105" operator="equal">
      <formula>"A"</formula>
    </cfRule>
    <cfRule type="cellIs" dxfId="604" priority="106" operator="equal">
      <formula>"P"</formula>
    </cfRule>
    <cfRule type="expression" dxfId="603" priority="107">
      <formula>T$3="Sun"</formula>
    </cfRule>
  </conditionalFormatting>
  <conditionalFormatting sqref="U5:U18">
    <cfRule type="cellIs" dxfId="602" priority="98" operator="equal">
      <formula>"L"</formula>
    </cfRule>
    <cfRule type="expression" dxfId="601" priority="99">
      <formula>U$4=TODAY()</formula>
    </cfRule>
    <cfRule type="cellIs" dxfId="600" priority="100" operator="equal">
      <formula>"A"</formula>
    </cfRule>
    <cfRule type="cellIs" dxfId="599" priority="101" operator="equal">
      <formula>"P"</formula>
    </cfRule>
    <cfRule type="expression" dxfId="598" priority="102">
      <formula>U$3="Sun"</formula>
    </cfRule>
  </conditionalFormatting>
  <conditionalFormatting sqref="W5:W18">
    <cfRule type="cellIs" dxfId="597" priority="93" operator="equal">
      <formula>"L"</formula>
    </cfRule>
    <cfRule type="expression" dxfId="596" priority="94">
      <formula>W$4=TODAY()</formula>
    </cfRule>
    <cfRule type="cellIs" dxfId="595" priority="95" operator="equal">
      <formula>"A"</formula>
    </cfRule>
    <cfRule type="cellIs" dxfId="594" priority="96" operator="equal">
      <formula>"P"</formula>
    </cfRule>
    <cfRule type="expression" dxfId="593" priority="97">
      <formula>W$3="Sun"</formula>
    </cfRule>
  </conditionalFormatting>
  <conditionalFormatting sqref="X5:X18">
    <cfRule type="cellIs" dxfId="592" priority="88" operator="equal">
      <formula>"L"</formula>
    </cfRule>
    <cfRule type="expression" dxfId="591" priority="89">
      <formula>X$4=TODAY()</formula>
    </cfRule>
    <cfRule type="cellIs" dxfId="590" priority="90" operator="equal">
      <formula>"A"</formula>
    </cfRule>
    <cfRule type="cellIs" dxfId="589" priority="91" operator="equal">
      <formula>"P"</formula>
    </cfRule>
    <cfRule type="expression" dxfId="588" priority="92">
      <formula>X$3="Sun"</formula>
    </cfRule>
  </conditionalFormatting>
  <conditionalFormatting sqref="Y5:Y18">
    <cfRule type="cellIs" dxfId="587" priority="83" operator="equal">
      <formula>"L"</formula>
    </cfRule>
    <cfRule type="expression" dxfId="586" priority="84">
      <formula>Y$4=TODAY()</formula>
    </cfRule>
    <cfRule type="cellIs" dxfId="585" priority="85" operator="equal">
      <formula>"A"</formula>
    </cfRule>
    <cfRule type="cellIs" dxfId="584" priority="86" operator="equal">
      <formula>"P"</formula>
    </cfRule>
    <cfRule type="expression" dxfId="583" priority="87">
      <formula>Y$3="Sun"</formula>
    </cfRule>
  </conditionalFormatting>
  <conditionalFormatting sqref="Z5:Z18">
    <cfRule type="cellIs" dxfId="582" priority="78" operator="equal">
      <formula>"L"</formula>
    </cfRule>
    <cfRule type="expression" dxfId="581" priority="79">
      <formula>Z$4=TODAY()</formula>
    </cfRule>
    <cfRule type="cellIs" dxfId="580" priority="80" operator="equal">
      <formula>"A"</formula>
    </cfRule>
    <cfRule type="cellIs" dxfId="579" priority="81" operator="equal">
      <formula>"P"</formula>
    </cfRule>
    <cfRule type="expression" dxfId="578" priority="82">
      <formula>Z$3="Sun"</formula>
    </cfRule>
  </conditionalFormatting>
  <conditionalFormatting sqref="AA5:AA18">
    <cfRule type="cellIs" dxfId="577" priority="73" operator="equal">
      <formula>"L"</formula>
    </cfRule>
    <cfRule type="expression" dxfId="576" priority="74">
      <formula>AA$4=TODAY()</formula>
    </cfRule>
    <cfRule type="cellIs" dxfId="575" priority="75" operator="equal">
      <formula>"A"</formula>
    </cfRule>
    <cfRule type="cellIs" dxfId="574" priority="76" operator="equal">
      <formula>"P"</formula>
    </cfRule>
    <cfRule type="expression" dxfId="573" priority="77">
      <formula>AA$3="Sun"</formula>
    </cfRule>
  </conditionalFormatting>
  <conditionalFormatting sqref="AB5:AB18">
    <cfRule type="cellIs" dxfId="572" priority="68" operator="equal">
      <formula>"L"</formula>
    </cfRule>
    <cfRule type="expression" dxfId="571" priority="69">
      <formula>AB$4=TODAY()</formula>
    </cfRule>
    <cfRule type="cellIs" dxfId="570" priority="70" operator="equal">
      <formula>"A"</formula>
    </cfRule>
    <cfRule type="cellIs" dxfId="569" priority="71" operator="equal">
      <formula>"P"</formula>
    </cfRule>
    <cfRule type="expression" dxfId="568" priority="72">
      <formula>AB$3="Sun"</formula>
    </cfRule>
  </conditionalFormatting>
  <conditionalFormatting sqref="AD5:AD18">
    <cfRule type="cellIs" dxfId="567" priority="63" operator="equal">
      <formula>"L"</formula>
    </cfRule>
    <cfRule type="expression" dxfId="566" priority="64">
      <formula>AD$4=TODAY()</formula>
    </cfRule>
    <cfRule type="cellIs" dxfId="565" priority="65" operator="equal">
      <formula>"A"</formula>
    </cfRule>
    <cfRule type="cellIs" dxfId="564" priority="66" operator="equal">
      <formula>"P"</formula>
    </cfRule>
    <cfRule type="expression" dxfId="563" priority="67">
      <formula>AD$3="Sun"</formula>
    </cfRule>
  </conditionalFormatting>
  <conditionalFormatting sqref="AF5:AF18">
    <cfRule type="cellIs" dxfId="562" priority="58" operator="equal">
      <formula>"L"</formula>
    </cfRule>
    <cfRule type="expression" dxfId="561" priority="59">
      <formula>AF$4=TODAY()</formula>
    </cfRule>
    <cfRule type="cellIs" dxfId="560" priority="60" operator="equal">
      <formula>"A"</formula>
    </cfRule>
    <cfRule type="cellIs" dxfId="559" priority="61" operator="equal">
      <formula>"P"</formula>
    </cfRule>
    <cfRule type="expression" dxfId="558" priority="62">
      <formula>AF$3="Sun"</formula>
    </cfRule>
  </conditionalFormatting>
  <conditionalFormatting sqref="AG5:AG18">
    <cfRule type="cellIs" dxfId="557" priority="53" operator="equal">
      <formula>"L"</formula>
    </cfRule>
    <cfRule type="expression" dxfId="556" priority="54">
      <formula>AG$4=TODAY()</formula>
    </cfRule>
    <cfRule type="cellIs" dxfId="555" priority="55" operator="equal">
      <formula>"A"</formula>
    </cfRule>
    <cfRule type="cellIs" dxfId="554" priority="56" operator="equal">
      <formula>"P"</formula>
    </cfRule>
    <cfRule type="expression" dxfId="553" priority="57">
      <formula>AG$3="Sun"</formula>
    </cfRule>
  </conditionalFormatting>
  <conditionalFormatting sqref="AH5:AH18">
    <cfRule type="cellIs" dxfId="552" priority="48" operator="equal">
      <formula>"L"</formula>
    </cfRule>
    <cfRule type="expression" dxfId="551" priority="49">
      <formula>AH$4=TODAY()</formula>
    </cfRule>
    <cfRule type="cellIs" dxfId="550" priority="50" operator="equal">
      <formula>"A"</formula>
    </cfRule>
    <cfRule type="cellIs" dxfId="549" priority="51" operator="equal">
      <formula>"P"</formula>
    </cfRule>
    <cfRule type="expression" dxfId="548" priority="52">
      <formula>AH$3="Sun"</formula>
    </cfRule>
  </conditionalFormatting>
  <conditionalFormatting sqref="AI5:AI18">
    <cfRule type="cellIs" dxfId="547" priority="43" operator="equal">
      <formula>"L"</formula>
    </cfRule>
    <cfRule type="expression" dxfId="546" priority="44">
      <formula>AI$4=TODAY()</formula>
    </cfRule>
    <cfRule type="cellIs" dxfId="545" priority="45" operator="equal">
      <formula>"A"</formula>
    </cfRule>
    <cfRule type="cellIs" dxfId="544" priority="46" operator="equal">
      <formula>"P"</formula>
    </cfRule>
    <cfRule type="expression" dxfId="543" priority="47">
      <formula>AI$3="Sun"</formula>
    </cfRule>
  </conditionalFormatting>
  <conditionalFormatting sqref="H5">
    <cfRule type="cellIs" dxfId="542" priority="38" operator="equal">
      <formula>"L"</formula>
    </cfRule>
    <cfRule type="expression" dxfId="541" priority="39">
      <formula>H$4=TODAY()</formula>
    </cfRule>
    <cfRule type="cellIs" dxfId="540" priority="40" operator="equal">
      <formula>"A"</formula>
    </cfRule>
    <cfRule type="cellIs" dxfId="539" priority="41" operator="equal">
      <formula>"P"</formula>
    </cfRule>
    <cfRule type="expression" dxfId="538" priority="42">
      <formula>H$3="Sun"</formula>
    </cfRule>
  </conditionalFormatting>
  <conditionalFormatting sqref="AE5:AE18">
    <cfRule type="cellIs" dxfId="522" priority="18" operator="equal">
      <formula>"L"</formula>
    </cfRule>
    <cfRule type="expression" dxfId="521" priority="19">
      <formula>AE$4=TODAY()</formula>
    </cfRule>
    <cfRule type="cellIs" dxfId="520" priority="20" operator="equal">
      <formula>"A"</formula>
    </cfRule>
    <cfRule type="cellIs" dxfId="519" priority="21" operator="equal">
      <formula>"P"</formula>
    </cfRule>
    <cfRule type="expression" dxfId="518" priority="22">
      <formula>AE$3="Sun"</formula>
    </cfRule>
  </conditionalFormatting>
  <conditionalFormatting sqref="B5:B18">
    <cfRule type="duplicateValues" dxfId="516" priority="16"/>
  </conditionalFormatting>
  <conditionalFormatting sqref="O5">
    <cfRule type="cellIs" dxfId="515" priority="11" operator="equal">
      <formula>"L"</formula>
    </cfRule>
    <cfRule type="expression" dxfId="514" priority="12">
      <formula>O$4=TODAY()</formula>
    </cfRule>
    <cfRule type="cellIs" dxfId="513" priority="13" operator="equal">
      <formula>"A"</formula>
    </cfRule>
    <cfRule type="cellIs" dxfId="512" priority="14" operator="equal">
      <formula>"P"</formula>
    </cfRule>
    <cfRule type="expression" dxfId="511" priority="15">
      <formula>O$3="Sun"</formula>
    </cfRule>
  </conditionalFormatting>
  <conditionalFormatting sqref="V5">
    <cfRule type="cellIs" dxfId="510" priority="6" operator="equal">
      <formula>"L"</formula>
    </cfRule>
    <cfRule type="expression" dxfId="509" priority="7">
      <formula>V$4=TODAY()</formula>
    </cfRule>
    <cfRule type="cellIs" dxfId="508" priority="8" operator="equal">
      <formula>"A"</formula>
    </cfRule>
    <cfRule type="cellIs" dxfId="507" priority="9" operator="equal">
      <formula>"P"</formula>
    </cfRule>
    <cfRule type="expression" dxfId="506" priority="10">
      <formula>V$3="Sun"</formula>
    </cfRule>
  </conditionalFormatting>
  <conditionalFormatting sqref="AC5">
    <cfRule type="cellIs" dxfId="505" priority="1" operator="equal">
      <formula>"L"</formula>
    </cfRule>
    <cfRule type="expression" dxfId="504" priority="2">
      <formula>AC$4=TODAY()</formula>
    </cfRule>
    <cfRule type="cellIs" dxfId="503" priority="3" operator="equal">
      <formula>"A"</formula>
    </cfRule>
    <cfRule type="cellIs" dxfId="502" priority="4" operator="equal">
      <formula>"P"</formula>
    </cfRule>
    <cfRule type="expression" dxfId="501" priority="5">
      <formula>AC$3="Sun"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007AA-8491-404D-92A5-04AE9AA070C4}">
  <dimension ref="A1:AO17"/>
  <sheetViews>
    <sheetView zoomScale="98" zoomScaleNormal="98" workbookViewId="0">
      <selection activeCell="AC5" sqref="AC5:AC17"/>
    </sheetView>
  </sheetViews>
  <sheetFormatPr defaultColWidth="3.85546875" defaultRowHeight="1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9" width="3.7109375" style="1" bestFit="1" customWidth="1"/>
    <col min="10" max="10" width="3.85546875" style="1"/>
    <col min="11" max="11" width="4.5703125" style="1" bestFit="1" customWidth="1"/>
    <col min="12" max="12" width="3.85546875" style="1"/>
    <col min="13" max="13" width="4.85546875" style="1" customWidth="1"/>
    <col min="14" max="15" width="3.7109375" style="1" bestFit="1" customWidth="1"/>
    <col min="16" max="16" width="3.85546875" style="1"/>
    <col min="17" max="17" width="4.5703125" style="1" bestFit="1" customWidth="1"/>
    <col min="18" max="19" width="4.5703125" style="1" customWidth="1"/>
    <col min="20" max="20" width="4.7109375" style="1" bestFit="1" customWidth="1"/>
    <col min="21" max="22" width="3.7109375" style="1" bestFit="1" customWidth="1"/>
    <col min="23" max="23" width="3.85546875" style="1"/>
    <col min="24" max="24" width="4.5703125" style="1" bestFit="1" customWidth="1"/>
    <col min="25" max="25" width="3.85546875" style="1"/>
    <col min="26" max="26" width="4.7109375" style="1" bestFit="1" customWidth="1"/>
    <col min="27" max="27" width="3.85546875" style="1"/>
    <col min="28" max="29" width="3.7109375" style="1" bestFit="1" customWidth="1"/>
    <col min="30" max="30" width="3.85546875" style="1"/>
    <col min="31" max="31" width="4.5703125" style="1" bestFit="1" customWidth="1"/>
    <col min="32" max="35" width="3.85546875" style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79" t="s">
        <v>59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10"/>
      <c r="AK1" s="10"/>
    </row>
    <row r="2" spans="1:41" ht="17.25">
      <c r="A2" s="80" t="s">
        <v>60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11"/>
      <c r="AK2" s="11"/>
      <c r="AL2" s="11"/>
    </row>
    <row r="3" spans="1:41" ht="15.75">
      <c r="A3" s="81" t="s">
        <v>0</v>
      </c>
      <c r="B3" s="97" t="s">
        <v>111</v>
      </c>
      <c r="C3" s="81" t="s">
        <v>1</v>
      </c>
      <c r="D3" s="81" t="s">
        <v>2</v>
      </c>
      <c r="E3" s="81" t="s">
        <v>3</v>
      </c>
      <c r="F3" s="2" t="str">
        <f>TEXT(F4,"ddd")</f>
        <v>Fri</v>
      </c>
      <c r="G3" s="2" t="str">
        <f t="shared" ref="G3:AI3" si="0">TEXT(G4,"ddd")</f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73" t="s">
        <v>4</v>
      </c>
      <c r="AK3" s="73" t="s">
        <v>5</v>
      </c>
      <c r="AL3" s="74" t="s">
        <v>19</v>
      </c>
      <c r="AM3" s="75"/>
      <c r="AN3" s="3"/>
      <c r="AO3" s="3"/>
    </row>
    <row r="4" spans="1:41" ht="37.5">
      <c r="A4" s="81"/>
      <c r="B4" s="98"/>
      <c r="C4" s="81"/>
      <c r="D4" s="81"/>
      <c r="E4" s="81"/>
      <c r="F4" s="9">
        <v>45597</v>
      </c>
      <c r="G4" s="9">
        <v>45598</v>
      </c>
      <c r="H4" s="9">
        <v>45599</v>
      </c>
      <c r="I4" s="9">
        <v>45600</v>
      </c>
      <c r="J4" s="9">
        <v>45601</v>
      </c>
      <c r="K4" s="9">
        <v>45602</v>
      </c>
      <c r="L4" s="9">
        <v>45603</v>
      </c>
      <c r="M4" s="9">
        <v>45604</v>
      </c>
      <c r="N4" s="9">
        <v>45605</v>
      </c>
      <c r="O4" s="9">
        <v>45606</v>
      </c>
      <c r="P4" s="9">
        <v>45607</v>
      </c>
      <c r="Q4" s="9">
        <v>45608</v>
      </c>
      <c r="R4" s="9">
        <v>45609</v>
      </c>
      <c r="S4" s="9">
        <v>45610</v>
      </c>
      <c r="T4" s="9">
        <v>45611</v>
      </c>
      <c r="U4" s="9">
        <v>45612</v>
      </c>
      <c r="V4" s="9">
        <v>45613</v>
      </c>
      <c r="W4" s="9">
        <v>45614</v>
      </c>
      <c r="X4" s="9">
        <v>45615</v>
      </c>
      <c r="Y4" s="9">
        <v>45616</v>
      </c>
      <c r="Z4" s="9">
        <v>45617</v>
      </c>
      <c r="AA4" s="9">
        <v>45618</v>
      </c>
      <c r="AB4" s="9">
        <v>45619</v>
      </c>
      <c r="AC4" s="9">
        <v>45620</v>
      </c>
      <c r="AD4" s="9">
        <v>45621</v>
      </c>
      <c r="AE4" s="9">
        <v>45622</v>
      </c>
      <c r="AF4" s="9">
        <v>45623</v>
      </c>
      <c r="AG4" s="9">
        <v>45624</v>
      </c>
      <c r="AH4" s="9">
        <v>45625</v>
      </c>
      <c r="AI4" s="9">
        <v>45626</v>
      </c>
      <c r="AJ4" s="73"/>
      <c r="AK4" s="73"/>
      <c r="AL4" s="4" t="s">
        <v>20</v>
      </c>
      <c r="AM4" s="4">
        <f>SUM(AM5:AM8)</f>
        <v>30</v>
      </c>
      <c r="AN4" s="3"/>
      <c r="AO4" s="3"/>
    </row>
    <row r="5" spans="1:41" ht="15" customHeight="1">
      <c r="A5" s="6">
        <v>1</v>
      </c>
      <c r="B5" s="88">
        <v>926</v>
      </c>
      <c r="C5" s="83" t="s">
        <v>168</v>
      </c>
      <c r="D5" s="83" t="s">
        <v>169</v>
      </c>
      <c r="E5" s="5" t="s">
        <v>27</v>
      </c>
      <c r="F5" s="99" t="s">
        <v>17</v>
      </c>
      <c r="G5" s="99" t="s">
        <v>17</v>
      </c>
      <c r="H5" s="77" t="s">
        <v>194</v>
      </c>
      <c r="I5" s="99" t="s">
        <v>17</v>
      </c>
      <c r="J5" s="99" t="s">
        <v>17</v>
      </c>
      <c r="K5" s="99" t="s">
        <v>17</v>
      </c>
      <c r="L5" s="99" t="s">
        <v>17</v>
      </c>
      <c r="M5" s="99" t="s">
        <v>17</v>
      </c>
      <c r="N5" s="99" t="s">
        <v>17</v>
      </c>
      <c r="O5" s="77" t="s">
        <v>194</v>
      </c>
      <c r="P5" s="99" t="s">
        <v>17</v>
      </c>
      <c r="Q5" s="99" t="s">
        <v>17</v>
      </c>
      <c r="R5" s="99" t="s">
        <v>17</v>
      </c>
      <c r="S5" s="99" t="s">
        <v>17</v>
      </c>
      <c r="T5" s="99" t="s">
        <v>17</v>
      </c>
      <c r="U5" s="99" t="s">
        <v>17</v>
      </c>
      <c r="V5" s="77" t="s">
        <v>194</v>
      </c>
      <c r="W5" s="99" t="s">
        <v>17</v>
      </c>
      <c r="X5" s="99" t="s">
        <v>17</v>
      </c>
      <c r="Y5" s="99" t="s">
        <v>17</v>
      </c>
      <c r="Z5" s="99" t="s">
        <v>17</v>
      </c>
      <c r="AA5" s="99" t="s">
        <v>17</v>
      </c>
      <c r="AB5" s="99" t="s">
        <v>17</v>
      </c>
      <c r="AC5" s="77" t="s">
        <v>194</v>
      </c>
      <c r="AD5" s="99" t="s">
        <v>17</v>
      </c>
      <c r="AE5" s="99" t="s">
        <v>17</v>
      </c>
      <c r="AF5" s="99" t="s">
        <v>17</v>
      </c>
      <c r="AG5" s="99" t="s">
        <v>17</v>
      </c>
      <c r="AH5" s="99" t="s">
        <v>17</v>
      </c>
      <c r="AI5" s="99" t="s">
        <v>17</v>
      </c>
      <c r="AJ5" s="4">
        <f>COUNTIF(F5:AI5,"P")</f>
        <v>26</v>
      </c>
      <c r="AK5" s="4">
        <f>COUNTIF(F5:AI5,"A")</f>
        <v>0</v>
      </c>
      <c r="AL5" s="65" t="s">
        <v>6</v>
      </c>
      <c r="AM5" s="6">
        <v>24</v>
      </c>
      <c r="AN5" s="7"/>
      <c r="AO5" s="3"/>
    </row>
    <row r="6" spans="1:41" ht="16.5">
      <c r="A6" s="6">
        <v>2</v>
      </c>
      <c r="B6" s="85">
        <v>936</v>
      </c>
      <c r="C6" s="83" t="s">
        <v>170</v>
      </c>
      <c r="D6" s="83" t="s">
        <v>171</v>
      </c>
      <c r="E6" s="5" t="s">
        <v>27</v>
      </c>
      <c r="F6" s="99" t="s">
        <v>17</v>
      </c>
      <c r="G6" s="99" t="s">
        <v>17</v>
      </c>
      <c r="H6" s="78"/>
      <c r="I6" s="99" t="s">
        <v>17</v>
      </c>
      <c r="J6" s="99" t="s">
        <v>17</v>
      </c>
      <c r="K6" s="99" t="s">
        <v>17</v>
      </c>
      <c r="L6" s="99" t="s">
        <v>17</v>
      </c>
      <c r="M6" s="99" t="s">
        <v>17</v>
      </c>
      <c r="N6" s="99" t="s">
        <v>17</v>
      </c>
      <c r="O6" s="78"/>
      <c r="P6" s="99" t="s">
        <v>17</v>
      </c>
      <c r="Q6" s="99" t="s">
        <v>17</v>
      </c>
      <c r="R6" s="99" t="s">
        <v>17</v>
      </c>
      <c r="S6" s="99" t="s">
        <v>17</v>
      </c>
      <c r="T6" s="99" t="s">
        <v>17</v>
      </c>
      <c r="U6" s="99" t="s">
        <v>17</v>
      </c>
      <c r="V6" s="78"/>
      <c r="W6" s="99" t="s">
        <v>17</v>
      </c>
      <c r="X6" s="99" t="s">
        <v>17</v>
      </c>
      <c r="Y6" s="99" t="s">
        <v>17</v>
      </c>
      <c r="Z6" s="99" t="s">
        <v>17</v>
      </c>
      <c r="AA6" s="99" t="s">
        <v>17</v>
      </c>
      <c r="AB6" s="99" t="s">
        <v>17</v>
      </c>
      <c r="AC6" s="78"/>
      <c r="AD6" s="99" t="s">
        <v>17</v>
      </c>
      <c r="AE6" s="99" t="s">
        <v>17</v>
      </c>
      <c r="AF6" s="99" t="s">
        <v>17</v>
      </c>
      <c r="AG6" s="99" t="s">
        <v>17</v>
      </c>
      <c r="AH6" s="99" t="s">
        <v>17</v>
      </c>
      <c r="AI6" s="99" t="s">
        <v>17</v>
      </c>
      <c r="AJ6" s="4">
        <f>COUNTIF(F6:AI6,"P")</f>
        <v>26</v>
      </c>
      <c r="AK6" s="4">
        <f>COUNTIF(F6:AI6,"A")</f>
        <v>0</v>
      </c>
      <c r="AL6" s="65" t="s">
        <v>7</v>
      </c>
      <c r="AM6" s="6">
        <v>4</v>
      </c>
      <c r="AN6" s="3"/>
      <c r="AO6" s="3"/>
    </row>
    <row r="7" spans="1:41" ht="16.5">
      <c r="A7" s="6">
        <v>3</v>
      </c>
      <c r="B7" s="85">
        <v>937</v>
      </c>
      <c r="C7" s="83" t="s">
        <v>172</v>
      </c>
      <c r="D7" s="83" t="s">
        <v>171</v>
      </c>
      <c r="E7" s="5" t="s">
        <v>27</v>
      </c>
      <c r="F7" s="99" t="s">
        <v>17</v>
      </c>
      <c r="G7" s="99" t="s">
        <v>17</v>
      </c>
      <c r="H7" s="78"/>
      <c r="I7" s="99" t="s">
        <v>17</v>
      </c>
      <c r="J7" s="99" t="s">
        <v>17</v>
      </c>
      <c r="K7" s="99" t="s">
        <v>17</v>
      </c>
      <c r="L7" s="99" t="s">
        <v>17</v>
      </c>
      <c r="M7" s="99" t="s">
        <v>17</v>
      </c>
      <c r="N7" s="99" t="s">
        <v>17</v>
      </c>
      <c r="O7" s="78"/>
      <c r="P7" s="99" t="s">
        <v>17</v>
      </c>
      <c r="Q7" s="99" t="s">
        <v>17</v>
      </c>
      <c r="R7" s="99" t="s">
        <v>17</v>
      </c>
      <c r="S7" s="99" t="s">
        <v>17</v>
      </c>
      <c r="T7" s="99" t="s">
        <v>17</v>
      </c>
      <c r="U7" s="99" t="s">
        <v>17</v>
      </c>
      <c r="V7" s="78"/>
      <c r="W7" s="99" t="s">
        <v>17</v>
      </c>
      <c r="X7" s="99" t="s">
        <v>17</v>
      </c>
      <c r="Y7" s="99" t="s">
        <v>17</v>
      </c>
      <c r="Z7" s="99" t="s">
        <v>17</v>
      </c>
      <c r="AA7" s="99" t="s">
        <v>17</v>
      </c>
      <c r="AB7" s="99" t="s">
        <v>17</v>
      </c>
      <c r="AC7" s="78"/>
      <c r="AD7" s="99" t="s">
        <v>17</v>
      </c>
      <c r="AE7" s="99" t="s">
        <v>17</v>
      </c>
      <c r="AF7" s="99" t="s">
        <v>17</v>
      </c>
      <c r="AG7" s="99" t="s">
        <v>17</v>
      </c>
      <c r="AH7" s="99" t="s">
        <v>17</v>
      </c>
      <c r="AI7" s="99" t="s">
        <v>17</v>
      </c>
      <c r="AJ7" s="4">
        <f>COUNTIF(F7:AI7,"P")</f>
        <v>26</v>
      </c>
      <c r="AK7" s="4">
        <f>COUNTIF(F7:AI7,"A")</f>
        <v>0</v>
      </c>
      <c r="AL7" s="65" t="s">
        <v>23</v>
      </c>
      <c r="AM7" s="6">
        <v>1</v>
      </c>
      <c r="AN7" s="3"/>
      <c r="AO7" s="3"/>
    </row>
    <row r="8" spans="1:41" ht="16.5">
      <c r="A8" s="6">
        <v>4</v>
      </c>
      <c r="B8" s="85">
        <v>946</v>
      </c>
      <c r="C8" s="83" t="s">
        <v>173</v>
      </c>
      <c r="D8" s="83" t="s">
        <v>121</v>
      </c>
      <c r="E8" s="5" t="s">
        <v>27</v>
      </c>
      <c r="F8" s="99" t="s">
        <v>17</v>
      </c>
      <c r="G8" s="99" t="s">
        <v>17</v>
      </c>
      <c r="H8" s="78"/>
      <c r="I8" s="99" t="s">
        <v>17</v>
      </c>
      <c r="J8" s="99" t="s">
        <v>17</v>
      </c>
      <c r="K8" s="99" t="s">
        <v>17</v>
      </c>
      <c r="L8" s="99" t="s">
        <v>17</v>
      </c>
      <c r="M8" s="99" t="s">
        <v>17</v>
      </c>
      <c r="N8" s="99" t="s">
        <v>17</v>
      </c>
      <c r="O8" s="78"/>
      <c r="P8" s="99" t="s">
        <v>17</v>
      </c>
      <c r="Q8" s="99" t="s">
        <v>17</v>
      </c>
      <c r="R8" s="99" t="s">
        <v>17</v>
      </c>
      <c r="S8" s="99" t="s">
        <v>17</v>
      </c>
      <c r="T8" s="99" t="s">
        <v>17</v>
      </c>
      <c r="U8" s="99" t="s">
        <v>17</v>
      </c>
      <c r="V8" s="78"/>
      <c r="W8" s="99" t="s">
        <v>17</v>
      </c>
      <c r="X8" s="99" t="s">
        <v>17</v>
      </c>
      <c r="Y8" s="99" t="s">
        <v>17</v>
      </c>
      <c r="Z8" s="99" t="s">
        <v>17</v>
      </c>
      <c r="AA8" s="99" t="s">
        <v>17</v>
      </c>
      <c r="AB8" s="99" t="s">
        <v>17</v>
      </c>
      <c r="AC8" s="78"/>
      <c r="AD8" s="99" t="s">
        <v>17</v>
      </c>
      <c r="AE8" s="99" t="s">
        <v>17</v>
      </c>
      <c r="AF8" s="99" t="s">
        <v>17</v>
      </c>
      <c r="AG8" s="99" t="s">
        <v>17</v>
      </c>
      <c r="AH8" s="99" t="s">
        <v>17</v>
      </c>
      <c r="AI8" s="99" t="s">
        <v>17</v>
      </c>
      <c r="AJ8" s="4">
        <f>COUNTIF(F8:AI8,"P")</f>
        <v>26</v>
      </c>
      <c r="AK8" s="4">
        <f>COUNTIF(F8:AI8,"A")</f>
        <v>0</v>
      </c>
      <c r="AL8" s="65" t="s">
        <v>21</v>
      </c>
      <c r="AM8" s="6">
        <v>1</v>
      </c>
      <c r="AN8"/>
      <c r="AO8"/>
    </row>
    <row r="9" spans="1:41" ht="16.5">
      <c r="A9" s="6">
        <v>5</v>
      </c>
      <c r="B9" s="89">
        <v>888</v>
      </c>
      <c r="C9" s="89" t="s">
        <v>174</v>
      </c>
      <c r="D9" s="89" t="s">
        <v>26</v>
      </c>
      <c r="E9" s="5" t="s">
        <v>27</v>
      </c>
      <c r="F9" s="99" t="s">
        <v>17</v>
      </c>
      <c r="G9" s="99" t="s">
        <v>17</v>
      </c>
      <c r="H9" s="78"/>
      <c r="I9" s="99" t="s">
        <v>17</v>
      </c>
      <c r="J9" s="99" t="s">
        <v>17</v>
      </c>
      <c r="K9" s="99" t="s">
        <v>17</v>
      </c>
      <c r="L9" s="99" t="s">
        <v>17</v>
      </c>
      <c r="M9" s="99" t="s">
        <v>17</v>
      </c>
      <c r="N9" s="99" t="s">
        <v>17</v>
      </c>
      <c r="O9" s="78"/>
      <c r="P9" s="99" t="s">
        <v>17</v>
      </c>
      <c r="Q9" s="99" t="s">
        <v>17</v>
      </c>
      <c r="R9" s="99" t="s">
        <v>17</v>
      </c>
      <c r="S9" s="99" t="s">
        <v>17</v>
      </c>
      <c r="T9" s="99" t="s">
        <v>17</v>
      </c>
      <c r="U9" s="99" t="s">
        <v>17</v>
      </c>
      <c r="V9" s="78"/>
      <c r="W9" s="99" t="s">
        <v>17</v>
      </c>
      <c r="X9" s="99" t="s">
        <v>17</v>
      </c>
      <c r="Y9" s="99" t="s">
        <v>17</v>
      </c>
      <c r="Z9" s="99" t="s">
        <v>17</v>
      </c>
      <c r="AA9" s="99" t="s">
        <v>17</v>
      </c>
      <c r="AB9" s="99" t="s">
        <v>17</v>
      </c>
      <c r="AC9" s="78"/>
      <c r="AD9" s="99" t="s">
        <v>17</v>
      </c>
      <c r="AE9" s="99" t="s">
        <v>17</v>
      </c>
      <c r="AF9" s="99" t="s">
        <v>17</v>
      </c>
      <c r="AG9" s="99" t="s">
        <v>17</v>
      </c>
      <c r="AH9" s="99" t="s">
        <v>17</v>
      </c>
      <c r="AI9" s="99" t="s">
        <v>17</v>
      </c>
      <c r="AJ9" s="4">
        <f>COUNTIF(F9:AI9,"P")</f>
        <v>26</v>
      </c>
      <c r="AK9" s="4">
        <f>COUNTIF(F9:AI9,"A")</f>
        <v>0</v>
      </c>
      <c r="AL9" s="65"/>
      <c r="AM9" s="6"/>
    </row>
    <row r="10" spans="1:41" ht="16.5">
      <c r="A10" s="6">
        <v>6</v>
      </c>
      <c r="B10" s="92">
        <v>905</v>
      </c>
      <c r="C10" s="92" t="s">
        <v>175</v>
      </c>
      <c r="D10" s="92" t="s">
        <v>176</v>
      </c>
      <c r="E10" s="5" t="s">
        <v>27</v>
      </c>
      <c r="F10" s="99" t="s">
        <v>17</v>
      </c>
      <c r="G10" s="99" t="s">
        <v>17</v>
      </c>
      <c r="H10" s="78"/>
      <c r="I10" s="99" t="s">
        <v>17</v>
      </c>
      <c r="J10" s="99" t="s">
        <v>17</v>
      </c>
      <c r="K10" s="99" t="s">
        <v>17</v>
      </c>
      <c r="L10" s="99" t="s">
        <v>17</v>
      </c>
      <c r="M10" s="99" t="s">
        <v>17</v>
      </c>
      <c r="N10" s="99" t="s">
        <v>17</v>
      </c>
      <c r="O10" s="78"/>
      <c r="P10" s="99" t="s">
        <v>17</v>
      </c>
      <c r="Q10" s="99" t="s">
        <v>17</v>
      </c>
      <c r="R10" s="99" t="s">
        <v>17</v>
      </c>
      <c r="S10" s="99" t="s">
        <v>17</v>
      </c>
      <c r="T10" s="99" t="s">
        <v>17</v>
      </c>
      <c r="U10" s="99" t="s">
        <v>17</v>
      </c>
      <c r="V10" s="78"/>
      <c r="W10" s="99" t="s">
        <v>17</v>
      </c>
      <c r="X10" s="99" t="s">
        <v>17</v>
      </c>
      <c r="Y10" s="99" t="s">
        <v>17</v>
      </c>
      <c r="Z10" s="99" t="s">
        <v>17</v>
      </c>
      <c r="AA10" s="99" t="s">
        <v>17</v>
      </c>
      <c r="AB10" s="99" t="s">
        <v>17</v>
      </c>
      <c r="AC10" s="78"/>
      <c r="AD10" s="99" t="s">
        <v>17</v>
      </c>
      <c r="AE10" s="99" t="s">
        <v>17</v>
      </c>
      <c r="AF10" s="99" t="s">
        <v>17</v>
      </c>
      <c r="AG10" s="99" t="s">
        <v>17</v>
      </c>
      <c r="AH10" s="99" t="s">
        <v>17</v>
      </c>
      <c r="AI10" s="99" t="s">
        <v>17</v>
      </c>
      <c r="AJ10" s="4">
        <f>COUNTIF(F10:AI10,"P")</f>
        <v>26</v>
      </c>
      <c r="AK10" s="4">
        <f>COUNTIF(F10:AI10,"A")</f>
        <v>0</v>
      </c>
    </row>
    <row r="11" spans="1:41" ht="16.5">
      <c r="A11" s="6">
        <v>7</v>
      </c>
      <c r="B11" s="100">
        <v>804</v>
      </c>
      <c r="C11" s="100" t="s">
        <v>177</v>
      </c>
      <c r="D11" s="100" t="s">
        <v>91</v>
      </c>
      <c r="E11" s="5" t="s">
        <v>27</v>
      </c>
      <c r="F11" s="99" t="s">
        <v>17</v>
      </c>
      <c r="G11" s="99" t="s">
        <v>17</v>
      </c>
      <c r="H11" s="78"/>
      <c r="I11" s="99" t="s">
        <v>17</v>
      </c>
      <c r="J11" s="99" t="s">
        <v>17</v>
      </c>
      <c r="K11" s="99" t="s">
        <v>17</v>
      </c>
      <c r="L11" s="99" t="s">
        <v>17</v>
      </c>
      <c r="M11" s="99" t="s">
        <v>17</v>
      </c>
      <c r="N11" s="99" t="s">
        <v>17</v>
      </c>
      <c r="O11" s="78"/>
      <c r="P11" s="99" t="s">
        <v>17</v>
      </c>
      <c r="Q11" s="99" t="s">
        <v>17</v>
      </c>
      <c r="R11" s="99" t="s">
        <v>17</v>
      </c>
      <c r="S11" s="99" t="s">
        <v>17</v>
      </c>
      <c r="T11" s="99" t="s">
        <v>17</v>
      </c>
      <c r="U11" s="99" t="s">
        <v>17</v>
      </c>
      <c r="V11" s="78"/>
      <c r="W11" s="99" t="s">
        <v>17</v>
      </c>
      <c r="X11" s="99" t="s">
        <v>17</v>
      </c>
      <c r="Y11" s="99" t="s">
        <v>17</v>
      </c>
      <c r="Z11" s="99" t="s">
        <v>17</v>
      </c>
      <c r="AA11" s="99" t="s">
        <v>17</v>
      </c>
      <c r="AB11" s="99" t="s">
        <v>17</v>
      </c>
      <c r="AC11" s="78"/>
      <c r="AD11" s="99" t="s">
        <v>17</v>
      </c>
      <c r="AE11" s="99" t="s">
        <v>17</v>
      </c>
      <c r="AF11" s="99" t="s">
        <v>17</v>
      </c>
      <c r="AG11" s="99" t="s">
        <v>17</v>
      </c>
      <c r="AH11" s="99" t="s">
        <v>17</v>
      </c>
      <c r="AI11" s="99" t="s">
        <v>17</v>
      </c>
      <c r="AJ11" s="4">
        <f>COUNTIF(F11:AI11,"P")</f>
        <v>26</v>
      </c>
      <c r="AK11" s="4">
        <f>COUNTIF(F11:AI11,"A")</f>
        <v>0</v>
      </c>
      <c r="AL11" s="75" t="s">
        <v>8</v>
      </c>
      <c r="AM11" s="75"/>
      <c r="AN11" s="75"/>
      <c r="AO11" s="76"/>
    </row>
    <row r="12" spans="1:41" ht="16.5">
      <c r="A12" s="6">
        <v>8</v>
      </c>
      <c r="B12" s="92">
        <v>802</v>
      </c>
      <c r="C12" s="92" t="s">
        <v>178</v>
      </c>
      <c r="D12" s="92" t="s">
        <v>162</v>
      </c>
      <c r="E12" s="5" t="s">
        <v>27</v>
      </c>
      <c r="F12" s="99" t="s">
        <v>17</v>
      </c>
      <c r="G12" s="99" t="s">
        <v>17</v>
      </c>
      <c r="H12" s="78"/>
      <c r="I12" s="99" t="s">
        <v>17</v>
      </c>
      <c r="J12" s="99" t="s">
        <v>17</v>
      </c>
      <c r="K12" s="99" t="s">
        <v>17</v>
      </c>
      <c r="L12" s="99" t="s">
        <v>17</v>
      </c>
      <c r="M12" s="99" t="s">
        <v>17</v>
      </c>
      <c r="N12" s="99" t="s">
        <v>17</v>
      </c>
      <c r="O12" s="78"/>
      <c r="P12" s="99" t="s">
        <v>17</v>
      </c>
      <c r="Q12" s="99" t="s">
        <v>17</v>
      </c>
      <c r="R12" s="99" t="s">
        <v>17</v>
      </c>
      <c r="S12" s="99" t="s">
        <v>17</v>
      </c>
      <c r="T12" s="99" t="s">
        <v>17</v>
      </c>
      <c r="U12" s="99" t="s">
        <v>17</v>
      </c>
      <c r="V12" s="78"/>
      <c r="W12" s="99" t="s">
        <v>17</v>
      </c>
      <c r="X12" s="99" t="s">
        <v>17</v>
      </c>
      <c r="Y12" s="99" t="s">
        <v>17</v>
      </c>
      <c r="Z12" s="99" t="s">
        <v>17</v>
      </c>
      <c r="AA12" s="99" t="s">
        <v>17</v>
      </c>
      <c r="AB12" s="99" t="s">
        <v>17</v>
      </c>
      <c r="AC12" s="78"/>
      <c r="AD12" s="99" t="s">
        <v>17</v>
      </c>
      <c r="AE12" s="99" t="s">
        <v>17</v>
      </c>
      <c r="AF12" s="99" t="s">
        <v>17</v>
      </c>
      <c r="AG12" s="99" t="s">
        <v>17</v>
      </c>
      <c r="AH12" s="99" t="s">
        <v>17</v>
      </c>
      <c r="AI12" s="99" t="s">
        <v>17</v>
      </c>
      <c r="AJ12" s="4">
        <f>COUNTIF(F12:AI12,"P")</f>
        <v>26</v>
      </c>
      <c r="AK12" s="4">
        <f>COUNTIF(F12:AI12,"A")</f>
        <v>0</v>
      </c>
      <c r="AL12" s="65" t="s">
        <v>9</v>
      </c>
      <c r="AM12" s="4" t="s">
        <v>10</v>
      </c>
      <c r="AN12" s="4" t="s">
        <v>11</v>
      </c>
      <c r="AO12" s="4" t="s">
        <v>12</v>
      </c>
    </row>
    <row r="13" spans="1:41" ht="16.5">
      <c r="A13" s="6">
        <v>9</v>
      </c>
      <c r="B13" s="89">
        <v>790</v>
      </c>
      <c r="C13" s="89" t="s">
        <v>179</v>
      </c>
      <c r="D13" s="89" t="s">
        <v>180</v>
      </c>
      <c r="E13" s="5" t="s">
        <v>27</v>
      </c>
      <c r="F13" s="99" t="s">
        <v>17</v>
      </c>
      <c r="G13" s="99" t="s">
        <v>17</v>
      </c>
      <c r="H13" s="78"/>
      <c r="I13" s="99" t="s">
        <v>17</v>
      </c>
      <c r="J13" s="99" t="s">
        <v>17</v>
      </c>
      <c r="K13" s="99" t="s">
        <v>17</v>
      </c>
      <c r="L13" s="99" t="s">
        <v>17</v>
      </c>
      <c r="M13" s="99" t="s">
        <v>17</v>
      </c>
      <c r="N13" s="99" t="s">
        <v>17</v>
      </c>
      <c r="O13" s="78"/>
      <c r="P13" s="99" t="s">
        <v>17</v>
      </c>
      <c r="Q13" s="99" t="s">
        <v>17</v>
      </c>
      <c r="R13" s="99" t="s">
        <v>17</v>
      </c>
      <c r="S13" s="99" t="s">
        <v>17</v>
      </c>
      <c r="T13" s="99" t="s">
        <v>17</v>
      </c>
      <c r="U13" s="99" t="s">
        <v>17</v>
      </c>
      <c r="V13" s="78"/>
      <c r="W13" s="99" t="s">
        <v>17</v>
      </c>
      <c r="X13" s="99" t="s">
        <v>17</v>
      </c>
      <c r="Y13" s="99" t="s">
        <v>17</v>
      </c>
      <c r="Z13" s="99" t="s">
        <v>17</v>
      </c>
      <c r="AA13" s="99" t="s">
        <v>17</v>
      </c>
      <c r="AB13" s="99" t="s">
        <v>17</v>
      </c>
      <c r="AC13" s="78"/>
      <c r="AD13" s="99" t="s">
        <v>17</v>
      </c>
      <c r="AE13" s="99" t="s">
        <v>17</v>
      </c>
      <c r="AF13" s="99" t="s">
        <v>17</v>
      </c>
      <c r="AG13" s="99" t="s">
        <v>17</v>
      </c>
      <c r="AH13" s="99" t="s">
        <v>17</v>
      </c>
      <c r="AI13" s="99" t="s">
        <v>17</v>
      </c>
      <c r="AJ13" s="4">
        <f>COUNTIF(F13:AI13,"P")</f>
        <v>26</v>
      </c>
      <c r="AK13" s="4">
        <f>COUNTIF(F13:AI13,"A")</f>
        <v>0</v>
      </c>
      <c r="AL13" s="65" t="s">
        <v>13</v>
      </c>
      <c r="AM13" s="6">
        <f>27*$AM$5</f>
        <v>648</v>
      </c>
      <c r="AN13" s="6">
        <f>27*$AM$5</f>
        <v>648</v>
      </c>
      <c r="AO13" s="6">
        <f>SUM(AM13:AN13)</f>
        <v>1296</v>
      </c>
    </row>
    <row r="14" spans="1:41" ht="16.5">
      <c r="A14" s="6">
        <v>10</v>
      </c>
      <c r="B14" s="89">
        <v>806</v>
      </c>
      <c r="C14" s="89" t="s">
        <v>181</v>
      </c>
      <c r="D14" s="89" t="s">
        <v>167</v>
      </c>
      <c r="E14" s="5" t="s">
        <v>27</v>
      </c>
      <c r="F14" s="99" t="s">
        <v>17</v>
      </c>
      <c r="G14" s="99" t="s">
        <v>17</v>
      </c>
      <c r="H14" s="78"/>
      <c r="I14" s="99" t="s">
        <v>17</v>
      </c>
      <c r="J14" s="99" t="s">
        <v>17</v>
      </c>
      <c r="K14" s="99" t="s">
        <v>17</v>
      </c>
      <c r="L14" s="99" t="s">
        <v>17</v>
      </c>
      <c r="M14" s="99" t="s">
        <v>17</v>
      </c>
      <c r="N14" s="99" t="s">
        <v>17</v>
      </c>
      <c r="O14" s="78"/>
      <c r="P14" s="99" t="s">
        <v>17</v>
      </c>
      <c r="Q14" s="99" t="s">
        <v>17</v>
      </c>
      <c r="R14" s="99" t="s">
        <v>17</v>
      </c>
      <c r="S14" s="99" t="s">
        <v>17</v>
      </c>
      <c r="T14" s="99" t="s">
        <v>17</v>
      </c>
      <c r="U14" s="99" t="s">
        <v>17</v>
      </c>
      <c r="V14" s="78"/>
      <c r="W14" s="99" t="s">
        <v>17</v>
      </c>
      <c r="X14" s="99" t="s">
        <v>17</v>
      </c>
      <c r="Y14" s="99" t="s">
        <v>17</v>
      </c>
      <c r="Z14" s="99" t="s">
        <v>17</v>
      </c>
      <c r="AA14" s="99" t="s">
        <v>17</v>
      </c>
      <c r="AB14" s="99" t="s">
        <v>17</v>
      </c>
      <c r="AC14" s="78"/>
      <c r="AD14" s="99" t="s">
        <v>17</v>
      </c>
      <c r="AE14" s="99" t="s">
        <v>17</v>
      </c>
      <c r="AF14" s="99" t="s">
        <v>17</v>
      </c>
      <c r="AG14" s="99" t="s">
        <v>17</v>
      </c>
      <c r="AH14" s="99" t="s">
        <v>17</v>
      </c>
      <c r="AI14" s="99" t="s">
        <v>17</v>
      </c>
      <c r="AJ14" s="4">
        <f>COUNTIF(F14:AI14,"P")</f>
        <v>26</v>
      </c>
      <c r="AK14" s="4">
        <f>COUNTIF(F14:AI14,"A")</f>
        <v>0</v>
      </c>
      <c r="AL14" s="65" t="s">
        <v>14</v>
      </c>
      <c r="AM14" s="6" t="e">
        <f>SUM(AJ6,AJ9,AJ11,AJ13,AJ16,#REF!,#REF!,#REF!,#REF!,#REF!,#REF!,#REF!,#REF!,#REF!,#REF!,#REF!,#REF!,#REF!,#REF!,#REF!,#REF!,#REF!,#REF!,#REF!,#REF!,#REF!,#REF!)</f>
        <v>#REF!</v>
      </c>
      <c r="AN14" s="6" t="e">
        <f>SUM(AJ5,AJ7,AJ8,AJ10,AJ12,AJ14,AJ15,AJ17,#REF!,#REF!,#REF!,#REF!,#REF!,#REF!,#REF!,#REF!,#REF!,#REF!,#REF!,#REF!,#REF!,#REF!,#REF!,#REF!,#REF!,#REF!,#REF!)</f>
        <v>#REF!</v>
      </c>
      <c r="AO14" s="6" t="e">
        <f>AM14+AN14</f>
        <v>#REF!</v>
      </c>
    </row>
    <row r="15" spans="1:41" ht="16.5">
      <c r="A15" s="6">
        <v>11</v>
      </c>
      <c r="B15" s="89">
        <v>873</v>
      </c>
      <c r="C15" s="89" t="s">
        <v>47</v>
      </c>
      <c r="D15" s="89" t="s">
        <v>182</v>
      </c>
      <c r="E15" s="5" t="s">
        <v>27</v>
      </c>
      <c r="F15" s="99" t="s">
        <v>17</v>
      </c>
      <c r="G15" s="99" t="s">
        <v>17</v>
      </c>
      <c r="H15" s="78"/>
      <c r="I15" s="99" t="s">
        <v>17</v>
      </c>
      <c r="J15" s="99" t="s">
        <v>17</v>
      </c>
      <c r="K15" s="99" t="s">
        <v>17</v>
      </c>
      <c r="L15" s="99" t="s">
        <v>17</v>
      </c>
      <c r="M15" s="99" t="s">
        <v>17</v>
      </c>
      <c r="N15" s="99" t="s">
        <v>17</v>
      </c>
      <c r="O15" s="78"/>
      <c r="P15" s="99" t="s">
        <v>17</v>
      </c>
      <c r="Q15" s="99" t="s">
        <v>17</v>
      </c>
      <c r="R15" s="99" t="s">
        <v>17</v>
      </c>
      <c r="S15" s="99" t="s">
        <v>17</v>
      </c>
      <c r="T15" s="99" t="s">
        <v>17</v>
      </c>
      <c r="U15" s="99" t="s">
        <v>17</v>
      </c>
      <c r="V15" s="78"/>
      <c r="W15" s="99" t="s">
        <v>17</v>
      </c>
      <c r="X15" s="99" t="s">
        <v>17</v>
      </c>
      <c r="Y15" s="99" t="s">
        <v>17</v>
      </c>
      <c r="Z15" s="99" t="s">
        <v>17</v>
      </c>
      <c r="AA15" s="99" t="s">
        <v>17</v>
      </c>
      <c r="AB15" s="99" t="s">
        <v>17</v>
      </c>
      <c r="AC15" s="78"/>
      <c r="AD15" s="99" t="s">
        <v>17</v>
      </c>
      <c r="AE15" s="99" t="s">
        <v>17</v>
      </c>
      <c r="AF15" s="99" t="s">
        <v>17</v>
      </c>
      <c r="AG15" s="99" t="s">
        <v>17</v>
      </c>
      <c r="AH15" s="99" t="s">
        <v>17</v>
      </c>
      <c r="AI15" s="99" t="s">
        <v>17</v>
      </c>
      <c r="AJ15" s="4">
        <f>COUNTIF(F15:AI15,"P")</f>
        <v>26</v>
      </c>
      <c r="AK15" s="4">
        <f>COUNTIF(F15:AI15,"A")</f>
        <v>0</v>
      </c>
      <c r="AL15" s="65" t="s">
        <v>15</v>
      </c>
      <c r="AM15" s="8" t="e">
        <f>AM14/AM13</f>
        <v>#REF!</v>
      </c>
      <c r="AN15" s="8" t="e">
        <f>AN14/AN13</f>
        <v>#REF!</v>
      </c>
      <c r="AO15" s="8" t="e">
        <f>AO14/AO13</f>
        <v>#REF!</v>
      </c>
    </row>
    <row r="16" spans="1:41" ht="16.5">
      <c r="A16" s="6">
        <v>12</v>
      </c>
      <c r="B16" s="89">
        <v>836</v>
      </c>
      <c r="C16" s="89" t="s">
        <v>183</v>
      </c>
      <c r="D16" s="89" t="s">
        <v>147</v>
      </c>
      <c r="E16" s="5" t="s">
        <v>27</v>
      </c>
      <c r="F16" s="99" t="s">
        <v>17</v>
      </c>
      <c r="G16" s="99" t="s">
        <v>17</v>
      </c>
      <c r="H16" s="78"/>
      <c r="I16" s="99" t="s">
        <v>17</v>
      </c>
      <c r="J16" s="99" t="s">
        <v>17</v>
      </c>
      <c r="K16" s="99" t="s">
        <v>17</v>
      </c>
      <c r="L16" s="99" t="s">
        <v>17</v>
      </c>
      <c r="M16" s="99" t="s">
        <v>17</v>
      </c>
      <c r="N16" s="99" t="s">
        <v>17</v>
      </c>
      <c r="O16" s="78"/>
      <c r="P16" s="99" t="s">
        <v>17</v>
      </c>
      <c r="Q16" s="99" t="s">
        <v>17</v>
      </c>
      <c r="R16" s="99" t="s">
        <v>17</v>
      </c>
      <c r="S16" s="99" t="s">
        <v>17</v>
      </c>
      <c r="T16" s="99" t="s">
        <v>17</v>
      </c>
      <c r="U16" s="99" t="s">
        <v>17</v>
      </c>
      <c r="V16" s="78"/>
      <c r="W16" s="99" t="s">
        <v>17</v>
      </c>
      <c r="X16" s="99" t="s">
        <v>17</v>
      </c>
      <c r="Y16" s="99" t="s">
        <v>17</v>
      </c>
      <c r="Z16" s="99" t="s">
        <v>17</v>
      </c>
      <c r="AA16" s="99" t="s">
        <v>17</v>
      </c>
      <c r="AB16" s="99" t="s">
        <v>17</v>
      </c>
      <c r="AC16" s="78"/>
      <c r="AD16" s="99" t="s">
        <v>17</v>
      </c>
      <c r="AE16" s="99" t="s">
        <v>17</v>
      </c>
      <c r="AF16" s="99" t="s">
        <v>17</v>
      </c>
      <c r="AG16" s="99" t="s">
        <v>17</v>
      </c>
      <c r="AH16" s="99" t="s">
        <v>17</v>
      </c>
      <c r="AI16" s="99" t="s">
        <v>17</v>
      </c>
      <c r="AJ16" s="4">
        <f>COUNTIF(F16:AI16,"P")</f>
        <v>26</v>
      </c>
      <c r="AK16" s="4">
        <f>COUNTIF(F16:AI16,"A")</f>
        <v>0</v>
      </c>
      <c r="AL16"/>
      <c r="AM16"/>
      <c r="AN16"/>
      <c r="AO16"/>
    </row>
    <row r="17" spans="1:41" ht="16.5">
      <c r="A17" s="6">
        <v>13</v>
      </c>
      <c r="B17" s="89">
        <v>949</v>
      </c>
      <c r="C17" s="89" t="s">
        <v>184</v>
      </c>
      <c r="D17" s="89" t="s">
        <v>53</v>
      </c>
      <c r="E17" s="5" t="s">
        <v>27</v>
      </c>
      <c r="F17" s="99" t="s">
        <v>17</v>
      </c>
      <c r="G17" s="99" t="s">
        <v>17</v>
      </c>
      <c r="H17" s="78"/>
      <c r="I17" s="99" t="s">
        <v>17</v>
      </c>
      <c r="J17" s="99" t="s">
        <v>17</v>
      </c>
      <c r="K17" s="99" t="s">
        <v>17</v>
      </c>
      <c r="L17" s="99" t="s">
        <v>17</v>
      </c>
      <c r="M17" s="99" t="s">
        <v>17</v>
      </c>
      <c r="N17" s="99" t="s">
        <v>17</v>
      </c>
      <c r="O17" s="78"/>
      <c r="P17" s="99" t="s">
        <v>17</v>
      </c>
      <c r="Q17" s="99" t="s">
        <v>17</v>
      </c>
      <c r="R17" s="99" t="s">
        <v>17</v>
      </c>
      <c r="S17" s="99" t="s">
        <v>17</v>
      </c>
      <c r="T17" s="99" t="s">
        <v>17</v>
      </c>
      <c r="U17" s="99" t="s">
        <v>17</v>
      </c>
      <c r="V17" s="78"/>
      <c r="W17" s="99" t="s">
        <v>17</v>
      </c>
      <c r="X17" s="99" t="s">
        <v>17</v>
      </c>
      <c r="Y17" s="99" t="s">
        <v>17</v>
      </c>
      <c r="Z17" s="99" t="s">
        <v>17</v>
      </c>
      <c r="AA17" s="99" t="s">
        <v>17</v>
      </c>
      <c r="AB17" s="99" t="s">
        <v>17</v>
      </c>
      <c r="AC17" s="78"/>
      <c r="AD17" s="99" t="s">
        <v>17</v>
      </c>
      <c r="AE17" s="99" t="s">
        <v>17</v>
      </c>
      <c r="AF17" s="99" t="s">
        <v>17</v>
      </c>
      <c r="AG17" s="99" t="s">
        <v>17</v>
      </c>
      <c r="AH17" s="99" t="s">
        <v>17</v>
      </c>
      <c r="AI17" s="99" t="s">
        <v>17</v>
      </c>
      <c r="AJ17" s="4">
        <f>COUNTIF(F17:AI17,"P")</f>
        <v>26</v>
      </c>
      <c r="AK17" s="4">
        <f>COUNTIF(F17:AI17,"A")</f>
        <v>0</v>
      </c>
      <c r="AL17"/>
      <c r="AM17"/>
      <c r="AN17"/>
      <c r="AO17"/>
    </row>
  </sheetData>
  <mergeCells count="15">
    <mergeCell ref="AJ3:AJ4"/>
    <mergeCell ref="AK3:AK4"/>
    <mergeCell ref="AL3:AM3"/>
    <mergeCell ref="H5:H17"/>
    <mergeCell ref="O5:O17"/>
    <mergeCell ref="V5:V17"/>
    <mergeCell ref="AC5:AC17"/>
    <mergeCell ref="AL11:AO11"/>
    <mergeCell ref="A1:AI1"/>
    <mergeCell ref="A2:AI2"/>
    <mergeCell ref="A3:A4"/>
    <mergeCell ref="B3:B4"/>
    <mergeCell ref="C3:C4"/>
    <mergeCell ref="D3:D4"/>
    <mergeCell ref="E3:E4"/>
  </mergeCells>
  <conditionalFormatting sqref="F5:G17 I5:I17">
    <cfRule type="cellIs" dxfId="500" priority="153" operator="equal">
      <formula>"L"</formula>
    </cfRule>
    <cfRule type="expression" dxfId="499" priority="154">
      <formula>F$4=TODAY()</formula>
    </cfRule>
    <cfRule type="cellIs" dxfId="498" priority="155" operator="equal">
      <formula>"A"</formula>
    </cfRule>
    <cfRule type="cellIs" dxfId="497" priority="156" operator="equal">
      <formula>"P"</formula>
    </cfRule>
    <cfRule type="expression" dxfId="496" priority="157">
      <formula>F$3="Sun"</formula>
    </cfRule>
  </conditionalFormatting>
  <conditionalFormatting sqref="F3:AI4">
    <cfRule type="expression" dxfId="495" priority="158">
      <formula>F$4=TODAY()</formula>
    </cfRule>
    <cfRule type="expression" dxfId="494" priority="159">
      <formula>F$3="Sun"</formula>
    </cfRule>
  </conditionalFormatting>
  <conditionalFormatting sqref="AJ3:AK3 AJ5:AK17">
    <cfRule type="expression" dxfId="493" priority="160">
      <formula>#REF!="Sun"</formula>
    </cfRule>
  </conditionalFormatting>
  <conditionalFormatting sqref="AL5:AL9">
    <cfRule type="expression" dxfId="492" priority="164">
      <formula>AL$3="Sun"</formula>
    </cfRule>
  </conditionalFormatting>
  <conditionalFormatting sqref="AL12:AL15">
    <cfRule type="expression" dxfId="491" priority="162">
      <formula>AL$3="Sun"</formula>
    </cfRule>
  </conditionalFormatting>
  <conditionalFormatting sqref="AL4:AM4">
    <cfRule type="expression" dxfId="489" priority="165">
      <formula>AL$3="Sun"</formula>
    </cfRule>
  </conditionalFormatting>
  <conditionalFormatting sqref="AM12:AO12">
    <cfRule type="expression" dxfId="488" priority="166">
      <formula>AM$3="Sun"</formula>
    </cfRule>
  </conditionalFormatting>
  <conditionalFormatting sqref="K5:K17">
    <cfRule type="cellIs" dxfId="486" priority="148" operator="equal">
      <formula>"L"</formula>
    </cfRule>
    <cfRule type="expression" dxfId="485" priority="149">
      <formula>K$4=TODAY()</formula>
    </cfRule>
    <cfRule type="cellIs" dxfId="484" priority="150" operator="equal">
      <formula>"A"</formula>
    </cfRule>
    <cfRule type="cellIs" dxfId="483" priority="151" operator="equal">
      <formula>"P"</formula>
    </cfRule>
    <cfRule type="expression" dxfId="482" priority="152">
      <formula>K$3="Sun"</formula>
    </cfRule>
  </conditionalFormatting>
  <conditionalFormatting sqref="J5:J17">
    <cfRule type="cellIs" dxfId="481" priority="143" operator="equal">
      <formula>"L"</formula>
    </cfRule>
    <cfRule type="expression" dxfId="480" priority="144">
      <formula>J$4=TODAY()</formula>
    </cfRule>
    <cfRule type="cellIs" dxfId="479" priority="145" operator="equal">
      <formula>"A"</formula>
    </cfRule>
    <cfRule type="cellIs" dxfId="478" priority="146" operator="equal">
      <formula>"P"</formula>
    </cfRule>
    <cfRule type="expression" dxfId="477" priority="147">
      <formula>J$3="Sun"</formula>
    </cfRule>
  </conditionalFormatting>
  <conditionalFormatting sqref="L5:L17">
    <cfRule type="cellIs" dxfId="476" priority="138" operator="equal">
      <formula>"L"</formula>
    </cfRule>
    <cfRule type="expression" dxfId="475" priority="139">
      <formula>L$4=TODAY()</formula>
    </cfRule>
    <cfRule type="cellIs" dxfId="474" priority="140" operator="equal">
      <formula>"A"</formula>
    </cfRule>
    <cfRule type="cellIs" dxfId="473" priority="141" operator="equal">
      <formula>"P"</formula>
    </cfRule>
    <cfRule type="expression" dxfId="472" priority="142">
      <formula>L$3="Sun"</formula>
    </cfRule>
  </conditionalFormatting>
  <conditionalFormatting sqref="M5:M17">
    <cfRule type="cellIs" dxfId="471" priority="133" operator="equal">
      <formula>"L"</formula>
    </cfRule>
    <cfRule type="expression" dxfId="470" priority="134">
      <formula>M$4=TODAY()</formula>
    </cfRule>
    <cfRule type="cellIs" dxfId="469" priority="135" operator="equal">
      <formula>"A"</formula>
    </cfRule>
    <cfRule type="cellIs" dxfId="468" priority="136" operator="equal">
      <formula>"P"</formula>
    </cfRule>
    <cfRule type="expression" dxfId="467" priority="137">
      <formula>M$3="Sun"</formula>
    </cfRule>
  </conditionalFormatting>
  <conditionalFormatting sqref="N5:N17">
    <cfRule type="cellIs" dxfId="466" priority="128" operator="equal">
      <formula>"L"</formula>
    </cfRule>
    <cfRule type="expression" dxfId="465" priority="129">
      <formula>N$4=TODAY()</formula>
    </cfRule>
    <cfRule type="cellIs" dxfId="464" priority="130" operator="equal">
      <formula>"A"</formula>
    </cfRule>
    <cfRule type="cellIs" dxfId="463" priority="131" operator="equal">
      <formula>"P"</formula>
    </cfRule>
    <cfRule type="expression" dxfId="462" priority="132">
      <formula>N$3="Sun"</formula>
    </cfRule>
  </conditionalFormatting>
  <conditionalFormatting sqref="P5:P17">
    <cfRule type="cellIs" dxfId="461" priority="123" operator="equal">
      <formula>"L"</formula>
    </cfRule>
    <cfRule type="expression" dxfId="460" priority="124">
      <formula>P$4=TODAY()</formula>
    </cfRule>
    <cfRule type="cellIs" dxfId="459" priority="125" operator="equal">
      <formula>"A"</formula>
    </cfRule>
    <cfRule type="cellIs" dxfId="458" priority="126" operator="equal">
      <formula>"P"</formula>
    </cfRule>
    <cfRule type="expression" dxfId="457" priority="127">
      <formula>P$3="Sun"</formula>
    </cfRule>
  </conditionalFormatting>
  <conditionalFormatting sqref="Q5:Q17">
    <cfRule type="cellIs" dxfId="456" priority="118" operator="equal">
      <formula>"L"</formula>
    </cfRule>
    <cfRule type="expression" dxfId="455" priority="119">
      <formula>Q$4=TODAY()</formula>
    </cfRule>
    <cfRule type="cellIs" dxfId="454" priority="120" operator="equal">
      <formula>"A"</formula>
    </cfRule>
    <cfRule type="cellIs" dxfId="453" priority="121" operator="equal">
      <formula>"P"</formula>
    </cfRule>
    <cfRule type="expression" dxfId="452" priority="122">
      <formula>Q$3="Sun"</formula>
    </cfRule>
  </conditionalFormatting>
  <conditionalFormatting sqref="R5:R17">
    <cfRule type="cellIs" dxfId="451" priority="113" operator="equal">
      <formula>"L"</formula>
    </cfRule>
    <cfRule type="expression" dxfId="450" priority="114">
      <formula>R$4=TODAY()</formula>
    </cfRule>
    <cfRule type="cellIs" dxfId="449" priority="115" operator="equal">
      <formula>"A"</formula>
    </cfRule>
    <cfRule type="cellIs" dxfId="448" priority="116" operator="equal">
      <formula>"P"</formula>
    </cfRule>
    <cfRule type="expression" dxfId="447" priority="117">
      <formula>R$3="Sun"</formula>
    </cfRule>
  </conditionalFormatting>
  <conditionalFormatting sqref="S5:S17">
    <cfRule type="cellIs" dxfId="446" priority="108" operator="equal">
      <formula>"L"</formula>
    </cfRule>
    <cfRule type="expression" dxfId="445" priority="109">
      <formula>S$4=TODAY()</formula>
    </cfRule>
    <cfRule type="cellIs" dxfId="444" priority="110" operator="equal">
      <formula>"A"</formula>
    </cfRule>
    <cfRule type="cellIs" dxfId="443" priority="111" operator="equal">
      <formula>"P"</formula>
    </cfRule>
    <cfRule type="expression" dxfId="442" priority="112">
      <formula>S$3="Sun"</formula>
    </cfRule>
  </conditionalFormatting>
  <conditionalFormatting sqref="T5:T17">
    <cfRule type="cellIs" dxfId="441" priority="103" operator="equal">
      <formula>"L"</formula>
    </cfRule>
    <cfRule type="expression" dxfId="440" priority="104">
      <formula>T$4=TODAY()</formula>
    </cfRule>
    <cfRule type="cellIs" dxfId="439" priority="105" operator="equal">
      <formula>"A"</formula>
    </cfRule>
    <cfRule type="cellIs" dxfId="438" priority="106" operator="equal">
      <formula>"P"</formula>
    </cfRule>
    <cfRule type="expression" dxfId="437" priority="107">
      <formula>T$3="Sun"</formula>
    </cfRule>
  </conditionalFormatting>
  <conditionalFormatting sqref="U5:U17">
    <cfRule type="cellIs" dxfId="436" priority="98" operator="equal">
      <formula>"L"</formula>
    </cfRule>
    <cfRule type="expression" dxfId="435" priority="99">
      <formula>U$4=TODAY()</formula>
    </cfRule>
    <cfRule type="cellIs" dxfId="434" priority="100" operator="equal">
      <formula>"A"</formula>
    </cfRule>
    <cfRule type="cellIs" dxfId="433" priority="101" operator="equal">
      <formula>"P"</formula>
    </cfRule>
    <cfRule type="expression" dxfId="432" priority="102">
      <formula>U$3="Sun"</formula>
    </cfRule>
  </conditionalFormatting>
  <conditionalFormatting sqref="W5:W17">
    <cfRule type="cellIs" dxfId="431" priority="93" operator="equal">
      <formula>"L"</formula>
    </cfRule>
    <cfRule type="expression" dxfId="430" priority="94">
      <formula>W$4=TODAY()</formula>
    </cfRule>
    <cfRule type="cellIs" dxfId="429" priority="95" operator="equal">
      <formula>"A"</formula>
    </cfRule>
    <cfRule type="cellIs" dxfId="428" priority="96" operator="equal">
      <formula>"P"</formula>
    </cfRule>
    <cfRule type="expression" dxfId="427" priority="97">
      <formula>W$3="Sun"</formula>
    </cfRule>
  </conditionalFormatting>
  <conditionalFormatting sqref="X5:X17">
    <cfRule type="cellIs" dxfId="426" priority="88" operator="equal">
      <formula>"L"</formula>
    </cfRule>
    <cfRule type="expression" dxfId="425" priority="89">
      <formula>X$4=TODAY()</formula>
    </cfRule>
    <cfRule type="cellIs" dxfId="424" priority="90" operator="equal">
      <formula>"A"</formula>
    </cfRule>
    <cfRule type="cellIs" dxfId="423" priority="91" operator="equal">
      <formula>"P"</formula>
    </cfRule>
    <cfRule type="expression" dxfId="422" priority="92">
      <formula>X$3="Sun"</formula>
    </cfRule>
  </conditionalFormatting>
  <conditionalFormatting sqref="Y5:Y17">
    <cfRule type="cellIs" dxfId="421" priority="83" operator="equal">
      <formula>"L"</formula>
    </cfRule>
    <cfRule type="expression" dxfId="420" priority="84">
      <formula>Y$4=TODAY()</formula>
    </cfRule>
    <cfRule type="cellIs" dxfId="419" priority="85" operator="equal">
      <formula>"A"</formula>
    </cfRule>
    <cfRule type="cellIs" dxfId="418" priority="86" operator="equal">
      <formula>"P"</formula>
    </cfRule>
    <cfRule type="expression" dxfId="417" priority="87">
      <formula>Y$3="Sun"</formula>
    </cfRule>
  </conditionalFormatting>
  <conditionalFormatting sqref="Z5:Z17">
    <cfRule type="cellIs" dxfId="416" priority="78" operator="equal">
      <formula>"L"</formula>
    </cfRule>
    <cfRule type="expression" dxfId="415" priority="79">
      <formula>Z$4=TODAY()</formula>
    </cfRule>
    <cfRule type="cellIs" dxfId="414" priority="80" operator="equal">
      <formula>"A"</formula>
    </cfRule>
    <cfRule type="cellIs" dxfId="413" priority="81" operator="equal">
      <formula>"P"</formula>
    </cfRule>
    <cfRule type="expression" dxfId="412" priority="82">
      <formula>Z$3="Sun"</formula>
    </cfRule>
  </conditionalFormatting>
  <conditionalFormatting sqref="AA5:AA17">
    <cfRule type="cellIs" dxfId="411" priority="73" operator="equal">
      <formula>"L"</formula>
    </cfRule>
    <cfRule type="expression" dxfId="410" priority="74">
      <formula>AA$4=TODAY()</formula>
    </cfRule>
    <cfRule type="cellIs" dxfId="409" priority="75" operator="equal">
      <formula>"A"</formula>
    </cfRule>
    <cfRule type="cellIs" dxfId="408" priority="76" operator="equal">
      <formula>"P"</formula>
    </cfRule>
    <cfRule type="expression" dxfId="407" priority="77">
      <formula>AA$3="Sun"</formula>
    </cfRule>
  </conditionalFormatting>
  <conditionalFormatting sqref="AB5:AB17">
    <cfRule type="cellIs" dxfId="406" priority="68" operator="equal">
      <formula>"L"</formula>
    </cfRule>
    <cfRule type="expression" dxfId="405" priority="69">
      <formula>AB$4=TODAY()</formula>
    </cfRule>
    <cfRule type="cellIs" dxfId="404" priority="70" operator="equal">
      <formula>"A"</formula>
    </cfRule>
    <cfRule type="cellIs" dxfId="403" priority="71" operator="equal">
      <formula>"P"</formula>
    </cfRule>
    <cfRule type="expression" dxfId="402" priority="72">
      <formula>AB$3="Sun"</formula>
    </cfRule>
  </conditionalFormatting>
  <conditionalFormatting sqref="AD5:AD17">
    <cfRule type="cellIs" dxfId="401" priority="63" operator="equal">
      <formula>"L"</formula>
    </cfRule>
    <cfRule type="expression" dxfId="400" priority="64">
      <formula>AD$4=TODAY()</formula>
    </cfRule>
    <cfRule type="cellIs" dxfId="399" priority="65" operator="equal">
      <formula>"A"</formula>
    </cfRule>
    <cfRule type="cellIs" dxfId="398" priority="66" operator="equal">
      <formula>"P"</formula>
    </cfRule>
    <cfRule type="expression" dxfId="397" priority="67">
      <formula>AD$3="Sun"</formula>
    </cfRule>
  </conditionalFormatting>
  <conditionalFormatting sqref="AF5:AF17">
    <cfRule type="cellIs" dxfId="396" priority="58" operator="equal">
      <formula>"L"</formula>
    </cfRule>
    <cfRule type="expression" dxfId="395" priority="59">
      <formula>AF$4=TODAY()</formula>
    </cfRule>
    <cfRule type="cellIs" dxfId="394" priority="60" operator="equal">
      <formula>"A"</formula>
    </cfRule>
    <cfRule type="cellIs" dxfId="393" priority="61" operator="equal">
      <formula>"P"</formula>
    </cfRule>
    <cfRule type="expression" dxfId="392" priority="62">
      <formula>AF$3="Sun"</formula>
    </cfRule>
  </conditionalFormatting>
  <conditionalFormatting sqref="AG5:AG17">
    <cfRule type="cellIs" dxfId="391" priority="53" operator="equal">
      <formula>"L"</formula>
    </cfRule>
    <cfRule type="expression" dxfId="390" priority="54">
      <formula>AG$4=TODAY()</formula>
    </cfRule>
    <cfRule type="cellIs" dxfId="389" priority="55" operator="equal">
      <formula>"A"</formula>
    </cfRule>
    <cfRule type="cellIs" dxfId="388" priority="56" operator="equal">
      <formula>"P"</formula>
    </cfRule>
    <cfRule type="expression" dxfId="387" priority="57">
      <formula>AG$3="Sun"</formula>
    </cfRule>
  </conditionalFormatting>
  <conditionalFormatting sqref="AH5:AH17">
    <cfRule type="cellIs" dxfId="386" priority="48" operator="equal">
      <formula>"L"</formula>
    </cfRule>
    <cfRule type="expression" dxfId="385" priority="49">
      <formula>AH$4=TODAY()</formula>
    </cfRule>
    <cfRule type="cellIs" dxfId="384" priority="50" operator="equal">
      <formula>"A"</formula>
    </cfRule>
    <cfRule type="cellIs" dxfId="383" priority="51" operator="equal">
      <formula>"P"</formula>
    </cfRule>
    <cfRule type="expression" dxfId="382" priority="52">
      <formula>AH$3="Sun"</formula>
    </cfRule>
  </conditionalFormatting>
  <conditionalFormatting sqref="AI5:AI17">
    <cfRule type="cellIs" dxfId="381" priority="43" operator="equal">
      <formula>"L"</formula>
    </cfRule>
    <cfRule type="expression" dxfId="380" priority="44">
      <formula>AI$4=TODAY()</formula>
    </cfRule>
    <cfRule type="cellIs" dxfId="379" priority="45" operator="equal">
      <formula>"A"</formula>
    </cfRule>
    <cfRule type="cellIs" dxfId="378" priority="46" operator="equal">
      <formula>"P"</formula>
    </cfRule>
    <cfRule type="expression" dxfId="377" priority="47">
      <formula>AI$3="Sun"</formula>
    </cfRule>
  </conditionalFormatting>
  <conditionalFormatting sqref="H5">
    <cfRule type="cellIs" dxfId="376" priority="38" operator="equal">
      <formula>"L"</formula>
    </cfRule>
    <cfRule type="expression" dxfId="375" priority="39">
      <formula>H$4=TODAY()</formula>
    </cfRule>
    <cfRule type="cellIs" dxfId="374" priority="40" operator="equal">
      <formula>"A"</formula>
    </cfRule>
    <cfRule type="cellIs" dxfId="373" priority="41" operator="equal">
      <formula>"P"</formula>
    </cfRule>
    <cfRule type="expression" dxfId="372" priority="42">
      <formula>H$3="Sun"</formula>
    </cfRule>
  </conditionalFormatting>
  <conditionalFormatting sqref="AE5:AE17">
    <cfRule type="cellIs" dxfId="356" priority="18" operator="equal">
      <formula>"L"</formula>
    </cfRule>
    <cfRule type="expression" dxfId="355" priority="19">
      <formula>AE$4=TODAY()</formula>
    </cfRule>
    <cfRule type="cellIs" dxfId="354" priority="20" operator="equal">
      <formula>"A"</formula>
    </cfRule>
    <cfRule type="cellIs" dxfId="353" priority="21" operator="equal">
      <formula>"P"</formula>
    </cfRule>
    <cfRule type="expression" dxfId="352" priority="22">
      <formula>AE$3="Sun"</formula>
    </cfRule>
  </conditionalFormatting>
  <conditionalFormatting sqref="B5:B17">
    <cfRule type="duplicateValues" dxfId="350" priority="16"/>
  </conditionalFormatting>
  <conditionalFormatting sqref="O5">
    <cfRule type="cellIs" dxfId="349" priority="11" operator="equal">
      <formula>"L"</formula>
    </cfRule>
    <cfRule type="expression" dxfId="348" priority="12">
      <formula>O$4=TODAY()</formula>
    </cfRule>
    <cfRule type="cellIs" dxfId="347" priority="13" operator="equal">
      <formula>"A"</formula>
    </cfRule>
    <cfRule type="cellIs" dxfId="346" priority="14" operator="equal">
      <formula>"P"</formula>
    </cfRule>
    <cfRule type="expression" dxfId="345" priority="15">
      <formula>O$3="Sun"</formula>
    </cfRule>
  </conditionalFormatting>
  <conditionalFormatting sqref="V5">
    <cfRule type="cellIs" dxfId="344" priority="6" operator="equal">
      <formula>"L"</formula>
    </cfRule>
    <cfRule type="expression" dxfId="343" priority="7">
      <formula>V$4=TODAY()</formula>
    </cfRule>
    <cfRule type="cellIs" dxfId="342" priority="8" operator="equal">
      <formula>"A"</formula>
    </cfRule>
    <cfRule type="cellIs" dxfId="341" priority="9" operator="equal">
      <formula>"P"</formula>
    </cfRule>
    <cfRule type="expression" dxfId="340" priority="10">
      <formula>V$3="Sun"</formula>
    </cfRule>
  </conditionalFormatting>
  <conditionalFormatting sqref="AC5">
    <cfRule type="cellIs" dxfId="339" priority="1" operator="equal">
      <formula>"L"</formula>
    </cfRule>
    <cfRule type="expression" dxfId="338" priority="2">
      <formula>AC$4=TODAY()</formula>
    </cfRule>
    <cfRule type="cellIs" dxfId="337" priority="3" operator="equal">
      <formula>"A"</formula>
    </cfRule>
    <cfRule type="cellIs" dxfId="336" priority="4" operator="equal">
      <formula>"P"</formula>
    </cfRule>
    <cfRule type="expression" dxfId="335" priority="5">
      <formula>AC$3="Sun"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05D0A-9C12-4310-A3B6-47BC2C108024}">
  <dimension ref="A1:AO12"/>
  <sheetViews>
    <sheetView zoomScale="98" zoomScaleNormal="98" workbookViewId="0">
      <selection activeCell="AC5" sqref="AC5:AC12"/>
    </sheetView>
  </sheetViews>
  <sheetFormatPr defaultColWidth="3.85546875" defaultRowHeight="1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9" width="3.7109375" style="1" bestFit="1" customWidth="1"/>
    <col min="10" max="10" width="3.85546875" style="1"/>
    <col min="11" max="11" width="4.5703125" style="1" bestFit="1" customWidth="1"/>
    <col min="12" max="12" width="3.85546875" style="1"/>
    <col min="13" max="13" width="4.85546875" style="1" customWidth="1"/>
    <col min="14" max="15" width="3.7109375" style="1" bestFit="1" customWidth="1"/>
    <col min="16" max="16" width="3.85546875" style="1"/>
    <col min="17" max="17" width="4.5703125" style="1" bestFit="1" customWidth="1"/>
    <col min="18" max="19" width="4.5703125" style="1" customWidth="1"/>
    <col min="20" max="20" width="4.7109375" style="1" bestFit="1" customWidth="1"/>
    <col min="21" max="22" width="3.7109375" style="1" bestFit="1" customWidth="1"/>
    <col min="23" max="23" width="3.85546875" style="1"/>
    <col min="24" max="24" width="4.5703125" style="1" bestFit="1" customWidth="1"/>
    <col min="25" max="25" width="3.85546875" style="1"/>
    <col min="26" max="26" width="4.7109375" style="1" bestFit="1" customWidth="1"/>
    <col min="27" max="27" width="3.85546875" style="1"/>
    <col min="28" max="29" width="3.7109375" style="1" bestFit="1" customWidth="1"/>
    <col min="30" max="30" width="3.85546875" style="1"/>
    <col min="31" max="31" width="4.5703125" style="1" bestFit="1" customWidth="1"/>
    <col min="32" max="35" width="3.85546875" style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79" t="s">
        <v>59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10"/>
      <c r="AK1" s="10"/>
    </row>
    <row r="2" spans="1:41" ht="17.25">
      <c r="A2" s="80" t="s">
        <v>60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11"/>
      <c r="AK2" s="11"/>
      <c r="AL2" s="11"/>
    </row>
    <row r="3" spans="1:41" ht="15.75">
      <c r="A3" s="81" t="s">
        <v>0</v>
      </c>
      <c r="B3" s="97" t="s">
        <v>111</v>
      </c>
      <c r="C3" s="81" t="s">
        <v>1</v>
      </c>
      <c r="D3" s="81" t="s">
        <v>2</v>
      </c>
      <c r="E3" s="81" t="s">
        <v>3</v>
      </c>
      <c r="F3" s="2" t="str">
        <f>TEXT(F4,"ddd")</f>
        <v>Fri</v>
      </c>
      <c r="G3" s="2" t="str">
        <f t="shared" ref="G3:AI3" si="0">TEXT(G4,"ddd")</f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73" t="s">
        <v>4</v>
      </c>
      <c r="AK3" s="73" t="s">
        <v>5</v>
      </c>
      <c r="AL3" s="74" t="s">
        <v>19</v>
      </c>
      <c r="AM3" s="75"/>
      <c r="AN3" s="3"/>
      <c r="AO3" s="3"/>
    </row>
    <row r="4" spans="1:41" ht="37.5">
      <c r="A4" s="81"/>
      <c r="B4" s="98"/>
      <c r="C4" s="81"/>
      <c r="D4" s="81"/>
      <c r="E4" s="81"/>
      <c r="F4" s="9">
        <v>45597</v>
      </c>
      <c r="G4" s="9">
        <v>45598</v>
      </c>
      <c r="H4" s="9">
        <v>45599</v>
      </c>
      <c r="I4" s="9">
        <v>45600</v>
      </c>
      <c r="J4" s="9">
        <v>45601</v>
      </c>
      <c r="K4" s="9">
        <v>45602</v>
      </c>
      <c r="L4" s="9">
        <v>45603</v>
      </c>
      <c r="M4" s="9">
        <v>45604</v>
      </c>
      <c r="N4" s="9">
        <v>45605</v>
      </c>
      <c r="O4" s="9">
        <v>45606</v>
      </c>
      <c r="P4" s="9">
        <v>45607</v>
      </c>
      <c r="Q4" s="9">
        <v>45608</v>
      </c>
      <c r="R4" s="9">
        <v>45609</v>
      </c>
      <c r="S4" s="9">
        <v>45610</v>
      </c>
      <c r="T4" s="9">
        <v>45611</v>
      </c>
      <c r="U4" s="9">
        <v>45612</v>
      </c>
      <c r="V4" s="9">
        <v>45613</v>
      </c>
      <c r="W4" s="9">
        <v>45614</v>
      </c>
      <c r="X4" s="9">
        <v>45615</v>
      </c>
      <c r="Y4" s="9">
        <v>45616</v>
      </c>
      <c r="Z4" s="9">
        <v>45617</v>
      </c>
      <c r="AA4" s="9">
        <v>45618</v>
      </c>
      <c r="AB4" s="9">
        <v>45619</v>
      </c>
      <c r="AC4" s="9">
        <v>45620</v>
      </c>
      <c r="AD4" s="9">
        <v>45621</v>
      </c>
      <c r="AE4" s="9">
        <v>45622</v>
      </c>
      <c r="AF4" s="9">
        <v>45623</v>
      </c>
      <c r="AG4" s="9">
        <v>45624</v>
      </c>
      <c r="AH4" s="9">
        <v>45625</v>
      </c>
      <c r="AI4" s="9">
        <v>45626</v>
      </c>
      <c r="AJ4" s="73"/>
      <c r="AK4" s="73"/>
      <c r="AL4" s="4" t="s">
        <v>20</v>
      </c>
      <c r="AM4" s="4">
        <f>SUM(AM5:AM8)</f>
        <v>30</v>
      </c>
      <c r="AN4" s="3"/>
      <c r="AO4" s="3"/>
    </row>
    <row r="5" spans="1:41" ht="15" customHeight="1">
      <c r="A5" s="6">
        <v>1</v>
      </c>
      <c r="B5" s="88">
        <v>927</v>
      </c>
      <c r="C5" s="83" t="s">
        <v>186</v>
      </c>
      <c r="D5" s="83" t="s">
        <v>169</v>
      </c>
      <c r="E5" s="5" t="s">
        <v>29</v>
      </c>
      <c r="F5" s="99" t="s">
        <v>17</v>
      </c>
      <c r="G5" s="99" t="s">
        <v>17</v>
      </c>
      <c r="H5" s="77" t="s">
        <v>195</v>
      </c>
      <c r="I5" s="99" t="s">
        <v>17</v>
      </c>
      <c r="J5" s="99" t="s">
        <v>17</v>
      </c>
      <c r="K5" s="99" t="s">
        <v>17</v>
      </c>
      <c r="L5" s="99" t="s">
        <v>17</v>
      </c>
      <c r="M5" s="99" t="s">
        <v>17</v>
      </c>
      <c r="N5" s="99" t="s">
        <v>17</v>
      </c>
      <c r="O5" s="77" t="s">
        <v>195</v>
      </c>
      <c r="P5" s="99" t="s">
        <v>17</v>
      </c>
      <c r="Q5" s="99" t="s">
        <v>17</v>
      </c>
      <c r="R5" s="99" t="s">
        <v>17</v>
      </c>
      <c r="S5" s="99" t="s">
        <v>17</v>
      </c>
      <c r="T5" s="99" t="s">
        <v>17</v>
      </c>
      <c r="U5" s="99" t="s">
        <v>17</v>
      </c>
      <c r="V5" s="77" t="s">
        <v>195</v>
      </c>
      <c r="W5" s="99" t="s">
        <v>17</v>
      </c>
      <c r="X5" s="99" t="s">
        <v>17</v>
      </c>
      <c r="Y5" s="99" t="s">
        <v>17</v>
      </c>
      <c r="Z5" s="99" t="s">
        <v>17</v>
      </c>
      <c r="AA5" s="99" t="s">
        <v>17</v>
      </c>
      <c r="AB5" s="99" t="s">
        <v>17</v>
      </c>
      <c r="AC5" s="77" t="s">
        <v>195</v>
      </c>
      <c r="AD5" s="99" t="s">
        <v>17</v>
      </c>
      <c r="AE5" s="99" t="s">
        <v>17</v>
      </c>
      <c r="AF5" s="99" t="s">
        <v>17</v>
      </c>
      <c r="AG5" s="99" t="s">
        <v>17</v>
      </c>
      <c r="AH5" s="99" t="s">
        <v>17</v>
      </c>
      <c r="AI5" s="99" t="s">
        <v>17</v>
      </c>
      <c r="AJ5" s="4">
        <f>COUNTIF(F5:AI5,"P")</f>
        <v>26</v>
      </c>
      <c r="AK5" s="4">
        <f>COUNTIF(F5:AI5,"A")</f>
        <v>0</v>
      </c>
      <c r="AL5" s="65" t="s">
        <v>6</v>
      </c>
      <c r="AM5" s="6">
        <v>24</v>
      </c>
      <c r="AN5" s="7"/>
      <c r="AO5" s="3"/>
    </row>
    <row r="6" spans="1:41" ht="16.5">
      <c r="A6" s="6">
        <v>2</v>
      </c>
      <c r="B6" s="89">
        <v>783</v>
      </c>
      <c r="C6" s="89" t="s">
        <v>32</v>
      </c>
      <c r="D6" s="89" t="s">
        <v>187</v>
      </c>
      <c r="E6" s="5" t="s">
        <v>29</v>
      </c>
      <c r="F6" s="99" t="s">
        <v>17</v>
      </c>
      <c r="G6" s="99" t="s">
        <v>17</v>
      </c>
      <c r="H6" s="78"/>
      <c r="I6" s="99" t="s">
        <v>17</v>
      </c>
      <c r="J6" s="99" t="s">
        <v>17</v>
      </c>
      <c r="K6" s="99" t="s">
        <v>17</v>
      </c>
      <c r="L6" s="99" t="s">
        <v>17</v>
      </c>
      <c r="M6" s="99" t="s">
        <v>17</v>
      </c>
      <c r="N6" s="99" t="s">
        <v>17</v>
      </c>
      <c r="O6" s="78"/>
      <c r="P6" s="99" t="s">
        <v>17</v>
      </c>
      <c r="Q6" s="99" t="s">
        <v>17</v>
      </c>
      <c r="R6" s="99" t="s">
        <v>17</v>
      </c>
      <c r="S6" s="99" t="s">
        <v>17</v>
      </c>
      <c r="T6" s="99" t="s">
        <v>17</v>
      </c>
      <c r="U6" s="99" t="s">
        <v>17</v>
      </c>
      <c r="V6" s="78"/>
      <c r="W6" s="99" t="s">
        <v>17</v>
      </c>
      <c r="X6" s="99" t="s">
        <v>17</v>
      </c>
      <c r="Y6" s="99" t="s">
        <v>17</v>
      </c>
      <c r="Z6" s="99" t="s">
        <v>17</v>
      </c>
      <c r="AA6" s="99" t="s">
        <v>17</v>
      </c>
      <c r="AB6" s="99" t="s">
        <v>17</v>
      </c>
      <c r="AC6" s="78"/>
      <c r="AD6" s="99" t="s">
        <v>17</v>
      </c>
      <c r="AE6" s="99" t="s">
        <v>17</v>
      </c>
      <c r="AF6" s="99" t="s">
        <v>17</v>
      </c>
      <c r="AG6" s="99" t="s">
        <v>17</v>
      </c>
      <c r="AH6" s="99" t="s">
        <v>17</v>
      </c>
      <c r="AI6" s="99" t="s">
        <v>17</v>
      </c>
      <c r="AJ6" s="4">
        <f>COUNTIF(F6:AI6,"P")</f>
        <v>26</v>
      </c>
      <c r="AK6" s="4">
        <f>COUNTIF(F6:AI6,"A")</f>
        <v>0</v>
      </c>
      <c r="AL6" s="65" t="s">
        <v>7</v>
      </c>
      <c r="AM6" s="6">
        <v>4</v>
      </c>
      <c r="AN6" s="3"/>
      <c r="AO6" s="3"/>
    </row>
    <row r="7" spans="1:41" ht="16.5">
      <c r="A7" s="6">
        <v>3</v>
      </c>
      <c r="B7" s="92">
        <v>871</v>
      </c>
      <c r="C7" s="92" t="s">
        <v>188</v>
      </c>
      <c r="D7" s="92" t="s">
        <v>137</v>
      </c>
      <c r="E7" s="5" t="s">
        <v>29</v>
      </c>
      <c r="F7" s="99" t="s">
        <v>17</v>
      </c>
      <c r="G7" s="99" t="s">
        <v>17</v>
      </c>
      <c r="H7" s="78"/>
      <c r="I7" s="99" t="s">
        <v>17</v>
      </c>
      <c r="J7" s="99" t="s">
        <v>17</v>
      </c>
      <c r="K7" s="99" t="s">
        <v>17</v>
      </c>
      <c r="L7" s="99" t="s">
        <v>17</v>
      </c>
      <c r="M7" s="99" t="s">
        <v>17</v>
      </c>
      <c r="N7" s="99" t="s">
        <v>17</v>
      </c>
      <c r="O7" s="78"/>
      <c r="P7" s="99" t="s">
        <v>17</v>
      </c>
      <c r="Q7" s="99" t="s">
        <v>17</v>
      </c>
      <c r="R7" s="99" t="s">
        <v>17</v>
      </c>
      <c r="S7" s="99" t="s">
        <v>17</v>
      </c>
      <c r="T7" s="99" t="s">
        <v>17</v>
      </c>
      <c r="U7" s="99" t="s">
        <v>17</v>
      </c>
      <c r="V7" s="78"/>
      <c r="W7" s="99" t="s">
        <v>17</v>
      </c>
      <c r="X7" s="99" t="s">
        <v>17</v>
      </c>
      <c r="Y7" s="99" t="s">
        <v>17</v>
      </c>
      <c r="Z7" s="99" t="s">
        <v>17</v>
      </c>
      <c r="AA7" s="99" t="s">
        <v>17</v>
      </c>
      <c r="AB7" s="99" t="s">
        <v>17</v>
      </c>
      <c r="AC7" s="78"/>
      <c r="AD7" s="99" t="s">
        <v>17</v>
      </c>
      <c r="AE7" s="99" t="s">
        <v>17</v>
      </c>
      <c r="AF7" s="99" t="s">
        <v>17</v>
      </c>
      <c r="AG7" s="99" t="s">
        <v>17</v>
      </c>
      <c r="AH7" s="99" t="s">
        <v>17</v>
      </c>
      <c r="AI7" s="99" t="s">
        <v>17</v>
      </c>
      <c r="AJ7" s="4">
        <f>COUNTIF(F7:AI7,"P")</f>
        <v>26</v>
      </c>
      <c r="AK7" s="4">
        <f>COUNTIF(F7:AI7,"A")</f>
        <v>0</v>
      </c>
      <c r="AL7" s="65" t="s">
        <v>23</v>
      </c>
      <c r="AM7" s="6">
        <v>1</v>
      </c>
      <c r="AN7" s="3"/>
      <c r="AO7" s="3"/>
    </row>
    <row r="8" spans="1:41" ht="16.5">
      <c r="A8" s="6">
        <v>4</v>
      </c>
      <c r="B8" s="92">
        <v>785</v>
      </c>
      <c r="C8" s="92" t="s">
        <v>189</v>
      </c>
      <c r="D8" s="92" t="s">
        <v>190</v>
      </c>
      <c r="E8" s="5" t="s">
        <v>29</v>
      </c>
      <c r="F8" s="99" t="s">
        <v>17</v>
      </c>
      <c r="G8" s="99" t="s">
        <v>17</v>
      </c>
      <c r="H8" s="78"/>
      <c r="I8" s="99" t="s">
        <v>17</v>
      </c>
      <c r="J8" s="99" t="s">
        <v>17</v>
      </c>
      <c r="K8" s="99" t="s">
        <v>17</v>
      </c>
      <c r="L8" s="99" t="s">
        <v>17</v>
      </c>
      <c r="M8" s="99" t="s">
        <v>17</v>
      </c>
      <c r="N8" s="99" t="s">
        <v>17</v>
      </c>
      <c r="O8" s="78"/>
      <c r="P8" s="99" t="s">
        <v>17</v>
      </c>
      <c r="Q8" s="99" t="s">
        <v>17</v>
      </c>
      <c r="R8" s="99" t="s">
        <v>17</v>
      </c>
      <c r="S8" s="99" t="s">
        <v>17</v>
      </c>
      <c r="T8" s="99" t="s">
        <v>17</v>
      </c>
      <c r="U8" s="99" t="s">
        <v>17</v>
      </c>
      <c r="V8" s="78"/>
      <c r="W8" s="99" t="s">
        <v>17</v>
      </c>
      <c r="X8" s="99" t="s">
        <v>17</v>
      </c>
      <c r="Y8" s="99" t="s">
        <v>17</v>
      </c>
      <c r="Z8" s="99" t="s">
        <v>17</v>
      </c>
      <c r="AA8" s="99" t="s">
        <v>17</v>
      </c>
      <c r="AB8" s="99" t="s">
        <v>17</v>
      </c>
      <c r="AC8" s="78"/>
      <c r="AD8" s="99" t="s">
        <v>17</v>
      </c>
      <c r="AE8" s="99" t="s">
        <v>17</v>
      </c>
      <c r="AF8" s="99" t="s">
        <v>17</v>
      </c>
      <c r="AG8" s="99" t="s">
        <v>17</v>
      </c>
      <c r="AH8" s="99" t="s">
        <v>17</v>
      </c>
      <c r="AI8" s="99" t="s">
        <v>17</v>
      </c>
      <c r="AJ8" s="4">
        <f>COUNTIF(F8:AI8,"P")</f>
        <v>26</v>
      </c>
      <c r="AK8" s="4">
        <f>COUNTIF(F8:AI8,"A")</f>
        <v>0</v>
      </c>
      <c r="AL8" s="65" t="s">
        <v>21</v>
      </c>
      <c r="AM8" s="6">
        <v>1</v>
      </c>
      <c r="AN8"/>
      <c r="AO8"/>
    </row>
    <row r="9" spans="1:41" ht="16.5">
      <c r="A9" s="6">
        <v>5</v>
      </c>
      <c r="B9" s="92">
        <v>789</v>
      </c>
      <c r="C9" s="92" t="s">
        <v>154</v>
      </c>
      <c r="D9" s="92" t="s">
        <v>152</v>
      </c>
      <c r="E9" s="5" t="s">
        <v>29</v>
      </c>
      <c r="F9" s="99" t="s">
        <v>17</v>
      </c>
      <c r="G9" s="99" t="s">
        <v>17</v>
      </c>
      <c r="H9" s="78"/>
      <c r="I9" s="99" t="s">
        <v>17</v>
      </c>
      <c r="J9" s="99" t="s">
        <v>17</v>
      </c>
      <c r="K9" s="99" t="s">
        <v>17</v>
      </c>
      <c r="L9" s="99" t="s">
        <v>17</v>
      </c>
      <c r="M9" s="99" t="s">
        <v>17</v>
      </c>
      <c r="N9" s="99" t="s">
        <v>17</v>
      </c>
      <c r="O9" s="78"/>
      <c r="P9" s="99" t="s">
        <v>17</v>
      </c>
      <c r="Q9" s="99" t="s">
        <v>17</v>
      </c>
      <c r="R9" s="99" t="s">
        <v>17</v>
      </c>
      <c r="S9" s="99" t="s">
        <v>17</v>
      </c>
      <c r="T9" s="99" t="s">
        <v>17</v>
      </c>
      <c r="U9" s="99" t="s">
        <v>17</v>
      </c>
      <c r="V9" s="78"/>
      <c r="W9" s="99" t="s">
        <v>17</v>
      </c>
      <c r="X9" s="99" t="s">
        <v>17</v>
      </c>
      <c r="Y9" s="99" t="s">
        <v>17</v>
      </c>
      <c r="Z9" s="99" t="s">
        <v>17</v>
      </c>
      <c r="AA9" s="99" t="s">
        <v>17</v>
      </c>
      <c r="AB9" s="99" t="s">
        <v>17</v>
      </c>
      <c r="AC9" s="78"/>
      <c r="AD9" s="99" t="s">
        <v>17</v>
      </c>
      <c r="AE9" s="99" t="s">
        <v>17</v>
      </c>
      <c r="AF9" s="99" t="s">
        <v>17</v>
      </c>
      <c r="AG9" s="99" t="s">
        <v>17</v>
      </c>
      <c r="AH9" s="99" t="s">
        <v>17</v>
      </c>
      <c r="AI9" s="99" t="s">
        <v>17</v>
      </c>
      <c r="AJ9" s="4">
        <f>COUNTIF(F9:AI9,"P")</f>
        <v>26</v>
      </c>
      <c r="AK9" s="4">
        <f>COUNTIF(F9:AI9,"A")</f>
        <v>0</v>
      </c>
      <c r="AL9" s="65"/>
      <c r="AM9" s="6"/>
    </row>
    <row r="10" spans="1:41" ht="16.5">
      <c r="A10" s="6">
        <v>6</v>
      </c>
      <c r="B10" s="89">
        <v>797</v>
      </c>
      <c r="C10" s="89" t="s">
        <v>191</v>
      </c>
      <c r="D10" s="89" t="s">
        <v>147</v>
      </c>
      <c r="E10" s="5" t="s">
        <v>29</v>
      </c>
      <c r="F10" s="99" t="s">
        <v>17</v>
      </c>
      <c r="G10" s="99" t="s">
        <v>17</v>
      </c>
      <c r="H10" s="78"/>
      <c r="I10" s="99" t="s">
        <v>17</v>
      </c>
      <c r="J10" s="99" t="s">
        <v>17</v>
      </c>
      <c r="K10" s="99" t="s">
        <v>17</v>
      </c>
      <c r="L10" s="99" t="s">
        <v>17</v>
      </c>
      <c r="M10" s="99" t="s">
        <v>17</v>
      </c>
      <c r="N10" s="99" t="s">
        <v>17</v>
      </c>
      <c r="O10" s="78"/>
      <c r="P10" s="99" t="s">
        <v>17</v>
      </c>
      <c r="Q10" s="99" t="s">
        <v>17</v>
      </c>
      <c r="R10" s="99" t="s">
        <v>17</v>
      </c>
      <c r="S10" s="99" t="s">
        <v>17</v>
      </c>
      <c r="T10" s="99" t="s">
        <v>17</v>
      </c>
      <c r="U10" s="99" t="s">
        <v>17</v>
      </c>
      <c r="V10" s="78"/>
      <c r="W10" s="99" t="s">
        <v>17</v>
      </c>
      <c r="X10" s="99" t="s">
        <v>17</v>
      </c>
      <c r="Y10" s="99" t="s">
        <v>17</v>
      </c>
      <c r="Z10" s="99" t="s">
        <v>17</v>
      </c>
      <c r="AA10" s="99" t="s">
        <v>17</v>
      </c>
      <c r="AB10" s="99" t="s">
        <v>17</v>
      </c>
      <c r="AC10" s="78"/>
      <c r="AD10" s="99" t="s">
        <v>17</v>
      </c>
      <c r="AE10" s="99" t="s">
        <v>17</v>
      </c>
      <c r="AF10" s="99" t="s">
        <v>17</v>
      </c>
      <c r="AG10" s="99" t="s">
        <v>17</v>
      </c>
      <c r="AH10" s="99" t="s">
        <v>17</v>
      </c>
      <c r="AI10" s="99" t="s">
        <v>17</v>
      </c>
      <c r="AJ10" s="4">
        <f>COUNTIF(F10:AI10,"P")</f>
        <v>26</v>
      </c>
      <c r="AK10" s="4">
        <f>COUNTIF(F10:AI10,"A")</f>
        <v>0</v>
      </c>
    </row>
    <row r="11" spans="1:41" ht="16.5">
      <c r="A11" s="6">
        <v>7</v>
      </c>
      <c r="B11" s="92">
        <v>786</v>
      </c>
      <c r="C11" s="92" t="s">
        <v>78</v>
      </c>
      <c r="D11" s="92" t="s">
        <v>192</v>
      </c>
      <c r="E11" s="5" t="s">
        <v>29</v>
      </c>
      <c r="F11" s="99" t="s">
        <v>17</v>
      </c>
      <c r="G11" s="99" t="s">
        <v>17</v>
      </c>
      <c r="H11" s="78"/>
      <c r="I11" s="99" t="s">
        <v>17</v>
      </c>
      <c r="J11" s="99" t="s">
        <v>17</v>
      </c>
      <c r="K11" s="99" t="s">
        <v>17</v>
      </c>
      <c r="L11" s="99" t="s">
        <v>17</v>
      </c>
      <c r="M11" s="99" t="s">
        <v>17</v>
      </c>
      <c r="N11" s="99" t="s">
        <v>17</v>
      </c>
      <c r="O11" s="78"/>
      <c r="P11" s="99" t="s">
        <v>17</v>
      </c>
      <c r="Q11" s="99" t="s">
        <v>17</v>
      </c>
      <c r="R11" s="99" t="s">
        <v>17</v>
      </c>
      <c r="S11" s="99" t="s">
        <v>17</v>
      </c>
      <c r="T11" s="99" t="s">
        <v>17</v>
      </c>
      <c r="U11" s="99" t="s">
        <v>17</v>
      </c>
      <c r="V11" s="78"/>
      <c r="W11" s="99" t="s">
        <v>17</v>
      </c>
      <c r="X11" s="99" t="s">
        <v>17</v>
      </c>
      <c r="Y11" s="99" t="s">
        <v>17</v>
      </c>
      <c r="Z11" s="99" t="s">
        <v>17</v>
      </c>
      <c r="AA11" s="99" t="s">
        <v>17</v>
      </c>
      <c r="AB11" s="99" t="s">
        <v>17</v>
      </c>
      <c r="AC11" s="78"/>
      <c r="AD11" s="99" t="s">
        <v>17</v>
      </c>
      <c r="AE11" s="99" t="s">
        <v>17</v>
      </c>
      <c r="AF11" s="99" t="s">
        <v>17</v>
      </c>
      <c r="AG11" s="99" t="s">
        <v>17</v>
      </c>
      <c r="AH11" s="99" t="s">
        <v>17</v>
      </c>
      <c r="AI11" s="99" t="s">
        <v>17</v>
      </c>
      <c r="AJ11" s="4">
        <f>COUNTIF(F11:AI11,"P")</f>
        <v>26</v>
      </c>
      <c r="AK11" s="4">
        <f>COUNTIF(F11:AI11,"A")</f>
        <v>0</v>
      </c>
      <c r="AL11" s="75" t="s">
        <v>8</v>
      </c>
      <c r="AM11" s="75"/>
      <c r="AN11" s="75"/>
      <c r="AO11" s="76"/>
    </row>
    <row r="12" spans="1:41" ht="16.5">
      <c r="A12" s="6">
        <v>8</v>
      </c>
      <c r="B12" s="89">
        <v>787</v>
      </c>
      <c r="C12" s="89" t="s">
        <v>193</v>
      </c>
      <c r="D12" s="89" t="s">
        <v>192</v>
      </c>
      <c r="E12" s="5" t="s">
        <v>29</v>
      </c>
      <c r="F12" s="99" t="s">
        <v>17</v>
      </c>
      <c r="G12" s="99" t="s">
        <v>17</v>
      </c>
      <c r="H12" s="78"/>
      <c r="I12" s="99" t="s">
        <v>17</v>
      </c>
      <c r="J12" s="99" t="s">
        <v>17</v>
      </c>
      <c r="K12" s="99" t="s">
        <v>17</v>
      </c>
      <c r="L12" s="99" t="s">
        <v>17</v>
      </c>
      <c r="M12" s="99" t="s">
        <v>17</v>
      </c>
      <c r="N12" s="99" t="s">
        <v>17</v>
      </c>
      <c r="O12" s="78"/>
      <c r="P12" s="99" t="s">
        <v>17</v>
      </c>
      <c r="Q12" s="99" t="s">
        <v>17</v>
      </c>
      <c r="R12" s="99" t="s">
        <v>17</v>
      </c>
      <c r="S12" s="99" t="s">
        <v>17</v>
      </c>
      <c r="T12" s="99" t="s">
        <v>17</v>
      </c>
      <c r="U12" s="99" t="s">
        <v>17</v>
      </c>
      <c r="V12" s="78"/>
      <c r="W12" s="99" t="s">
        <v>17</v>
      </c>
      <c r="X12" s="99" t="s">
        <v>17</v>
      </c>
      <c r="Y12" s="99" t="s">
        <v>17</v>
      </c>
      <c r="Z12" s="99" t="s">
        <v>17</v>
      </c>
      <c r="AA12" s="99" t="s">
        <v>17</v>
      </c>
      <c r="AB12" s="99" t="s">
        <v>17</v>
      </c>
      <c r="AC12" s="78"/>
      <c r="AD12" s="99" t="s">
        <v>17</v>
      </c>
      <c r="AE12" s="99" t="s">
        <v>17</v>
      </c>
      <c r="AF12" s="99" t="s">
        <v>17</v>
      </c>
      <c r="AG12" s="99" t="s">
        <v>17</v>
      </c>
      <c r="AH12" s="99" t="s">
        <v>17</v>
      </c>
      <c r="AI12" s="99" t="s">
        <v>17</v>
      </c>
      <c r="AJ12" s="4">
        <f>COUNTIF(F12:AI12,"P")</f>
        <v>26</v>
      </c>
      <c r="AK12" s="4">
        <f>COUNTIF(F12:AI12,"A")</f>
        <v>0</v>
      </c>
      <c r="AL12" s="65" t="s">
        <v>9</v>
      </c>
      <c r="AM12" s="4" t="s">
        <v>10</v>
      </c>
      <c r="AN12" s="4" t="s">
        <v>11</v>
      </c>
      <c r="AO12" s="4" t="s">
        <v>12</v>
      </c>
    </row>
  </sheetData>
  <mergeCells count="15">
    <mergeCell ref="AJ3:AJ4"/>
    <mergeCell ref="AK3:AK4"/>
    <mergeCell ref="AL3:AM3"/>
    <mergeCell ref="H5:H12"/>
    <mergeCell ref="O5:O12"/>
    <mergeCell ref="V5:V12"/>
    <mergeCell ref="AC5:AC12"/>
    <mergeCell ref="AL11:AO11"/>
    <mergeCell ref="A1:AI1"/>
    <mergeCell ref="A2:AI2"/>
    <mergeCell ref="A3:A4"/>
    <mergeCell ref="B3:B4"/>
    <mergeCell ref="C3:C4"/>
    <mergeCell ref="D3:D4"/>
    <mergeCell ref="E3:E4"/>
  </mergeCells>
  <conditionalFormatting sqref="F5:G12 I5:I12">
    <cfRule type="cellIs" dxfId="334" priority="153" operator="equal">
      <formula>"L"</formula>
    </cfRule>
    <cfRule type="expression" dxfId="333" priority="154">
      <formula>F$4=TODAY()</formula>
    </cfRule>
    <cfRule type="cellIs" dxfId="332" priority="155" operator="equal">
      <formula>"A"</formula>
    </cfRule>
    <cfRule type="cellIs" dxfId="331" priority="156" operator="equal">
      <formula>"P"</formula>
    </cfRule>
    <cfRule type="expression" dxfId="330" priority="157">
      <formula>F$3="Sun"</formula>
    </cfRule>
  </conditionalFormatting>
  <conditionalFormatting sqref="F3:AI4">
    <cfRule type="expression" dxfId="329" priority="158">
      <formula>F$4=TODAY()</formula>
    </cfRule>
    <cfRule type="expression" dxfId="328" priority="159">
      <formula>F$3="Sun"</formula>
    </cfRule>
  </conditionalFormatting>
  <conditionalFormatting sqref="AJ3:AK3 AJ5:AK12">
    <cfRule type="expression" dxfId="327" priority="160">
      <formula>#REF!="Sun"</formula>
    </cfRule>
  </conditionalFormatting>
  <conditionalFormatting sqref="AL5:AL9">
    <cfRule type="expression" dxfId="326" priority="164">
      <formula>AL$3="Sun"</formula>
    </cfRule>
  </conditionalFormatting>
  <conditionalFormatting sqref="AL12">
    <cfRule type="expression" dxfId="325" priority="162">
      <formula>AL$3="Sun"</formula>
    </cfRule>
  </conditionalFormatting>
  <conditionalFormatting sqref="AL4:AM4">
    <cfRule type="expression" dxfId="323" priority="165">
      <formula>AL$3="Sun"</formula>
    </cfRule>
  </conditionalFormatting>
  <conditionalFormatting sqref="AM12:AO12">
    <cfRule type="expression" dxfId="322" priority="166">
      <formula>AM$3="Sun"</formula>
    </cfRule>
  </conditionalFormatting>
  <conditionalFormatting sqref="K5:K12">
    <cfRule type="cellIs" dxfId="320" priority="148" operator="equal">
      <formula>"L"</formula>
    </cfRule>
    <cfRule type="expression" dxfId="319" priority="149">
      <formula>K$4=TODAY()</formula>
    </cfRule>
    <cfRule type="cellIs" dxfId="318" priority="150" operator="equal">
      <formula>"A"</formula>
    </cfRule>
    <cfRule type="cellIs" dxfId="317" priority="151" operator="equal">
      <formula>"P"</formula>
    </cfRule>
    <cfRule type="expression" dxfId="316" priority="152">
      <formula>K$3="Sun"</formula>
    </cfRule>
  </conditionalFormatting>
  <conditionalFormatting sqref="J5:J12">
    <cfRule type="cellIs" dxfId="315" priority="143" operator="equal">
      <formula>"L"</formula>
    </cfRule>
    <cfRule type="expression" dxfId="314" priority="144">
      <formula>J$4=TODAY()</formula>
    </cfRule>
    <cfRule type="cellIs" dxfId="313" priority="145" operator="equal">
      <formula>"A"</formula>
    </cfRule>
    <cfRule type="cellIs" dxfId="312" priority="146" operator="equal">
      <formula>"P"</formula>
    </cfRule>
    <cfRule type="expression" dxfId="311" priority="147">
      <formula>J$3="Sun"</formula>
    </cfRule>
  </conditionalFormatting>
  <conditionalFormatting sqref="L5:L12">
    <cfRule type="cellIs" dxfId="310" priority="138" operator="equal">
      <formula>"L"</formula>
    </cfRule>
    <cfRule type="expression" dxfId="309" priority="139">
      <formula>L$4=TODAY()</formula>
    </cfRule>
    <cfRule type="cellIs" dxfId="308" priority="140" operator="equal">
      <formula>"A"</formula>
    </cfRule>
    <cfRule type="cellIs" dxfId="307" priority="141" operator="equal">
      <formula>"P"</formula>
    </cfRule>
    <cfRule type="expression" dxfId="306" priority="142">
      <formula>L$3="Sun"</formula>
    </cfRule>
  </conditionalFormatting>
  <conditionalFormatting sqref="M5:M12">
    <cfRule type="cellIs" dxfId="305" priority="133" operator="equal">
      <formula>"L"</formula>
    </cfRule>
    <cfRule type="expression" dxfId="304" priority="134">
      <formula>M$4=TODAY()</formula>
    </cfRule>
    <cfRule type="cellIs" dxfId="303" priority="135" operator="equal">
      <formula>"A"</formula>
    </cfRule>
    <cfRule type="cellIs" dxfId="302" priority="136" operator="equal">
      <formula>"P"</formula>
    </cfRule>
    <cfRule type="expression" dxfId="301" priority="137">
      <formula>M$3="Sun"</formula>
    </cfRule>
  </conditionalFormatting>
  <conditionalFormatting sqref="N5:N12">
    <cfRule type="cellIs" dxfId="300" priority="128" operator="equal">
      <formula>"L"</formula>
    </cfRule>
    <cfRule type="expression" dxfId="299" priority="129">
      <formula>N$4=TODAY()</formula>
    </cfRule>
    <cfRule type="cellIs" dxfId="298" priority="130" operator="equal">
      <formula>"A"</formula>
    </cfRule>
    <cfRule type="cellIs" dxfId="297" priority="131" operator="equal">
      <formula>"P"</formula>
    </cfRule>
    <cfRule type="expression" dxfId="296" priority="132">
      <formula>N$3="Sun"</formula>
    </cfRule>
  </conditionalFormatting>
  <conditionalFormatting sqref="P5:P12">
    <cfRule type="cellIs" dxfId="295" priority="123" operator="equal">
      <formula>"L"</formula>
    </cfRule>
    <cfRule type="expression" dxfId="294" priority="124">
      <formula>P$4=TODAY()</formula>
    </cfRule>
    <cfRule type="cellIs" dxfId="293" priority="125" operator="equal">
      <formula>"A"</formula>
    </cfRule>
    <cfRule type="cellIs" dxfId="292" priority="126" operator="equal">
      <formula>"P"</formula>
    </cfRule>
    <cfRule type="expression" dxfId="291" priority="127">
      <formula>P$3="Sun"</formula>
    </cfRule>
  </conditionalFormatting>
  <conditionalFormatting sqref="Q5:Q12">
    <cfRule type="cellIs" dxfId="290" priority="118" operator="equal">
      <formula>"L"</formula>
    </cfRule>
    <cfRule type="expression" dxfId="289" priority="119">
      <formula>Q$4=TODAY()</formula>
    </cfRule>
    <cfRule type="cellIs" dxfId="288" priority="120" operator="equal">
      <formula>"A"</formula>
    </cfRule>
    <cfRule type="cellIs" dxfId="287" priority="121" operator="equal">
      <formula>"P"</formula>
    </cfRule>
    <cfRule type="expression" dxfId="286" priority="122">
      <formula>Q$3="Sun"</formula>
    </cfRule>
  </conditionalFormatting>
  <conditionalFormatting sqref="R5:R12">
    <cfRule type="cellIs" dxfId="285" priority="113" operator="equal">
      <formula>"L"</formula>
    </cfRule>
    <cfRule type="expression" dxfId="284" priority="114">
      <formula>R$4=TODAY()</formula>
    </cfRule>
    <cfRule type="cellIs" dxfId="283" priority="115" operator="equal">
      <formula>"A"</formula>
    </cfRule>
    <cfRule type="cellIs" dxfId="282" priority="116" operator="equal">
      <formula>"P"</formula>
    </cfRule>
    <cfRule type="expression" dxfId="281" priority="117">
      <formula>R$3="Sun"</formula>
    </cfRule>
  </conditionalFormatting>
  <conditionalFormatting sqref="S5:S12">
    <cfRule type="cellIs" dxfId="280" priority="108" operator="equal">
      <formula>"L"</formula>
    </cfRule>
    <cfRule type="expression" dxfId="279" priority="109">
      <formula>S$4=TODAY()</formula>
    </cfRule>
    <cfRule type="cellIs" dxfId="278" priority="110" operator="equal">
      <formula>"A"</formula>
    </cfRule>
    <cfRule type="cellIs" dxfId="277" priority="111" operator="equal">
      <formula>"P"</formula>
    </cfRule>
    <cfRule type="expression" dxfId="276" priority="112">
      <formula>S$3="Sun"</formula>
    </cfRule>
  </conditionalFormatting>
  <conditionalFormatting sqref="T5:T12">
    <cfRule type="cellIs" dxfId="275" priority="103" operator="equal">
      <formula>"L"</formula>
    </cfRule>
    <cfRule type="expression" dxfId="274" priority="104">
      <formula>T$4=TODAY()</formula>
    </cfRule>
    <cfRule type="cellIs" dxfId="273" priority="105" operator="equal">
      <formula>"A"</formula>
    </cfRule>
    <cfRule type="cellIs" dxfId="272" priority="106" operator="equal">
      <formula>"P"</formula>
    </cfRule>
    <cfRule type="expression" dxfId="271" priority="107">
      <formula>T$3="Sun"</formula>
    </cfRule>
  </conditionalFormatting>
  <conditionalFormatting sqref="U5:U12">
    <cfRule type="cellIs" dxfId="270" priority="98" operator="equal">
      <formula>"L"</formula>
    </cfRule>
    <cfRule type="expression" dxfId="269" priority="99">
      <formula>U$4=TODAY()</formula>
    </cfRule>
    <cfRule type="cellIs" dxfId="268" priority="100" operator="equal">
      <formula>"A"</formula>
    </cfRule>
    <cfRule type="cellIs" dxfId="267" priority="101" operator="equal">
      <formula>"P"</formula>
    </cfRule>
    <cfRule type="expression" dxfId="266" priority="102">
      <formula>U$3="Sun"</formula>
    </cfRule>
  </conditionalFormatting>
  <conditionalFormatting sqref="W5:W12">
    <cfRule type="cellIs" dxfId="265" priority="93" operator="equal">
      <formula>"L"</formula>
    </cfRule>
    <cfRule type="expression" dxfId="264" priority="94">
      <formula>W$4=TODAY()</formula>
    </cfRule>
    <cfRule type="cellIs" dxfId="263" priority="95" operator="equal">
      <formula>"A"</formula>
    </cfRule>
    <cfRule type="cellIs" dxfId="262" priority="96" operator="equal">
      <formula>"P"</formula>
    </cfRule>
    <cfRule type="expression" dxfId="261" priority="97">
      <formula>W$3="Sun"</formula>
    </cfRule>
  </conditionalFormatting>
  <conditionalFormatting sqref="X5:X12">
    <cfRule type="cellIs" dxfId="260" priority="88" operator="equal">
      <formula>"L"</formula>
    </cfRule>
    <cfRule type="expression" dxfId="259" priority="89">
      <formula>X$4=TODAY()</formula>
    </cfRule>
    <cfRule type="cellIs" dxfId="258" priority="90" operator="equal">
      <formula>"A"</formula>
    </cfRule>
    <cfRule type="cellIs" dxfId="257" priority="91" operator="equal">
      <formula>"P"</formula>
    </cfRule>
    <cfRule type="expression" dxfId="256" priority="92">
      <formula>X$3="Sun"</formula>
    </cfRule>
  </conditionalFormatting>
  <conditionalFormatting sqref="Y5:Y12">
    <cfRule type="cellIs" dxfId="255" priority="83" operator="equal">
      <formula>"L"</formula>
    </cfRule>
    <cfRule type="expression" dxfId="254" priority="84">
      <formula>Y$4=TODAY()</formula>
    </cfRule>
    <cfRule type="cellIs" dxfId="253" priority="85" operator="equal">
      <formula>"A"</formula>
    </cfRule>
    <cfRule type="cellIs" dxfId="252" priority="86" operator="equal">
      <formula>"P"</formula>
    </cfRule>
    <cfRule type="expression" dxfId="251" priority="87">
      <formula>Y$3="Sun"</formula>
    </cfRule>
  </conditionalFormatting>
  <conditionalFormatting sqref="Z5:Z12">
    <cfRule type="cellIs" dxfId="250" priority="78" operator="equal">
      <formula>"L"</formula>
    </cfRule>
    <cfRule type="expression" dxfId="249" priority="79">
      <formula>Z$4=TODAY()</formula>
    </cfRule>
    <cfRule type="cellIs" dxfId="248" priority="80" operator="equal">
      <formula>"A"</formula>
    </cfRule>
    <cfRule type="cellIs" dxfId="247" priority="81" operator="equal">
      <formula>"P"</formula>
    </cfRule>
    <cfRule type="expression" dxfId="246" priority="82">
      <formula>Z$3="Sun"</formula>
    </cfRule>
  </conditionalFormatting>
  <conditionalFormatting sqref="AA5:AA12">
    <cfRule type="cellIs" dxfId="245" priority="73" operator="equal">
      <formula>"L"</formula>
    </cfRule>
    <cfRule type="expression" dxfId="244" priority="74">
      <formula>AA$4=TODAY()</formula>
    </cfRule>
    <cfRule type="cellIs" dxfId="243" priority="75" operator="equal">
      <formula>"A"</formula>
    </cfRule>
    <cfRule type="cellIs" dxfId="242" priority="76" operator="equal">
      <formula>"P"</formula>
    </cfRule>
    <cfRule type="expression" dxfId="241" priority="77">
      <formula>AA$3="Sun"</formula>
    </cfRule>
  </conditionalFormatting>
  <conditionalFormatting sqref="AB5:AB12">
    <cfRule type="cellIs" dxfId="240" priority="68" operator="equal">
      <formula>"L"</formula>
    </cfRule>
    <cfRule type="expression" dxfId="239" priority="69">
      <formula>AB$4=TODAY()</formula>
    </cfRule>
    <cfRule type="cellIs" dxfId="238" priority="70" operator="equal">
      <formula>"A"</formula>
    </cfRule>
    <cfRule type="cellIs" dxfId="237" priority="71" operator="equal">
      <formula>"P"</formula>
    </cfRule>
    <cfRule type="expression" dxfId="236" priority="72">
      <formula>AB$3="Sun"</formula>
    </cfRule>
  </conditionalFormatting>
  <conditionalFormatting sqref="AD5:AD12">
    <cfRule type="cellIs" dxfId="235" priority="63" operator="equal">
      <formula>"L"</formula>
    </cfRule>
    <cfRule type="expression" dxfId="234" priority="64">
      <formula>AD$4=TODAY()</formula>
    </cfRule>
    <cfRule type="cellIs" dxfId="233" priority="65" operator="equal">
      <formula>"A"</formula>
    </cfRule>
    <cfRule type="cellIs" dxfId="232" priority="66" operator="equal">
      <formula>"P"</formula>
    </cfRule>
    <cfRule type="expression" dxfId="231" priority="67">
      <formula>AD$3="Sun"</formula>
    </cfRule>
  </conditionalFormatting>
  <conditionalFormatting sqref="AF5:AF12">
    <cfRule type="cellIs" dxfId="230" priority="58" operator="equal">
      <formula>"L"</formula>
    </cfRule>
    <cfRule type="expression" dxfId="229" priority="59">
      <formula>AF$4=TODAY()</formula>
    </cfRule>
    <cfRule type="cellIs" dxfId="228" priority="60" operator="equal">
      <formula>"A"</formula>
    </cfRule>
    <cfRule type="cellIs" dxfId="227" priority="61" operator="equal">
      <formula>"P"</formula>
    </cfRule>
    <cfRule type="expression" dxfId="226" priority="62">
      <formula>AF$3="Sun"</formula>
    </cfRule>
  </conditionalFormatting>
  <conditionalFormatting sqref="AG5:AG12">
    <cfRule type="cellIs" dxfId="225" priority="53" operator="equal">
      <formula>"L"</formula>
    </cfRule>
    <cfRule type="expression" dxfId="224" priority="54">
      <formula>AG$4=TODAY()</formula>
    </cfRule>
    <cfRule type="cellIs" dxfId="223" priority="55" operator="equal">
      <formula>"A"</formula>
    </cfRule>
    <cfRule type="cellIs" dxfId="222" priority="56" operator="equal">
      <formula>"P"</formula>
    </cfRule>
    <cfRule type="expression" dxfId="221" priority="57">
      <formula>AG$3="Sun"</formula>
    </cfRule>
  </conditionalFormatting>
  <conditionalFormatting sqref="AH5:AH12">
    <cfRule type="cellIs" dxfId="220" priority="48" operator="equal">
      <formula>"L"</formula>
    </cfRule>
    <cfRule type="expression" dxfId="219" priority="49">
      <formula>AH$4=TODAY()</formula>
    </cfRule>
    <cfRule type="cellIs" dxfId="218" priority="50" operator="equal">
      <formula>"A"</formula>
    </cfRule>
    <cfRule type="cellIs" dxfId="217" priority="51" operator="equal">
      <formula>"P"</formula>
    </cfRule>
    <cfRule type="expression" dxfId="216" priority="52">
      <formula>AH$3="Sun"</formula>
    </cfRule>
  </conditionalFormatting>
  <conditionalFormatting sqref="AI5:AI12">
    <cfRule type="cellIs" dxfId="215" priority="43" operator="equal">
      <formula>"L"</formula>
    </cfRule>
    <cfRule type="expression" dxfId="214" priority="44">
      <formula>AI$4=TODAY()</formula>
    </cfRule>
    <cfRule type="cellIs" dxfId="213" priority="45" operator="equal">
      <formula>"A"</formula>
    </cfRule>
    <cfRule type="cellIs" dxfId="212" priority="46" operator="equal">
      <formula>"P"</formula>
    </cfRule>
    <cfRule type="expression" dxfId="211" priority="47">
      <formula>AI$3="Sun"</formula>
    </cfRule>
  </conditionalFormatting>
  <conditionalFormatting sqref="H5">
    <cfRule type="cellIs" dxfId="210" priority="38" operator="equal">
      <formula>"L"</formula>
    </cfRule>
    <cfRule type="expression" dxfId="209" priority="39">
      <formula>H$4=TODAY()</formula>
    </cfRule>
    <cfRule type="cellIs" dxfId="208" priority="40" operator="equal">
      <formula>"A"</formula>
    </cfRule>
    <cfRule type="cellIs" dxfId="207" priority="41" operator="equal">
      <formula>"P"</formula>
    </cfRule>
    <cfRule type="expression" dxfId="206" priority="42">
      <formula>H$3="Sun"</formula>
    </cfRule>
  </conditionalFormatting>
  <conditionalFormatting sqref="AE5:AE12">
    <cfRule type="cellIs" dxfId="190" priority="18" operator="equal">
      <formula>"L"</formula>
    </cfRule>
    <cfRule type="expression" dxfId="189" priority="19">
      <formula>AE$4=TODAY()</formula>
    </cfRule>
    <cfRule type="cellIs" dxfId="188" priority="20" operator="equal">
      <formula>"A"</formula>
    </cfRule>
    <cfRule type="cellIs" dxfId="187" priority="21" operator="equal">
      <formula>"P"</formula>
    </cfRule>
    <cfRule type="expression" dxfId="186" priority="22">
      <formula>AE$3="Sun"</formula>
    </cfRule>
  </conditionalFormatting>
  <conditionalFormatting sqref="B5:B12">
    <cfRule type="duplicateValues" dxfId="184" priority="16"/>
  </conditionalFormatting>
  <conditionalFormatting sqref="O5">
    <cfRule type="cellIs" dxfId="183" priority="11" operator="equal">
      <formula>"L"</formula>
    </cfRule>
    <cfRule type="expression" dxfId="182" priority="12">
      <formula>O$4=TODAY()</formula>
    </cfRule>
    <cfRule type="cellIs" dxfId="181" priority="13" operator="equal">
      <formula>"A"</formula>
    </cfRule>
    <cfRule type="cellIs" dxfId="180" priority="14" operator="equal">
      <formula>"P"</formula>
    </cfRule>
    <cfRule type="expression" dxfId="179" priority="15">
      <formula>O$3="Sun"</formula>
    </cfRule>
  </conditionalFormatting>
  <conditionalFormatting sqref="V5">
    <cfRule type="cellIs" dxfId="178" priority="6" operator="equal">
      <formula>"L"</formula>
    </cfRule>
    <cfRule type="expression" dxfId="177" priority="7">
      <formula>V$4=TODAY()</formula>
    </cfRule>
    <cfRule type="cellIs" dxfId="176" priority="8" operator="equal">
      <formula>"A"</formula>
    </cfRule>
    <cfRule type="cellIs" dxfId="175" priority="9" operator="equal">
      <formula>"P"</formula>
    </cfRule>
    <cfRule type="expression" dxfId="174" priority="10">
      <formula>V$3="Sun"</formula>
    </cfRule>
  </conditionalFormatting>
  <conditionalFormatting sqref="AC5">
    <cfRule type="cellIs" dxfId="173" priority="1" operator="equal">
      <formula>"L"</formula>
    </cfRule>
    <cfRule type="expression" dxfId="172" priority="2">
      <formula>AC$4=TODAY()</formula>
    </cfRule>
    <cfRule type="cellIs" dxfId="171" priority="3" operator="equal">
      <formula>"A"</formula>
    </cfRule>
    <cfRule type="cellIs" dxfId="170" priority="4" operator="equal">
      <formula>"P"</formula>
    </cfRule>
    <cfRule type="expression" dxfId="169" priority="5">
      <formula>AC$3="Sun"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BC41-B82C-408B-8E5D-CFAC3102B18E}">
  <dimension ref="A1:AO13"/>
  <sheetViews>
    <sheetView topLeftCell="A2" zoomScale="98" zoomScaleNormal="98" workbookViewId="0">
      <selection activeCell="AC5" sqref="AC5:AC13"/>
    </sheetView>
  </sheetViews>
  <sheetFormatPr defaultColWidth="3.85546875" defaultRowHeight="1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9" width="3.7109375" style="1" bestFit="1" customWidth="1"/>
    <col min="10" max="10" width="3.85546875" style="1"/>
    <col min="11" max="11" width="4.5703125" style="1" bestFit="1" customWidth="1"/>
    <col min="12" max="12" width="3.85546875" style="1"/>
    <col min="13" max="13" width="4.85546875" style="1" customWidth="1"/>
    <col min="14" max="15" width="3.7109375" style="1" bestFit="1" customWidth="1"/>
    <col min="16" max="16" width="3.85546875" style="1"/>
    <col min="17" max="17" width="4.5703125" style="1" bestFit="1" customWidth="1"/>
    <col min="18" max="19" width="4.5703125" style="1" customWidth="1"/>
    <col min="20" max="20" width="4.7109375" style="1" bestFit="1" customWidth="1"/>
    <col min="21" max="22" width="3.7109375" style="1" bestFit="1" customWidth="1"/>
    <col min="23" max="23" width="3.85546875" style="1"/>
    <col min="24" max="24" width="4.5703125" style="1" bestFit="1" customWidth="1"/>
    <col min="25" max="25" width="3.85546875" style="1"/>
    <col min="26" max="26" width="4.7109375" style="1" bestFit="1" customWidth="1"/>
    <col min="27" max="27" width="3.85546875" style="1"/>
    <col min="28" max="29" width="3.7109375" style="1" bestFit="1" customWidth="1"/>
    <col min="30" max="30" width="3.85546875" style="1"/>
    <col min="31" max="31" width="4.5703125" style="1" bestFit="1" customWidth="1"/>
    <col min="32" max="35" width="3.85546875" style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79" t="s">
        <v>59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10"/>
      <c r="AK1" s="10"/>
    </row>
    <row r="2" spans="1:41" ht="17.25">
      <c r="A2" s="80" t="s">
        <v>60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11"/>
      <c r="AK2" s="11"/>
      <c r="AL2" s="11"/>
    </row>
    <row r="3" spans="1:41" ht="15.75">
      <c r="A3" s="81" t="s">
        <v>0</v>
      </c>
      <c r="B3" s="97" t="s">
        <v>111</v>
      </c>
      <c r="C3" s="81" t="s">
        <v>1</v>
      </c>
      <c r="D3" s="81" t="s">
        <v>2</v>
      </c>
      <c r="E3" s="81" t="s">
        <v>3</v>
      </c>
      <c r="F3" s="2" t="str">
        <f>TEXT(F4,"ddd")</f>
        <v>Fri</v>
      </c>
      <c r="G3" s="2" t="str">
        <f t="shared" ref="G3:AI3" si="0">TEXT(G4,"ddd")</f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73" t="s">
        <v>4</v>
      </c>
      <c r="AK3" s="73" t="s">
        <v>5</v>
      </c>
      <c r="AL3" s="74" t="s">
        <v>19</v>
      </c>
      <c r="AM3" s="75"/>
      <c r="AN3" s="3"/>
      <c r="AO3" s="3"/>
    </row>
    <row r="4" spans="1:41" ht="37.5">
      <c r="A4" s="81"/>
      <c r="B4" s="98"/>
      <c r="C4" s="81"/>
      <c r="D4" s="81"/>
      <c r="E4" s="81"/>
      <c r="F4" s="9">
        <v>45597</v>
      </c>
      <c r="G4" s="9">
        <v>45598</v>
      </c>
      <c r="H4" s="9">
        <v>45599</v>
      </c>
      <c r="I4" s="9">
        <v>45600</v>
      </c>
      <c r="J4" s="9">
        <v>45601</v>
      </c>
      <c r="K4" s="9">
        <v>45602</v>
      </c>
      <c r="L4" s="9">
        <v>45603</v>
      </c>
      <c r="M4" s="9">
        <v>45604</v>
      </c>
      <c r="N4" s="9">
        <v>45605</v>
      </c>
      <c r="O4" s="9">
        <v>45606</v>
      </c>
      <c r="P4" s="9">
        <v>45607</v>
      </c>
      <c r="Q4" s="9">
        <v>45608</v>
      </c>
      <c r="R4" s="9">
        <v>45609</v>
      </c>
      <c r="S4" s="9">
        <v>45610</v>
      </c>
      <c r="T4" s="9">
        <v>45611</v>
      </c>
      <c r="U4" s="9">
        <v>45612</v>
      </c>
      <c r="V4" s="9">
        <v>45613</v>
      </c>
      <c r="W4" s="9">
        <v>45614</v>
      </c>
      <c r="X4" s="9">
        <v>45615</v>
      </c>
      <c r="Y4" s="9">
        <v>45616</v>
      </c>
      <c r="Z4" s="9">
        <v>45617</v>
      </c>
      <c r="AA4" s="9">
        <v>45618</v>
      </c>
      <c r="AB4" s="9">
        <v>45619</v>
      </c>
      <c r="AC4" s="9">
        <v>45620</v>
      </c>
      <c r="AD4" s="9">
        <v>45621</v>
      </c>
      <c r="AE4" s="9">
        <v>45622</v>
      </c>
      <c r="AF4" s="9">
        <v>45623</v>
      </c>
      <c r="AG4" s="9">
        <v>45624</v>
      </c>
      <c r="AH4" s="9">
        <v>45625</v>
      </c>
      <c r="AI4" s="9">
        <v>45626</v>
      </c>
      <c r="AJ4" s="73"/>
      <c r="AK4" s="73"/>
      <c r="AL4" s="4" t="s">
        <v>20</v>
      </c>
      <c r="AM4" s="4">
        <f>SUM(AM5:AM8)</f>
        <v>30</v>
      </c>
      <c r="AN4" s="3"/>
      <c r="AO4" s="3"/>
    </row>
    <row r="5" spans="1:41" ht="15" customHeight="1">
      <c r="A5" s="6">
        <v>1</v>
      </c>
      <c r="B5" s="103">
        <v>768</v>
      </c>
      <c r="C5" s="103" t="s">
        <v>197</v>
      </c>
      <c r="D5" s="103" t="s">
        <v>149</v>
      </c>
      <c r="E5" s="5" t="s">
        <v>27</v>
      </c>
      <c r="F5" s="99" t="s">
        <v>17</v>
      </c>
      <c r="G5" s="99" t="s">
        <v>17</v>
      </c>
      <c r="H5" s="77" t="s">
        <v>195</v>
      </c>
      <c r="I5" s="99" t="s">
        <v>17</v>
      </c>
      <c r="J5" s="99" t="s">
        <v>17</v>
      </c>
      <c r="K5" s="99" t="s">
        <v>17</v>
      </c>
      <c r="L5" s="99" t="s">
        <v>17</v>
      </c>
      <c r="M5" s="99" t="s">
        <v>17</v>
      </c>
      <c r="N5" s="99" t="s">
        <v>17</v>
      </c>
      <c r="O5" s="77" t="s">
        <v>195</v>
      </c>
      <c r="P5" s="99" t="s">
        <v>17</v>
      </c>
      <c r="Q5" s="99" t="s">
        <v>17</v>
      </c>
      <c r="R5" s="99" t="s">
        <v>17</v>
      </c>
      <c r="S5" s="99" t="s">
        <v>17</v>
      </c>
      <c r="T5" s="99" t="s">
        <v>17</v>
      </c>
      <c r="U5" s="99" t="s">
        <v>17</v>
      </c>
      <c r="V5" s="77" t="s">
        <v>195</v>
      </c>
      <c r="W5" s="99" t="s">
        <v>17</v>
      </c>
      <c r="X5" s="99" t="s">
        <v>17</v>
      </c>
      <c r="Y5" s="99" t="s">
        <v>17</v>
      </c>
      <c r="Z5" s="99" t="s">
        <v>17</v>
      </c>
      <c r="AA5" s="99" t="s">
        <v>17</v>
      </c>
      <c r="AB5" s="99" t="s">
        <v>17</v>
      </c>
      <c r="AC5" s="77" t="s">
        <v>195</v>
      </c>
      <c r="AD5" s="99" t="s">
        <v>17</v>
      </c>
      <c r="AE5" s="99" t="s">
        <v>17</v>
      </c>
      <c r="AF5" s="99" t="s">
        <v>17</v>
      </c>
      <c r="AG5" s="99" t="s">
        <v>17</v>
      </c>
      <c r="AH5" s="99" t="s">
        <v>17</v>
      </c>
      <c r="AI5" s="99" t="s">
        <v>17</v>
      </c>
      <c r="AJ5" s="4">
        <f>COUNTIF(F5:AI5,"P")</f>
        <v>26</v>
      </c>
      <c r="AK5" s="4">
        <f>COUNTIF(F5:AI5,"A")</f>
        <v>0</v>
      </c>
      <c r="AL5" s="65" t="s">
        <v>6</v>
      </c>
      <c r="AM5" s="6">
        <v>24</v>
      </c>
      <c r="AN5" s="7"/>
      <c r="AO5" s="3"/>
    </row>
    <row r="6" spans="1:41" ht="16.5">
      <c r="A6" s="6">
        <v>2</v>
      </c>
      <c r="B6" s="89">
        <v>776</v>
      </c>
      <c r="C6" s="89" t="s">
        <v>198</v>
      </c>
      <c r="D6" s="89" t="s">
        <v>199</v>
      </c>
      <c r="E6" s="5" t="s">
        <v>27</v>
      </c>
      <c r="F6" s="99" t="s">
        <v>17</v>
      </c>
      <c r="G6" s="99" t="s">
        <v>17</v>
      </c>
      <c r="H6" s="78"/>
      <c r="I6" s="99" t="s">
        <v>17</v>
      </c>
      <c r="J6" s="99" t="s">
        <v>17</v>
      </c>
      <c r="K6" s="99" t="s">
        <v>17</v>
      </c>
      <c r="L6" s="99" t="s">
        <v>17</v>
      </c>
      <c r="M6" s="99" t="s">
        <v>17</v>
      </c>
      <c r="N6" s="99" t="s">
        <v>17</v>
      </c>
      <c r="O6" s="78"/>
      <c r="P6" s="99" t="s">
        <v>17</v>
      </c>
      <c r="Q6" s="99" t="s">
        <v>17</v>
      </c>
      <c r="R6" s="99" t="s">
        <v>17</v>
      </c>
      <c r="S6" s="99" t="s">
        <v>17</v>
      </c>
      <c r="T6" s="99" t="s">
        <v>17</v>
      </c>
      <c r="U6" s="99" t="s">
        <v>17</v>
      </c>
      <c r="V6" s="78"/>
      <c r="W6" s="99" t="s">
        <v>17</v>
      </c>
      <c r="X6" s="99" t="s">
        <v>17</v>
      </c>
      <c r="Y6" s="99" t="s">
        <v>17</v>
      </c>
      <c r="Z6" s="99" t="s">
        <v>17</v>
      </c>
      <c r="AA6" s="99" t="s">
        <v>17</v>
      </c>
      <c r="AB6" s="99" t="s">
        <v>17</v>
      </c>
      <c r="AC6" s="78"/>
      <c r="AD6" s="99" t="s">
        <v>17</v>
      </c>
      <c r="AE6" s="99" t="s">
        <v>17</v>
      </c>
      <c r="AF6" s="99" t="s">
        <v>17</v>
      </c>
      <c r="AG6" s="99" t="s">
        <v>17</v>
      </c>
      <c r="AH6" s="99" t="s">
        <v>17</v>
      </c>
      <c r="AI6" s="99" t="s">
        <v>17</v>
      </c>
      <c r="AJ6" s="4">
        <f>COUNTIF(F6:AI6,"P")</f>
        <v>26</v>
      </c>
      <c r="AK6" s="4">
        <f>COUNTIF(F6:AI6,"A")</f>
        <v>0</v>
      </c>
      <c r="AL6" s="65" t="s">
        <v>7</v>
      </c>
      <c r="AM6" s="6">
        <v>4</v>
      </c>
      <c r="AN6" s="3"/>
      <c r="AO6" s="3"/>
    </row>
    <row r="7" spans="1:41" ht="16.5">
      <c r="A7" s="6">
        <v>3</v>
      </c>
      <c r="B7" s="92">
        <v>793</v>
      </c>
      <c r="C7" s="92" t="s">
        <v>24</v>
      </c>
      <c r="D7" s="92" t="s">
        <v>200</v>
      </c>
      <c r="E7" s="5" t="s">
        <v>27</v>
      </c>
      <c r="F7" s="99" t="s">
        <v>17</v>
      </c>
      <c r="G7" s="99" t="s">
        <v>17</v>
      </c>
      <c r="H7" s="78"/>
      <c r="I7" s="99" t="s">
        <v>17</v>
      </c>
      <c r="J7" s="99" t="s">
        <v>17</v>
      </c>
      <c r="K7" s="99" t="s">
        <v>17</v>
      </c>
      <c r="L7" s="99" t="s">
        <v>17</v>
      </c>
      <c r="M7" s="99" t="s">
        <v>17</v>
      </c>
      <c r="N7" s="99" t="s">
        <v>17</v>
      </c>
      <c r="O7" s="78"/>
      <c r="P7" s="99" t="s">
        <v>17</v>
      </c>
      <c r="Q7" s="99" t="s">
        <v>17</v>
      </c>
      <c r="R7" s="99" t="s">
        <v>17</v>
      </c>
      <c r="S7" s="99" t="s">
        <v>17</v>
      </c>
      <c r="T7" s="99" t="s">
        <v>17</v>
      </c>
      <c r="U7" s="99" t="s">
        <v>17</v>
      </c>
      <c r="V7" s="78"/>
      <c r="W7" s="99" t="s">
        <v>17</v>
      </c>
      <c r="X7" s="99" t="s">
        <v>17</v>
      </c>
      <c r="Y7" s="99" t="s">
        <v>17</v>
      </c>
      <c r="Z7" s="99" t="s">
        <v>17</v>
      </c>
      <c r="AA7" s="99" t="s">
        <v>17</v>
      </c>
      <c r="AB7" s="99" t="s">
        <v>17</v>
      </c>
      <c r="AC7" s="78"/>
      <c r="AD7" s="99" t="s">
        <v>17</v>
      </c>
      <c r="AE7" s="99" t="s">
        <v>17</v>
      </c>
      <c r="AF7" s="99" t="s">
        <v>17</v>
      </c>
      <c r="AG7" s="99" t="s">
        <v>17</v>
      </c>
      <c r="AH7" s="99" t="s">
        <v>17</v>
      </c>
      <c r="AI7" s="99" t="s">
        <v>17</v>
      </c>
      <c r="AJ7" s="4">
        <f>COUNTIF(F7:AI7,"P")</f>
        <v>26</v>
      </c>
      <c r="AK7" s="4">
        <f>COUNTIF(F7:AI7,"A")</f>
        <v>0</v>
      </c>
      <c r="AL7" s="65" t="s">
        <v>23</v>
      </c>
      <c r="AM7" s="6">
        <v>1</v>
      </c>
      <c r="AN7" s="3"/>
      <c r="AO7" s="3"/>
    </row>
    <row r="8" spans="1:41" ht="16.5">
      <c r="A8" s="6">
        <v>4</v>
      </c>
      <c r="B8" s="104">
        <v>795</v>
      </c>
      <c r="C8" s="101" t="s">
        <v>201</v>
      </c>
      <c r="D8" s="89" t="s">
        <v>202</v>
      </c>
      <c r="E8" s="5" t="s">
        <v>27</v>
      </c>
      <c r="F8" s="99" t="s">
        <v>17</v>
      </c>
      <c r="G8" s="99" t="s">
        <v>17</v>
      </c>
      <c r="H8" s="78"/>
      <c r="I8" s="99" t="s">
        <v>17</v>
      </c>
      <c r="J8" s="99" t="s">
        <v>17</v>
      </c>
      <c r="K8" s="99" t="s">
        <v>17</v>
      </c>
      <c r="L8" s="99" t="s">
        <v>17</v>
      </c>
      <c r="M8" s="99" t="s">
        <v>17</v>
      </c>
      <c r="N8" s="99" t="s">
        <v>17</v>
      </c>
      <c r="O8" s="78"/>
      <c r="P8" s="99" t="s">
        <v>17</v>
      </c>
      <c r="Q8" s="99" t="s">
        <v>17</v>
      </c>
      <c r="R8" s="99" t="s">
        <v>17</v>
      </c>
      <c r="S8" s="99" t="s">
        <v>17</v>
      </c>
      <c r="T8" s="99" t="s">
        <v>17</v>
      </c>
      <c r="U8" s="99" t="s">
        <v>17</v>
      </c>
      <c r="V8" s="78"/>
      <c r="W8" s="99" t="s">
        <v>17</v>
      </c>
      <c r="X8" s="99" t="s">
        <v>17</v>
      </c>
      <c r="Y8" s="99" t="s">
        <v>17</v>
      </c>
      <c r="Z8" s="99" t="s">
        <v>17</v>
      </c>
      <c r="AA8" s="99" t="s">
        <v>17</v>
      </c>
      <c r="AB8" s="99" t="s">
        <v>17</v>
      </c>
      <c r="AC8" s="78"/>
      <c r="AD8" s="99" t="s">
        <v>17</v>
      </c>
      <c r="AE8" s="99" t="s">
        <v>17</v>
      </c>
      <c r="AF8" s="99" t="s">
        <v>17</v>
      </c>
      <c r="AG8" s="99" t="s">
        <v>17</v>
      </c>
      <c r="AH8" s="99" t="s">
        <v>17</v>
      </c>
      <c r="AI8" s="99" t="s">
        <v>17</v>
      </c>
      <c r="AJ8" s="4">
        <f>COUNTIF(F8:AI8,"P")</f>
        <v>26</v>
      </c>
      <c r="AK8" s="4">
        <f>COUNTIF(F8:AI8,"A")</f>
        <v>0</v>
      </c>
      <c r="AL8" s="65" t="s">
        <v>21</v>
      </c>
      <c r="AM8" s="6">
        <v>1</v>
      </c>
      <c r="AN8"/>
      <c r="AO8"/>
    </row>
    <row r="9" spans="1:41" ht="16.5">
      <c r="A9" s="6">
        <v>5</v>
      </c>
      <c r="B9" s="92">
        <v>770</v>
      </c>
      <c r="C9" s="92" t="s">
        <v>203</v>
      </c>
      <c r="D9" s="92" t="s">
        <v>199</v>
      </c>
      <c r="E9" s="5" t="s">
        <v>27</v>
      </c>
      <c r="F9" s="99" t="s">
        <v>17</v>
      </c>
      <c r="G9" s="99" t="s">
        <v>17</v>
      </c>
      <c r="H9" s="78"/>
      <c r="I9" s="99" t="s">
        <v>17</v>
      </c>
      <c r="J9" s="99" t="s">
        <v>17</v>
      </c>
      <c r="K9" s="99" t="s">
        <v>17</v>
      </c>
      <c r="L9" s="99" t="s">
        <v>17</v>
      </c>
      <c r="M9" s="99" t="s">
        <v>17</v>
      </c>
      <c r="N9" s="99" t="s">
        <v>17</v>
      </c>
      <c r="O9" s="78"/>
      <c r="P9" s="99" t="s">
        <v>17</v>
      </c>
      <c r="Q9" s="99" t="s">
        <v>17</v>
      </c>
      <c r="R9" s="99" t="s">
        <v>17</v>
      </c>
      <c r="S9" s="99" t="s">
        <v>17</v>
      </c>
      <c r="T9" s="99" t="s">
        <v>17</v>
      </c>
      <c r="U9" s="99" t="s">
        <v>17</v>
      </c>
      <c r="V9" s="78"/>
      <c r="W9" s="99" t="s">
        <v>17</v>
      </c>
      <c r="X9" s="99" t="s">
        <v>17</v>
      </c>
      <c r="Y9" s="99" t="s">
        <v>17</v>
      </c>
      <c r="Z9" s="99" t="s">
        <v>17</v>
      </c>
      <c r="AA9" s="99" t="s">
        <v>17</v>
      </c>
      <c r="AB9" s="99" t="s">
        <v>17</v>
      </c>
      <c r="AC9" s="78"/>
      <c r="AD9" s="99" t="s">
        <v>17</v>
      </c>
      <c r="AE9" s="99" t="s">
        <v>17</v>
      </c>
      <c r="AF9" s="99" t="s">
        <v>17</v>
      </c>
      <c r="AG9" s="99" t="s">
        <v>17</v>
      </c>
      <c r="AH9" s="99" t="s">
        <v>17</v>
      </c>
      <c r="AI9" s="99" t="s">
        <v>17</v>
      </c>
      <c r="AJ9" s="4">
        <f>COUNTIF(F9:AI9,"P")</f>
        <v>26</v>
      </c>
      <c r="AK9" s="4">
        <f>COUNTIF(F9:AI9,"A")</f>
        <v>0</v>
      </c>
      <c r="AL9" s="65"/>
      <c r="AM9" s="6"/>
    </row>
    <row r="10" spans="1:41" ht="16.5">
      <c r="A10" s="6">
        <v>6</v>
      </c>
      <c r="B10" s="89">
        <v>771</v>
      </c>
      <c r="C10" s="89" t="s">
        <v>204</v>
      </c>
      <c r="D10" s="89" t="s">
        <v>152</v>
      </c>
      <c r="E10" s="5" t="s">
        <v>27</v>
      </c>
      <c r="F10" s="99" t="s">
        <v>17</v>
      </c>
      <c r="G10" s="99" t="s">
        <v>17</v>
      </c>
      <c r="H10" s="78"/>
      <c r="I10" s="99" t="s">
        <v>17</v>
      </c>
      <c r="J10" s="99" t="s">
        <v>17</v>
      </c>
      <c r="K10" s="99" t="s">
        <v>17</v>
      </c>
      <c r="L10" s="99" t="s">
        <v>17</v>
      </c>
      <c r="M10" s="99" t="s">
        <v>17</v>
      </c>
      <c r="N10" s="99" t="s">
        <v>17</v>
      </c>
      <c r="O10" s="78"/>
      <c r="P10" s="99" t="s">
        <v>17</v>
      </c>
      <c r="Q10" s="99" t="s">
        <v>17</v>
      </c>
      <c r="R10" s="99" t="s">
        <v>17</v>
      </c>
      <c r="S10" s="99" t="s">
        <v>17</v>
      </c>
      <c r="T10" s="99" t="s">
        <v>17</v>
      </c>
      <c r="U10" s="99" t="s">
        <v>17</v>
      </c>
      <c r="V10" s="78"/>
      <c r="W10" s="99" t="s">
        <v>17</v>
      </c>
      <c r="X10" s="99" t="s">
        <v>17</v>
      </c>
      <c r="Y10" s="99" t="s">
        <v>17</v>
      </c>
      <c r="Z10" s="99" t="s">
        <v>17</v>
      </c>
      <c r="AA10" s="99" t="s">
        <v>17</v>
      </c>
      <c r="AB10" s="99" t="s">
        <v>17</v>
      </c>
      <c r="AC10" s="78"/>
      <c r="AD10" s="99" t="s">
        <v>17</v>
      </c>
      <c r="AE10" s="99" t="s">
        <v>17</v>
      </c>
      <c r="AF10" s="99" t="s">
        <v>17</v>
      </c>
      <c r="AG10" s="99" t="s">
        <v>17</v>
      </c>
      <c r="AH10" s="99" t="s">
        <v>17</v>
      </c>
      <c r="AI10" s="99" t="s">
        <v>17</v>
      </c>
      <c r="AJ10" s="4">
        <f>COUNTIF(F10:AI10,"P")</f>
        <v>26</v>
      </c>
      <c r="AK10" s="4">
        <f>COUNTIF(F10:AI10,"A")</f>
        <v>0</v>
      </c>
    </row>
    <row r="11" spans="1:41" ht="16.5">
      <c r="A11" s="6">
        <v>7</v>
      </c>
      <c r="B11" s="92">
        <v>772</v>
      </c>
      <c r="C11" s="92" t="s">
        <v>205</v>
      </c>
      <c r="D11" s="92" t="s">
        <v>180</v>
      </c>
      <c r="E11" s="5" t="s">
        <v>27</v>
      </c>
      <c r="F11" s="99" t="s">
        <v>17</v>
      </c>
      <c r="G11" s="99" t="s">
        <v>17</v>
      </c>
      <c r="H11" s="78"/>
      <c r="I11" s="99" t="s">
        <v>17</v>
      </c>
      <c r="J11" s="99" t="s">
        <v>17</v>
      </c>
      <c r="K11" s="99" t="s">
        <v>17</v>
      </c>
      <c r="L11" s="99" t="s">
        <v>17</v>
      </c>
      <c r="M11" s="99" t="s">
        <v>17</v>
      </c>
      <c r="N11" s="99" t="s">
        <v>17</v>
      </c>
      <c r="O11" s="78"/>
      <c r="P11" s="99" t="s">
        <v>17</v>
      </c>
      <c r="Q11" s="99" t="s">
        <v>17</v>
      </c>
      <c r="R11" s="99" t="s">
        <v>17</v>
      </c>
      <c r="S11" s="99" t="s">
        <v>17</v>
      </c>
      <c r="T11" s="99" t="s">
        <v>17</v>
      </c>
      <c r="U11" s="99" t="s">
        <v>17</v>
      </c>
      <c r="V11" s="78"/>
      <c r="W11" s="99" t="s">
        <v>17</v>
      </c>
      <c r="X11" s="99" t="s">
        <v>17</v>
      </c>
      <c r="Y11" s="99" t="s">
        <v>17</v>
      </c>
      <c r="Z11" s="99" t="s">
        <v>17</v>
      </c>
      <c r="AA11" s="99" t="s">
        <v>17</v>
      </c>
      <c r="AB11" s="99" t="s">
        <v>17</v>
      </c>
      <c r="AC11" s="78"/>
      <c r="AD11" s="99" t="s">
        <v>17</v>
      </c>
      <c r="AE11" s="99" t="s">
        <v>17</v>
      </c>
      <c r="AF11" s="99" t="s">
        <v>17</v>
      </c>
      <c r="AG11" s="99" t="s">
        <v>17</v>
      </c>
      <c r="AH11" s="99" t="s">
        <v>17</v>
      </c>
      <c r="AI11" s="99" t="s">
        <v>17</v>
      </c>
      <c r="AJ11" s="4">
        <f>COUNTIF(F11:AI11,"P")</f>
        <v>26</v>
      </c>
      <c r="AK11" s="4">
        <f>COUNTIF(F11:AI11,"A")</f>
        <v>0</v>
      </c>
      <c r="AL11" s="75" t="s">
        <v>8</v>
      </c>
      <c r="AM11" s="75"/>
      <c r="AN11" s="75"/>
      <c r="AO11" s="76"/>
    </row>
    <row r="12" spans="1:41" ht="16.5">
      <c r="A12" s="6">
        <v>8</v>
      </c>
      <c r="B12" s="92">
        <v>775</v>
      </c>
      <c r="C12" s="92" t="s">
        <v>50</v>
      </c>
      <c r="D12" s="92" t="s">
        <v>206</v>
      </c>
      <c r="E12" s="5" t="s">
        <v>27</v>
      </c>
      <c r="F12" s="99" t="s">
        <v>17</v>
      </c>
      <c r="G12" s="99" t="s">
        <v>17</v>
      </c>
      <c r="H12" s="78"/>
      <c r="I12" s="99" t="s">
        <v>17</v>
      </c>
      <c r="J12" s="99" t="s">
        <v>17</v>
      </c>
      <c r="K12" s="99" t="s">
        <v>17</v>
      </c>
      <c r="L12" s="99" t="s">
        <v>17</v>
      </c>
      <c r="M12" s="99" t="s">
        <v>17</v>
      </c>
      <c r="N12" s="99" t="s">
        <v>17</v>
      </c>
      <c r="O12" s="78"/>
      <c r="P12" s="99" t="s">
        <v>17</v>
      </c>
      <c r="Q12" s="99" t="s">
        <v>17</v>
      </c>
      <c r="R12" s="99" t="s">
        <v>17</v>
      </c>
      <c r="S12" s="99" t="s">
        <v>17</v>
      </c>
      <c r="T12" s="99" t="s">
        <v>17</v>
      </c>
      <c r="U12" s="99" t="s">
        <v>17</v>
      </c>
      <c r="V12" s="78"/>
      <c r="W12" s="99" t="s">
        <v>17</v>
      </c>
      <c r="X12" s="99" t="s">
        <v>17</v>
      </c>
      <c r="Y12" s="99" t="s">
        <v>17</v>
      </c>
      <c r="Z12" s="99" t="s">
        <v>17</v>
      </c>
      <c r="AA12" s="99" t="s">
        <v>17</v>
      </c>
      <c r="AB12" s="99" t="s">
        <v>17</v>
      </c>
      <c r="AC12" s="78"/>
      <c r="AD12" s="99" t="s">
        <v>17</v>
      </c>
      <c r="AE12" s="99" t="s">
        <v>17</v>
      </c>
      <c r="AF12" s="99" t="s">
        <v>17</v>
      </c>
      <c r="AG12" s="99" t="s">
        <v>17</v>
      </c>
      <c r="AH12" s="99" t="s">
        <v>17</v>
      </c>
      <c r="AI12" s="99" t="s">
        <v>17</v>
      </c>
      <c r="AJ12" s="4">
        <f>COUNTIF(F12:AI12,"P")</f>
        <v>26</v>
      </c>
      <c r="AK12" s="4">
        <f>COUNTIF(F12:AI12,"A")</f>
        <v>0</v>
      </c>
      <c r="AL12" s="65" t="s">
        <v>9</v>
      </c>
      <c r="AM12" s="4" t="s">
        <v>10</v>
      </c>
      <c r="AN12" s="4" t="s">
        <v>11</v>
      </c>
      <c r="AO12" s="4" t="s">
        <v>12</v>
      </c>
    </row>
    <row r="13" spans="1:41" ht="16.5" customHeight="1">
      <c r="A13" s="6">
        <v>9</v>
      </c>
      <c r="B13" s="92">
        <v>796</v>
      </c>
      <c r="C13" s="92" t="s">
        <v>207</v>
      </c>
      <c r="D13" s="92" t="s">
        <v>162</v>
      </c>
      <c r="E13" s="5" t="s">
        <v>27</v>
      </c>
      <c r="F13" s="99" t="s">
        <v>17</v>
      </c>
      <c r="G13" s="99" t="s">
        <v>17</v>
      </c>
      <c r="H13" s="78"/>
      <c r="I13" s="99" t="s">
        <v>17</v>
      </c>
      <c r="J13" s="99" t="s">
        <v>17</v>
      </c>
      <c r="K13" s="99" t="s">
        <v>17</v>
      </c>
      <c r="L13" s="99" t="s">
        <v>17</v>
      </c>
      <c r="M13" s="99" t="s">
        <v>17</v>
      </c>
      <c r="N13" s="99" t="s">
        <v>17</v>
      </c>
      <c r="O13" s="78"/>
      <c r="P13" s="99" t="s">
        <v>17</v>
      </c>
      <c r="Q13" s="99" t="s">
        <v>17</v>
      </c>
      <c r="R13" s="99" t="s">
        <v>17</v>
      </c>
      <c r="S13" s="99" t="s">
        <v>17</v>
      </c>
      <c r="T13" s="99" t="s">
        <v>17</v>
      </c>
      <c r="U13" s="99" t="s">
        <v>17</v>
      </c>
      <c r="V13" s="78"/>
      <c r="W13" s="99" t="s">
        <v>17</v>
      </c>
      <c r="X13" s="99" t="s">
        <v>17</v>
      </c>
      <c r="Y13" s="99" t="s">
        <v>17</v>
      </c>
      <c r="Z13" s="99" t="s">
        <v>17</v>
      </c>
      <c r="AA13" s="99" t="s">
        <v>17</v>
      </c>
      <c r="AB13" s="99" t="s">
        <v>17</v>
      </c>
      <c r="AC13" s="78"/>
      <c r="AD13" s="99" t="s">
        <v>17</v>
      </c>
      <c r="AE13" s="99" t="s">
        <v>17</v>
      </c>
      <c r="AF13" s="99" t="s">
        <v>17</v>
      </c>
      <c r="AG13" s="99" t="s">
        <v>17</v>
      </c>
      <c r="AH13" s="99" t="s">
        <v>17</v>
      </c>
      <c r="AI13" s="99" t="s">
        <v>17</v>
      </c>
      <c r="AJ13" s="4">
        <f>COUNTIF(F13:AI13,"P")</f>
        <v>26</v>
      </c>
      <c r="AK13" s="4">
        <f>COUNTIF(F13:AI13,"A")</f>
        <v>0</v>
      </c>
      <c r="AL13" s="65" t="s">
        <v>13</v>
      </c>
      <c r="AM13" s="6">
        <f>27*$AM$5</f>
        <v>648</v>
      </c>
      <c r="AN13" s="6">
        <f>27*$AM$5</f>
        <v>648</v>
      </c>
      <c r="AO13" s="6">
        <f>SUM(AM13:AN13)</f>
        <v>1296</v>
      </c>
    </row>
  </sheetData>
  <mergeCells count="15">
    <mergeCell ref="AJ3:AJ4"/>
    <mergeCell ref="AK3:AK4"/>
    <mergeCell ref="AL3:AM3"/>
    <mergeCell ref="H5:H13"/>
    <mergeCell ref="O5:O13"/>
    <mergeCell ref="V5:V13"/>
    <mergeCell ref="AC5:AC13"/>
    <mergeCell ref="AL11:AO11"/>
    <mergeCell ref="A1:AI1"/>
    <mergeCell ref="A2:AI2"/>
    <mergeCell ref="A3:A4"/>
    <mergeCell ref="B3:B4"/>
    <mergeCell ref="C3:C4"/>
    <mergeCell ref="D3:D4"/>
    <mergeCell ref="E3:E4"/>
  </mergeCells>
  <conditionalFormatting sqref="F5:G13 I5:I13">
    <cfRule type="cellIs" dxfId="168" priority="153" operator="equal">
      <formula>"L"</formula>
    </cfRule>
    <cfRule type="expression" dxfId="167" priority="154">
      <formula>F$4=TODAY()</formula>
    </cfRule>
    <cfRule type="cellIs" dxfId="166" priority="155" operator="equal">
      <formula>"A"</formula>
    </cfRule>
    <cfRule type="cellIs" dxfId="165" priority="156" operator="equal">
      <formula>"P"</formula>
    </cfRule>
    <cfRule type="expression" dxfId="164" priority="157">
      <formula>F$3="Sun"</formula>
    </cfRule>
  </conditionalFormatting>
  <conditionalFormatting sqref="F3:AI4">
    <cfRule type="expression" dxfId="163" priority="158">
      <formula>F$4=TODAY()</formula>
    </cfRule>
    <cfRule type="expression" dxfId="162" priority="159">
      <formula>F$3="Sun"</formula>
    </cfRule>
  </conditionalFormatting>
  <conditionalFormatting sqref="AJ3:AK3 AJ5:AK13">
    <cfRule type="expression" dxfId="161" priority="160">
      <formula>#REF!="Sun"</formula>
    </cfRule>
  </conditionalFormatting>
  <conditionalFormatting sqref="AL5:AL9">
    <cfRule type="expression" dxfId="160" priority="162">
      <formula>AL$3="Sun"</formula>
    </cfRule>
  </conditionalFormatting>
  <conditionalFormatting sqref="AL12:AL13">
    <cfRule type="expression" dxfId="159" priority="161">
      <formula>AL$3="Sun"</formula>
    </cfRule>
  </conditionalFormatting>
  <conditionalFormatting sqref="AL4:AM4">
    <cfRule type="expression" dxfId="158" priority="163">
      <formula>AL$3="Sun"</formula>
    </cfRule>
  </conditionalFormatting>
  <conditionalFormatting sqref="AM12:AO12">
    <cfRule type="expression" dxfId="157" priority="164">
      <formula>AM$3="Sun"</formula>
    </cfRule>
  </conditionalFormatting>
  <conditionalFormatting sqref="K5:K13">
    <cfRule type="cellIs" dxfId="156" priority="148" operator="equal">
      <formula>"L"</formula>
    </cfRule>
    <cfRule type="expression" dxfId="155" priority="149">
      <formula>K$4=TODAY()</formula>
    </cfRule>
    <cfRule type="cellIs" dxfId="154" priority="150" operator="equal">
      <formula>"A"</formula>
    </cfRule>
    <cfRule type="cellIs" dxfId="153" priority="151" operator="equal">
      <formula>"P"</formula>
    </cfRule>
    <cfRule type="expression" dxfId="152" priority="152">
      <formula>K$3="Sun"</formula>
    </cfRule>
  </conditionalFormatting>
  <conditionalFormatting sqref="J5:J13">
    <cfRule type="cellIs" dxfId="151" priority="143" operator="equal">
      <formula>"L"</formula>
    </cfRule>
    <cfRule type="expression" dxfId="150" priority="144">
      <formula>J$4=TODAY()</formula>
    </cfRule>
    <cfRule type="cellIs" dxfId="149" priority="145" operator="equal">
      <formula>"A"</formula>
    </cfRule>
    <cfRule type="cellIs" dxfId="148" priority="146" operator="equal">
      <formula>"P"</formula>
    </cfRule>
    <cfRule type="expression" dxfId="147" priority="147">
      <formula>J$3="Sun"</formula>
    </cfRule>
  </conditionalFormatting>
  <conditionalFormatting sqref="L5:L13">
    <cfRule type="cellIs" dxfId="146" priority="138" operator="equal">
      <formula>"L"</formula>
    </cfRule>
    <cfRule type="expression" dxfId="145" priority="139">
      <formula>L$4=TODAY()</formula>
    </cfRule>
    <cfRule type="cellIs" dxfId="144" priority="140" operator="equal">
      <formula>"A"</formula>
    </cfRule>
    <cfRule type="cellIs" dxfId="143" priority="141" operator="equal">
      <formula>"P"</formula>
    </cfRule>
    <cfRule type="expression" dxfId="142" priority="142">
      <formula>L$3="Sun"</formula>
    </cfRule>
  </conditionalFormatting>
  <conditionalFormatting sqref="M5:M13">
    <cfRule type="cellIs" dxfId="141" priority="133" operator="equal">
      <formula>"L"</formula>
    </cfRule>
    <cfRule type="expression" dxfId="140" priority="134">
      <formula>M$4=TODAY()</formula>
    </cfRule>
    <cfRule type="cellIs" dxfId="139" priority="135" operator="equal">
      <formula>"A"</formula>
    </cfRule>
    <cfRule type="cellIs" dxfId="138" priority="136" operator="equal">
      <formula>"P"</formula>
    </cfRule>
    <cfRule type="expression" dxfId="137" priority="137">
      <formula>M$3="Sun"</formula>
    </cfRule>
  </conditionalFormatting>
  <conditionalFormatting sqref="N5:N13">
    <cfRule type="cellIs" dxfId="136" priority="128" operator="equal">
      <formula>"L"</formula>
    </cfRule>
    <cfRule type="expression" dxfId="135" priority="129">
      <formula>N$4=TODAY()</formula>
    </cfRule>
    <cfRule type="cellIs" dxfId="134" priority="130" operator="equal">
      <formula>"A"</formula>
    </cfRule>
    <cfRule type="cellIs" dxfId="133" priority="131" operator="equal">
      <formula>"P"</formula>
    </cfRule>
    <cfRule type="expression" dxfId="132" priority="132">
      <formula>N$3="Sun"</formula>
    </cfRule>
  </conditionalFormatting>
  <conditionalFormatting sqref="P5:P13">
    <cfRule type="cellIs" dxfId="131" priority="123" operator="equal">
      <formula>"L"</formula>
    </cfRule>
    <cfRule type="expression" dxfId="130" priority="124">
      <formula>P$4=TODAY()</formula>
    </cfRule>
    <cfRule type="cellIs" dxfId="129" priority="125" operator="equal">
      <formula>"A"</formula>
    </cfRule>
    <cfRule type="cellIs" dxfId="128" priority="126" operator="equal">
      <formula>"P"</formula>
    </cfRule>
    <cfRule type="expression" dxfId="127" priority="127">
      <formula>P$3="Sun"</formula>
    </cfRule>
  </conditionalFormatting>
  <conditionalFormatting sqref="Q5:Q13">
    <cfRule type="cellIs" dxfId="126" priority="118" operator="equal">
      <formula>"L"</formula>
    </cfRule>
    <cfRule type="expression" dxfId="125" priority="119">
      <formula>Q$4=TODAY()</formula>
    </cfRule>
    <cfRule type="cellIs" dxfId="124" priority="120" operator="equal">
      <formula>"A"</formula>
    </cfRule>
    <cfRule type="cellIs" dxfId="123" priority="121" operator="equal">
      <formula>"P"</formula>
    </cfRule>
    <cfRule type="expression" dxfId="122" priority="122">
      <formula>Q$3="Sun"</formula>
    </cfRule>
  </conditionalFormatting>
  <conditionalFormatting sqref="R5:R13">
    <cfRule type="cellIs" dxfId="121" priority="113" operator="equal">
      <formula>"L"</formula>
    </cfRule>
    <cfRule type="expression" dxfId="120" priority="114">
      <formula>R$4=TODAY()</formula>
    </cfRule>
    <cfRule type="cellIs" dxfId="119" priority="115" operator="equal">
      <formula>"A"</formula>
    </cfRule>
    <cfRule type="cellIs" dxfId="118" priority="116" operator="equal">
      <formula>"P"</formula>
    </cfRule>
    <cfRule type="expression" dxfId="117" priority="117">
      <formula>R$3="Sun"</formula>
    </cfRule>
  </conditionalFormatting>
  <conditionalFormatting sqref="S5:S13">
    <cfRule type="cellIs" dxfId="116" priority="108" operator="equal">
      <formula>"L"</formula>
    </cfRule>
    <cfRule type="expression" dxfId="115" priority="109">
      <formula>S$4=TODAY()</formula>
    </cfRule>
    <cfRule type="cellIs" dxfId="114" priority="110" operator="equal">
      <formula>"A"</formula>
    </cfRule>
    <cfRule type="cellIs" dxfId="113" priority="111" operator="equal">
      <formula>"P"</formula>
    </cfRule>
    <cfRule type="expression" dxfId="112" priority="112">
      <formula>S$3="Sun"</formula>
    </cfRule>
  </conditionalFormatting>
  <conditionalFormatting sqref="T5:T13">
    <cfRule type="cellIs" dxfId="111" priority="103" operator="equal">
      <formula>"L"</formula>
    </cfRule>
    <cfRule type="expression" dxfId="110" priority="104">
      <formula>T$4=TODAY()</formula>
    </cfRule>
    <cfRule type="cellIs" dxfId="109" priority="105" operator="equal">
      <formula>"A"</formula>
    </cfRule>
    <cfRule type="cellIs" dxfId="108" priority="106" operator="equal">
      <formula>"P"</formula>
    </cfRule>
    <cfRule type="expression" dxfId="107" priority="107">
      <formula>T$3="Sun"</formula>
    </cfRule>
  </conditionalFormatting>
  <conditionalFormatting sqref="U5:U13">
    <cfRule type="cellIs" dxfId="106" priority="98" operator="equal">
      <formula>"L"</formula>
    </cfRule>
    <cfRule type="expression" dxfId="105" priority="99">
      <formula>U$4=TODAY()</formula>
    </cfRule>
    <cfRule type="cellIs" dxfId="104" priority="100" operator="equal">
      <formula>"A"</formula>
    </cfRule>
    <cfRule type="cellIs" dxfId="103" priority="101" operator="equal">
      <formula>"P"</formula>
    </cfRule>
    <cfRule type="expression" dxfId="102" priority="102">
      <formula>U$3="Sun"</formula>
    </cfRule>
  </conditionalFormatting>
  <conditionalFormatting sqref="W5:W13">
    <cfRule type="cellIs" dxfId="101" priority="93" operator="equal">
      <formula>"L"</formula>
    </cfRule>
    <cfRule type="expression" dxfId="100" priority="94">
      <formula>W$4=TODAY()</formula>
    </cfRule>
    <cfRule type="cellIs" dxfId="99" priority="95" operator="equal">
      <formula>"A"</formula>
    </cfRule>
    <cfRule type="cellIs" dxfId="98" priority="96" operator="equal">
      <formula>"P"</formula>
    </cfRule>
    <cfRule type="expression" dxfId="97" priority="97">
      <formula>W$3="Sun"</formula>
    </cfRule>
  </conditionalFormatting>
  <conditionalFormatting sqref="X5:X13">
    <cfRule type="cellIs" dxfId="96" priority="88" operator="equal">
      <formula>"L"</formula>
    </cfRule>
    <cfRule type="expression" dxfId="95" priority="89">
      <formula>X$4=TODAY()</formula>
    </cfRule>
    <cfRule type="cellIs" dxfId="94" priority="90" operator="equal">
      <formula>"A"</formula>
    </cfRule>
    <cfRule type="cellIs" dxfId="93" priority="91" operator="equal">
      <formula>"P"</formula>
    </cfRule>
    <cfRule type="expression" dxfId="92" priority="92">
      <formula>X$3="Sun"</formula>
    </cfRule>
  </conditionalFormatting>
  <conditionalFormatting sqref="Y5:Y13">
    <cfRule type="cellIs" dxfId="91" priority="83" operator="equal">
      <formula>"L"</formula>
    </cfRule>
    <cfRule type="expression" dxfId="90" priority="84">
      <formula>Y$4=TODAY()</formula>
    </cfRule>
    <cfRule type="cellIs" dxfId="89" priority="85" operator="equal">
      <formula>"A"</formula>
    </cfRule>
    <cfRule type="cellIs" dxfId="88" priority="86" operator="equal">
      <formula>"P"</formula>
    </cfRule>
    <cfRule type="expression" dxfId="87" priority="87">
      <formula>Y$3="Sun"</formula>
    </cfRule>
  </conditionalFormatting>
  <conditionalFormatting sqref="Z5:Z13">
    <cfRule type="cellIs" dxfId="86" priority="78" operator="equal">
      <formula>"L"</formula>
    </cfRule>
    <cfRule type="expression" dxfId="85" priority="79">
      <formula>Z$4=TODAY()</formula>
    </cfRule>
    <cfRule type="cellIs" dxfId="84" priority="80" operator="equal">
      <formula>"A"</formula>
    </cfRule>
    <cfRule type="cellIs" dxfId="83" priority="81" operator="equal">
      <formula>"P"</formula>
    </cfRule>
    <cfRule type="expression" dxfId="82" priority="82">
      <formula>Z$3="Sun"</formula>
    </cfRule>
  </conditionalFormatting>
  <conditionalFormatting sqref="AA5:AA13">
    <cfRule type="cellIs" dxfId="81" priority="73" operator="equal">
      <formula>"L"</formula>
    </cfRule>
    <cfRule type="expression" dxfId="80" priority="74">
      <formula>AA$4=TODAY()</formula>
    </cfRule>
    <cfRule type="cellIs" dxfId="79" priority="75" operator="equal">
      <formula>"A"</formula>
    </cfRule>
    <cfRule type="cellIs" dxfId="78" priority="76" operator="equal">
      <formula>"P"</formula>
    </cfRule>
    <cfRule type="expression" dxfId="77" priority="77">
      <formula>AA$3="Sun"</formula>
    </cfRule>
  </conditionalFormatting>
  <conditionalFormatting sqref="AB5:AB13">
    <cfRule type="cellIs" dxfId="76" priority="68" operator="equal">
      <formula>"L"</formula>
    </cfRule>
    <cfRule type="expression" dxfId="75" priority="69">
      <formula>AB$4=TODAY()</formula>
    </cfRule>
    <cfRule type="cellIs" dxfId="74" priority="70" operator="equal">
      <formula>"A"</formula>
    </cfRule>
    <cfRule type="cellIs" dxfId="73" priority="71" operator="equal">
      <formula>"P"</formula>
    </cfRule>
    <cfRule type="expression" dxfId="72" priority="72">
      <formula>AB$3="Sun"</formula>
    </cfRule>
  </conditionalFormatting>
  <conditionalFormatting sqref="AD5:AD13">
    <cfRule type="cellIs" dxfId="71" priority="63" operator="equal">
      <formula>"L"</formula>
    </cfRule>
    <cfRule type="expression" dxfId="70" priority="64">
      <formula>AD$4=TODAY()</formula>
    </cfRule>
    <cfRule type="cellIs" dxfId="69" priority="65" operator="equal">
      <formula>"A"</formula>
    </cfRule>
    <cfRule type="cellIs" dxfId="68" priority="66" operator="equal">
      <formula>"P"</formula>
    </cfRule>
    <cfRule type="expression" dxfId="67" priority="67">
      <formula>AD$3="Sun"</formula>
    </cfRule>
  </conditionalFormatting>
  <conditionalFormatting sqref="AF5:AF13">
    <cfRule type="cellIs" dxfId="66" priority="58" operator="equal">
      <formula>"L"</formula>
    </cfRule>
    <cfRule type="expression" dxfId="65" priority="59">
      <formula>AF$4=TODAY()</formula>
    </cfRule>
    <cfRule type="cellIs" dxfId="64" priority="60" operator="equal">
      <formula>"A"</formula>
    </cfRule>
    <cfRule type="cellIs" dxfId="63" priority="61" operator="equal">
      <formula>"P"</formula>
    </cfRule>
    <cfRule type="expression" dxfId="62" priority="62">
      <formula>AF$3="Sun"</formula>
    </cfRule>
  </conditionalFormatting>
  <conditionalFormatting sqref="AG5:AG13">
    <cfRule type="cellIs" dxfId="61" priority="53" operator="equal">
      <formula>"L"</formula>
    </cfRule>
    <cfRule type="expression" dxfId="60" priority="54">
      <formula>AG$4=TODAY()</formula>
    </cfRule>
    <cfRule type="cellIs" dxfId="59" priority="55" operator="equal">
      <formula>"A"</formula>
    </cfRule>
    <cfRule type="cellIs" dxfId="58" priority="56" operator="equal">
      <formula>"P"</formula>
    </cfRule>
    <cfRule type="expression" dxfId="57" priority="57">
      <formula>AG$3="Sun"</formula>
    </cfRule>
  </conditionalFormatting>
  <conditionalFormatting sqref="AH5:AH13">
    <cfRule type="cellIs" dxfId="56" priority="48" operator="equal">
      <formula>"L"</formula>
    </cfRule>
    <cfRule type="expression" dxfId="55" priority="49">
      <formula>AH$4=TODAY()</formula>
    </cfRule>
    <cfRule type="cellIs" dxfId="54" priority="50" operator="equal">
      <formula>"A"</formula>
    </cfRule>
    <cfRule type="cellIs" dxfId="53" priority="51" operator="equal">
      <formula>"P"</formula>
    </cfRule>
    <cfRule type="expression" dxfId="52" priority="52">
      <formula>AH$3="Sun"</formula>
    </cfRule>
  </conditionalFormatting>
  <conditionalFormatting sqref="AI5:AI13">
    <cfRule type="cellIs" dxfId="51" priority="43" operator="equal">
      <formula>"L"</formula>
    </cfRule>
    <cfRule type="expression" dxfId="50" priority="44">
      <formula>AI$4=TODAY()</formula>
    </cfRule>
    <cfRule type="cellIs" dxfId="49" priority="45" operator="equal">
      <formula>"A"</formula>
    </cfRule>
    <cfRule type="cellIs" dxfId="48" priority="46" operator="equal">
      <formula>"P"</formula>
    </cfRule>
    <cfRule type="expression" dxfId="47" priority="47">
      <formula>AI$3="Sun"</formula>
    </cfRule>
  </conditionalFormatting>
  <conditionalFormatting sqref="H5">
    <cfRule type="cellIs" dxfId="46" priority="38" operator="equal">
      <formula>"L"</formula>
    </cfRule>
    <cfRule type="expression" dxfId="45" priority="39">
      <formula>H$4=TODAY()</formula>
    </cfRule>
    <cfRule type="cellIs" dxfId="44" priority="40" operator="equal">
      <formula>"A"</formula>
    </cfRule>
    <cfRule type="cellIs" dxfId="43" priority="41" operator="equal">
      <formula>"P"</formula>
    </cfRule>
    <cfRule type="expression" dxfId="42" priority="42">
      <formula>H$3="Sun"</formula>
    </cfRule>
  </conditionalFormatting>
  <conditionalFormatting sqref="AE5:AE13">
    <cfRule type="cellIs" dxfId="41" priority="33" operator="equal">
      <formula>"L"</formula>
    </cfRule>
    <cfRule type="expression" dxfId="40" priority="34">
      <formula>AE$4=TODAY()</formula>
    </cfRule>
    <cfRule type="cellIs" dxfId="39" priority="35" operator="equal">
      <formula>"A"</formula>
    </cfRule>
    <cfRule type="cellIs" dxfId="38" priority="36" operator="equal">
      <formula>"P"</formula>
    </cfRule>
    <cfRule type="expression" dxfId="37" priority="37">
      <formula>AE$3="Sun"</formula>
    </cfRule>
  </conditionalFormatting>
  <conditionalFormatting sqref="B5:B13">
    <cfRule type="duplicateValues" dxfId="20" priority="16"/>
  </conditionalFormatting>
  <conditionalFormatting sqref="O5">
    <cfRule type="cellIs" dxfId="19" priority="11" operator="equal">
      <formula>"L"</formula>
    </cfRule>
    <cfRule type="expression" dxfId="18" priority="12">
      <formula>O$4=TODAY()</formula>
    </cfRule>
    <cfRule type="cellIs" dxfId="17" priority="13" operator="equal">
      <formula>"A"</formula>
    </cfRule>
    <cfRule type="cellIs" dxfId="16" priority="14" operator="equal">
      <formula>"P"</formula>
    </cfRule>
    <cfRule type="expression" dxfId="15" priority="15">
      <formula>O$3="Sun"</formula>
    </cfRule>
  </conditionalFormatting>
  <conditionalFormatting sqref="V5">
    <cfRule type="cellIs" dxfId="9" priority="6" operator="equal">
      <formula>"L"</formula>
    </cfRule>
    <cfRule type="expression" dxfId="8" priority="7">
      <formula>V$4=TODAY()</formula>
    </cfRule>
    <cfRule type="cellIs" dxfId="7" priority="8" operator="equal">
      <formula>"A"</formula>
    </cfRule>
    <cfRule type="cellIs" dxfId="6" priority="9" operator="equal">
      <formula>"P"</formula>
    </cfRule>
    <cfRule type="expression" dxfId="5" priority="10">
      <formula>V$3="Sun"</formula>
    </cfRule>
  </conditionalFormatting>
  <conditionalFormatting sqref="AC5">
    <cfRule type="cellIs" dxfId="4" priority="1" operator="equal">
      <formula>"L"</formula>
    </cfRule>
    <cfRule type="expression" dxfId="3" priority="2">
      <formula>AC$4=TODAY()</formula>
    </cfRule>
    <cfRule type="cellIs" dxfId="2" priority="3" operator="equal">
      <formula>"A"</formula>
    </cfRule>
    <cfRule type="cellIs" dxfId="1" priority="4" operator="equal">
      <formula>"P"</formula>
    </cfRule>
    <cfRule type="expression" dxfId="0" priority="5">
      <formula>AC$3="Sun"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Compile Sheet-November-2024</vt:lpstr>
      <vt:lpstr>KG</vt:lpstr>
      <vt:lpstr>Class-1</vt:lpstr>
      <vt:lpstr>Class-2</vt:lpstr>
      <vt:lpstr>Class-3</vt:lpstr>
      <vt:lpstr>Class-4</vt:lpstr>
      <vt:lpstr>Class-5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2025-03-06T06:28:23Z</dcterms:modified>
</cp:coreProperties>
</file>