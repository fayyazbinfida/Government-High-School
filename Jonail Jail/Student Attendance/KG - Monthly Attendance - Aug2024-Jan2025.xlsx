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Student Attendance\"/>
    </mc:Choice>
  </mc:AlternateContent>
  <xr:revisionPtr revIDLastSave="0" documentId="13_ncr:1_{E9E2A7B6-FBD4-48F9-B82B-79C210F89FDA}" xr6:coauthVersionLast="47" xr6:coauthVersionMax="47" xr10:uidLastSave="{00000000-0000-0000-0000-000000000000}"/>
  <bookViews>
    <workbookView xWindow="-120" yWindow="-120" windowWidth="20730" windowHeight="11160" tabRatio="847" xr2:uid="{00000000-000D-0000-FFFF-FFFF00000000}"/>
  </bookViews>
  <sheets>
    <sheet name="August-2024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4" i="20" l="1"/>
  <c r="W24" i="20"/>
  <c r="X23" i="20"/>
  <c r="W23" i="20"/>
  <c r="X22" i="20"/>
  <c r="W22" i="20"/>
  <c r="X21" i="20"/>
  <c r="W21" i="20"/>
  <c r="X20" i="20"/>
  <c r="W20" i="20"/>
  <c r="X19" i="20"/>
  <c r="W19" i="20"/>
  <c r="X18" i="20"/>
  <c r="W18" i="20"/>
  <c r="X17" i="20"/>
  <c r="W17" i="20"/>
  <c r="AA16" i="20"/>
  <c r="Z16" i="20"/>
  <c r="AB16" i="20" s="1"/>
  <c r="X16" i="20"/>
  <c r="W16" i="20"/>
  <c r="X15" i="20"/>
  <c r="W15" i="20"/>
  <c r="X14" i="20"/>
  <c r="W14" i="20"/>
  <c r="X13" i="20"/>
  <c r="W13" i="20"/>
  <c r="X12" i="20"/>
  <c r="W12" i="20"/>
  <c r="X11" i="20"/>
  <c r="W11" i="20"/>
  <c r="X10" i="20"/>
  <c r="W10" i="20"/>
  <c r="AA9" i="20"/>
  <c r="AB9" i="20" s="1"/>
  <c r="Z9" i="20"/>
  <c r="X9" i="20"/>
  <c r="W9" i="20"/>
  <c r="X8" i="20"/>
  <c r="W8" i="20"/>
  <c r="X7" i="20"/>
  <c r="W7" i="20"/>
  <c r="X6" i="20"/>
  <c r="W6" i="20"/>
  <c r="X5" i="20"/>
  <c r="W5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A10" i="20" l="1"/>
  <c r="AA11" i="20" s="1"/>
  <c r="Z10" i="20"/>
  <c r="Z11" i="20" s="1"/>
  <c r="Z17" i="20" l="1"/>
  <c r="AA17" i="20"/>
  <c r="AA18" i="20" s="1"/>
  <c r="AB10" i="20"/>
  <c r="AB11" i="20" s="1"/>
  <c r="AB17" i="20" l="1"/>
  <c r="AB18" i="20" s="1"/>
  <c r="Z18" i="20"/>
</calcChain>
</file>

<file path=xl/sharedStrings.xml><?xml version="1.0" encoding="utf-8"?>
<sst xmlns="http://schemas.openxmlformats.org/spreadsheetml/2006/main" count="315" uniqueCount="65">
  <si>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</si>
  <si>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</si>
  <si>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</si>
  <si>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</si>
  <si>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</si>
  <si>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</si>
  <si>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</si>
  <si>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</si>
  <si>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</si>
  <si>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</si>
  <si>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</si>
  <si>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</si>
  <si>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</si>
  <si>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</si>
  <si>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</si>
  <si>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</si>
  <si>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</si>
  <si>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</si>
  <si>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</si>
  <si>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</si>
  <si>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</si>
  <si>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Mehboob</t>
  </si>
  <si>
    <t>P</t>
  </si>
  <si>
    <t>A</t>
  </si>
  <si>
    <t>Monthly Attendence Month of August-2024</t>
  </si>
  <si>
    <t>SUNDAY - SUNDAY - SUNDAY - SUNDAY - SUNDAY - SUNDAY</t>
  </si>
  <si>
    <t>CHEHLUM - CHEHLUM - CHEHLUM - CHEHLUM - CHEHLUM</t>
  </si>
  <si>
    <t>OFF DUE TO HEAVY RAIN - OFF DUE TO HEAVY RAIN</t>
  </si>
  <si>
    <t>Goverment high school (Juvenile Jail)</t>
  </si>
  <si>
    <t>Aazan Hussain</t>
  </si>
  <si>
    <t>Sajjad Hussain</t>
  </si>
  <si>
    <t>KG</t>
  </si>
  <si>
    <t>Yasir</t>
  </si>
  <si>
    <t>Habib Ullah</t>
  </si>
  <si>
    <t>Naseeb Ullah</t>
  </si>
  <si>
    <t>Ali Waris</t>
  </si>
  <si>
    <t>Ghulam Qadir</t>
  </si>
  <si>
    <t>Sohail Ali</t>
  </si>
  <si>
    <t>Qasir Nawaz</t>
  </si>
  <si>
    <t>Muhammad Nawaz</t>
  </si>
  <si>
    <t>Maqsood Ali</t>
  </si>
  <si>
    <t>Muhammad Younus</t>
  </si>
  <si>
    <t>Ayan</t>
  </si>
  <si>
    <t>Bashir Ahmed</t>
  </si>
  <si>
    <t>Saima</t>
  </si>
  <si>
    <t>Anwar Ali</t>
  </si>
  <si>
    <t>Saliya</t>
  </si>
  <si>
    <t>Uzma</t>
  </si>
  <si>
    <t>Aiza Batool</t>
  </si>
  <si>
    <t>Muhammad Ali</t>
  </si>
  <si>
    <t>Sumaiya</t>
  </si>
  <si>
    <t>Gul Zameen Khan</t>
  </si>
  <si>
    <t>Areeba Bibi</t>
  </si>
  <si>
    <t>Syed Karim</t>
  </si>
  <si>
    <t>Sonaina</t>
  </si>
  <si>
    <t>Anabia Rehman</t>
  </si>
  <si>
    <t>Mujeeb-ur-Rehman</t>
  </si>
  <si>
    <t>Shabana</t>
  </si>
  <si>
    <t>Nadeem Hussain</t>
  </si>
  <si>
    <t>Rehmat Khatoon</t>
  </si>
  <si>
    <t>Dua Fatima</t>
  </si>
  <si>
    <t>Maqbool Ahmed</t>
  </si>
  <si>
    <t>Zahra Fatima</t>
  </si>
  <si>
    <t>SUNDAY - SUNDAY</t>
  </si>
  <si>
    <t>URS SHAH ABDUL LATIF BHITAI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</si>
</sst>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6" fillId="0" borderId="5" xfId="0" applyFont="1" applyBorder="1"/>
    <xf numFmtId="0" fontId="6" fillId="0" borderId="9" xfId="0" applyFont="1" applyBorder="1"/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17" fontId="9" fillId="3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63BD-EAA1-4550-8028-F0E63BCD4378}">
  <sheetPr>
    <tabColor rgb="FFC00000"/>
  </sheetPr>
  <dimension ref="A1:AB24"/>
  <sheetViews>
    <sheetView tabSelected="1" topLeftCell="A5" workbookViewId="0">
      <selection activeCell="F14" sqref="F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7109375" style="1" bestFit="1" customWidth="1"/>
    <col min="13" max="13" width="3.85546875" style="1" bestFit="1"/>
    <col min="14" max="15" width="3.7109375" style="1" bestFit="1" customWidth="1"/>
    <col min="16" max="16" width="3.85546875" style="1" bestFit="1"/>
    <col min="17" max="17" width="4.5703125" style="1" bestFit="1" customWidth="1"/>
    <col min="18" max="18" width="3.85546875" style="1" bestFit="1"/>
    <col min="19" max="19" width="4.7109375" style="1" bestFit="1" customWidth="1"/>
    <col min="20" max="20" width="3.85546875" style="1" bestFit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8" ht="17.25" x14ac:dyDescent="0.3">
      <c r="A2" s="21" t="s">
        <v>24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8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4" t="s">
        <v>5</v>
      </c>
      <c r="X3" s="24" t="s">
        <v>6</v>
      </c>
      <c r="Y3" s="25" t="s">
        <v>20</v>
      </c>
      <c r="Z3" s="26"/>
      <c r="AA3" s="3"/>
      <c r="AB3" s="3"/>
    </row>
    <row r="4" spans="1:28" ht="36.75" x14ac:dyDescent="0.25">
      <c r="A4" s="23"/>
      <c r="B4" s="23"/>
      <c r="C4" s="23"/>
      <c r="D4" s="23"/>
      <c r="E4" s="23"/>
      <c r="F4" s="13">
        <v>45519</v>
      </c>
      <c r="G4" s="13">
        <v>45520</v>
      </c>
      <c r="H4" s="13">
        <v>45521</v>
      </c>
      <c r="I4" s="13">
        <v>45522</v>
      </c>
      <c r="J4" s="13">
        <v>45523</v>
      </c>
      <c r="K4" s="13">
        <v>45524</v>
      </c>
      <c r="L4" s="13">
        <v>45525</v>
      </c>
      <c r="M4" s="13">
        <v>45526</v>
      </c>
      <c r="N4" s="13">
        <v>45527</v>
      </c>
      <c r="O4" s="13">
        <v>45528</v>
      </c>
      <c r="P4" s="13">
        <v>45529</v>
      </c>
      <c r="Q4" s="13">
        <v>45530</v>
      </c>
      <c r="R4" s="13">
        <v>45531</v>
      </c>
      <c r="S4" s="13">
        <v>45532</v>
      </c>
      <c r="T4" s="13">
        <v>45533</v>
      </c>
      <c r="U4" s="13">
        <v>45534</v>
      </c>
      <c r="V4" s="13">
        <v>45535</v>
      </c>
      <c r="W4" s="24"/>
      <c r="X4" s="24"/>
      <c r="Y4" s="4" t="s">
        <v>7</v>
      </c>
      <c r="Z4" s="5">
        <v>31</v>
      </c>
      <c r="AA4" s="3"/>
      <c r="AB4" s="3"/>
    </row>
    <row r="5" spans="1:28" ht="15" customHeight="1" x14ac:dyDescent="0.25">
      <c r="A5" s="14">
        <v>1</v>
      </c>
      <c r="B5" s="15">
        <v>856</v>
      </c>
      <c r="C5" s="6" t="s">
        <v>29</v>
      </c>
      <c r="D5" s="16" t="s">
        <v>30</v>
      </c>
      <c r="E5" s="17" t="s">
        <v>31</v>
      </c>
      <c r="F5" s="7" t="s">
        <v>23</v>
      </c>
      <c r="G5" s="7" t="s">
        <v>23</v>
      </c>
      <c r="H5" s="7" t="s">
        <v>23</v>
      </c>
      <c r="I5" s="27" t="s">
        <v>63</v>
      </c>
      <c r="J5" s="7" t="s">
        <v>23</v>
      </c>
      <c r="K5" s="29" t="s">
        <v>64</v>
      </c>
      <c r="L5" s="7" t="s">
        <v>22</v>
      </c>
      <c r="M5" s="7" t="s">
        <v>22</v>
      </c>
      <c r="N5" s="7" t="s">
        <v>22</v>
      </c>
      <c r="O5" s="7" t="s">
        <v>22</v>
      </c>
      <c r="P5" s="27" t="s">
        <v>25</v>
      </c>
      <c r="Q5" s="29" t="s">
        <v>26</v>
      </c>
      <c r="R5" s="7" t="s">
        <v>22</v>
      </c>
      <c r="S5" s="7" t="s">
        <v>22</v>
      </c>
      <c r="T5" s="7" t="s">
        <v>22</v>
      </c>
      <c r="U5" s="29" t="s">
        <v>27</v>
      </c>
      <c r="V5" s="7" t="s">
        <v>22</v>
      </c>
      <c r="W5" s="5">
        <f t="shared" ref="W5:W24" si="1">COUNTIF(F5:V5,"P")</f>
        <v>8</v>
      </c>
      <c r="X5" s="5">
        <f t="shared" ref="X5:X24" si="2">COUNTIF(F5:V5,"A")</f>
        <v>4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887</v>
      </c>
      <c r="C6" s="18" t="s">
        <v>32</v>
      </c>
      <c r="D6" s="19" t="s">
        <v>33</v>
      </c>
      <c r="E6" s="17" t="s">
        <v>31</v>
      </c>
      <c r="F6" s="7" t="s">
        <v>23</v>
      </c>
      <c r="G6" s="7" t="s">
        <v>23</v>
      </c>
      <c r="H6" s="7" t="s">
        <v>23</v>
      </c>
      <c r="I6" s="28"/>
      <c r="J6" s="7" t="s">
        <v>22</v>
      </c>
      <c r="K6" s="30"/>
      <c r="L6" s="7" t="s">
        <v>22</v>
      </c>
      <c r="M6" s="7" t="s">
        <v>22</v>
      </c>
      <c r="N6" s="7" t="s">
        <v>22</v>
      </c>
      <c r="O6" s="7" t="s">
        <v>22</v>
      </c>
      <c r="P6" s="28"/>
      <c r="Q6" s="30"/>
      <c r="R6" s="7" t="s">
        <v>22</v>
      </c>
      <c r="S6" s="7" t="s">
        <v>22</v>
      </c>
      <c r="T6" s="7" t="s">
        <v>22</v>
      </c>
      <c r="U6" s="30"/>
      <c r="V6" s="7" t="s">
        <v>22</v>
      </c>
      <c r="W6" s="5">
        <f t="shared" si="1"/>
        <v>9</v>
      </c>
      <c r="X6" s="5">
        <f t="shared" si="2"/>
        <v>3</v>
      </c>
      <c r="Y6" s="5" t="s">
        <v>10</v>
      </c>
      <c r="Z6" s="8">
        <v>4</v>
      </c>
      <c r="AA6" s="3"/>
      <c r="AB6" s="3"/>
    </row>
    <row r="7" spans="1:28" x14ac:dyDescent="0.25">
      <c r="A7" s="14">
        <v>3</v>
      </c>
      <c r="B7" s="10">
        <v>886</v>
      </c>
      <c r="C7" s="18" t="s">
        <v>34</v>
      </c>
      <c r="D7" s="19" t="s">
        <v>33</v>
      </c>
      <c r="E7" s="17" t="s">
        <v>31</v>
      </c>
      <c r="F7" s="7" t="s">
        <v>23</v>
      </c>
      <c r="G7" s="7" t="s">
        <v>23</v>
      </c>
      <c r="H7" s="7" t="s">
        <v>23</v>
      </c>
      <c r="I7" s="28"/>
      <c r="J7" s="7" t="s">
        <v>22</v>
      </c>
      <c r="K7" s="30"/>
      <c r="L7" s="7" t="s">
        <v>22</v>
      </c>
      <c r="M7" s="7" t="s">
        <v>22</v>
      </c>
      <c r="N7" s="7" t="s">
        <v>22</v>
      </c>
      <c r="O7" s="7" t="s">
        <v>22</v>
      </c>
      <c r="P7" s="28"/>
      <c r="Q7" s="30"/>
      <c r="R7" s="7" t="s">
        <v>22</v>
      </c>
      <c r="S7" s="7" t="s">
        <v>22</v>
      </c>
      <c r="T7" s="7" t="s">
        <v>22</v>
      </c>
      <c r="U7" s="30"/>
      <c r="V7" s="7" t="s">
        <v>22</v>
      </c>
      <c r="W7" s="5">
        <f t="shared" si="1"/>
        <v>9</v>
      </c>
      <c r="X7" s="5">
        <f t="shared" si="2"/>
        <v>3</v>
      </c>
      <c r="Y7" s="3"/>
      <c r="Z7" s="3"/>
      <c r="AA7" s="3"/>
      <c r="AB7" s="3"/>
    </row>
    <row r="8" spans="1:28" ht="15.75" x14ac:dyDescent="0.25">
      <c r="A8" s="8">
        <v>4</v>
      </c>
      <c r="B8" s="10">
        <v>877</v>
      </c>
      <c r="C8" s="18" t="s">
        <v>35</v>
      </c>
      <c r="D8" s="19" t="s">
        <v>36</v>
      </c>
      <c r="E8" s="17" t="s">
        <v>31</v>
      </c>
      <c r="F8" s="7" t="s">
        <v>23</v>
      </c>
      <c r="G8" s="7" t="s">
        <v>23</v>
      </c>
      <c r="H8" s="7" t="s">
        <v>23</v>
      </c>
      <c r="I8" s="28"/>
      <c r="J8" s="7" t="s">
        <v>22</v>
      </c>
      <c r="K8" s="30"/>
      <c r="L8" s="7" t="s">
        <v>22</v>
      </c>
      <c r="M8" s="7" t="s">
        <v>22</v>
      </c>
      <c r="N8" s="7" t="s">
        <v>22</v>
      </c>
      <c r="O8" s="7" t="s">
        <v>22</v>
      </c>
      <c r="P8" s="28"/>
      <c r="Q8" s="30"/>
      <c r="R8" s="7" t="s">
        <v>22</v>
      </c>
      <c r="S8" s="7" t="s">
        <v>22</v>
      </c>
      <c r="T8" s="7" t="s">
        <v>22</v>
      </c>
      <c r="U8" s="30"/>
      <c r="V8" s="7" t="s">
        <v>22</v>
      </c>
      <c r="W8" s="5">
        <f t="shared" si="1"/>
        <v>9</v>
      </c>
      <c r="X8" s="5">
        <f t="shared" si="2"/>
        <v>3</v>
      </c>
      <c r="Y8" s="25" t="s">
        <v>11</v>
      </c>
      <c r="Z8" s="26"/>
      <c r="AA8" s="26"/>
      <c r="AB8" s="31"/>
    </row>
    <row r="9" spans="1:28" x14ac:dyDescent="0.25">
      <c r="A9" s="14">
        <v>5</v>
      </c>
      <c r="B9" s="10">
        <v>894</v>
      </c>
      <c r="C9" s="18" t="s">
        <v>38</v>
      </c>
      <c r="D9" s="19" t="s">
        <v>39</v>
      </c>
      <c r="E9" s="17" t="s">
        <v>31</v>
      </c>
      <c r="F9" s="7" t="s">
        <v>23</v>
      </c>
      <c r="G9" s="7" t="s">
        <v>23</v>
      </c>
      <c r="H9" s="7" t="s">
        <v>23</v>
      </c>
      <c r="I9" s="28"/>
      <c r="J9" s="7" t="s">
        <v>22</v>
      </c>
      <c r="K9" s="30"/>
      <c r="L9" s="7" t="s">
        <v>22</v>
      </c>
      <c r="M9" s="7" t="s">
        <v>22</v>
      </c>
      <c r="N9" s="7" t="s">
        <v>22</v>
      </c>
      <c r="O9" s="7" t="s">
        <v>22</v>
      </c>
      <c r="P9" s="28"/>
      <c r="Q9" s="30"/>
      <c r="R9" s="7" t="s">
        <v>22</v>
      </c>
      <c r="S9" s="7" t="s">
        <v>22</v>
      </c>
      <c r="T9" s="7" t="s">
        <v>22</v>
      </c>
      <c r="U9" s="30"/>
      <c r="V9" s="7" t="s">
        <v>22</v>
      </c>
      <c r="W9" s="5">
        <f t="shared" si="1"/>
        <v>9</v>
      </c>
      <c r="X9" s="5">
        <f t="shared" si="2"/>
        <v>3</v>
      </c>
      <c r="Y9" s="5" t="s">
        <v>16</v>
      </c>
      <c r="Z9" s="8">
        <f>19*26</f>
        <v>494</v>
      </c>
      <c r="AA9" s="8">
        <f>21*26</f>
        <v>546</v>
      </c>
      <c r="AB9" s="8">
        <f>SUM(Z9:AA9)</f>
        <v>1040</v>
      </c>
    </row>
    <row r="10" spans="1:28" x14ac:dyDescent="0.25">
      <c r="A10" s="8">
        <v>6</v>
      </c>
      <c r="B10" s="32">
        <v>920</v>
      </c>
      <c r="C10" s="18" t="s">
        <v>40</v>
      </c>
      <c r="D10" s="19" t="s">
        <v>21</v>
      </c>
      <c r="E10" s="17" t="s">
        <v>31</v>
      </c>
      <c r="F10" s="7" t="s">
        <v>23</v>
      </c>
      <c r="G10" s="7" t="s">
        <v>23</v>
      </c>
      <c r="H10" s="7" t="s">
        <v>23</v>
      </c>
      <c r="I10" s="28"/>
      <c r="J10" s="7" t="s">
        <v>23</v>
      </c>
      <c r="K10" s="30"/>
      <c r="L10" s="7" t="s">
        <v>22</v>
      </c>
      <c r="M10" s="7" t="s">
        <v>22</v>
      </c>
      <c r="N10" s="7" t="s">
        <v>22</v>
      </c>
      <c r="O10" s="7" t="s">
        <v>22</v>
      </c>
      <c r="P10" s="28"/>
      <c r="Q10" s="30"/>
      <c r="R10" s="7" t="s">
        <v>22</v>
      </c>
      <c r="S10" s="7" t="s">
        <v>22</v>
      </c>
      <c r="T10" s="7" t="s">
        <v>22</v>
      </c>
      <c r="U10" s="30"/>
      <c r="V10" s="7" t="s">
        <v>22</v>
      </c>
      <c r="W10" s="5">
        <f t="shared" si="1"/>
        <v>8</v>
      </c>
      <c r="X10" s="5">
        <f t="shared" si="2"/>
        <v>4</v>
      </c>
      <c r="Y10" s="5" t="s">
        <v>17</v>
      </c>
      <c r="Z10" s="8" t="e">
        <f>W6+W7+W8+W10+W11+W12+W13+W17+W18+W19+W20+W21+W22+W23+W24+#REF!</f>
        <v>#REF!</v>
      </c>
      <c r="AA10" s="8" t="e">
        <f>W5+#REF!+W9+#REF!+W14+W15+W16+#REF!</f>
        <v>#REF!</v>
      </c>
      <c r="AB10" s="8" t="e">
        <f>Z10+AA10</f>
        <v>#REF!</v>
      </c>
    </row>
    <row r="11" spans="1:28" x14ac:dyDescent="0.25">
      <c r="A11" s="14">
        <v>7</v>
      </c>
      <c r="B11" s="33">
        <v>919</v>
      </c>
      <c r="C11" s="18" t="s">
        <v>41</v>
      </c>
      <c r="D11" s="19" t="s">
        <v>21</v>
      </c>
      <c r="E11" s="17" t="s">
        <v>31</v>
      </c>
      <c r="F11" s="7"/>
      <c r="G11" s="7"/>
      <c r="H11" s="7"/>
      <c r="I11" s="28"/>
      <c r="J11" s="7"/>
      <c r="K11" s="30"/>
      <c r="L11" s="7" t="s">
        <v>22</v>
      </c>
      <c r="M11" s="7" t="s">
        <v>22</v>
      </c>
      <c r="N11" s="7" t="s">
        <v>22</v>
      </c>
      <c r="O11" s="7" t="s">
        <v>22</v>
      </c>
      <c r="P11" s="28"/>
      <c r="Q11" s="30"/>
      <c r="R11" s="7" t="s">
        <v>22</v>
      </c>
      <c r="S11" s="7" t="s">
        <v>22</v>
      </c>
      <c r="T11" s="7" t="s">
        <v>22</v>
      </c>
      <c r="U11" s="30"/>
      <c r="V11" s="7" t="s">
        <v>22</v>
      </c>
      <c r="W11" s="5">
        <f t="shared" si="1"/>
        <v>8</v>
      </c>
      <c r="X11" s="5">
        <f t="shared" si="2"/>
        <v>0</v>
      </c>
      <c r="Y11" s="5" t="s">
        <v>18</v>
      </c>
      <c r="Z11" s="8" t="e">
        <f>Z10/Z9</f>
        <v>#REF!</v>
      </c>
      <c r="AA11" s="8" t="e">
        <f>AA10/AA9</f>
        <v>#REF!</v>
      </c>
      <c r="AB11" s="8" t="e">
        <f>AB10/AB9</f>
        <v>#REF!</v>
      </c>
    </row>
    <row r="12" spans="1:28" x14ac:dyDescent="0.25">
      <c r="A12" s="8">
        <v>8</v>
      </c>
      <c r="B12" s="32">
        <v>921</v>
      </c>
      <c r="C12" s="18" t="s">
        <v>42</v>
      </c>
      <c r="D12" s="19" t="s">
        <v>21</v>
      </c>
      <c r="E12" s="17" t="s">
        <v>31</v>
      </c>
      <c r="F12" s="7"/>
      <c r="G12" s="7"/>
      <c r="H12" s="7"/>
      <c r="I12" s="28"/>
      <c r="J12" s="7"/>
      <c r="K12" s="30"/>
      <c r="L12" s="7" t="s">
        <v>22</v>
      </c>
      <c r="M12" s="7" t="s">
        <v>22</v>
      </c>
      <c r="N12" s="7" t="s">
        <v>22</v>
      </c>
      <c r="O12" s="7" t="s">
        <v>22</v>
      </c>
      <c r="P12" s="28"/>
      <c r="Q12" s="30"/>
      <c r="R12" s="7" t="s">
        <v>22</v>
      </c>
      <c r="S12" s="7" t="s">
        <v>22</v>
      </c>
      <c r="T12" s="7" t="s">
        <v>22</v>
      </c>
      <c r="U12" s="30"/>
      <c r="V12" s="7" t="s">
        <v>22</v>
      </c>
      <c r="W12" s="5">
        <f t="shared" si="1"/>
        <v>8</v>
      </c>
      <c r="X12" s="5">
        <f t="shared" si="2"/>
        <v>0</v>
      </c>
      <c r="Y12" s="3"/>
      <c r="Z12" s="11"/>
      <c r="AA12" s="11"/>
      <c r="AB12" s="11"/>
    </row>
    <row r="13" spans="1:28" x14ac:dyDescent="0.25">
      <c r="A13" s="14">
        <v>9</v>
      </c>
      <c r="B13" s="34">
        <v>882</v>
      </c>
      <c r="C13" s="18" t="s">
        <v>44</v>
      </c>
      <c r="D13" s="19" t="s">
        <v>45</v>
      </c>
      <c r="E13" s="17" t="s">
        <v>31</v>
      </c>
      <c r="F13" s="7"/>
      <c r="G13" s="7"/>
      <c r="H13" s="7"/>
      <c r="I13" s="28"/>
      <c r="J13" s="7"/>
      <c r="K13" s="30"/>
      <c r="L13" s="7" t="s">
        <v>22</v>
      </c>
      <c r="M13" s="7" t="s">
        <v>22</v>
      </c>
      <c r="N13" s="7" t="s">
        <v>22</v>
      </c>
      <c r="O13" s="7" t="s">
        <v>22</v>
      </c>
      <c r="P13" s="28"/>
      <c r="Q13" s="30"/>
      <c r="R13" s="7" t="s">
        <v>22</v>
      </c>
      <c r="S13" s="7" t="s">
        <v>22</v>
      </c>
      <c r="T13" s="7" t="s">
        <v>22</v>
      </c>
      <c r="U13" s="30"/>
      <c r="V13" s="7" t="s">
        <v>22</v>
      </c>
      <c r="W13" s="5">
        <f t="shared" si="1"/>
        <v>8</v>
      </c>
      <c r="X13" s="5">
        <f t="shared" si="2"/>
        <v>0</v>
      </c>
      <c r="Y13" s="3"/>
      <c r="Z13" s="3"/>
      <c r="AA13" s="3"/>
      <c r="AB13" s="3"/>
    </row>
    <row r="14" spans="1:28" ht="15.75" x14ac:dyDescent="0.25">
      <c r="A14" s="8">
        <v>10</v>
      </c>
      <c r="B14" s="35">
        <v>875</v>
      </c>
      <c r="C14" s="18" t="s">
        <v>46</v>
      </c>
      <c r="D14" s="19" t="s">
        <v>36</v>
      </c>
      <c r="E14" s="17" t="s">
        <v>31</v>
      </c>
      <c r="F14" s="7"/>
      <c r="G14" s="7"/>
      <c r="H14" s="7"/>
      <c r="I14" s="28"/>
      <c r="J14" s="7"/>
      <c r="K14" s="30"/>
      <c r="L14" s="7" t="s">
        <v>22</v>
      </c>
      <c r="M14" s="7" t="s">
        <v>22</v>
      </c>
      <c r="N14" s="7" t="s">
        <v>22</v>
      </c>
      <c r="O14" s="7" t="s">
        <v>22</v>
      </c>
      <c r="P14" s="28"/>
      <c r="Q14" s="30"/>
      <c r="R14" s="7" t="s">
        <v>22</v>
      </c>
      <c r="S14" s="7" t="s">
        <v>22</v>
      </c>
      <c r="T14" s="7" t="s">
        <v>22</v>
      </c>
      <c r="U14" s="30"/>
      <c r="V14" s="7" t="s">
        <v>22</v>
      </c>
      <c r="W14" s="5">
        <f t="shared" si="1"/>
        <v>8</v>
      </c>
      <c r="X14" s="5">
        <f t="shared" si="2"/>
        <v>0</v>
      </c>
      <c r="Y14" s="25" t="s">
        <v>6</v>
      </c>
      <c r="Z14" s="26"/>
      <c r="AA14" s="26"/>
      <c r="AB14" s="31"/>
    </row>
    <row r="15" spans="1:28" x14ac:dyDescent="0.25">
      <c r="A15" s="14">
        <v>11</v>
      </c>
      <c r="B15" s="35">
        <v>893</v>
      </c>
      <c r="C15" s="18" t="s">
        <v>47</v>
      </c>
      <c r="D15" s="19" t="s">
        <v>39</v>
      </c>
      <c r="E15" s="17" t="s">
        <v>31</v>
      </c>
      <c r="F15" s="7" t="s">
        <v>23</v>
      </c>
      <c r="G15" s="7" t="s">
        <v>23</v>
      </c>
      <c r="H15" s="7" t="s">
        <v>23</v>
      </c>
      <c r="I15" s="28"/>
      <c r="J15" s="7" t="s">
        <v>22</v>
      </c>
      <c r="K15" s="30"/>
      <c r="L15" s="7" t="s">
        <v>22</v>
      </c>
      <c r="M15" s="7" t="s">
        <v>22</v>
      </c>
      <c r="N15" s="7" t="s">
        <v>22</v>
      </c>
      <c r="O15" s="7" t="s">
        <v>22</v>
      </c>
      <c r="P15" s="28"/>
      <c r="Q15" s="30"/>
      <c r="R15" s="7" t="s">
        <v>22</v>
      </c>
      <c r="S15" s="7" t="s">
        <v>22</v>
      </c>
      <c r="T15" s="7" t="s">
        <v>22</v>
      </c>
      <c r="U15" s="30"/>
      <c r="V15" s="7" t="s">
        <v>22</v>
      </c>
      <c r="W15" s="5">
        <f t="shared" si="1"/>
        <v>9</v>
      </c>
      <c r="X15" s="5">
        <f t="shared" si="2"/>
        <v>3</v>
      </c>
      <c r="Y15" s="5" t="s">
        <v>12</v>
      </c>
      <c r="Z15" s="5" t="s">
        <v>13</v>
      </c>
      <c r="AA15" s="5" t="s">
        <v>14</v>
      </c>
      <c r="AB15" s="5" t="s">
        <v>15</v>
      </c>
    </row>
    <row r="16" spans="1:28" x14ac:dyDescent="0.25">
      <c r="A16" s="8">
        <v>12</v>
      </c>
      <c r="B16" s="34">
        <v>889</v>
      </c>
      <c r="C16" s="18" t="s">
        <v>48</v>
      </c>
      <c r="D16" s="19" t="s">
        <v>49</v>
      </c>
      <c r="E16" s="17" t="s">
        <v>31</v>
      </c>
      <c r="F16" s="7" t="s">
        <v>22</v>
      </c>
      <c r="G16" s="7" t="s">
        <v>22</v>
      </c>
      <c r="H16" s="7" t="s">
        <v>23</v>
      </c>
      <c r="I16" s="28"/>
      <c r="J16" s="7" t="s">
        <v>22</v>
      </c>
      <c r="K16" s="30"/>
      <c r="L16" s="7" t="s">
        <v>22</v>
      </c>
      <c r="M16" s="7" t="s">
        <v>22</v>
      </c>
      <c r="N16" s="7" t="s">
        <v>22</v>
      </c>
      <c r="O16" s="7" t="s">
        <v>22</v>
      </c>
      <c r="P16" s="28"/>
      <c r="Q16" s="30"/>
      <c r="R16" s="7" t="s">
        <v>22</v>
      </c>
      <c r="S16" s="7" t="s">
        <v>22</v>
      </c>
      <c r="T16" s="7" t="s">
        <v>22</v>
      </c>
      <c r="U16" s="30"/>
      <c r="V16" s="7" t="s">
        <v>22</v>
      </c>
      <c r="W16" s="5">
        <f t="shared" si="1"/>
        <v>11</v>
      </c>
      <c r="X16" s="5">
        <f t="shared" si="2"/>
        <v>1</v>
      </c>
      <c r="Y16" s="5" t="s">
        <v>16</v>
      </c>
      <c r="Z16" s="8">
        <f>19*26</f>
        <v>494</v>
      </c>
      <c r="AA16" s="8">
        <f>21*26</f>
        <v>546</v>
      </c>
      <c r="AB16" s="8">
        <f>Z16+AA16</f>
        <v>1040</v>
      </c>
    </row>
    <row r="17" spans="1:28" x14ac:dyDescent="0.25">
      <c r="A17" s="14">
        <v>13</v>
      </c>
      <c r="B17" s="33">
        <v>911</v>
      </c>
      <c r="C17" s="18" t="s">
        <v>50</v>
      </c>
      <c r="D17" s="19" t="s">
        <v>51</v>
      </c>
      <c r="E17" s="17" t="s">
        <v>31</v>
      </c>
      <c r="F17" s="7" t="s">
        <v>23</v>
      </c>
      <c r="G17" s="7" t="s">
        <v>23</v>
      </c>
      <c r="H17" s="7" t="s">
        <v>23</v>
      </c>
      <c r="I17" s="28"/>
      <c r="J17" s="7" t="s">
        <v>22</v>
      </c>
      <c r="K17" s="30"/>
      <c r="L17" s="7" t="s">
        <v>22</v>
      </c>
      <c r="M17" s="7" t="s">
        <v>22</v>
      </c>
      <c r="N17" s="7" t="s">
        <v>22</v>
      </c>
      <c r="O17" s="7" t="s">
        <v>22</v>
      </c>
      <c r="P17" s="28"/>
      <c r="Q17" s="30"/>
      <c r="R17" s="7" t="s">
        <v>22</v>
      </c>
      <c r="S17" s="7" t="s">
        <v>22</v>
      </c>
      <c r="T17" s="7" t="s">
        <v>22</v>
      </c>
      <c r="U17" s="30"/>
      <c r="V17" s="7" t="s">
        <v>22</v>
      </c>
      <c r="W17" s="5">
        <f t="shared" si="1"/>
        <v>9</v>
      </c>
      <c r="X17" s="5">
        <f t="shared" si="2"/>
        <v>3</v>
      </c>
      <c r="Y17" s="5" t="s">
        <v>19</v>
      </c>
      <c r="Z17" s="8" t="e">
        <f>Z16-Z10</f>
        <v>#REF!</v>
      </c>
      <c r="AA17" s="8" t="e">
        <f>AA16-AA10</f>
        <v>#REF!</v>
      </c>
      <c r="AB17" s="8" t="e">
        <f>Z17+AA17</f>
        <v>#REF!</v>
      </c>
    </row>
    <row r="18" spans="1:28" x14ac:dyDescent="0.25">
      <c r="A18" s="8">
        <v>14</v>
      </c>
      <c r="B18" s="36">
        <v>910</v>
      </c>
      <c r="C18" s="18" t="s">
        <v>52</v>
      </c>
      <c r="D18" s="19" t="s">
        <v>53</v>
      </c>
      <c r="E18" s="17" t="s">
        <v>31</v>
      </c>
      <c r="F18" s="7" t="s">
        <v>23</v>
      </c>
      <c r="G18" s="7" t="s">
        <v>23</v>
      </c>
      <c r="H18" s="7" t="s">
        <v>23</v>
      </c>
      <c r="I18" s="28"/>
      <c r="J18" s="7" t="s">
        <v>22</v>
      </c>
      <c r="K18" s="30"/>
      <c r="L18" s="7" t="s">
        <v>22</v>
      </c>
      <c r="M18" s="7" t="s">
        <v>22</v>
      </c>
      <c r="N18" s="7" t="s">
        <v>22</v>
      </c>
      <c r="O18" s="7" t="s">
        <v>22</v>
      </c>
      <c r="P18" s="28"/>
      <c r="Q18" s="30"/>
      <c r="R18" s="7" t="s">
        <v>22</v>
      </c>
      <c r="S18" s="7" t="s">
        <v>22</v>
      </c>
      <c r="T18" s="7" t="s">
        <v>22</v>
      </c>
      <c r="U18" s="30"/>
      <c r="V18" s="7" t="s">
        <v>22</v>
      </c>
      <c r="W18" s="5">
        <f t="shared" si="1"/>
        <v>9</v>
      </c>
      <c r="X18" s="5">
        <f t="shared" si="2"/>
        <v>3</v>
      </c>
      <c r="Y18" s="5" t="s">
        <v>15</v>
      </c>
      <c r="Z18" s="12" t="e">
        <f>Z17/Z16</f>
        <v>#REF!</v>
      </c>
      <c r="AA18" s="12" t="e">
        <f>AA17/AA16</f>
        <v>#REF!</v>
      </c>
      <c r="AB18" s="12" t="e">
        <f>AB17/AB16</f>
        <v>#REF!</v>
      </c>
    </row>
    <row r="19" spans="1:28" x14ac:dyDescent="0.25">
      <c r="A19" s="14">
        <v>15</v>
      </c>
      <c r="B19" s="33">
        <v>913</v>
      </c>
      <c r="C19" s="18" t="s">
        <v>54</v>
      </c>
      <c r="D19" s="19" t="s">
        <v>37</v>
      </c>
      <c r="E19" s="17" t="s">
        <v>31</v>
      </c>
      <c r="F19" s="7" t="s">
        <v>23</v>
      </c>
      <c r="G19" s="7" t="s">
        <v>23</v>
      </c>
      <c r="H19" s="7" t="s">
        <v>23</v>
      </c>
      <c r="I19" s="28"/>
      <c r="J19" s="7" t="s">
        <v>22</v>
      </c>
      <c r="K19" s="30"/>
      <c r="L19" s="7" t="s">
        <v>22</v>
      </c>
      <c r="M19" s="7" t="s">
        <v>22</v>
      </c>
      <c r="N19" s="7" t="s">
        <v>22</v>
      </c>
      <c r="O19" s="7" t="s">
        <v>22</v>
      </c>
      <c r="P19" s="28"/>
      <c r="Q19" s="30"/>
      <c r="R19" s="7" t="s">
        <v>22</v>
      </c>
      <c r="S19" s="7" t="s">
        <v>22</v>
      </c>
      <c r="T19" s="7" t="s">
        <v>22</v>
      </c>
      <c r="U19" s="30"/>
      <c r="V19" s="7" t="s">
        <v>22</v>
      </c>
      <c r="W19" s="5">
        <f t="shared" si="1"/>
        <v>9</v>
      </c>
      <c r="X19" s="5">
        <f t="shared" si="2"/>
        <v>3</v>
      </c>
    </row>
    <row r="20" spans="1:28" x14ac:dyDescent="0.25">
      <c r="A20" s="8">
        <v>16</v>
      </c>
      <c r="B20" s="34">
        <v>860</v>
      </c>
      <c r="C20" s="18" t="s">
        <v>55</v>
      </c>
      <c r="D20" s="19" t="s">
        <v>56</v>
      </c>
      <c r="E20" s="17" t="s">
        <v>31</v>
      </c>
      <c r="F20" s="7" t="s">
        <v>23</v>
      </c>
      <c r="G20" s="7" t="s">
        <v>23</v>
      </c>
      <c r="H20" s="7" t="s">
        <v>23</v>
      </c>
      <c r="I20" s="28"/>
      <c r="J20" s="7" t="s">
        <v>22</v>
      </c>
      <c r="K20" s="30"/>
      <c r="L20" s="7" t="s">
        <v>22</v>
      </c>
      <c r="M20" s="7" t="s">
        <v>22</v>
      </c>
      <c r="N20" s="7" t="s">
        <v>22</v>
      </c>
      <c r="O20" s="7" t="s">
        <v>22</v>
      </c>
      <c r="P20" s="28"/>
      <c r="Q20" s="30"/>
      <c r="R20" s="7" t="s">
        <v>22</v>
      </c>
      <c r="S20" s="7" t="s">
        <v>22</v>
      </c>
      <c r="T20" s="7" t="s">
        <v>22</v>
      </c>
      <c r="U20" s="30"/>
      <c r="V20" s="7" t="s">
        <v>22</v>
      </c>
      <c r="W20" s="5">
        <f t="shared" si="1"/>
        <v>9</v>
      </c>
      <c r="X20" s="5">
        <f t="shared" si="2"/>
        <v>3</v>
      </c>
    </row>
    <row r="21" spans="1:28" x14ac:dyDescent="0.25">
      <c r="A21" s="14">
        <v>17</v>
      </c>
      <c r="B21" s="33">
        <v>914</v>
      </c>
      <c r="C21" s="18" t="s">
        <v>57</v>
      </c>
      <c r="D21" s="19" t="s">
        <v>58</v>
      </c>
      <c r="E21" s="17" t="s">
        <v>31</v>
      </c>
      <c r="F21" s="7" t="s">
        <v>23</v>
      </c>
      <c r="G21" s="7" t="s">
        <v>23</v>
      </c>
      <c r="H21" s="7" t="s">
        <v>23</v>
      </c>
      <c r="I21" s="28"/>
      <c r="J21" s="7" t="s">
        <v>22</v>
      </c>
      <c r="K21" s="30"/>
      <c r="L21" s="7" t="s">
        <v>22</v>
      </c>
      <c r="M21" s="7" t="s">
        <v>22</v>
      </c>
      <c r="N21" s="7" t="s">
        <v>22</v>
      </c>
      <c r="O21" s="7" t="s">
        <v>22</v>
      </c>
      <c r="P21" s="28"/>
      <c r="Q21" s="30"/>
      <c r="R21" s="7" t="s">
        <v>22</v>
      </c>
      <c r="S21" s="7" t="s">
        <v>22</v>
      </c>
      <c r="T21" s="7" t="s">
        <v>22</v>
      </c>
      <c r="U21" s="30"/>
      <c r="V21" s="7" t="s">
        <v>22</v>
      </c>
      <c r="W21" s="5">
        <f t="shared" si="1"/>
        <v>9</v>
      </c>
      <c r="X21" s="5">
        <f t="shared" si="2"/>
        <v>3</v>
      </c>
    </row>
    <row r="22" spans="1:28" x14ac:dyDescent="0.25">
      <c r="A22" s="8">
        <v>18</v>
      </c>
      <c r="B22" s="33">
        <v>916</v>
      </c>
      <c r="C22" s="18" t="s">
        <v>59</v>
      </c>
      <c r="D22" s="19" t="s">
        <v>43</v>
      </c>
      <c r="E22" s="17" t="s">
        <v>31</v>
      </c>
      <c r="F22" s="7" t="s">
        <v>23</v>
      </c>
      <c r="G22" s="7" t="s">
        <v>23</v>
      </c>
      <c r="H22" s="7" t="s">
        <v>23</v>
      </c>
      <c r="I22" s="28"/>
      <c r="J22" s="7" t="s">
        <v>22</v>
      </c>
      <c r="K22" s="30"/>
      <c r="L22" s="7" t="s">
        <v>22</v>
      </c>
      <c r="M22" s="7" t="s">
        <v>22</v>
      </c>
      <c r="N22" s="7" t="s">
        <v>22</v>
      </c>
      <c r="O22" s="7" t="s">
        <v>22</v>
      </c>
      <c r="P22" s="28"/>
      <c r="Q22" s="30"/>
      <c r="R22" s="7" t="s">
        <v>22</v>
      </c>
      <c r="S22" s="7" t="s">
        <v>22</v>
      </c>
      <c r="T22" s="7" t="s">
        <v>22</v>
      </c>
      <c r="U22" s="30"/>
      <c r="V22" s="7" t="s">
        <v>22</v>
      </c>
      <c r="W22" s="5">
        <f t="shared" si="1"/>
        <v>9</v>
      </c>
      <c r="X22" s="5">
        <f t="shared" si="2"/>
        <v>3</v>
      </c>
    </row>
    <row r="23" spans="1:28" x14ac:dyDescent="0.25">
      <c r="A23" s="14">
        <v>19</v>
      </c>
      <c r="B23" s="33">
        <v>917</v>
      </c>
      <c r="C23" s="18" t="s">
        <v>60</v>
      </c>
      <c r="D23" s="19" t="s">
        <v>61</v>
      </c>
      <c r="E23" s="17" t="s">
        <v>31</v>
      </c>
      <c r="F23" s="7" t="s">
        <v>23</v>
      </c>
      <c r="G23" s="7" t="s">
        <v>23</v>
      </c>
      <c r="H23" s="7" t="s">
        <v>23</v>
      </c>
      <c r="I23" s="28"/>
      <c r="J23" s="7" t="s">
        <v>22</v>
      </c>
      <c r="K23" s="30"/>
      <c r="L23" s="7" t="s">
        <v>22</v>
      </c>
      <c r="M23" s="7" t="s">
        <v>22</v>
      </c>
      <c r="N23" s="7" t="s">
        <v>22</v>
      </c>
      <c r="O23" s="7" t="s">
        <v>22</v>
      </c>
      <c r="P23" s="28"/>
      <c r="Q23" s="30"/>
      <c r="R23" s="7" t="s">
        <v>22</v>
      </c>
      <c r="S23" s="7" t="s">
        <v>22</v>
      </c>
      <c r="T23" s="7" t="s">
        <v>22</v>
      </c>
      <c r="U23" s="30"/>
      <c r="V23" s="7" t="s">
        <v>22</v>
      </c>
      <c r="W23" s="5">
        <f t="shared" si="1"/>
        <v>9</v>
      </c>
      <c r="X23" s="5">
        <f t="shared" si="2"/>
        <v>3</v>
      </c>
    </row>
    <row r="24" spans="1:28" x14ac:dyDescent="0.25">
      <c r="A24" s="8">
        <v>20</v>
      </c>
      <c r="B24" s="33">
        <v>918</v>
      </c>
      <c r="C24" s="18" t="s">
        <v>62</v>
      </c>
      <c r="D24" s="19" t="s">
        <v>61</v>
      </c>
      <c r="E24" s="17" t="s">
        <v>31</v>
      </c>
      <c r="F24" s="7" t="s">
        <v>23</v>
      </c>
      <c r="G24" s="7" t="s">
        <v>23</v>
      </c>
      <c r="H24" s="7" t="s">
        <v>23</v>
      </c>
      <c r="I24" s="28"/>
      <c r="J24" s="7" t="s">
        <v>22</v>
      </c>
      <c r="K24" s="30"/>
      <c r="L24" s="7" t="s">
        <v>22</v>
      </c>
      <c r="M24" s="7" t="s">
        <v>22</v>
      </c>
      <c r="N24" s="7" t="s">
        <v>22</v>
      </c>
      <c r="O24" s="7" t="s">
        <v>22</v>
      </c>
      <c r="P24" s="28"/>
      <c r="Q24" s="30"/>
      <c r="R24" s="7" t="s">
        <v>22</v>
      </c>
      <c r="S24" s="7" t="s">
        <v>22</v>
      </c>
      <c r="T24" s="7" t="s">
        <v>22</v>
      </c>
      <c r="U24" s="30"/>
      <c r="V24" s="7" t="s">
        <v>22</v>
      </c>
      <c r="W24" s="5">
        <f t="shared" si="1"/>
        <v>9</v>
      </c>
      <c r="X24" s="5">
        <f t="shared" si="2"/>
        <v>3</v>
      </c>
    </row>
  </sheetData>
  <mergeCells count="17">
    <mergeCell ref="Y3:Z3"/>
    <mergeCell ref="I5:I24"/>
    <mergeCell ref="K5:K24"/>
    <mergeCell ref="P5:P24"/>
    <mergeCell ref="Q5:Q24"/>
    <mergeCell ref="U5:U24"/>
    <mergeCell ref="Y8:AB8"/>
    <mergeCell ref="Y14:AB14"/>
    <mergeCell ref="A1:X1"/>
    <mergeCell ref="A2:X2"/>
    <mergeCell ref="A3:A4"/>
    <mergeCell ref="B3:B4"/>
    <mergeCell ref="C3:C4"/>
    <mergeCell ref="D3:D4"/>
    <mergeCell ref="E3:E4"/>
    <mergeCell ref="W3:W4"/>
    <mergeCell ref="X3:X4"/>
  </mergeCells>
  <conditionalFormatting sqref="U5 F4:V4 I5 K5 P5:Q5 J5:J24 L5:O24 R5:T24 V5:V24 F5:H24">
    <cfRule type="expression" dxfId="22" priority="49">
      <formula>IF(F$4=TODAY(),TRUE,FALSE)</formula>
    </cfRule>
  </conditionalFormatting>
  <conditionalFormatting sqref="U5 I5 K5 P5:Q5 J5:J24 L5:O24 R5:T24 V5:V24 F5:H24">
    <cfRule type="cellIs" dxfId="21" priority="41" operator="equal">
      <formula>"L"</formula>
    </cfRule>
    <cfRule type="cellIs" dxfId="20" priority="42" operator="equal">
      <formula>"A"</formula>
    </cfRule>
    <cfRule type="cellIs" dxfId="19" priority="43" operator="equal">
      <formula>"P"</formula>
    </cfRule>
  </conditionalFormatting>
  <conditionalFormatting sqref="F3:V4 U5 Y4:Z4 I5 K5 P5:Q5 J5:J24 L5:O24 R5:T24 V5:V24 Y9:Y11 F5:H24">
    <cfRule type="expression" dxfId="18" priority="50">
      <formula>F$3="Sun"</formula>
    </cfRule>
  </conditionalFormatting>
  <conditionalFormatting sqref="W3:X3">
    <cfRule type="expression" dxfId="17" priority="51">
      <formula>#REF!="Sun"</formula>
    </cfRule>
  </conditionalFormatting>
  <conditionalFormatting sqref="W5:X24">
    <cfRule type="expression" dxfId="16" priority="40">
      <formula>#REF!="Sun"</formula>
    </cfRule>
  </conditionalFormatting>
  <conditionalFormatting sqref="Y5:Y6">
    <cfRule type="expression" dxfId="15" priority="48">
      <formula>Y$3="Sun"</formula>
    </cfRule>
  </conditionalFormatting>
  <conditionalFormatting sqref="Y15:Y18">
    <cfRule type="expression" dxfId="14" priority="45">
      <formula>Y$3="Sun"</formula>
    </cfRule>
  </conditionalFormatting>
  <conditionalFormatting sqref="Z15:AB15">
    <cfRule type="expression" dxfId="13" priority="44">
      <formula>Z$3="Sun"</formula>
    </cfRule>
  </conditionalFormatting>
  <conditionalFormatting sqref="B10">
    <cfRule type="duplicateValues" dxfId="12" priority="34"/>
  </conditionalFormatting>
  <conditionalFormatting sqref="B11:B12">
    <cfRule type="duplicateValues" dxfId="11" priority="33"/>
  </conditionalFormatting>
  <conditionalFormatting sqref="B13">
    <cfRule type="duplicateValues" dxfId="10" priority="31"/>
  </conditionalFormatting>
  <conditionalFormatting sqref="B14">
    <cfRule type="duplicateValues" dxfId="9" priority="30"/>
  </conditionalFormatting>
  <conditionalFormatting sqref="B15">
    <cfRule type="duplicateValues" dxfId="8" priority="29"/>
  </conditionalFormatting>
  <conditionalFormatting sqref="B16">
    <cfRule type="duplicateValues" dxfId="7" priority="28"/>
  </conditionalFormatting>
  <conditionalFormatting sqref="B17">
    <cfRule type="duplicateValues" dxfId="6" priority="27"/>
  </conditionalFormatting>
  <conditionalFormatting sqref="B18">
    <cfRule type="duplicateValues" dxfId="5" priority="26"/>
  </conditionalFormatting>
  <conditionalFormatting sqref="B19">
    <cfRule type="duplicateValues" dxfId="4" priority="25"/>
  </conditionalFormatting>
  <conditionalFormatting sqref="B20">
    <cfRule type="duplicateValues" dxfId="3" priority="24"/>
  </conditionalFormatting>
  <conditionalFormatting sqref="B21">
    <cfRule type="duplicateValues" dxfId="2" priority="23"/>
  </conditionalFormatting>
  <conditionalFormatting sqref="B22">
    <cfRule type="duplicateValues" dxfId="1" priority="22"/>
  </conditionalFormatting>
  <conditionalFormatting sqref="B23:B24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2025-01-13T14:50:55Z</dcterms:modified>
</cp:coreProperties>
</file>