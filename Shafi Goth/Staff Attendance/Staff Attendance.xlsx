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hafi Goth\Staff Attendance\"/>
    </mc:Choice>
  </mc:AlternateContent>
  <xr:revisionPtr revIDLastSave="0" documentId="13_ncr:1_{6D0B1238-4E95-42BD-BA91-4047F174BE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UGUST-2024" sheetId="7" r:id="rId1"/>
    <sheet name="SEPTEMBER-2024" sheetId="9" r:id="rId2"/>
    <sheet name="OCTOBER-2024" sheetId="13" r:id="rId3"/>
    <sheet name="NOVEMBER-2024" sheetId="14" r:id="rId4"/>
    <sheet name="DECEMBER-2024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0" i="15" l="1"/>
  <c r="AK10" i="15"/>
  <c r="AJ10" i="15"/>
  <c r="AI10" i="15"/>
  <c r="AM10" i="15" s="1"/>
  <c r="AL9" i="15"/>
  <c r="AK9" i="15"/>
  <c r="AJ9" i="15"/>
  <c r="AI9" i="15"/>
  <c r="AM9" i="15" s="1"/>
  <c r="AL8" i="15"/>
  <c r="AK8" i="15"/>
  <c r="AJ8" i="15"/>
  <c r="AI8" i="15"/>
  <c r="AM8" i="15" s="1"/>
  <c r="AL7" i="15"/>
  <c r="AK7" i="15"/>
  <c r="AJ7" i="15"/>
  <c r="AI7" i="15"/>
  <c r="AL6" i="15"/>
  <c r="AK6" i="15"/>
  <c r="AJ6" i="15"/>
  <c r="AI6" i="15"/>
  <c r="AM6" i="15" s="1"/>
  <c r="AK5" i="15"/>
  <c r="AJ5" i="15"/>
  <c r="AI5" i="15"/>
  <c r="AM5" i="15" s="1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K10" i="14"/>
  <c r="AJ10" i="14"/>
  <c r="AI10" i="14"/>
  <c r="AH10" i="14"/>
  <c r="AK9" i="14"/>
  <c r="AJ9" i="14"/>
  <c r="AI9" i="14"/>
  <c r="AH9" i="14"/>
  <c r="AK8" i="14"/>
  <c r="AJ8" i="14"/>
  <c r="AI8" i="14"/>
  <c r="AH8" i="14"/>
  <c r="AK7" i="14"/>
  <c r="AJ7" i="14"/>
  <c r="AI7" i="14"/>
  <c r="AH7" i="14"/>
  <c r="AK6" i="14"/>
  <c r="AJ6" i="14"/>
  <c r="AI6" i="14"/>
  <c r="AH6" i="14"/>
  <c r="AJ5" i="14"/>
  <c r="AI5" i="14"/>
  <c r="AH5" i="14"/>
  <c r="AL5" i="14" s="1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AL10" i="13"/>
  <c r="AK10" i="13"/>
  <c r="AJ10" i="13"/>
  <c r="AI10" i="13"/>
  <c r="AM10" i="13" s="1"/>
  <c r="AL9" i="13"/>
  <c r="AK9" i="13"/>
  <c r="AJ9" i="13"/>
  <c r="AI9" i="13"/>
  <c r="AM9" i="13" s="1"/>
  <c r="AL8" i="13"/>
  <c r="AK8" i="13"/>
  <c r="AJ8" i="13"/>
  <c r="AI8" i="13"/>
  <c r="AM8" i="13" s="1"/>
  <c r="AL7" i="13"/>
  <c r="AK7" i="13"/>
  <c r="AJ7" i="13"/>
  <c r="AI7" i="13"/>
  <c r="AM7" i="13" s="1"/>
  <c r="AL6" i="13"/>
  <c r="AK6" i="13"/>
  <c r="AJ6" i="13"/>
  <c r="AI6" i="13"/>
  <c r="AM6" i="13" s="1"/>
  <c r="AK5" i="13"/>
  <c r="AJ5" i="13"/>
  <c r="AI5" i="13"/>
  <c r="AM5" i="13" s="1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K10" i="9"/>
  <c r="AJ10" i="9"/>
  <c r="AI10" i="9"/>
  <c r="AH10" i="9"/>
  <c r="AK9" i="9"/>
  <c r="AJ9" i="9"/>
  <c r="AI9" i="9"/>
  <c r="AH9" i="9"/>
  <c r="AK8" i="9"/>
  <c r="AJ8" i="9"/>
  <c r="AI8" i="9"/>
  <c r="AH8" i="9"/>
  <c r="AK7" i="9"/>
  <c r="AJ7" i="9"/>
  <c r="AI7" i="9"/>
  <c r="AH7" i="9"/>
  <c r="AK6" i="9"/>
  <c r="AJ6" i="9"/>
  <c r="AI6" i="9"/>
  <c r="AH6" i="9"/>
  <c r="AJ5" i="9"/>
  <c r="AI5" i="9"/>
  <c r="AH5" i="9"/>
  <c r="AL5" i="9" s="1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AL8" i="7"/>
  <c r="AK8" i="7"/>
  <c r="AJ8" i="7"/>
  <c r="AI8" i="7"/>
  <c r="AL10" i="7"/>
  <c r="AK10" i="7"/>
  <c r="AJ10" i="7"/>
  <c r="AI10" i="7"/>
  <c r="AF3" i="7"/>
  <c r="AG3" i="7"/>
  <c r="AH3" i="7"/>
  <c r="AL9" i="7"/>
  <c r="AK9" i="7"/>
  <c r="AJ9" i="7"/>
  <c r="AI9" i="7"/>
  <c r="AL7" i="7"/>
  <c r="AK7" i="7"/>
  <c r="AJ7" i="7"/>
  <c r="AI7" i="7"/>
  <c r="AL6" i="7"/>
  <c r="AK6" i="7"/>
  <c r="AJ6" i="7"/>
  <c r="AI6" i="7"/>
  <c r="AK5" i="7"/>
  <c r="AJ5" i="7"/>
  <c r="AI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AM7" i="15" l="1"/>
  <c r="AL6" i="14"/>
  <c r="AL7" i="14"/>
  <c r="AL8" i="14"/>
  <c r="AL10" i="14"/>
  <c r="AL9" i="14"/>
  <c r="AL6" i="9"/>
  <c r="AL7" i="9"/>
  <c r="AL8" i="9"/>
  <c r="AL9" i="9"/>
  <c r="AL10" i="9"/>
  <c r="AM8" i="7"/>
  <c r="AM10" i="7"/>
  <c r="AM6" i="7"/>
  <c r="AM7" i="7"/>
  <c r="AM9" i="7"/>
  <c r="AM5" i="7"/>
</calcChain>
</file>

<file path=xl/sharedStrings.xml><?xml version="1.0" encoding="utf-8"?>
<sst xmlns="http://schemas.openxmlformats.org/spreadsheetml/2006/main" count="803" uniqueCount="26">
  <si>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</si>
  <si>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</si>
  <si>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</si>
  <si>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</si>
  <si>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</si>
  <si>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</si>
  <si>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</si>
  <si>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</si>
  <si>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</si>
  <si>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</si>
  <si>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</si>
  <si>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CHEHLUM</t>
  </si>
  <si>
    <t>TEACHING STAFF</t>
  </si>
  <si>
    <t>PST</t>
  </si>
  <si>
    <t>HM</t>
  </si>
  <si>
    <t>URS</t>
  </si>
  <si>
    <t>RAINY DAY OFF</t>
  </si>
  <si>
    <t>Muhammad Hussain</t>
  </si>
  <si>
    <t>Muhammad Yasir</t>
  </si>
  <si>
    <t>Ghulam Muhammad</t>
  </si>
  <si>
    <t>Muneer Ahmed</t>
  </si>
  <si>
    <t>Hajira Bibi</t>
  </si>
  <si>
    <t>Iffat Naaz</t>
  </si>
  <si>
    <t>SLT</t>
  </si>
  <si>
    <t>12 Rabi Ul Awwal</t>
  </si>
  <si>
    <t>WINTER VICATIONS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</si>
</sst>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M10"/>
  <sheetViews>
    <sheetView tabSelected="1" workbookViewId="0">
      <selection activeCell="A2" sqref="A2:AM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</row>
    <row r="3" spans="1:39" ht="27" x14ac:dyDescent="0.25">
      <c r="A3" s="20" t="s">
        <v>0</v>
      </c>
      <c r="B3" s="21"/>
      <c r="C3" s="21"/>
      <c r="D3" s="10" t="str">
        <f>TEXT(D4,"ddd")</f>
        <v>Thu</v>
      </c>
      <c r="E3" s="10" t="str">
        <f t="shared" ref="E3:AH3" si="0">TEXT(E4,"ddd")</f>
        <v>Fri</v>
      </c>
      <c r="F3" s="10" t="str">
        <f t="shared" si="0"/>
        <v>Sat</v>
      </c>
      <c r="G3" s="10" t="str">
        <f t="shared" si="0"/>
        <v>Sun</v>
      </c>
      <c r="H3" s="10" t="str">
        <f t="shared" si="0"/>
        <v>Mon</v>
      </c>
      <c r="I3" s="10" t="str">
        <f t="shared" si="0"/>
        <v>Tue</v>
      </c>
      <c r="J3" s="10" t="str">
        <f t="shared" si="0"/>
        <v>Wed</v>
      </c>
      <c r="K3" s="10" t="str">
        <f t="shared" si="0"/>
        <v>Thu</v>
      </c>
      <c r="L3" s="10" t="str">
        <f t="shared" si="0"/>
        <v>Fri</v>
      </c>
      <c r="M3" s="10" t="str">
        <f t="shared" si="0"/>
        <v>Sat</v>
      </c>
      <c r="N3" s="10" t="str">
        <f t="shared" si="0"/>
        <v>Sun</v>
      </c>
      <c r="O3" s="10" t="str">
        <f t="shared" si="0"/>
        <v>Mon</v>
      </c>
      <c r="P3" s="10" t="str">
        <f t="shared" si="0"/>
        <v>Tue</v>
      </c>
      <c r="Q3" s="10" t="str">
        <f t="shared" si="0"/>
        <v>Wed</v>
      </c>
      <c r="R3" s="10" t="str">
        <f t="shared" si="0"/>
        <v>Thu</v>
      </c>
      <c r="S3" s="10" t="str">
        <f t="shared" si="0"/>
        <v>Fri</v>
      </c>
      <c r="T3" s="10" t="str">
        <f t="shared" si="0"/>
        <v>Sat</v>
      </c>
      <c r="U3" s="10" t="str">
        <f t="shared" si="0"/>
        <v>Sun</v>
      </c>
      <c r="V3" s="10" t="str">
        <f t="shared" si="0"/>
        <v>Mon</v>
      </c>
      <c r="W3" s="10" t="str">
        <f t="shared" si="0"/>
        <v>Tue</v>
      </c>
      <c r="X3" s="10" t="str">
        <f t="shared" si="0"/>
        <v>Wed</v>
      </c>
      <c r="Y3" s="10" t="str">
        <f t="shared" si="0"/>
        <v>Thu</v>
      </c>
      <c r="Z3" s="10" t="str">
        <f t="shared" si="0"/>
        <v>Fri</v>
      </c>
      <c r="AA3" s="10" t="str">
        <f t="shared" si="0"/>
        <v>Sat</v>
      </c>
      <c r="AB3" s="10" t="str">
        <f t="shared" si="0"/>
        <v>Sun</v>
      </c>
      <c r="AC3" s="10" t="str">
        <f t="shared" si="0"/>
        <v>Mon</v>
      </c>
      <c r="AD3" s="10" t="str">
        <f t="shared" si="0"/>
        <v>Tue</v>
      </c>
      <c r="AE3" s="10" t="str">
        <f t="shared" si="0"/>
        <v>Wed</v>
      </c>
      <c r="AF3" s="10" t="str">
        <f t="shared" si="0"/>
        <v>Thu</v>
      </c>
      <c r="AG3" s="10" t="str">
        <f t="shared" si="0"/>
        <v>Fri</v>
      </c>
      <c r="AH3" s="10" t="str">
        <f t="shared" si="0"/>
        <v>Sat</v>
      </c>
      <c r="AI3" s="22" t="s">
        <v>1</v>
      </c>
      <c r="AJ3" s="22"/>
      <c r="AK3" s="22"/>
      <c r="AL3" s="22"/>
      <c r="AM3" s="23"/>
    </row>
    <row r="4" spans="1:39" x14ac:dyDescent="0.25">
      <c r="A4" s="1" t="s">
        <v>2</v>
      </c>
      <c r="B4" s="2" t="s">
        <v>3</v>
      </c>
      <c r="C4" s="2" t="s">
        <v>4</v>
      </c>
      <c r="D4" s="7">
        <v>45505</v>
      </c>
      <c r="E4" s="7">
        <v>45506</v>
      </c>
      <c r="F4" s="7">
        <v>45507</v>
      </c>
      <c r="G4" s="7">
        <v>45508</v>
      </c>
      <c r="H4" s="7">
        <v>45509</v>
      </c>
      <c r="I4" s="7">
        <v>45510</v>
      </c>
      <c r="J4" s="7">
        <v>45511</v>
      </c>
      <c r="K4" s="7">
        <v>45512</v>
      </c>
      <c r="L4" s="7">
        <v>45513</v>
      </c>
      <c r="M4" s="7">
        <v>45514</v>
      </c>
      <c r="N4" s="7">
        <v>45515</v>
      </c>
      <c r="O4" s="7">
        <v>45516</v>
      </c>
      <c r="P4" s="7">
        <v>45517</v>
      </c>
      <c r="Q4" s="7">
        <v>45518</v>
      </c>
      <c r="R4" s="7">
        <v>45519</v>
      </c>
      <c r="S4" s="7">
        <v>45520</v>
      </c>
      <c r="T4" s="7">
        <v>45521</v>
      </c>
      <c r="U4" s="7">
        <v>45522</v>
      </c>
      <c r="V4" s="7">
        <v>45523</v>
      </c>
      <c r="W4" s="7">
        <v>45524</v>
      </c>
      <c r="X4" s="7">
        <v>45525</v>
      </c>
      <c r="Y4" s="7">
        <v>45526</v>
      </c>
      <c r="Z4" s="7">
        <v>45527</v>
      </c>
      <c r="AA4" s="7">
        <v>45528</v>
      </c>
      <c r="AB4" s="7">
        <v>45529</v>
      </c>
      <c r="AC4" s="7">
        <v>45530</v>
      </c>
      <c r="AD4" s="7">
        <v>45531</v>
      </c>
      <c r="AE4" s="7">
        <v>45532</v>
      </c>
      <c r="AF4" s="7">
        <v>45533</v>
      </c>
      <c r="AG4" s="7">
        <v>45534</v>
      </c>
      <c r="AH4" s="7">
        <v>45535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4" t="s">
        <v>6</v>
      </c>
      <c r="G5" s="13" t="s">
        <v>10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13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13" t="s">
        <v>10</v>
      </c>
      <c r="V5" s="4" t="s">
        <v>6</v>
      </c>
      <c r="W5" s="13" t="s">
        <v>15</v>
      </c>
      <c r="X5" s="4" t="s">
        <v>6</v>
      </c>
      <c r="Y5" s="4" t="s">
        <v>6</v>
      </c>
      <c r="Z5" s="4" t="s">
        <v>6</v>
      </c>
      <c r="AA5" s="4" t="s">
        <v>6</v>
      </c>
      <c r="AB5" s="13" t="s">
        <v>10</v>
      </c>
      <c r="AC5" s="15" t="s">
        <v>11</v>
      </c>
      <c r="AD5" s="4" t="s">
        <v>6</v>
      </c>
      <c r="AE5" s="4" t="s">
        <v>6</v>
      </c>
      <c r="AF5" s="4" t="s">
        <v>6</v>
      </c>
      <c r="AG5" s="15" t="s">
        <v>16</v>
      </c>
      <c r="AH5" s="4" t="s">
        <v>6</v>
      </c>
      <c r="AI5" s="4">
        <f t="shared" ref="AI5:AI10" si="1">COUNTIF(D5:AH5,"P")</f>
        <v>24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29</v>
      </c>
    </row>
    <row r="6" spans="1:39" x14ac:dyDescent="0.25">
      <c r="A6" s="3">
        <v>2</v>
      </c>
      <c r="B6" s="4" t="s">
        <v>18</v>
      </c>
      <c r="C6" s="4" t="s">
        <v>13</v>
      </c>
      <c r="D6" s="4"/>
      <c r="E6" s="4"/>
      <c r="F6" s="4"/>
      <c r="G6" s="13"/>
      <c r="H6" s="4"/>
      <c r="I6" s="4"/>
      <c r="J6" s="4"/>
      <c r="K6" s="4"/>
      <c r="L6" s="4"/>
      <c r="M6" s="4"/>
      <c r="N6" s="13"/>
      <c r="O6" s="4"/>
      <c r="P6" s="4"/>
      <c r="Q6" s="4" t="s">
        <v>6</v>
      </c>
      <c r="R6" s="4" t="s">
        <v>6</v>
      </c>
      <c r="S6" s="4" t="s">
        <v>6</v>
      </c>
      <c r="T6" s="4" t="s">
        <v>6</v>
      </c>
      <c r="U6" s="13"/>
      <c r="V6" s="4" t="s">
        <v>6</v>
      </c>
      <c r="W6" s="13"/>
      <c r="X6" s="4" t="s">
        <v>6</v>
      </c>
      <c r="Y6" s="4" t="s">
        <v>6</v>
      </c>
      <c r="Z6" s="4" t="s">
        <v>6</v>
      </c>
      <c r="AA6" s="4" t="s">
        <v>6</v>
      </c>
      <c r="AB6" s="13"/>
      <c r="AC6" s="15"/>
      <c r="AD6" s="4" t="s">
        <v>6</v>
      </c>
      <c r="AE6" s="4" t="s">
        <v>6</v>
      </c>
      <c r="AF6" s="4" t="s">
        <v>6</v>
      </c>
      <c r="AG6" s="15"/>
      <c r="AH6" s="4" t="s">
        <v>6</v>
      </c>
      <c r="AI6" s="4">
        <f t="shared" si="1"/>
        <v>13</v>
      </c>
      <c r="AJ6" s="4">
        <f t="shared" si="2"/>
        <v>0</v>
      </c>
      <c r="AK6" s="4">
        <f t="shared" si="3"/>
        <v>0</v>
      </c>
      <c r="AL6" s="4">
        <f t="shared" ref="AL6:AL10" si="4">COUNTBLANK(D6:AH6)</f>
        <v>18</v>
      </c>
      <c r="AM6" s="11">
        <f t="shared" ref="AM6:AM10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4"/>
      <c r="E7" s="4"/>
      <c r="F7" s="4"/>
      <c r="G7" s="13"/>
      <c r="H7" s="4"/>
      <c r="I7" s="4"/>
      <c r="J7" s="4"/>
      <c r="K7" s="4"/>
      <c r="L7" s="4"/>
      <c r="M7" s="4"/>
      <c r="N7" s="13"/>
      <c r="O7" s="4"/>
      <c r="P7" s="4"/>
      <c r="Q7" s="4" t="s">
        <v>6</v>
      </c>
      <c r="R7" s="4" t="s">
        <v>6</v>
      </c>
      <c r="S7" s="4" t="s">
        <v>6</v>
      </c>
      <c r="T7" s="4" t="s">
        <v>6</v>
      </c>
      <c r="U7" s="13"/>
      <c r="V7" s="4" t="s">
        <v>6</v>
      </c>
      <c r="W7" s="13"/>
      <c r="X7" s="4" t="s">
        <v>6</v>
      </c>
      <c r="Y7" s="4" t="s">
        <v>6</v>
      </c>
      <c r="Z7" s="4" t="s">
        <v>6</v>
      </c>
      <c r="AA7" s="4" t="s">
        <v>6</v>
      </c>
      <c r="AB7" s="13"/>
      <c r="AC7" s="15"/>
      <c r="AD7" s="4" t="s">
        <v>6</v>
      </c>
      <c r="AE7" s="4" t="s">
        <v>6</v>
      </c>
      <c r="AF7" s="4" t="s">
        <v>6</v>
      </c>
      <c r="AG7" s="15"/>
      <c r="AH7" s="4" t="s">
        <v>6</v>
      </c>
      <c r="AI7" s="4">
        <f t="shared" si="1"/>
        <v>13</v>
      </c>
      <c r="AJ7" s="4">
        <f t="shared" si="2"/>
        <v>0</v>
      </c>
      <c r="AK7" s="4">
        <f t="shared" si="3"/>
        <v>0</v>
      </c>
      <c r="AL7" s="4">
        <f t="shared" si="4"/>
        <v>18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/>
      <c r="E8" s="4"/>
      <c r="F8" s="4"/>
      <c r="G8" s="13"/>
      <c r="H8" s="4"/>
      <c r="I8" s="4"/>
      <c r="J8" s="4"/>
      <c r="K8" s="4"/>
      <c r="L8" s="4"/>
      <c r="M8" s="4"/>
      <c r="N8" s="13"/>
      <c r="O8" s="4"/>
      <c r="P8" s="4"/>
      <c r="Q8" s="4" t="s">
        <v>6</v>
      </c>
      <c r="R8" s="4" t="s">
        <v>6</v>
      </c>
      <c r="S8" s="4" t="s">
        <v>6</v>
      </c>
      <c r="T8" s="4" t="s">
        <v>6</v>
      </c>
      <c r="U8" s="13"/>
      <c r="V8" s="4" t="s">
        <v>6</v>
      </c>
      <c r="W8" s="13"/>
      <c r="X8" s="4" t="s">
        <v>6</v>
      </c>
      <c r="Y8" s="4" t="s">
        <v>6</v>
      </c>
      <c r="Z8" s="4" t="s">
        <v>6</v>
      </c>
      <c r="AA8" s="4" t="s">
        <v>6</v>
      </c>
      <c r="AB8" s="13"/>
      <c r="AC8" s="15"/>
      <c r="AD8" s="4" t="s">
        <v>6</v>
      </c>
      <c r="AE8" s="4" t="s">
        <v>6</v>
      </c>
      <c r="AF8" s="4" t="s">
        <v>6</v>
      </c>
      <c r="AG8" s="15"/>
      <c r="AH8" s="4" t="s">
        <v>6</v>
      </c>
      <c r="AI8" s="4">
        <f t="shared" si="1"/>
        <v>13</v>
      </c>
      <c r="AJ8" s="4">
        <f t="shared" si="2"/>
        <v>0</v>
      </c>
      <c r="AK8" s="4">
        <f t="shared" si="3"/>
        <v>0</v>
      </c>
      <c r="AL8" s="4">
        <f t="shared" si="4"/>
        <v>18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4"/>
      <c r="E9" s="4"/>
      <c r="F9" s="4"/>
      <c r="G9" s="13"/>
      <c r="H9" s="4"/>
      <c r="I9" s="4"/>
      <c r="J9" s="4"/>
      <c r="K9" s="4"/>
      <c r="L9" s="4"/>
      <c r="M9" s="4"/>
      <c r="N9" s="13"/>
      <c r="O9" s="4"/>
      <c r="P9" s="4"/>
      <c r="Q9" s="4" t="s">
        <v>6</v>
      </c>
      <c r="R9" s="4" t="s">
        <v>6</v>
      </c>
      <c r="S9" s="4" t="s">
        <v>6</v>
      </c>
      <c r="T9" s="4" t="s">
        <v>6</v>
      </c>
      <c r="U9" s="13"/>
      <c r="V9" s="4" t="s">
        <v>6</v>
      </c>
      <c r="W9" s="13"/>
      <c r="X9" s="4" t="s">
        <v>6</v>
      </c>
      <c r="Y9" s="4" t="s">
        <v>6</v>
      </c>
      <c r="Z9" s="4" t="s">
        <v>6</v>
      </c>
      <c r="AA9" s="4" t="s">
        <v>6</v>
      </c>
      <c r="AB9" s="13"/>
      <c r="AC9" s="15"/>
      <c r="AD9" s="4" t="s">
        <v>6</v>
      </c>
      <c r="AE9" s="4" t="s">
        <v>6</v>
      </c>
      <c r="AF9" s="4" t="s">
        <v>6</v>
      </c>
      <c r="AG9" s="15"/>
      <c r="AH9" s="4" t="s">
        <v>6</v>
      </c>
      <c r="AI9" s="4">
        <f t="shared" si="1"/>
        <v>13</v>
      </c>
      <c r="AJ9" s="4">
        <f t="shared" si="2"/>
        <v>0</v>
      </c>
      <c r="AK9" s="4">
        <f t="shared" si="3"/>
        <v>0</v>
      </c>
      <c r="AL9" s="4">
        <f t="shared" si="4"/>
        <v>18</v>
      </c>
      <c r="AM9" s="11">
        <f t="shared" si="5"/>
        <v>31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6"/>
      <c r="E10" s="6"/>
      <c r="F10" s="6"/>
      <c r="G10" s="14"/>
      <c r="H10" s="6"/>
      <c r="I10" s="6"/>
      <c r="J10" s="6"/>
      <c r="K10" s="6"/>
      <c r="L10" s="6"/>
      <c r="M10" s="6"/>
      <c r="N10" s="14"/>
      <c r="O10" s="6"/>
      <c r="P10" s="6"/>
      <c r="Q10" s="6" t="s">
        <v>6</v>
      </c>
      <c r="R10" s="6" t="s">
        <v>6</v>
      </c>
      <c r="S10" s="6" t="s">
        <v>6</v>
      </c>
      <c r="T10" s="6" t="s">
        <v>6</v>
      </c>
      <c r="U10" s="14"/>
      <c r="V10" s="6" t="s">
        <v>6</v>
      </c>
      <c r="W10" s="14"/>
      <c r="X10" s="6" t="s">
        <v>6</v>
      </c>
      <c r="Y10" s="6" t="s">
        <v>6</v>
      </c>
      <c r="Z10" s="6" t="s">
        <v>6</v>
      </c>
      <c r="AA10" s="6" t="s">
        <v>6</v>
      </c>
      <c r="AB10" s="14"/>
      <c r="AC10" s="16"/>
      <c r="AD10" s="6" t="s">
        <v>6</v>
      </c>
      <c r="AE10" s="6" t="s">
        <v>6</v>
      </c>
      <c r="AF10" s="6" t="s">
        <v>6</v>
      </c>
      <c r="AG10" s="16"/>
      <c r="AH10" s="6" t="s">
        <v>6</v>
      </c>
      <c r="AI10" s="6">
        <f t="shared" si="1"/>
        <v>13</v>
      </c>
      <c r="AJ10" s="6">
        <f t="shared" si="2"/>
        <v>0</v>
      </c>
      <c r="AK10" s="6">
        <f t="shared" si="3"/>
        <v>0</v>
      </c>
      <c r="AL10" s="6">
        <f t="shared" si="4"/>
        <v>18</v>
      </c>
      <c r="AM10" s="12">
        <f t="shared" si="5"/>
        <v>31</v>
      </c>
    </row>
  </sheetData>
  <mergeCells count="10">
    <mergeCell ref="A2:AM2"/>
    <mergeCell ref="A3:C3"/>
    <mergeCell ref="AI3:AM3"/>
    <mergeCell ref="G5:G10"/>
    <mergeCell ref="N5:N10"/>
    <mergeCell ref="U5:U10"/>
    <mergeCell ref="AB5:AB10"/>
    <mergeCell ref="W5:W10"/>
    <mergeCell ref="AC5:AC10"/>
    <mergeCell ref="AG5:AG10"/>
  </mergeCells>
  <conditionalFormatting sqref="D3:AH4 G5 N5 U5 W5 AB5:AC5 AG5 D5:F10 H5:M10 V5:V10 AD5:AF10 AH5:AH10 X5:AA10 O5:T10">
    <cfRule type="expression" dxfId="14" priority="97">
      <formula>D$3="SUN"</formula>
    </cfRule>
  </conditionalFormatting>
  <conditionalFormatting sqref="G5 N5 U5 W5 AB5:AC5 AG5 D5:F10 H5:M10 V5:V10 AD5:AF10 AH5:AH10 X5:AA10 O5:T10">
    <cfRule type="cellIs" dxfId="13" priority="98" operator="equal">
      <formula>"A"</formula>
    </cfRule>
    <cfRule type="cellIs" dxfId="12" priority="99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802-B17A-4BB6-82FA-2C23CF5182C5}">
  <dimension ref="A1:AL17"/>
  <sheetViews>
    <sheetView workbookViewId="0">
      <selection activeCell="AH1" sqref="AH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</row>
    <row r="3" spans="1:38" ht="27" x14ac:dyDescent="0.25">
      <c r="A3" s="20" t="s">
        <v>0</v>
      </c>
      <c r="B3" s="21"/>
      <c r="C3" s="21"/>
      <c r="D3" s="10" t="str">
        <f>TEXT(D4,"ddd")</f>
        <v>Sun</v>
      </c>
      <c r="E3" s="10" t="str">
        <f t="shared" ref="E3:AG3" si="0">TEXT(E4,"ddd")</f>
        <v>Mon</v>
      </c>
      <c r="F3" s="10" t="str">
        <f t="shared" si="0"/>
        <v>Tue</v>
      </c>
      <c r="G3" s="10" t="str">
        <f t="shared" si="0"/>
        <v>Wed</v>
      </c>
      <c r="H3" s="10" t="str">
        <f t="shared" si="0"/>
        <v>Thu</v>
      </c>
      <c r="I3" s="10" t="str">
        <f t="shared" si="0"/>
        <v>Fri</v>
      </c>
      <c r="J3" s="10" t="str">
        <f t="shared" si="0"/>
        <v>Sat</v>
      </c>
      <c r="K3" s="10" t="str">
        <f t="shared" si="0"/>
        <v>Sun</v>
      </c>
      <c r="L3" s="10" t="str">
        <f t="shared" si="0"/>
        <v>Mon</v>
      </c>
      <c r="M3" s="10" t="str">
        <f t="shared" si="0"/>
        <v>Tue</v>
      </c>
      <c r="N3" s="10" t="str">
        <f t="shared" si="0"/>
        <v>Wed</v>
      </c>
      <c r="O3" s="10" t="str">
        <f t="shared" si="0"/>
        <v>Thu</v>
      </c>
      <c r="P3" s="10" t="str">
        <f t="shared" si="0"/>
        <v>Fri</v>
      </c>
      <c r="Q3" s="10" t="str">
        <f t="shared" si="0"/>
        <v>Sat</v>
      </c>
      <c r="R3" s="10" t="str">
        <f t="shared" si="0"/>
        <v>Sun</v>
      </c>
      <c r="S3" s="10" t="str">
        <f t="shared" si="0"/>
        <v>Mon</v>
      </c>
      <c r="T3" s="10" t="str">
        <f t="shared" si="0"/>
        <v>Tue</v>
      </c>
      <c r="U3" s="10" t="str">
        <f t="shared" si="0"/>
        <v>Wed</v>
      </c>
      <c r="V3" s="10" t="str">
        <f t="shared" si="0"/>
        <v>Thu</v>
      </c>
      <c r="W3" s="10" t="str">
        <f t="shared" si="0"/>
        <v>Fri</v>
      </c>
      <c r="X3" s="10" t="str">
        <f t="shared" si="0"/>
        <v>Sat</v>
      </c>
      <c r="Y3" s="10" t="str">
        <f t="shared" si="0"/>
        <v>Sun</v>
      </c>
      <c r="Z3" s="10" t="str">
        <f t="shared" si="0"/>
        <v>Mon</v>
      </c>
      <c r="AA3" s="10" t="str">
        <f t="shared" si="0"/>
        <v>Tue</v>
      </c>
      <c r="AB3" s="10" t="str">
        <f t="shared" si="0"/>
        <v>Wed</v>
      </c>
      <c r="AC3" s="10" t="str">
        <f t="shared" si="0"/>
        <v>Thu</v>
      </c>
      <c r="AD3" s="10" t="str">
        <f t="shared" si="0"/>
        <v>Fri</v>
      </c>
      <c r="AE3" s="10" t="str">
        <f t="shared" si="0"/>
        <v>Sat</v>
      </c>
      <c r="AF3" s="10" t="str">
        <f t="shared" si="0"/>
        <v>Sun</v>
      </c>
      <c r="AG3" s="10" t="str">
        <f t="shared" si="0"/>
        <v>Mon</v>
      </c>
      <c r="AH3" s="22" t="s">
        <v>1</v>
      </c>
      <c r="AI3" s="22"/>
      <c r="AJ3" s="22"/>
      <c r="AK3" s="22"/>
      <c r="AL3" s="23"/>
    </row>
    <row r="4" spans="1:38" x14ac:dyDescent="0.25">
      <c r="A4" s="1" t="s">
        <v>2</v>
      </c>
      <c r="B4" s="2" t="s">
        <v>3</v>
      </c>
      <c r="C4" s="2" t="s">
        <v>4</v>
      </c>
      <c r="D4" s="7">
        <v>45536</v>
      </c>
      <c r="E4" s="7">
        <v>45537</v>
      </c>
      <c r="F4" s="7">
        <v>45538</v>
      </c>
      <c r="G4" s="7">
        <v>45539</v>
      </c>
      <c r="H4" s="7">
        <v>45540</v>
      </c>
      <c r="I4" s="7">
        <v>45541</v>
      </c>
      <c r="J4" s="7">
        <v>45542</v>
      </c>
      <c r="K4" s="7">
        <v>45543</v>
      </c>
      <c r="L4" s="7">
        <v>45544</v>
      </c>
      <c r="M4" s="7">
        <v>45545</v>
      </c>
      <c r="N4" s="7">
        <v>45546</v>
      </c>
      <c r="O4" s="7">
        <v>45547</v>
      </c>
      <c r="P4" s="7">
        <v>45548</v>
      </c>
      <c r="Q4" s="7">
        <v>45549</v>
      </c>
      <c r="R4" s="7">
        <v>45550</v>
      </c>
      <c r="S4" s="7">
        <v>45551</v>
      </c>
      <c r="T4" s="7">
        <v>45552</v>
      </c>
      <c r="U4" s="7">
        <v>45553</v>
      </c>
      <c r="V4" s="7">
        <v>45554</v>
      </c>
      <c r="W4" s="7">
        <v>45555</v>
      </c>
      <c r="X4" s="7">
        <v>45556</v>
      </c>
      <c r="Y4" s="7">
        <v>45557</v>
      </c>
      <c r="Z4" s="7">
        <v>45558</v>
      </c>
      <c r="AA4" s="7">
        <v>45559</v>
      </c>
      <c r="AB4" s="7">
        <v>45560</v>
      </c>
      <c r="AC4" s="7">
        <v>45561</v>
      </c>
      <c r="AD4" s="7">
        <v>45562</v>
      </c>
      <c r="AE4" s="7">
        <v>45563</v>
      </c>
      <c r="AF4" s="7">
        <v>45564</v>
      </c>
      <c r="AG4" s="7">
        <v>45565</v>
      </c>
      <c r="AH4" s="8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17</v>
      </c>
      <c r="C5" s="4" t="s">
        <v>14</v>
      </c>
      <c r="D5" s="13" t="s">
        <v>10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13" t="s">
        <v>10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13" t="s">
        <v>10</v>
      </c>
      <c r="S5" s="4" t="s">
        <v>6</v>
      </c>
      <c r="T5" s="24" t="s">
        <v>24</v>
      </c>
      <c r="U5" s="4" t="s">
        <v>6</v>
      </c>
      <c r="V5" s="4" t="s">
        <v>6</v>
      </c>
      <c r="W5" s="4" t="s">
        <v>6</v>
      </c>
      <c r="X5" s="4" t="s">
        <v>6</v>
      </c>
      <c r="Y5" s="13" t="s">
        <v>10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13" t="s">
        <v>10</v>
      </c>
      <c r="AG5" s="4" t="s">
        <v>6</v>
      </c>
      <c r="AH5" s="4">
        <f>COUNTIF(D5:AG5,"P")</f>
        <v>24</v>
      </c>
      <c r="AI5" s="4">
        <f>COUNTIF(D5:AG5,"A")</f>
        <v>0</v>
      </c>
      <c r="AJ5" s="4">
        <f>COUNTIF(D5:AG5,"L")</f>
        <v>0</v>
      </c>
      <c r="AK5" s="4">
        <v>5</v>
      </c>
      <c r="AL5" s="11">
        <f>AH5+AJ5+AK5</f>
        <v>29</v>
      </c>
    </row>
    <row r="6" spans="1:38" x14ac:dyDescent="0.25">
      <c r="A6" s="3">
        <v>2</v>
      </c>
      <c r="B6" s="4" t="s">
        <v>18</v>
      </c>
      <c r="C6" s="4" t="s">
        <v>13</v>
      </c>
      <c r="D6" s="13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13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13"/>
      <c r="S6" s="4" t="s">
        <v>6</v>
      </c>
      <c r="T6" s="24"/>
      <c r="U6" s="4" t="s">
        <v>6</v>
      </c>
      <c r="V6" s="4" t="s">
        <v>6</v>
      </c>
      <c r="W6" s="4" t="s">
        <v>6</v>
      </c>
      <c r="X6" s="4" t="s">
        <v>6</v>
      </c>
      <c r="Y6" s="13"/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13"/>
      <c r="AG6" s="4" t="s">
        <v>6</v>
      </c>
      <c r="AH6" s="4">
        <f>COUNTIF(D6:AG6,"P")</f>
        <v>24</v>
      </c>
      <c r="AI6" s="4">
        <f>COUNTIF(D6:AG6,"A")</f>
        <v>0</v>
      </c>
      <c r="AJ6" s="4">
        <f>COUNTIF(D6:AG6,"L")</f>
        <v>0</v>
      </c>
      <c r="AK6" s="4">
        <f>COUNTBLANK(D6:AG6)</f>
        <v>6</v>
      </c>
      <c r="AL6" s="11">
        <f t="shared" ref="AL6:AL10" si="1">AH6+AJ6+AK6</f>
        <v>30</v>
      </c>
    </row>
    <row r="7" spans="1:38" x14ac:dyDescent="0.25">
      <c r="A7" s="3">
        <v>3</v>
      </c>
      <c r="B7" s="4" t="s">
        <v>19</v>
      </c>
      <c r="C7" s="4" t="s">
        <v>13</v>
      </c>
      <c r="D7" s="13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13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13"/>
      <c r="S7" s="4" t="s">
        <v>7</v>
      </c>
      <c r="T7" s="24"/>
      <c r="U7" s="4" t="s">
        <v>6</v>
      </c>
      <c r="V7" s="4" t="s">
        <v>6</v>
      </c>
      <c r="W7" s="4" t="s">
        <v>6</v>
      </c>
      <c r="X7" s="4" t="s">
        <v>6</v>
      </c>
      <c r="Y7" s="13"/>
      <c r="Z7" s="4" t="s">
        <v>6</v>
      </c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13"/>
      <c r="AG7" s="4" t="s">
        <v>6</v>
      </c>
      <c r="AH7" s="4">
        <f>COUNTIF(D7:AG7,"P")</f>
        <v>23</v>
      </c>
      <c r="AI7" s="4">
        <f>COUNTIF(D7:AG7,"A")</f>
        <v>1</v>
      </c>
      <c r="AJ7" s="4">
        <f>COUNTIF(D7:AG7,"L")</f>
        <v>0</v>
      </c>
      <c r="AK7" s="4">
        <f>COUNTBLANK(D7:AG7)</f>
        <v>6</v>
      </c>
      <c r="AL7" s="11">
        <f t="shared" si="1"/>
        <v>29</v>
      </c>
    </row>
    <row r="8" spans="1:38" x14ac:dyDescent="0.25">
      <c r="A8" s="3">
        <v>4</v>
      </c>
      <c r="B8" s="4" t="s">
        <v>20</v>
      </c>
      <c r="C8" s="4" t="s">
        <v>23</v>
      </c>
      <c r="D8" s="13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13"/>
      <c r="L8" s="4" t="s">
        <v>6</v>
      </c>
      <c r="M8" s="4" t="s">
        <v>7</v>
      </c>
      <c r="N8" s="4" t="s">
        <v>6</v>
      </c>
      <c r="O8" s="4" t="s">
        <v>6</v>
      </c>
      <c r="P8" s="4" t="s">
        <v>6</v>
      </c>
      <c r="Q8" s="4" t="s">
        <v>6</v>
      </c>
      <c r="R8" s="13"/>
      <c r="S8" s="4" t="s">
        <v>6</v>
      </c>
      <c r="T8" s="24"/>
      <c r="U8" s="4" t="s">
        <v>6</v>
      </c>
      <c r="V8" s="4" t="s">
        <v>6</v>
      </c>
      <c r="W8" s="4" t="s">
        <v>6</v>
      </c>
      <c r="X8" s="4" t="s">
        <v>6</v>
      </c>
      <c r="Y8" s="13"/>
      <c r="Z8" s="4" t="s">
        <v>6</v>
      </c>
      <c r="AA8" s="4" t="s">
        <v>6</v>
      </c>
      <c r="AB8" s="4" t="s">
        <v>6</v>
      </c>
      <c r="AC8" s="4" t="s">
        <v>6</v>
      </c>
      <c r="AD8" s="4" t="s">
        <v>7</v>
      </c>
      <c r="AE8" s="4" t="s">
        <v>6</v>
      </c>
      <c r="AF8" s="13"/>
      <c r="AG8" s="4" t="s">
        <v>6</v>
      </c>
      <c r="AH8" s="4">
        <f>COUNTIF(D8:AG8,"P")</f>
        <v>22</v>
      </c>
      <c r="AI8" s="4">
        <f>COUNTIF(D8:AG8,"A")</f>
        <v>2</v>
      </c>
      <c r="AJ8" s="4">
        <f>COUNTIF(D8:AG8,"L")</f>
        <v>0</v>
      </c>
      <c r="AK8" s="4">
        <f>COUNTBLANK(D8:AG8)</f>
        <v>6</v>
      </c>
      <c r="AL8" s="11">
        <f t="shared" si="1"/>
        <v>28</v>
      </c>
    </row>
    <row r="9" spans="1:38" x14ac:dyDescent="0.25">
      <c r="A9" s="3">
        <v>5</v>
      </c>
      <c r="B9" s="4" t="s">
        <v>21</v>
      </c>
      <c r="C9" s="4" t="s">
        <v>13</v>
      </c>
      <c r="D9" s="13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13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13"/>
      <c r="S9" s="4" t="s">
        <v>6</v>
      </c>
      <c r="T9" s="24"/>
      <c r="U9" s="4" t="s">
        <v>6</v>
      </c>
      <c r="V9" s="4" t="s">
        <v>6</v>
      </c>
      <c r="W9" s="4" t="s">
        <v>6</v>
      </c>
      <c r="X9" s="4" t="s">
        <v>6</v>
      </c>
      <c r="Y9" s="13"/>
      <c r="Z9" s="4" t="s">
        <v>7</v>
      </c>
      <c r="AA9" s="4" t="s">
        <v>6</v>
      </c>
      <c r="AB9" s="4" t="s">
        <v>6</v>
      </c>
      <c r="AC9" s="4" t="s">
        <v>6</v>
      </c>
      <c r="AD9" s="4" t="s">
        <v>6</v>
      </c>
      <c r="AE9" s="4" t="s">
        <v>6</v>
      </c>
      <c r="AF9" s="13"/>
      <c r="AG9" s="4" t="s">
        <v>6</v>
      </c>
      <c r="AH9" s="4">
        <f>COUNTIF(D9:AG9,"P")</f>
        <v>23</v>
      </c>
      <c r="AI9" s="4">
        <f>COUNTIF(D9:AG9,"A")</f>
        <v>1</v>
      </c>
      <c r="AJ9" s="4">
        <f>COUNTIF(D9:AG9,"L")</f>
        <v>0</v>
      </c>
      <c r="AK9" s="4">
        <f>COUNTBLANK(D9:AG9)</f>
        <v>6</v>
      </c>
      <c r="AL9" s="11">
        <f t="shared" si="1"/>
        <v>29</v>
      </c>
    </row>
    <row r="10" spans="1:38" ht="15.75" thickBot="1" x14ac:dyDescent="0.3">
      <c r="A10" s="5">
        <v>6</v>
      </c>
      <c r="B10" s="6" t="s">
        <v>22</v>
      </c>
      <c r="C10" s="6" t="s">
        <v>13</v>
      </c>
      <c r="D10" s="14"/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14"/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14"/>
      <c r="S10" s="6" t="s">
        <v>6</v>
      </c>
      <c r="T10" s="25"/>
      <c r="U10" s="6" t="s">
        <v>6</v>
      </c>
      <c r="V10" s="6" t="s">
        <v>6</v>
      </c>
      <c r="W10" s="6" t="s">
        <v>6</v>
      </c>
      <c r="X10" s="6" t="s">
        <v>6</v>
      </c>
      <c r="Y10" s="14"/>
      <c r="Z10" s="6" t="s">
        <v>6</v>
      </c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6</v>
      </c>
      <c r="AF10" s="14"/>
      <c r="AG10" s="6" t="s">
        <v>6</v>
      </c>
      <c r="AH10" s="6">
        <f>COUNTIF(D10:AG10,"P")</f>
        <v>24</v>
      </c>
      <c r="AI10" s="6">
        <f>COUNTIF(D10:AG10,"A")</f>
        <v>0</v>
      </c>
      <c r="AJ10" s="6">
        <f>COUNTIF(D10:AG10,"L")</f>
        <v>0</v>
      </c>
      <c r="AK10" s="6">
        <f>COUNTBLANK(D10:AG10)</f>
        <v>6</v>
      </c>
      <c r="AL10" s="12">
        <f t="shared" si="1"/>
        <v>30</v>
      </c>
    </row>
    <row r="17" ht="15" customHeight="1" x14ac:dyDescent="0.25"/>
  </sheetData>
  <mergeCells count="9">
    <mergeCell ref="A2:AL2"/>
    <mergeCell ref="AH3:AL3"/>
    <mergeCell ref="A3:C3"/>
    <mergeCell ref="D5:D10"/>
    <mergeCell ref="K5:K10"/>
    <mergeCell ref="R5:R10"/>
    <mergeCell ref="Y5:Y10"/>
    <mergeCell ref="AF5:AF10"/>
    <mergeCell ref="T5:T10"/>
  </mergeCells>
  <conditionalFormatting sqref="D5 K5 R5 Y5 AF5 E5:J10 L5:Q10 S5:S10 Z5:AE10 U5:X10 T5 D3:AG4 AG5:AG10">
    <cfRule type="expression" dxfId="11" priority="1">
      <formula>D$3="SUN"</formula>
    </cfRule>
  </conditionalFormatting>
  <conditionalFormatting sqref="D5 K5 R5 Y5 AF5 E5:J10 L5:Q10 S5:S10 Z5:AE10 AG5:AG10 U5:X10 T5">
    <cfRule type="cellIs" dxfId="10" priority="2" operator="equal">
      <formula>"A"</formula>
    </cfRule>
    <cfRule type="cellIs" dxfId="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5957-1748-4B80-BDC2-B8242BDDC4CC}">
  <dimension ref="A1:AM17"/>
  <sheetViews>
    <sheetView workbookViewId="0">
      <selection activeCell="AH10" sqref="AH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</row>
    <row r="3" spans="1:39" ht="27" x14ac:dyDescent="0.25">
      <c r="A3" s="20" t="s">
        <v>0</v>
      </c>
      <c r="B3" s="21"/>
      <c r="C3" s="21"/>
      <c r="D3" s="10" t="str">
        <f>TEXT(D4,"ddd")</f>
        <v>Tue</v>
      </c>
      <c r="E3" s="10" t="str">
        <f t="shared" ref="E3:AH3" si="0">TEXT(E4,"ddd")</f>
        <v>Wed</v>
      </c>
      <c r="F3" s="10" t="str">
        <f t="shared" si="0"/>
        <v>Thu</v>
      </c>
      <c r="G3" s="10" t="str">
        <f t="shared" si="0"/>
        <v>Fri</v>
      </c>
      <c r="H3" s="10" t="str">
        <f t="shared" si="0"/>
        <v>Sat</v>
      </c>
      <c r="I3" s="10" t="str">
        <f t="shared" si="0"/>
        <v>Sun</v>
      </c>
      <c r="J3" s="10" t="str">
        <f t="shared" si="0"/>
        <v>Mon</v>
      </c>
      <c r="K3" s="10" t="str">
        <f t="shared" si="0"/>
        <v>Tue</v>
      </c>
      <c r="L3" s="10" t="str">
        <f t="shared" si="0"/>
        <v>Wed</v>
      </c>
      <c r="M3" s="10" t="str">
        <f t="shared" si="0"/>
        <v>Thu</v>
      </c>
      <c r="N3" s="10" t="str">
        <f t="shared" si="0"/>
        <v>Fri</v>
      </c>
      <c r="O3" s="10" t="str">
        <f t="shared" si="0"/>
        <v>Sat</v>
      </c>
      <c r="P3" s="10" t="str">
        <f t="shared" si="0"/>
        <v>Sun</v>
      </c>
      <c r="Q3" s="10" t="str">
        <f t="shared" si="0"/>
        <v>Mon</v>
      </c>
      <c r="R3" s="10" t="str">
        <f t="shared" si="0"/>
        <v>Tue</v>
      </c>
      <c r="S3" s="10" t="str">
        <f t="shared" si="0"/>
        <v>Wed</v>
      </c>
      <c r="T3" s="10" t="str">
        <f t="shared" si="0"/>
        <v>Thu</v>
      </c>
      <c r="U3" s="10" t="str">
        <f t="shared" si="0"/>
        <v>Fri</v>
      </c>
      <c r="V3" s="10" t="str">
        <f t="shared" si="0"/>
        <v>Sat</v>
      </c>
      <c r="W3" s="10" t="str">
        <f t="shared" si="0"/>
        <v>Sun</v>
      </c>
      <c r="X3" s="10" t="str">
        <f t="shared" si="0"/>
        <v>Mon</v>
      </c>
      <c r="Y3" s="10" t="str">
        <f t="shared" si="0"/>
        <v>Tue</v>
      </c>
      <c r="Z3" s="10" t="str">
        <f t="shared" si="0"/>
        <v>Wed</v>
      </c>
      <c r="AA3" s="10" t="str">
        <f t="shared" si="0"/>
        <v>Thu</v>
      </c>
      <c r="AB3" s="10" t="str">
        <f t="shared" si="0"/>
        <v>Fri</v>
      </c>
      <c r="AC3" s="10" t="str">
        <f t="shared" si="0"/>
        <v>Sat</v>
      </c>
      <c r="AD3" s="10" t="str">
        <f t="shared" si="0"/>
        <v>Sun</v>
      </c>
      <c r="AE3" s="10" t="str">
        <f t="shared" si="0"/>
        <v>Mon</v>
      </c>
      <c r="AF3" s="10" t="str">
        <f t="shared" si="0"/>
        <v>Tue</v>
      </c>
      <c r="AG3" s="10" t="str">
        <f t="shared" si="0"/>
        <v>Wed</v>
      </c>
      <c r="AH3" s="10" t="str">
        <f t="shared" si="0"/>
        <v>Thu</v>
      </c>
      <c r="AI3" s="22" t="s">
        <v>1</v>
      </c>
      <c r="AJ3" s="22"/>
      <c r="AK3" s="22"/>
      <c r="AL3" s="22"/>
      <c r="AM3" s="23"/>
    </row>
    <row r="4" spans="1:39" x14ac:dyDescent="0.25">
      <c r="A4" s="1" t="s">
        <v>2</v>
      </c>
      <c r="B4" s="2" t="s">
        <v>3</v>
      </c>
      <c r="C4" s="2" t="s">
        <v>4</v>
      </c>
      <c r="D4" s="7">
        <v>45566</v>
      </c>
      <c r="E4" s="7">
        <v>45567</v>
      </c>
      <c r="F4" s="7">
        <v>45568</v>
      </c>
      <c r="G4" s="7">
        <v>45569</v>
      </c>
      <c r="H4" s="7">
        <v>45570</v>
      </c>
      <c r="I4" s="7">
        <v>45571</v>
      </c>
      <c r="J4" s="7">
        <v>45572</v>
      </c>
      <c r="K4" s="7">
        <v>45573</v>
      </c>
      <c r="L4" s="7">
        <v>45574</v>
      </c>
      <c r="M4" s="7">
        <v>45575</v>
      </c>
      <c r="N4" s="7">
        <v>45576</v>
      </c>
      <c r="O4" s="7">
        <v>45577</v>
      </c>
      <c r="P4" s="7">
        <v>45578</v>
      </c>
      <c r="Q4" s="7">
        <v>45579</v>
      </c>
      <c r="R4" s="7">
        <v>45580</v>
      </c>
      <c r="S4" s="7">
        <v>45581</v>
      </c>
      <c r="T4" s="7">
        <v>45582</v>
      </c>
      <c r="U4" s="7">
        <v>45583</v>
      </c>
      <c r="V4" s="7">
        <v>45584</v>
      </c>
      <c r="W4" s="7">
        <v>45585</v>
      </c>
      <c r="X4" s="7">
        <v>45586</v>
      </c>
      <c r="Y4" s="7">
        <v>45587</v>
      </c>
      <c r="Z4" s="7">
        <v>45588</v>
      </c>
      <c r="AA4" s="7">
        <v>45589</v>
      </c>
      <c r="AB4" s="7">
        <v>45590</v>
      </c>
      <c r="AC4" s="7">
        <v>45591</v>
      </c>
      <c r="AD4" s="7">
        <v>45592</v>
      </c>
      <c r="AE4" s="7">
        <v>45593</v>
      </c>
      <c r="AF4" s="7">
        <v>45594</v>
      </c>
      <c r="AG4" s="7">
        <v>45595</v>
      </c>
      <c r="AH4" s="7">
        <v>45596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13" t="s">
        <v>10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13" t="s">
        <v>10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13" t="s">
        <v>10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13" t="s">
        <v>10</v>
      </c>
      <c r="AE5" s="4" t="s">
        <v>6</v>
      </c>
      <c r="AF5" s="4" t="s">
        <v>6</v>
      </c>
      <c r="AG5" s="4" t="s">
        <v>6</v>
      </c>
      <c r="AH5" s="4" t="s">
        <v>6</v>
      </c>
      <c r="AI5" s="4">
        <f t="shared" ref="AI5:AI10" si="1">COUNTIF(D5:AH5,"P")</f>
        <v>27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32</v>
      </c>
    </row>
    <row r="6" spans="1:39" x14ac:dyDescent="0.25">
      <c r="A6" s="3">
        <v>2</v>
      </c>
      <c r="B6" s="4" t="s">
        <v>18</v>
      </c>
      <c r="C6" s="4" t="s">
        <v>13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13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3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13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13"/>
      <c r="AE6" s="4" t="s">
        <v>6</v>
      </c>
      <c r="AF6" s="4" t="s">
        <v>6</v>
      </c>
      <c r="AG6" s="4" t="s">
        <v>6</v>
      </c>
      <c r="AH6" s="4" t="s">
        <v>7</v>
      </c>
      <c r="AI6" s="4">
        <f t="shared" si="1"/>
        <v>26</v>
      </c>
      <c r="AJ6" s="4">
        <f t="shared" si="2"/>
        <v>1</v>
      </c>
      <c r="AK6" s="4">
        <f t="shared" si="3"/>
        <v>0</v>
      </c>
      <c r="AL6" s="4">
        <f t="shared" ref="AL6:AL10" si="4">COUNTBLANK(D6:AH6)</f>
        <v>4</v>
      </c>
      <c r="AM6" s="11">
        <f t="shared" ref="AM6:AM10" si="5">AI6+AK6+AL6</f>
        <v>30</v>
      </c>
    </row>
    <row r="7" spans="1:39" x14ac:dyDescent="0.25">
      <c r="A7" s="3">
        <v>3</v>
      </c>
      <c r="B7" s="4" t="s">
        <v>19</v>
      </c>
      <c r="C7" s="4" t="s">
        <v>13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13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3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13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13"/>
      <c r="AE7" s="4" t="s">
        <v>6</v>
      </c>
      <c r="AF7" s="4" t="s">
        <v>6</v>
      </c>
      <c r="AG7" s="4" t="s">
        <v>6</v>
      </c>
      <c r="AH7" s="4" t="s">
        <v>6</v>
      </c>
      <c r="AI7" s="4">
        <f t="shared" si="1"/>
        <v>27</v>
      </c>
      <c r="AJ7" s="4">
        <f t="shared" si="2"/>
        <v>0</v>
      </c>
      <c r="AK7" s="4">
        <f t="shared" si="3"/>
        <v>0</v>
      </c>
      <c r="AL7" s="4">
        <f t="shared" si="4"/>
        <v>4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13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7</v>
      </c>
      <c r="P8" s="13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13"/>
      <c r="X8" s="4" t="s">
        <v>7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13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25</v>
      </c>
      <c r="AJ8" s="4">
        <f t="shared" si="2"/>
        <v>2</v>
      </c>
      <c r="AK8" s="4">
        <f t="shared" si="3"/>
        <v>0</v>
      </c>
      <c r="AL8" s="4">
        <f t="shared" si="4"/>
        <v>4</v>
      </c>
      <c r="AM8" s="11">
        <f t="shared" si="5"/>
        <v>29</v>
      </c>
    </row>
    <row r="9" spans="1:39" x14ac:dyDescent="0.25">
      <c r="A9" s="3">
        <v>5</v>
      </c>
      <c r="B9" s="4" t="s">
        <v>21</v>
      </c>
      <c r="C9" s="4" t="s">
        <v>13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7</v>
      </c>
      <c r="I9" s="13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13"/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13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13"/>
      <c r="AE9" s="4" t="s">
        <v>6</v>
      </c>
      <c r="AF9" s="4" t="s">
        <v>6</v>
      </c>
      <c r="AG9" s="4" t="s">
        <v>7</v>
      </c>
      <c r="AH9" s="4" t="s">
        <v>6</v>
      </c>
      <c r="AI9" s="4">
        <f t="shared" si="1"/>
        <v>25</v>
      </c>
      <c r="AJ9" s="4">
        <f t="shared" si="2"/>
        <v>2</v>
      </c>
      <c r="AK9" s="4">
        <f t="shared" si="3"/>
        <v>0</v>
      </c>
      <c r="AL9" s="4">
        <f t="shared" si="4"/>
        <v>4</v>
      </c>
      <c r="AM9" s="11">
        <f t="shared" si="5"/>
        <v>29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6" t="s">
        <v>6</v>
      </c>
      <c r="F10" s="6" t="s">
        <v>6</v>
      </c>
      <c r="G10" s="6" t="s">
        <v>6</v>
      </c>
      <c r="H10" s="6" t="s">
        <v>6</v>
      </c>
      <c r="I10" s="14"/>
      <c r="J10" s="6" t="s">
        <v>6</v>
      </c>
      <c r="K10" s="6" t="s">
        <v>6</v>
      </c>
      <c r="L10" s="6" t="s">
        <v>6</v>
      </c>
      <c r="M10" s="6" t="s">
        <v>6</v>
      </c>
      <c r="N10" s="6" t="s">
        <v>6</v>
      </c>
      <c r="O10" s="6" t="s">
        <v>6</v>
      </c>
      <c r="P10" s="14"/>
      <c r="Q10" s="6" t="s">
        <v>6</v>
      </c>
      <c r="R10" s="6" t="s">
        <v>6</v>
      </c>
      <c r="S10" s="6" t="s">
        <v>6</v>
      </c>
      <c r="T10" s="6" t="s">
        <v>6</v>
      </c>
      <c r="U10" s="6" t="s">
        <v>6</v>
      </c>
      <c r="V10" s="6" t="s">
        <v>6</v>
      </c>
      <c r="W10" s="14"/>
      <c r="X10" s="6" t="s">
        <v>7</v>
      </c>
      <c r="Y10" s="6" t="s">
        <v>6</v>
      </c>
      <c r="Z10" s="6" t="s">
        <v>6</v>
      </c>
      <c r="AA10" s="6" t="s">
        <v>6</v>
      </c>
      <c r="AB10" s="6" t="s">
        <v>6</v>
      </c>
      <c r="AC10" s="6" t="s">
        <v>6</v>
      </c>
      <c r="AD10" s="14"/>
      <c r="AE10" s="6" t="s">
        <v>6</v>
      </c>
      <c r="AF10" s="6" t="s">
        <v>6</v>
      </c>
      <c r="AG10" s="6" t="s">
        <v>6</v>
      </c>
      <c r="AH10" s="6" t="s">
        <v>7</v>
      </c>
      <c r="AI10" s="6">
        <f t="shared" si="1"/>
        <v>25</v>
      </c>
      <c r="AJ10" s="6">
        <f t="shared" si="2"/>
        <v>2</v>
      </c>
      <c r="AK10" s="6">
        <f t="shared" si="3"/>
        <v>0</v>
      </c>
      <c r="AL10" s="6">
        <f t="shared" si="4"/>
        <v>4</v>
      </c>
      <c r="AM10" s="12">
        <f t="shared" si="5"/>
        <v>29</v>
      </c>
    </row>
    <row r="17" ht="15" customHeight="1" x14ac:dyDescent="0.25"/>
  </sheetData>
  <mergeCells count="7">
    <mergeCell ref="P5:P10"/>
    <mergeCell ref="W5:W10"/>
    <mergeCell ref="AD5:AD10"/>
    <mergeCell ref="A2:AM2"/>
    <mergeCell ref="A3:C3"/>
    <mergeCell ref="AI3:AM3"/>
    <mergeCell ref="I5:I10"/>
  </mergeCells>
  <conditionalFormatting sqref="D3:AH4 I5 P5 W5 AD5 Q5:V10 X5:AC10 D5:H10 AE5:AH10 J5:O10">
    <cfRule type="expression" dxfId="8" priority="1">
      <formula>D$3="SUN"</formula>
    </cfRule>
  </conditionalFormatting>
  <conditionalFormatting sqref="I5 P5 W5 AD5 Q5:V10 X5:AC10 D5:H10 AE5:AH10 J5:O10">
    <cfRule type="cellIs" dxfId="7" priority="2" operator="equal">
      <formula>"A"</formula>
    </cfRule>
    <cfRule type="cellIs" dxfId="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8B70-6464-4967-95CF-051B9E911DF4}">
  <dimension ref="A1:AL17"/>
  <sheetViews>
    <sheetView workbookViewId="0">
      <selection activeCell="AH1" sqref="AH1:AH104857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</row>
    <row r="3" spans="1:38" ht="27" x14ac:dyDescent="0.25">
      <c r="A3" s="20" t="s">
        <v>0</v>
      </c>
      <c r="B3" s="21"/>
      <c r="C3" s="21"/>
      <c r="D3" s="10" t="str">
        <f>TEXT(D4,"ddd")</f>
        <v>Fri</v>
      </c>
      <c r="E3" s="10" t="str">
        <f t="shared" ref="E3:AG3" si="0">TEXT(E4,"ddd")</f>
        <v>Sat</v>
      </c>
      <c r="F3" s="10" t="str">
        <f t="shared" si="0"/>
        <v>Sun</v>
      </c>
      <c r="G3" s="10" t="str">
        <f t="shared" si="0"/>
        <v>Mon</v>
      </c>
      <c r="H3" s="10" t="str">
        <f t="shared" si="0"/>
        <v>Tue</v>
      </c>
      <c r="I3" s="10" t="str">
        <f t="shared" si="0"/>
        <v>Wed</v>
      </c>
      <c r="J3" s="10" t="str">
        <f t="shared" si="0"/>
        <v>Thu</v>
      </c>
      <c r="K3" s="10" t="str">
        <f t="shared" si="0"/>
        <v>Fri</v>
      </c>
      <c r="L3" s="10" t="str">
        <f t="shared" si="0"/>
        <v>Sat</v>
      </c>
      <c r="M3" s="10" t="str">
        <f t="shared" si="0"/>
        <v>Sun</v>
      </c>
      <c r="N3" s="10" t="str">
        <f t="shared" si="0"/>
        <v>Mon</v>
      </c>
      <c r="O3" s="10" t="str">
        <f t="shared" si="0"/>
        <v>Tue</v>
      </c>
      <c r="P3" s="10" t="str">
        <f t="shared" si="0"/>
        <v>Wed</v>
      </c>
      <c r="Q3" s="10" t="str">
        <f t="shared" si="0"/>
        <v>Thu</v>
      </c>
      <c r="R3" s="10" t="str">
        <f t="shared" si="0"/>
        <v>Fri</v>
      </c>
      <c r="S3" s="10" t="str">
        <f t="shared" si="0"/>
        <v>Sat</v>
      </c>
      <c r="T3" s="10" t="str">
        <f t="shared" si="0"/>
        <v>Sun</v>
      </c>
      <c r="U3" s="10" t="str">
        <f t="shared" si="0"/>
        <v>Mon</v>
      </c>
      <c r="V3" s="10" t="str">
        <f t="shared" si="0"/>
        <v>Tue</v>
      </c>
      <c r="W3" s="10" t="str">
        <f t="shared" si="0"/>
        <v>Wed</v>
      </c>
      <c r="X3" s="10" t="str">
        <f t="shared" si="0"/>
        <v>Thu</v>
      </c>
      <c r="Y3" s="10" t="str">
        <f t="shared" si="0"/>
        <v>Fri</v>
      </c>
      <c r="Z3" s="10" t="str">
        <f t="shared" si="0"/>
        <v>Sat</v>
      </c>
      <c r="AA3" s="10" t="str">
        <f t="shared" si="0"/>
        <v>Sun</v>
      </c>
      <c r="AB3" s="10" t="str">
        <f t="shared" si="0"/>
        <v>Mon</v>
      </c>
      <c r="AC3" s="10" t="str">
        <f t="shared" si="0"/>
        <v>Tue</v>
      </c>
      <c r="AD3" s="10" t="str">
        <f t="shared" si="0"/>
        <v>Wed</v>
      </c>
      <c r="AE3" s="10" t="str">
        <f t="shared" si="0"/>
        <v>Thu</v>
      </c>
      <c r="AF3" s="10" t="str">
        <f t="shared" si="0"/>
        <v>Fri</v>
      </c>
      <c r="AG3" s="10" t="str">
        <f t="shared" si="0"/>
        <v>Sat</v>
      </c>
      <c r="AH3" s="22" t="s">
        <v>1</v>
      </c>
      <c r="AI3" s="22"/>
      <c r="AJ3" s="22"/>
      <c r="AK3" s="22"/>
      <c r="AL3" s="23"/>
    </row>
    <row r="4" spans="1:38" x14ac:dyDescent="0.25">
      <c r="A4" s="1" t="s">
        <v>2</v>
      </c>
      <c r="B4" s="2" t="s">
        <v>3</v>
      </c>
      <c r="C4" s="2" t="s">
        <v>4</v>
      </c>
      <c r="D4" s="7">
        <v>45597</v>
      </c>
      <c r="E4" s="7">
        <v>45598</v>
      </c>
      <c r="F4" s="7">
        <v>45599</v>
      </c>
      <c r="G4" s="7">
        <v>45600</v>
      </c>
      <c r="H4" s="7">
        <v>45601</v>
      </c>
      <c r="I4" s="7">
        <v>45602</v>
      </c>
      <c r="J4" s="7">
        <v>45603</v>
      </c>
      <c r="K4" s="7">
        <v>45604</v>
      </c>
      <c r="L4" s="7">
        <v>45605</v>
      </c>
      <c r="M4" s="7">
        <v>45606</v>
      </c>
      <c r="N4" s="7">
        <v>45607</v>
      </c>
      <c r="O4" s="7">
        <v>45608</v>
      </c>
      <c r="P4" s="7">
        <v>45609</v>
      </c>
      <c r="Q4" s="7">
        <v>45610</v>
      </c>
      <c r="R4" s="7">
        <v>45611</v>
      </c>
      <c r="S4" s="7">
        <v>45612</v>
      </c>
      <c r="T4" s="7">
        <v>45613</v>
      </c>
      <c r="U4" s="7">
        <v>45614</v>
      </c>
      <c r="V4" s="7">
        <v>45615</v>
      </c>
      <c r="W4" s="7">
        <v>45616</v>
      </c>
      <c r="X4" s="7">
        <v>45617</v>
      </c>
      <c r="Y4" s="7">
        <v>45618</v>
      </c>
      <c r="Z4" s="7">
        <v>45619</v>
      </c>
      <c r="AA4" s="7">
        <v>45620</v>
      </c>
      <c r="AB4" s="7">
        <v>45621</v>
      </c>
      <c r="AC4" s="7">
        <v>45622</v>
      </c>
      <c r="AD4" s="7">
        <v>45623</v>
      </c>
      <c r="AE4" s="7">
        <v>45624</v>
      </c>
      <c r="AF4" s="7">
        <v>45625</v>
      </c>
      <c r="AG4" s="7">
        <v>45626</v>
      </c>
      <c r="AH4" s="8" t="s">
        <v>6</v>
      </c>
      <c r="AI4" s="8" t="s">
        <v>7</v>
      </c>
      <c r="AJ4" s="8" t="s">
        <v>8</v>
      </c>
      <c r="AK4" s="8" t="s">
        <v>9</v>
      </c>
      <c r="AL4" s="9" t="s">
        <v>5</v>
      </c>
    </row>
    <row r="5" spans="1:38" ht="15" customHeight="1" x14ac:dyDescent="0.25">
      <c r="A5" s="3">
        <v>1</v>
      </c>
      <c r="B5" s="4" t="s">
        <v>17</v>
      </c>
      <c r="C5" s="4" t="s">
        <v>14</v>
      </c>
      <c r="D5" s="4" t="s">
        <v>6</v>
      </c>
      <c r="E5" s="4" t="s">
        <v>6</v>
      </c>
      <c r="F5" s="13" t="s">
        <v>10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13" t="s">
        <v>10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13" t="s">
        <v>10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6</v>
      </c>
      <c r="AA5" s="13" t="s">
        <v>10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>
        <f>COUNTIF(D5:AG5,"P")</f>
        <v>26</v>
      </c>
      <c r="AI5" s="4">
        <f>COUNTIF(D5:AG5,"A")</f>
        <v>0</v>
      </c>
      <c r="AJ5" s="4">
        <f>COUNTIF(D5:AG5,"L")</f>
        <v>0</v>
      </c>
      <c r="AK5" s="4">
        <v>5</v>
      </c>
      <c r="AL5" s="11">
        <f>AH5+AJ5+AK5</f>
        <v>31</v>
      </c>
    </row>
    <row r="6" spans="1:38" x14ac:dyDescent="0.25">
      <c r="A6" s="3">
        <v>2</v>
      </c>
      <c r="B6" s="4" t="s">
        <v>18</v>
      </c>
      <c r="C6" s="4" t="s">
        <v>13</v>
      </c>
      <c r="D6" s="4" t="s">
        <v>6</v>
      </c>
      <c r="E6" s="4" t="s">
        <v>6</v>
      </c>
      <c r="F6" s="13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13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13"/>
      <c r="U6" s="4" t="s">
        <v>6</v>
      </c>
      <c r="V6" s="4" t="s">
        <v>6</v>
      </c>
      <c r="W6" s="4" t="s">
        <v>6</v>
      </c>
      <c r="X6" s="4" t="s">
        <v>6</v>
      </c>
      <c r="Y6" s="4" t="s">
        <v>6</v>
      </c>
      <c r="Z6" s="4" t="s">
        <v>6</v>
      </c>
      <c r="AA6" s="13"/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4" t="s">
        <v>6</v>
      </c>
      <c r="AH6" s="4">
        <f>COUNTIF(D6:AG6,"P")</f>
        <v>26</v>
      </c>
      <c r="AI6" s="4">
        <f>COUNTIF(D6:AG6,"A")</f>
        <v>0</v>
      </c>
      <c r="AJ6" s="4">
        <f>COUNTIF(D6:AG6,"L")</f>
        <v>0</v>
      </c>
      <c r="AK6" s="4">
        <f>COUNTBLANK(D6:AG6)</f>
        <v>4</v>
      </c>
      <c r="AL6" s="11">
        <f t="shared" ref="AL6:AL10" si="1">AH6+AJ6+AK6</f>
        <v>30</v>
      </c>
    </row>
    <row r="7" spans="1:38" x14ac:dyDescent="0.25">
      <c r="A7" s="3">
        <v>3</v>
      </c>
      <c r="B7" s="4" t="s">
        <v>19</v>
      </c>
      <c r="C7" s="4" t="s">
        <v>13</v>
      </c>
      <c r="D7" s="4" t="s">
        <v>6</v>
      </c>
      <c r="E7" s="4" t="s">
        <v>6</v>
      </c>
      <c r="F7" s="13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13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13"/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4" t="s">
        <v>6</v>
      </c>
      <c r="AA7" s="13"/>
      <c r="AB7" s="4" t="s">
        <v>6</v>
      </c>
      <c r="AC7" s="4" t="s">
        <v>6</v>
      </c>
      <c r="AD7" s="4" t="s">
        <v>6</v>
      </c>
      <c r="AE7" s="4" t="s">
        <v>6</v>
      </c>
      <c r="AF7" s="4" t="s">
        <v>6</v>
      </c>
      <c r="AG7" s="4" t="s">
        <v>7</v>
      </c>
      <c r="AH7" s="4">
        <f>COUNTIF(D7:AG7,"P")</f>
        <v>25</v>
      </c>
      <c r="AI7" s="4">
        <f>COUNTIF(D7:AG7,"A")</f>
        <v>1</v>
      </c>
      <c r="AJ7" s="4">
        <f>COUNTIF(D7:AG7,"L")</f>
        <v>0</v>
      </c>
      <c r="AK7" s="4">
        <f>COUNTBLANK(D7:AG7)</f>
        <v>4</v>
      </c>
      <c r="AL7" s="11">
        <f t="shared" si="1"/>
        <v>29</v>
      </c>
    </row>
    <row r="8" spans="1:38" x14ac:dyDescent="0.25">
      <c r="A8" s="3">
        <v>4</v>
      </c>
      <c r="B8" s="4" t="s">
        <v>20</v>
      </c>
      <c r="C8" s="4" t="s">
        <v>23</v>
      </c>
      <c r="D8" s="4" t="s">
        <v>6</v>
      </c>
      <c r="E8" s="4" t="s">
        <v>6</v>
      </c>
      <c r="F8" s="13"/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13"/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13"/>
      <c r="U8" s="4" t="s">
        <v>6</v>
      </c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13"/>
      <c r="AB8" s="4" t="s">
        <v>6</v>
      </c>
      <c r="AC8" s="4" t="s">
        <v>6</v>
      </c>
      <c r="AD8" s="4" t="s">
        <v>7</v>
      </c>
      <c r="AE8" s="4" t="s">
        <v>6</v>
      </c>
      <c r="AF8" s="4" t="s">
        <v>6</v>
      </c>
      <c r="AG8" s="4" t="s">
        <v>6</v>
      </c>
      <c r="AH8" s="4">
        <f>COUNTIF(D8:AG8,"P")</f>
        <v>25</v>
      </c>
      <c r="AI8" s="4">
        <f>COUNTIF(D8:AG8,"A")</f>
        <v>1</v>
      </c>
      <c r="AJ8" s="4">
        <f>COUNTIF(D8:AG8,"L")</f>
        <v>0</v>
      </c>
      <c r="AK8" s="4">
        <f>COUNTBLANK(D8:AG8)</f>
        <v>4</v>
      </c>
      <c r="AL8" s="11">
        <f t="shared" si="1"/>
        <v>29</v>
      </c>
    </row>
    <row r="9" spans="1:38" x14ac:dyDescent="0.25">
      <c r="A9" s="3">
        <v>5</v>
      </c>
      <c r="B9" s="4" t="s">
        <v>21</v>
      </c>
      <c r="C9" s="4" t="s">
        <v>13</v>
      </c>
      <c r="D9" s="4" t="s">
        <v>6</v>
      </c>
      <c r="E9" s="4" t="s">
        <v>6</v>
      </c>
      <c r="F9" s="13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13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13"/>
      <c r="U9" s="4" t="s">
        <v>6</v>
      </c>
      <c r="V9" s="4" t="s">
        <v>6</v>
      </c>
      <c r="W9" s="4" t="s">
        <v>6</v>
      </c>
      <c r="X9" s="4" t="s">
        <v>6</v>
      </c>
      <c r="Y9" s="4" t="s">
        <v>6</v>
      </c>
      <c r="Z9" s="4" t="s">
        <v>7</v>
      </c>
      <c r="AA9" s="13"/>
      <c r="AB9" s="4" t="s">
        <v>6</v>
      </c>
      <c r="AC9" s="4" t="s">
        <v>6</v>
      </c>
      <c r="AD9" s="4" t="s">
        <v>6</v>
      </c>
      <c r="AE9" s="4" t="s">
        <v>6</v>
      </c>
      <c r="AF9" s="4" t="s">
        <v>6</v>
      </c>
      <c r="AG9" s="4" t="s">
        <v>7</v>
      </c>
      <c r="AH9" s="4">
        <f>COUNTIF(D9:AG9,"P")</f>
        <v>24</v>
      </c>
      <c r="AI9" s="4">
        <f>COUNTIF(D9:AG9,"A")</f>
        <v>2</v>
      </c>
      <c r="AJ9" s="4">
        <f>COUNTIF(D9:AG9,"L")</f>
        <v>0</v>
      </c>
      <c r="AK9" s="4">
        <f>COUNTBLANK(D9:AG9)</f>
        <v>4</v>
      </c>
      <c r="AL9" s="11">
        <f t="shared" si="1"/>
        <v>28</v>
      </c>
    </row>
    <row r="10" spans="1:38" ht="15.75" thickBot="1" x14ac:dyDescent="0.3">
      <c r="A10" s="5">
        <v>6</v>
      </c>
      <c r="B10" s="6" t="s">
        <v>22</v>
      </c>
      <c r="C10" s="6" t="s">
        <v>13</v>
      </c>
      <c r="D10" s="6" t="s">
        <v>6</v>
      </c>
      <c r="E10" s="6" t="s">
        <v>6</v>
      </c>
      <c r="F10" s="14"/>
      <c r="G10" s="6" t="s">
        <v>6</v>
      </c>
      <c r="H10" s="6" t="s">
        <v>6</v>
      </c>
      <c r="I10" s="6" t="s">
        <v>6</v>
      </c>
      <c r="J10" s="6" t="s">
        <v>6</v>
      </c>
      <c r="K10" s="6" t="s">
        <v>6</v>
      </c>
      <c r="L10" s="6" t="s">
        <v>6</v>
      </c>
      <c r="M10" s="14"/>
      <c r="N10" s="6" t="s">
        <v>6</v>
      </c>
      <c r="O10" s="6" t="s">
        <v>6</v>
      </c>
      <c r="P10" s="6" t="s">
        <v>6</v>
      </c>
      <c r="Q10" s="6" t="s">
        <v>6</v>
      </c>
      <c r="R10" s="6" t="s">
        <v>6</v>
      </c>
      <c r="S10" s="6" t="s">
        <v>6</v>
      </c>
      <c r="T10" s="14"/>
      <c r="U10" s="6" t="s">
        <v>6</v>
      </c>
      <c r="V10" s="6" t="s">
        <v>6</v>
      </c>
      <c r="W10" s="6" t="s">
        <v>6</v>
      </c>
      <c r="X10" s="6" t="s">
        <v>6</v>
      </c>
      <c r="Y10" s="6" t="s">
        <v>6</v>
      </c>
      <c r="Z10" s="6" t="s">
        <v>6</v>
      </c>
      <c r="AA10" s="14"/>
      <c r="AB10" s="6" t="s">
        <v>6</v>
      </c>
      <c r="AC10" s="6" t="s">
        <v>6</v>
      </c>
      <c r="AD10" s="6" t="s">
        <v>6</v>
      </c>
      <c r="AE10" s="6" t="s">
        <v>6</v>
      </c>
      <c r="AF10" s="6" t="s">
        <v>6</v>
      </c>
      <c r="AG10" s="6" t="s">
        <v>7</v>
      </c>
      <c r="AH10" s="6">
        <f>COUNTIF(D10:AG10,"P")</f>
        <v>25</v>
      </c>
      <c r="AI10" s="6">
        <f>COUNTIF(D10:AG10,"A")</f>
        <v>1</v>
      </c>
      <c r="AJ10" s="6">
        <f>COUNTIF(D10:AG10,"L")</f>
        <v>0</v>
      </c>
      <c r="AK10" s="6">
        <f>COUNTBLANK(D10:AG10)</f>
        <v>4</v>
      </c>
      <c r="AL10" s="12">
        <f t="shared" si="1"/>
        <v>29</v>
      </c>
    </row>
    <row r="17" ht="15" customHeight="1" x14ac:dyDescent="0.25"/>
  </sheetData>
  <mergeCells count="7">
    <mergeCell ref="AA5:AA10"/>
    <mergeCell ref="A2:AL2"/>
    <mergeCell ref="A3:C3"/>
    <mergeCell ref="AH3:AL3"/>
    <mergeCell ref="F5:F10"/>
    <mergeCell ref="M5:M10"/>
    <mergeCell ref="T5:T10"/>
  </mergeCells>
  <conditionalFormatting sqref="D5:E10 F5 M5 T5 AA5 G5:L10 N5:S10 U5:Z10 AB5:AG10 D3:AG4">
    <cfRule type="expression" dxfId="5" priority="1">
      <formula>D$3="SUN"</formula>
    </cfRule>
  </conditionalFormatting>
  <conditionalFormatting sqref="D5:E10 F5 M5 T5 AA5 G5:L10 N5:S10 U5:Z10 AB5:AG10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C06A-106B-4EDE-AE41-338AE00CD047}">
  <dimension ref="A1:AM17"/>
  <sheetViews>
    <sheetView workbookViewId="0">
      <selection activeCell="AH5" sqref="AH5:AH10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1.5703125" bestFit="1" customWidth="1"/>
    <col min="4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</row>
    <row r="3" spans="1:39" ht="27" x14ac:dyDescent="0.25">
      <c r="A3" s="20" t="s">
        <v>0</v>
      </c>
      <c r="B3" s="21"/>
      <c r="C3" s="21"/>
      <c r="D3" s="10" t="str">
        <f>TEXT(D4,"ddd")</f>
        <v>Sun</v>
      </c>
      <c r="E3" s="10" t="str">
        <f t="shared" ref="E3:AH3" si="0">TEXT(E4,"ddd")</f>
        <v>Mon</v>
      </c>
      <c r="F3" s="10" t="str">
        <f t="shared" si="0"/>
        <v>Tue</v>
      </c>
      <c r="G3" s="10" t="str">
        <f t="shared" si="0"/>
        <v>Wed</v>
      </c>
      <c r="H3" s="10" t="str">
        <f t="shared" si="0"/>
        <v>Thu</v>
      </c>
      <c r="I3" s="10" t="str">
        <f t="shared" si="0"/>
        <v>Fri</v>
      </c>
      <c r="J3" s="10" t="str">
        <f t="shared" si="0"/>
        <v>Sat</v>
      </c>
      <c r="K3" s="10" t="str">
        <f t="shared" si="0"/>
        <v>Sun</v>
      </c>
      <c r="L3" s="10" t="str">
        <f t="shared" si="0"/>
        <v>Mon</v>
      </c>
      <c r="M3" s="10" t="str">
        <f t="shared" si="0"/>
        <v>Tue</v>
      </c>
      <c r="N3" s="10" t="str">
        <f t="shared" si="0"/>
        <v>Wed</v>
      </c>
      <c r="O3" s="10" t="str">
        <f t="shared" si="0"/>
        <v>Thu</v>
      </c>
      <c r="P3" s="10" t="str">
        <f t="shared" si="0"/>
        <v>Fri</v>
      </c>
      <c r="Q3" s="10" t="str">
        <f t="shared" si="0"/>
        <v>Sat</v>
      </c>
      <c r="R3" s="10" t="str">
        <f t="shared" si="0"/>
        <v>Sun</v>
      </c>
      <c r="S3" s="10" t="str">
        <f t="shared" si="0"/>
        <v>Mon</v>
      </c>
      <c r="T3" s="10" t="str">
        <f t="shared" si="0"/>
        <v>Tue</v>
      </c>
      <c r="U3" s="10" t="str">
        <f t="shared" si="0"/>
        <v>Wed</v>
      </c>
      <c r="V3" s="10" t="str">
        <f t="shared" si="0"/>
        <v>Thu</v>
      </c>
      <c r="W3" s="10" t="str">
        <f t="shared" si="0"/>
        <v>Fri</v>
      </c>
      <c r="X3" s="10" t="str">
        <f t="shared" si="0"/>
        <v>Sat</v>
      </c>
      <c r="Y3" s="10" t="str">
        <f t="shared" si="0"/>
        <v>Sun</v>
      </c>
      <c r="Z3" s="10" t="str">
        <f t="shared" si="0"/>
        <v>Mon</v>
      </c>
      <c r="AA3" s="10" t="str">
        <f t="shared" si="0"/>
        <v>Tue</v>
      </c>
      <c r="AB3" s="10" t="str">
        <f t="shared" si="0"/>
        <v>Wed</v>
      </c>
      <c r="AC3" s="10" t="str">
        <f t="shared" si="0"/>
        <v>Thu</v>
      </c>
      <c r="AD3" s="10" t="str">
        <f t="shared" si="0"/>
        <v>Fri</v>
      </c>
      <c r="AE3" s="10" t="str">
        <f t="shared" si="0"/>
        <v>Sat</v>
      </c>
      <c r="AF3" s="10" t="str">
        <f t="shared" si="0"/>
        <v>Sun</v>
      </c>
      <c r="AG3" s="10" t="str">
        <f t="shared" si="0"/>
        <v>Mon</v>
      </c>
      <c r="AH3" s="10" t="str">
        <f t="shared" si="0"/>
        <v>Tue</v>
      </c>
      <c r="AI3" s="22" t="s">
        <v>1</v>
      </c>
      <c r="AJ3" s="22"/>
      <c r="AK3" s="22"/>
      <c r="AL3" s="22"/>
      <c r="AM3" s="23"/>
    </row>
    <row r="4" spans="1:39" x14ac:dyDescent="0.25">
      <c r="A4" s="1" t="s">
        <v>2</v>
      </c>
      <c r="B4" s="2" t="s">
        <v>3</v>
      </c>
      <c r="C4" s="2" t="s">
        <v>4</v>
      </c>
      <c r="D4" s="7">
        <v>45627</v>
      </c>
      <c r="E4" s="7">
        <v>45628</v>
      </c>
      <c r="F4" s="7">
        <v>45629</v>
      </c>
      <c r="G4" s="7">
        <v>45630</v>
      </c>
      <c r="H4" s="7">
        <v>45631</v>
      </c>
      <c r="I4" s="7">
        <v>45632</v>
      </c>
      <c r="J4" s="7">
        <v>45633</v>
      </c>
      <c r="K4" s="7">
        <v>45634</v>
      </c>
      <c r="L4" s="7">
        <v>45635</v>
      </c>
      <c r="M4" s="7">
        <v>45636</v>
      </c>
      <c r="N4" s="7">
        <v>45637</v>
      </c>
      <c r="O4" s="7">
        <v>45638</v>
      </c>
      <c r="P4" s="7">
        <v>45639</v>
      </c>
      <c r="Q4" s="7">
        <v>45640</v>
      </c>
      <c r="R4" s="7">
        <v>45641</v>
      </c>
      <c r="S4" s="7">
        <v>45642</v>
      </c>
      <c r="T4" s="7">
        <v>45643</v>
      </c>
      <c r="U4" s="7">
        <v>45644</v>
      </c>
      <c r="V4" s="7">
        <v>45645</v>
      </c>
      <c r="W4" s="7">
        <v>45646</v>
      </c>
      <c r="X4" s="7">
        <v>45647</v>
      </c>
      <c r="Y4" s="7">
        <v>45648</v>
      </c>
      <c r="Z4" s="7">
        <v>45649</v>
      </c>
      <c r="AA4" s="7">
        <v>45650</v>
      </c>
      <c r="AB4" s="7">
        <v>45651</v>
      </c>
      <c r="AC4" s="7">
        <v>45652</v>
      </c>
      <c r="AD4" s="7">
        <v>45653</v>
      </c>
      <c r="AE4" s="7">
        <v>45654</v>
      </c>
      <c r="AF4" s="7">
        <v>45655</v>
      </c>
      <c r="AG4" s="7">
        <v>45656</v>
      </c>
      <c r="AH4" s="7">
        <v>45657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17</v>
      </c>
      <c r="C5" s="4" t="s">
        <v>14</v>
      </c>
      <c r="D5" s="13" t="s">
        <v>10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13" t="s">
        <v>10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13" t="s">
        <v>10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26" t="s">
        <v>25</v>
      </c>
      <c r="Y5" s="13" t="s">
        <v>10</v>
      </c>
      <c r="Z5" s="26" t="s">
        <v>25</v>
      </c>
      <c r="AA5" s="26" t="s">
        <v>25</v>
      </c>
      <c r="AB5" s="26" t="s">
        <v>25</v>
      </c>
      <c r="AC5" s="26" t="s">
        <v>25</v>
      </c>
      <c r="AD5" s="26" t="s">
        <v>25</v>
      </c>
      <c r="AE5" s="26" t="s">
        <v>25</v>
      </c>
      <c r="AF5" s="13" t="s">
        <v>10</v>
      </c>
      <c r="AG5" s="26" t="s">
        <v>25</v>
      </c>
      <c r="AH5" s="26" t="s">
        <v>25</v>
      </c>
      <c r="AI5" s="4">
        <f t="shared" ref="AI5:AI10" si="1">COUNTIF(D5:AH5,"P")</f>
        <v>17</v>
      </c>
      <c r="AJ5" s="4">
        <f t="shared" ref="AJ5:AJ10" si="2">COUNTIF(D5:AH5,"A")</f>
        <v>0</v>
      </c>
      <c r="AK5" s="4">
        <f t="shared" ref="AK5:AK10" si="3">COUNTIF(D5:AH5,"L")</f>
        <v>0</v>
      </c>
      <c r="AL5" s="4">
        <v>5</v>
      </c>
      <c r="AM5" s="11">
        <f>AI5+AK5+AL5</f>
        <v>22</v>
      </c>
    </row>
    <row r="6" spans="1:39" x14ac:dyDescent="0.25">
      <c r="A6" s="3">
        <v>2</v>
      </c>
      <c r="B6" s="4" t="s">
        <v>18</v>
      </c>
      <c r="C6" s="4" t="s">
        <v>13</v>
      </c>
      <c r="D6" s="13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13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13"/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26"/>
      <c r="Y6" s="13"/>
      <c r="Z6" s="26"/>
      <c r="AA6" s="26"/>
      <c r="AB6" s="26"/>
      <c r="AC6" s="26"/>
      <c r="AD6" s="26"/>
      <c r="AE6" s="26"/>
      <c r="AF6" s="13"/>
      <c r="AG6" s="26"/>
      <c r="AH6" s="26"/>
      <c r="AI6" s="4">
        <f t="shared" si="1"/>
        <v>17</v>
      </c>
      <c r="AJ6" s="4">
        <f t="shared" si="2"/>
        <v>0</v>
      </c>
      <c r="AK6" s="4">
        <f t="shared" si="3"/>
        <v>0</v>
      </c>
      <c r="AL6" s="4">
        <f t="shared" ref="AL6:AL10" si="4">COUNTBLANK(D6:AH6)</f>
        <v>14</v>
      </c>
      <c r="AM6" s="11">
        <f t="shared" ref="AM6:AM10" si="5">AI6+AK6+AL6</f>
        <v>31</v>
      </c>
    </row>
    <row r="7" spans="1:39" x14ac:dyDescent="0.25">
      <c r="A7" s="3">
        <v>3</v>
      </c>
      <c r="B7" s="4" t="s">
        <v>19</v>
      </c>
      <c r="C7" s="4" t="s">
        <v>13</v>
      </c>
      <c r="D7" s="13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13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13"/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  <c r="X7" s="26"/>
      <c r="Y7" s="13"/>
      <c r="Z7" s="26"/>
      <c r="AA7" s="26"/>
      <c r="AB7" s="26"/>
      <c r="AC7" s="26"/>
      <c r="AD7" s="26"/>
      <c r="AE7" s="26"/>
      <c r="AF7" s="13"/>
      <c r="AG7" s="26"/>
      <c r="AH7" s="26"/>
      <c r="AI7" s="4">
        <f t="shared" si="1"/>
        <v>17</v>
      </c>
      <c r="AJ7" s="4">
        <f t="shared" si="2"/>
        <v>0</v>
      </c>
      <c r="AK7" s="4">
        <f t="shared" si="3"/>
        <v>0</v>
      </c>
      <c r="AL7" s="4">
        <f t="shared" si="4"/>
        <v>14</v>
      </c>
      <c r="AM7" s="11">
        <f t="shared" si="5"/>
        <v>31</v>
      </c>
    </row>
    <row r="8" spans="1:39" x14ac:dyDescent="0.25">
      <c r="A8" s="3">
        <v>4</v>
      </c>
      <c r="B8" s="4" t="s">
        <v>20</v>
      </c>
      <c r="C8" s="4" t="s">
        <v>23</v>
      </c>
      <c r="D8" s="13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13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13"/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6"/>
      <c r="Y8" s="13"/>
      <c r="Z8" s="26"/>
      <c r="AA8" s="26"/>
      <c r="AB8" s="26"/>
      <c r="AC8" s="26"/>
      <c r="AD8" s="26"/>
      <c r="AE8" s="26"/>
      <c r="AF8" s="13"/>
      <c r="AG8" s="26"/>
      <c r="AH8" s="26"/>
      <c r="AI8" s="4">
        <f t="shared" si="1"/>
        <v>17</v>
      </c>
      <c r="AJ8" s="4">
        <f t="shared" si="2"/>
        <v>0</v>
      </c>
      <c r="AK8" s="4">
        <f t="shared" si="3"/>
        <v>0</v>
      </c>
      <c r="AL8" s="4">
        <f t="shared" si="4"/>
        <v>14</v>
      </c>
      <c r="AM8" s="11">
        <f t="shared" si="5"/>
        <v>31</v>
      </c>
    </row>
    <row r="9" spans="1:39" x14ac:dyDescent="0.25">
      <c r="A9" s="3">
        <v>5</v>
      </c>
      <c r="B9" s="4" t="s">
        <v>21</v>
      </c>
      <c r="C9" s="4" t="s">
        <v>13</v>
      </c>
      <c r="D9" s="13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13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13"/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26"/>
      <c r="Y9" s="13"/>
      <c r="Z9" s="26"/>
      <c r="AA9" s="26"/>
      <c r="AB9" s="26"/>
      <c r="AC9" s="26"/>
      <c r="AD9" s="26"/>
      <c r="AE9" s="26"/>
      <c r="AF9" s="13"/>
      <c r="AG9" s="26"/>
      <c r="AH9" s="26"/>
      <c r="AI9" s="4">
        <f t="shared" si="1"/>
        <v>17</v>
      </c>
      <c r="AJ9" s="4">
        <f t="shared" si="2"/>
        <v>0</v>
      </c>
      <c r="AK9" s="4">
        <f t="shared" si="3"/>
        <v>0</v>
      </c>
      <c r="AL9" s="4">
        <f t="shared" si="4"/>
        <v>14</v>
      </c>
      <c r="AM9" s="11">
        <f t="shared" si="5"/>
        <v>31</v>
      </c>
    </row>
    <row r="10" spans="1:39" ht="15.75" thickBot="1" x14ac:dyDescent="0.3">
      <c r="A10" s="5">
        <v>6</v>
      </c>
      <c r="B10" s="6" t="s">
        <v>22</v>
      </c>
      <c r="C10" s="6" t="s">
        <v>13</v>
      </c>
      <c r="D10" s="14"/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14"/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14"/>
      <c r="S10" s="6" t="s">
        <v>6</v>
      </c>
      <c r="T10" s="6" t="s">
        <v>6</v>
      </c>
      <c r="U10" s="6" t="s">
        <v>6</v>
      </c>
      <c r="V10" s="6" t="s">
        <v>6</v>
      </c>
      <c r="W10" s="6" t="s">
        <v>6</v>
      </c>
      <c r="X10" s="27"/>
      <c r="Y10" s="14"/>
      <c r="Z10" s="27"/>
      <c r="AA10" s="27"/>
      <c r="AB10" s="27"/>
      <c r="AC10" s="27"/>
      <c r="AD10" s="27"/>
      <c r="AE10" s="27"/>
      <c r="AF10" s="14"/>
      <c r="AG10" s="27"/>
      <c r="AH10" s="27"/>
      <c r="AI10" s="6">
        <f t="shared" si="1"/>
        <v>17</v>
      </c>
      <c r="AJ10" s="6">
        <f t="shared" si="2"/>
        <v>0</v>
      </c>
      <c r="AK10" s="6">
        <f t="shared" si="3"/>
        <v>0</v>
      </c>
      <c r="AL10" s="6">
        <f t="shared" si="4"/>
        <v>14</v>
      </c>
      <c r="AM10" s="12">
        <f t="shared" si="5"/>
        <v>31</v>
      </c>
    </row>
    <row r="17" ht="15" customHeight="1" x14ac:dyDescent="0.25"/>
  </sheetData>
  <mergeCells count="17">
    <mergeCell ref="AG5:AG10"/>
    <mergeCell ref="R5:R10"/>
    <mergeCell ref="Y5:Y10"/>
    <mergeCell ref="AF5:AF10"/>
    <mergeCell ref="X5:X10"/>
    <mergeCell ref="Z5:Z10"/>
    <mergeCell ref="AB5:AB10"/>
    <mergeCell ref="AC5:AC10"/>
    <mergeCell ref="AD5:AD10"/>
    <mergeCell ref="AE5:AE10"/>
    <mergeCell ref="A2:AM2"/>
    <mergeCell ref="A3:C3"/>
    <mergeCell ref="AI3:AM3"/>
    <mergeCell ref="AA5:AA10"/>
    <mergeCell ref="AH5:AH10"/>
    <mergeCell ref="D5:D10"/>
    <mergeCell ref="K5:K10"/>
  </mergeCells>
  <conditionalFormatting sqref="D3:AH4 D5 K5 R5 E5:J10 L5:Q10 S5:W10 X5:AH5">
    <cfRule type="expression" dxfId="2" priority="1">
      <formula>D$3="SUN"</formula>
    </cfRule>
  </conditionalFormatting>
  <conditionalFormatting sqref="D5 K5 R5 E5:J10 L5:Q10 S5:W10 X5:AH5"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AUGUST-2024</vt:lpstr>
      <vt:lpstr>SEPTEMBER-2024</vt:lpstr>
      <vt:lpstr>OCTOBER-2024</vt:lpstr>
      <vt:lpstr>NOVEMBER-2024</vt:lpstr>
      <vt:lpstr>DECEMBER-2024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2025-01-10T05:26:32Z</dcterms:modified>
</cp:coreProperties>
</file>