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E:\Government-High-School\Shafi Goth\"/>
    </mc:Choice>
  </mc:AlternateContent>
  <xr:revisionPtr revIDLastSave="0" documentId="13_ncr:1_{A27C56CA-C02A-471F-A660-BEF1DCBE8F13}" xr6:coauthVersionLast="47" xr6:coauthVersionMax="47" xr10:uidLastSave="{00000000-0000-0000-0000-000000000000}"/>
  <bookViews>
    <workbookView xWindow="-120" yWindow="-120" windowWidth="20730" windowHeight="11160" firstSheet="12" activeTab="14" xr2:uid="{00000000-000D-0000-FFFF-FFFF00000000}"/>
  </bookViews>
  <sheets>
    <sheet name="result sheet" sheetId="1" r:id="rId1"/>
    <sheet name="staff details" sheetId="2" r:id="rId2"/>
    <sheet name="leave record" sheetId="3" r:id="rId3"/>
    <sheet name="student strength record" sheetId="4" r:id="rId4"/>
    <sheet name="staff attendance %" sheetId="5" r:id="rId5"/>
    <sheet name="Current Enrollment" sheetId="6" r:id="rId6"/>
    <sheet name="ACTIVITIES STATUS" sheetId="7" r:id="rId7"/>
    <sheet name="Student Attendance %" sheetId="8" r:id="rId8"/>
    <sheet name="board result" sheetId="9" state="hidden" r:id="rId9"/>
    <sheet name="TNA" sheetId="10" r:id="rId10"/>
    <sheet name="TD" sheetId="11" r:id="rId11"/>
    <sheet name="PTM RECORD" sheetId="12" r:id="rId12"/>
    <sheet name="Student Information" sheetId="14" r:id="rId13"/>
    <sheet name="summary" sheetId="13" r:id="rId14"/>
    <sheet name="Student Information (2024-2025)" sheetId="15" r:id="rId15"/>
  </sheets>
  <definedNames>
    <definedName name="_xlnm._FilterDatabase" localSheetId="0" hidden="1">'result sheet'!$M$311:$M$325</definedName>
    <definedName name="_xlnm.Print_Area" localSheetId="2">'leave record'!$A$1:$H$21</definedName>
    <definedName name="_xlnm.Print_Area" localSheetId="11">'PTM RECORD'!$A$1:$I$9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25" i="1" l="1"/>
  <c r="R325" i="1" s="1"/>
  <c r="P324" i="1"/>
  <c r="R324" i="1" s="1"/>
  <c r="P323" i="1"/>
  <c r="R323" i="1" s="1"/>
  <c r="P322" i="1"/>
  <c r="R322" i="1" s="1"/>
  <c r="P321" i="1"/>
  <c r="R321" i="1" s="1"/>
  <c r="P320" i="1"/>
  <c r="R320" i="1" s="1"/>
  <c r="P319" i="1"/>
  <c r="R319" i="1" s="1"/>
  <c r="P318" i="1"/>
  <c r="R318" i="1" s="1"/>
  <c r="P317" i="1"/>
  <c r="R317" i="1" s="1"/>
  <c r="P316" i="1"/>
  <c r="R316" i="1" s="1"/>
  <c r="P315" i="1"/>
  <c r="R315" i="1" s="1"/>
  <c r="R314" i="1"/>
  <c r="R313" i="1"/>
  <c r="P312" i="1"/>
  <c r="R312" i="1" s="1"/>
  <c r="P311" i="1"/>
  <c r="R311" i="1" s="1"/>
  <c r="P306" i="1"/>
  <c r="R306" i="1" s="1"/>
  <c r="P305" i="1"/>
  <c r="R305" i="1" s="1"/>
  <c r="P304" i="1"/>
  <c r="R304" i="1" s="1"/>
  <c r="P303" i="1"/>
  <c r="R303" i="1" s="1"/>
  <c r="P302" i="1"/>
  <c r="R302" i="1" s="1"/>
  <c r="P301" i="1"/>
  <c r="R301" i="1" s="1"/>
  <c r="P300" i="1"/>
  <c r="R300" i="1" s="1"/>
  <c r="P299" i="1"/>
  <c r="R299" i="1" s="1"/>
  <c r="P298" i="1"/>
  <c r="R298" i="1" s="1"/>
  <c r="P297" i="1"/>
  <c r="R297" i="1" s="1"/>
  <c r="P296" i="1"/>
  <c r="R296" i="1" s="1"/>
  <c r="P295" i="1"/>
  <c r="R295" i="1" s="1"/>
  <c r="P290" i="1"/>
  <c r="R290" i="1" s="1"/>
  <c r="P289" i="1"/>
  <c r="R289" i="1" s="1"/>
  <c r="P288" i="1"/>
  <c r="R288" i="1" s="1"/>
  <c r="P287" i="1"/>
  <c r="R287" i="1" s="1"/>
  <c r="P286" i="1"/>
  <c r="R286" i="1" s="1"/>
  <c r="P285" i="1"/>
  <c r="R285" i="1" s="1"/>
  <c r="P284" i="1"/>
  <c r="R284" i="1" s="1"/>
  <c r="P283" i="1"/>
  <c r="R283" i="1" s="1"/>
  <c r="P282" i="1"/>
  <c r="R282" i="1" s="1"/>
  <c r="P281" i="1"/>
  <c r="R281" i="1" s="1"/>
  <c r="P280" i="1"/>
  <c r="R280" i="1" s="1"/>
  <c r="P279" i="1"/>
  <c r="R279" i="1" s="1"/>
  <c r="P278" i="1"/>
  <c r="R278" i="1" s="1"/>
  <c r="P277" i="1"/>
  <c r="R277" i="1" s="1"/>
  <c r="P276" i="1"/>
  <c r="R276" i="1" s="1"/>
  <c r="P275" i="1"/>
  <c r="R275" i="1" s="1"/>
  <c r="P274" i="1"/>
  <c r="R274" i="1" s="1"/>
  <c r="P273" i="1"/>
  <c r="R273" i="1" s="1"/>
  <c r="P272" i="1"/>
  <c r="R272" i="1" s="1"/>
  <c r="P271" i="1"/>
  <c r="R271" i="1" s="1"/>
  <c r="P270" i="1"/>
  <c r="R270" i="1" s="1"/>
  <c r="P269" i="1"/>
  <c r="R269" i="1" s="1"/>
  <c r="P259" i="1"/>
  <c r="R259" i="1" s="1"/>
  <c r="P258" i="1"/>
  <c r="R258" i="1" s="1"/>
  <c r="P257" i="1"/>
  <c r="R257" i="1" s="1"/>
  <c r="P256" i="1"/>
  <c r="R256" i="1" s="1"/>
  <c r="P255" i="1"/>
  <c r="R255" i="1" s="1"/>
  <c r="P254" i="1"/>
  <c r="R254" i="1" s="1"/>
  <c r="P253" i="1"/>
  <c r="R253" i="1" s="1"/>
  <c r="P252" i="1"/>
  <c r="R252" i="1" s="1"/>
  <c r="P251" i="1"/>
  <c r="R251" i="1" s="1"/>
  <c r="P250" i="1"/>
  <c r="R250" i="1" s="1"/>
  <c r="P249" i="1"/>
  <c r="R249" i="1" s="1"/>
  <c r="R248" i="1"/>
  <c r="R247" i="1"/>
  <c r="P246" i="1"/>
  <c r="R246" i="1" s="1"/>
  <c r="P245" i="1"/>
  <c r="R245" i="1" s="1"/>
  <c r="P240" i="1"/>
  <c r="R240" i="1" s="1"/>
  <c r="P239" i="1"/>
  <c r="R239" i="1" s="1"/>
  <c r="P238" i="1"/>
  <c r="R238" i="1" s="1"/>
  <c r="P237" i="1"/>
  <c r="R237" i="1" s="1"/>
  <c r="P236" i="1"/>
  <c r="R236" i="1" s="1"/>
  <c r="P235" i="1"/>
  <c r="R235" i="1" s="1"/>
  <c r="P234" i="1"/>
  <c r="R234" i="1" s="1"/>
  <c r="P233" i="1"/>
  <c r="R233" i="1" s="1"/>
  <c r="P232" i="1"/>
  <c r="R232" i="1" s="1"/>
  <c r="P231" i="1"/>
  <c r="R231" i="1" s="1"/>
  <c r="P230" i="1"/>
  <c r="R230" i="1" s="1"/>
  <c r="P229" i="1"/>
  <c r="R229" i="1" s="1"/>
  <c r="P224" i="1"/>
  <c r="R224" i="1" s="1"/>
  <c r="P223" i="1"/>
  <c r="R223" i="1" s="1"/>
  <c r="P222" i="1"/>
  <c r="R222" i="1" s="1"/>
  <c r="P221" i="1"/>
  <c r="R221" i="1" s="1"/>
  <c r="P220" i="1"/>
  <c r="R220" i="1" s="1"/>
  <c r="P219" i="1"/>
  <c r="R219" i="1" s="1"/>
  <c r="P218" i="1"/>
  <c r="R218" i="1" s="1"/>
  <c r="P217" i="1"/>
  <c r="R217" i="1" s="1"/>
  <c r="P216" i="1"/>
  <c r="R216" i="1" s="1"/>
  <c r="P215" i="1"/>
  <c r="R215" i="1" s="1"/>
  <c r="P214" i="1"/>
  <c r="R214" i="1" s="1"/>
  <c r="P213" i="1"/>
  <c r="R213" i="1" s="1"/>
  <c r="P212" i="1"/>
  <c r="R212" i="1" s="1"/>
  <c r="P211" i="1"/>
  <c r="R211" i="1" s="1"/>
  <c r="P210" i="1"/>
  <c r="R210" i="1" s="1"/>
  <c r="P209" i="1"/>
  <c r="R209" i="1" s="1"/>
  <c r="P208" i="1"/>
  <c r="R208" i="1" s="1"/>
  <c r="P207" i="1"/>
  <c r="R207" i="1" s="1"/>
  <c r="P206" i="1"/>
  <c r="R206" i="1" s="1"/>
  <c r="P205" i="1"/>
  <c r="R205" i="1" s="1"/>
  <c r="P204" i="1"/>
  <c r="R204" i="1" s="1"/>
  <c r="P203" i="1"/>
  <c r="R203" i="1" s="1"/>
  <c r="P194" i="1"/>
  <c r="R194" i="1" s="1"/>
  <c r="P193" i="1"/>
  <c r="R193" i="1" s="1"/>
  <c r="P192" i="1"/>
  <c r="R192" i="1" s="1"/>
  <c r="P191" i="1"/>
  <c r="R191" i="1" s="1"/>
  <c r="P190" i="1"/>
  <c r="R190" i="1" s="1"/>
  <c r="P189" i="1"/>
  <c r="R189" i="1" s="1"/>
  <c r="P188" i="1"/>
  <c r="R188" i="1" s="1"/>
  <c r="P187" i="1"/>
  <c r="R187" i="1" s="1"/>
  <c r="P186" i="1"/>
  <c r="R186" i="1" s="1"/>
  <c r="P185" i="1"/>
  <c r="R185" i="1" s="1"/>
  <c r="P184" i="1"/>
  <c r="R184" i="1" s="1"/>
  <c r="R183" i="1"/>
  <c r="R182" i="1"/>
  <c r="P181" i="1"/>
  <c r="R181" i="1" s="1"/>
  <c r="P180" i="1"/>
  <c r="R180" i="1" s="1"/>
  <c r="P175" i="1"/>
  <c r="R175" i="1" s="1"/>
  <c r="P174" i="1"/>
  <c r="R174" i="1" s="1"/>
  <c r="P173" i="1"/>
  <c r="R173" i="1" s="1"/>
  <c r="P172" i="1"/>
  <c r="R172" i="1" s="1"/>
  <c r="P171" i="1"/>
  <c r="R171" i="1" s="1"/>
  <c r="P170" i="1"/>
  <c r="R170" i="1" s="1"/>
  <c r="P169" i="1"/>
  <c r="R169" i="1" s="1"/>
  <c r="P168" i="1"/>
  <c r="R168" i="1" s="1"/>
  <c r="P167" i="1"/>
  <c r="R167" i="1" s="1"/>
  <c r="P166" i="1"/>
  <c r="R166" i="1" s="1"/>
  <c r="P165" i="1"/>
  <c r="R165" i="1" s="1"/>
  <c r="P164" i="1"/>
  <c r="R164" i="1" s="1"/>
  <c r="P159" i="1"/>
  <c r="R159" i="1" s="1"/>
  <c r="P158" i="1"/>
  <c r="R158" i="1" s="1"/>
  <c r="R157" i="1"/>
  <c r="P157" i="1"/>
  <c r="P156" i="1"/>
  <c r="R156" i="1" s="1"/>
  <c r="P155" i="1"/>
  <c r="R155" i="1" s="1"/>
  <c r="P154" i="1"/>
  <c r="R154" i="1" s="1"/>
  <c r="P153" i="1"/>
  <c r="R153" i="1" s="1"/>
  <c r="P152" i="1"/>
  <c r="R152" i="1" s="1"/>
  <c r="P151" i="1"/>
  <c r="R151" i="1" s="1"/>
  <c r="P150" i="1"/>
  <c r="R150" i="1" s="1"/>
  <c r="P149" i="1"/>
  <c r="R149" i="1" s="1"/>
  <c r="P148" i="1"/>
  <c r="R148" i="1" s="1"/>
  <c r="P147" i="1"/>
  <c r="R147" i="1" s="1"/>
  <c r="P146" i="1"/>
  <c r="R146" i="1" s="1"/>
  <c r="P145" i="1"/>
  <c r="R145" i="1" s="1"/>
  <c r="P144" i="1"/>
  <c r="R144" i="1" s="1"/>
  <c r="P143" i="1"/>
  <c r="R143" i="1" s="1"/>
  <c r="P142" i="1"/>
  <c r="R142" i="1" s="1"/>
  <c r="P141" i="1"/>
  <c r="R141" i="1" s="1"/>
  <c r="P140" i="1"/>
  <c r="R140" i="1" s="1"/>
  <c r="P139" i="1"/>
  <c r="R139" i="1" s="1"/>
  <c r="P138" i="1"/>
  <c r="R138" i="1" s="1"/>
  <c r="P129" i="1"/>
  <c r="R129" i="1" s="1"/>
  <c r="P128" i="1"/>
  <c r="R128" i="1" s="1"/>
  <c r="P127" i="1"/>
  <c r="R127" i="1" s="1"/>
  <c r="P126" i="1"/>
  <c r="R126" i="1" s="1"/>
  <c r="P125" i="1"/>
  <c r="R125" i="1" s="1"/>
  <c r="P124" i="1"/>
  <c r="R124" i="1" s="1"/>
  <c r="P123" i="1"/>
  <c r="R123" i="1" s="1"/>
  <c r="P122" i="1"/>
  <c r="R122" i="1" s="1"/>
  <c r="P121" i="1"/>
  <c r="R121" i="1" s="1"/>
  <c r="P120" i="1"/>
  <c r="R120" i="1" s="1"/>
  <c r="P119" i="1"/>
  <c r="R119" i="1" s="1"/>
  <c r="R118" i="1"/>
  <c r="R117" i="1"/>
  <c r="P116" i="1"/>
  <c r="R116" i="1" s="1"/>
  <c r="P115" i="1"/>
  <c r="R115" i="1" s="1"/>
  <c r="P110" i="1"/>
  <c r="R110" i="1" s="1"/>
  <c r="P109" i="1"/>
  <c r="R109" i="1" s="1"/>
  <c r="P108" i="1"/>
  <c r="R108" i="1" s="1"/>
  <c r="P107" i="1"/>
  <c r="R107" i="1" s="1"/>
  <c r="P106" i="1"/>
  <c r="R106" i="1" s="1"/>
  <c r="P105" i="1"/>
  <c r="R105" i="1" s="1"/>
  <c r="P104" i="1"/>
  <c r="R104" i="1" s="1"/>
  <c r="P103" i="1"/>
  <c r="R103" i="1" s="1"/>
  <c r="P102" i="1"/>
  <c r="R102" i="1" s="1"/>
  <c r="P101" i="1"/>
  <c r="R101" i="1" s="1"/>
  <c r="P100" i="1"/>
  <c r="R100" i="1" s="1"/>
  <c r="P99" i="1"/>
  <c r="R99" i="1" s="1"/>
  <c r="P94" i="1"/>
  <c r="R94" i="1" s="1"/>
  <c r="P93" i="1"/>
  <c r="R93" i="1" s="1"/>
  <c r="R92" i="1"/>
  <c r="P92" i="1"/>
  <c r="P91" i="1"/>
  <c r="R91" i="1" s="1"/>
  <c r="P73" i="1"/>
  <c r="P89" i="1"/>
  <c r="R89" i="1" s="1"/>
  <c r="P90" i="1"/>
  <c r="P82" i="1"/>
  <c r="P76" i="1"/>
  <c r="R76" i="1" s="1"/>
  <c r="P84" i="1"/>
  <c r="P86" i="1"/>
  <c r="P77" i="1"/>
  <c r="P78" i="1"/>
  <c r="P83" i="1"/>
  <c r="P88" i="1"/>
  <c r="R88" i="1" s="1"/>
  <c r="P79" i="1"/>
  <c r="R79" i="1" s="1"/>
  <c r="P75" i="1"/>
  <c r="P87" i="1"/>
  <c r="P74" i="1"/>
  <c r="P81" i="1"/>
  <c r="R81" i="1" s="1"/>
  <c r="P80" i="1"/>
  <c r="P85" i="1"/>
  <c r="R85" i="1" s="1"/>
  <c r="D109" i="4"/>
  <c r="D96" i="4"/>
  <c r="J108" i="4"/>
  <c r="L39" i="8"/>
  <c r="I39" i="8"/>
  <c r="F39" i="8"/>
  <c r="L38" i="8"/>
  <c r="I38" i="8"/>
  <c r="F38" i="8"/>
  <c r="L37" i="8"/>
  <c r="I37" i="8"/>
  <c r="F37" i="8"/>
  <c r="L36" i="8"/>
  <c r="I36" i="8"/>
  <c r="F36" i="8"/>
  <c r="L35" i="8"/>
  <c r="I35" i="8"/>
  <c r="F35" i="8"/>
  <c r="L34" i="8"/>
  <c r="I34" i="8"/>
  <c r="F34" i="8"/>
  <c r="L33" i="8"/>
  <c r="I33" i="8"/>
  <c r="F33" i="8"/>
  <c r="H109" i="4"/>
  <c r="G109" i="4"/>
  <c r="F109" i="4"/>
  <c r="E109" i="4"/>
  <c r="H96" i="4"/>
  <c r="G96" i="4"/>
  <c r="F96" i="4"/>
  <c r="E96" i="4"/>
  <c r="H83" i="4"/>
  <c r="G83" i="4"/>
  <c r="F83" i="4"/>
  <c r="D83" i="4"/>
  <c r="L21" i="8"/>
  <c r="L22" i="8"/>
  <c r="L23" i="8"/>
  <c r="L24" i="8"/>
  <c r="L25" i="8"/>
  <c r="L26" i="8"/>
  <c r="L20" i="8"/>
  <c r="I26" i="8"/>
  <c r="I25" i="8"/>
  <c r="I24" i="8"/>
  <c r="I23" i="8"/>
  <c r="I22" i="8"/>
  <c r="I21" i="8"/>
  <c r="F20" i="8"/>
  <c r="F26" i="8"/>
  <c r="F25" i="8"/>
  <c r="F24" i="8"/>
  <c r="F23" i="8"/>
  <c r="F22" i="8"/>
  <c r="F21" i="8"/>
  <c r="I20" i="8"/>
  <c r="L7" i="8"/>
  <c r="L8" i="8"/>
  <c r="L9" i="8"/>
  <c r="L10" i="8"/>
  <c r="L11" i="8"/>
  <c r="L12" i="8"/>
  <c r="L6" i="8"/>
  <c r="I7" i="8"/>
  <c r="I9" i="8"/>
  <c r="I12" i="8"/>
  <c r="F7" i="8"/>
  <c r="F8" i="8"/>
  <c r="R74" i="1" l="1"/>
  <c r="R80" i="1"/>
  <c r="R90" i="1"/>
  <c r="R86" i="1"/>
  <c r="R78" i="1"/>
  <c r="R73" i="1"/>
  <c r="R83" i="1"/>
  <c r="R84" i="1"/>
  <c r="R75" i="1"/>
  <c r="R82" i="1"/>
  <c r="R87" i="1"/>
  <c r="R77" i="1"/>
  <c r="R52" i="1"/>
  <c r="R53" i="1"/>
  <c r="R36" i="1"/>
  <c r="R44" i="1"/>
  <c r="R18" i="1"/>
  <c r="P64" i="1"/>
  <c r="R64" i="1" s="1"/>
  <c r="P63" i="1"/>
  <c r="R63" i="1" s="1"/>
  <c r="P62" i="1"/>
  <c r="R62" i="1" s="1"/>
  <c r="P61" i="1"/>
  <c r="R61" i="1" s="1"/>
  <c r="P60" i="1"/>
  <c r="R60" i="1" s="1"/>
  <c r="P59" i="1"/>
  <c r="R59" i="1" s="1"/>
  <c r="P58" i="1"/>
  <c r="R58" i="1" s="1"/>
  <c r="P57" i="1"/>
  <c r="R57" i="1" s="1"/>
  <c r="P56" i="1"/>
  <c r="R56" i="1" s="1"/>
  <c r="P55" i="1"/>
  <c r="R55" i="1" s="1"/>
  <c r="P54" i="1"/>
  <c r="R54" i="1" s="1"/>
  <c r="P51" i="1"/>
  <c r="R51" i="1" s="1"/>
  <c r="P50" i="1"/>
  <c r="R50" i="1" s="1"/>
  <c r="P45" i="1"/>
  <c r="R45" i="1" s="1"/>
  <c r="P44" i="1"/>
  <c r="P43" i="1"/>
  <c r="R43" i="1" s="1"/>
  <c r="P42" i="1"/>
  <c r="R42" i="1" s="1"/>
  <c r="P41" i="1"/>
  <c r="R41" i="1" s="1"/>
  <c r="P40" i="1"/>
  <c r="R40" i="1" s="1"/>
  <c r="P39" i="1"/>
  <c r="R39" i="1" s="1"/>
  <c r="P38" i="1"/>
  <c r="R38" i="1" s="1"/>
  <c r="P37" i="1"/>
  <c r="R37" i="1" s="1"/>
  <c r="P36" i="1"/>
  <c r="P35" i="1"/>
  <c r="R35" i="1" s="1"/>
  <c r="P34" i="1"/>
  <c r="R34" i="1" s="1"/>
  <c r="P29" i="1"/>
  <c r="R29" i="1" s="1"/>
  <c r="P28" i="1"/>
  <c r="R28" i="1" s="1"/>
  <c r="P27" i="1"/>
  <c r="R27" i="1" s="1"/>
  <c r="P26" i="1"/>
  <c r="R26" i="1" s="1"/>
  <c r="P25" i="1"/>
  <c r="R25" i="1" s="1"/>
  <c r="P24" i="1"/>
  <c r="R24" i="1" s="1"/>
  <c r="P23" i="1"/>
  <c r="R23" i="1" s="1"/>
  <c r="P22" i="1"/>
  <c r="R22" i="1" s="1"/>
  <c r="P21" i="1"/>
  <c r="R21" i="1" s="1"/>
  <c r="P20" i="1"/>
  <c r="R20" i="1" s="1"/>
  <c r="P19" i="1"/>
  <c r="R19" i="1" s="1"/>
  <c r="P18" i="1"/>
  <c r="P17" i="1"/>
  <c r="R17" i="1" s="1"/>
  <c r="P16" i="1"/>
  <c r="R16" i="1" s="1"/>
  <c r="P15" i="1"/>
  <c r="R15" i="1" s="1"/>
  <c r="P14" i="1"/>
  <c r="R14" i="1" s="1"/>
  <c r="P13" i="1"/>
  <c r="R13" i="1" s="1"/>
  <c r="P12" i="1"/>
  <c r="R12" i="1" s="1"/>
  <c r="P11" i="1"/>
  <c r="R11" i="1" s="1"/>
  <c r="P10" i="1"/>
  <c r="R10" i="1" s="1"/>
  <c r="P9" i="1"/>
  <c r="R9" i="1" s="1"/>
  <c r="P8" i="1"/>
  <c r="R8" i="1" s="1"/>
  <c r="F5" i="6" l="1"/>
  <c r="G5" i="6" s="1"/>
  <c r="E11" i="4"/>
  <c r="D70" i="4"/>
  <c r="D46" i="4" l="1"/>
  <c r="H70" i="4" l="1"/>
  <c r="G70" i="4"/>
  <c r="F70" i="4"/>
  <c r="E70" i="4"/>
  <c r="H58" i="4"/>
  <c r="G58" i="4"/>
  <c r="F58" i="4"/>
  <c r="E58" i="4"/>
  <c r="D58" i="4"/>
  <c r="H46" i="4"/>
  <c r="G46" i="4"/>
  <c r="F46" i="4"/>
  <c r="E46" i="4"/>
  <c r="H34" i="4"/>
  <c r="G34" i="4"/>
  <c r="F34" i="4"/>
  <c r="E34" i="4"/>
  <c r="D34" i="4"/>
  <c r="H11" i="4"/>
  <c r="G11" i="4"/>
  <c r="F11" i="4"/>
  <c r="D11" i="4"/>
  <c r="H22" i="4"/>
  <c r="G22" i="4"/>
  <c r="F22" i="4"/>
  <c r="E22" i="4"/>
  <c r="D22" i="4"/>
  <c r="E12" i="8" l="1"/>
  <c r="F12" i="8" s="1"/>
  <c r="H11" i="8"/>
  <c r="I11" i="8" s="1"/>
  <c r="E11" i="8"/>
  <c r="D11" i="8"/>
  <c r="H10" i="8"/>
  <c r="I10" i="8" s="1"/>
  <c r="E10" i="8"/>
  <c r="F10" i="8" s="1"/>
  <c r="E9" i="8"/>
  <c r="F9" i="8" s="1"/>
  <c r="H8" i="8"/>
  <c r="I8" i="8" s="1"/>
  <c r="H6" i="8"/>
  <c r="G6" i="8"/>
  <c r="I6" i="8" s="1"/>
  <c r="E11" i="6"/>
  <c r="D11" i="6"/>
  <c r="F10" i="6"/>
  <c r="F9" i="6"/>
  <c r="F8" i="6"/>
  <c r="F7" i="6"/>
  <c r="F6" i="6"/>
  <c r="F4" i="6"/>
  <c r="F11" i="6" l="1"/>
  <c r="F6" i="8"/>
  <c r="F11" i="8"/>
  <c r="G6" i="6"/>
  <c r="G4" i="6"/>
</calcChain>
</file>

<file path=xl/sharedStrings.xml><?xml version="1.0" encoding="utf-8"?>
<sst xmlns="http://schemas.openxmlformats.org/spreadsheetml/2006/main" count="3462" uniqueCount="867">
  <si>
    <t>Sindh Madressah Board</t>
  </si>
  <si>
    <t>SR#</t>
  </si>
  <si>
    <t>GR#</t>
  </si>
  <si>
    <t>Student Name</t>
  </si>
  <si>
    <t>Father Name</t>
  </si>
  <si>
    <t>English</t>
  </si>
  <si>
    <t>Urdu</t>
  </si>
  <si>
    <t>Maths</t>
  </si>
  <si>
    <t>Science/GK</t>
  </si>
  <si>
    <t>Sindhi</t>
  </si>
  <si>
    <t>Total Marks</t>
  </si>
  <si>
    <t>Obt Marks</t>
  </si>
  <si>
    <t>%</t>
  </si>
  <si>
    <t>Remarks</t>
  </si>
  <si>
    <t>Teaching and Non Teaching Staff</t>
  </si>
  <si>
    <t xml:space="preserve">SR# </t>
  </si>
  <si>
    <t>Teacher/Non teaching Name</t>
  </si>
  <si>
    <t>Govt/Private</t>
  </si>
  <si>
    <t>Designation</t>
  </si>
  <si>
    <t>Subjects/Department</t>
  </si>
  <si>
    <t>Categories</t>
  </si>
  <si>
    <t>SST, ST, PST etc)</t>
  </si>
  <si>
    <t>Current Status</t>
  </si>
  <si>
    <t>Transfer</t>
  </si>
  <si>
    <t>Deputation</t>
  </si>
  <si>
    <t>New Hiring</t>
  </si>
  <si>
    <t>Month</t>
  </si>
  <si>
    <t>Types of Leave</t>
  </si>
  <si>
    <t>No. of Staff</t>
  </si>
  <si>
    <t>Teaching Staff</t>
  </si>
  <si>
    <t>Casual</t>
  </si>
  <si>
    <t>Non Teaching Staff</t>
  </si>
  <si>
    <t>Medical</t>
  </si>
  <si>
    <t>Annual</t>
  </si>
  <si>
    <t>Maternity</t>
  </si>
  <si>
    <t>CLASS</t>
  </si>
  <si>
    <t>TOTAL STUDENTS</t>
  </si>
  <si>
    <t>DROPOUT</t>
  </si>
  <si>
    <t>PROMOTION</t>
  </si>
  <si>
    <t>RETENTION</t>
  </si>
  <si>
    <t>ECE</t>
  </si>
  <si>
    <t>I</t>
  </si>
  <si>
    <t>II</t>
  </si>
  <si>
    <t>III</t>
  </si>
  <si>
    <t>IV</t>
  </si>
  <si>
    <t>V</t>
  </si>
  <si>
    <t>IX</t>
  </si>
  <si>
    <t>X</t>
  </si>
  <si>
    <t>TOTAL</t>
  </si>
  <si>
    <t>SINDH MADRESSAH board
TEACHING STAFF ATTENDANCE PERCENTAGE
FOR THE MONTH OF ---------------------------------</t>
  </si>
  <si>
    <t>Base line Attendance</t>
  </si>
  <si>
    <t>Attendance in the Previous Quarter</t>
  </si>
  <si>
    <t>Current attendance</t>
  </si>
  <si>
    <t>HM &amp;COORDINATOR SIGN</t>
  </si>
  <si>
    <t>AUG</t>
  </si>
  <si>
    <t>Teaching</t>
  </si>
  <si>
    <t>Non Teaching</t>
  </si>
  <si>
    <t>SEPT</t>
  </si>
  <si>
    <t>OCT</t>
  </si>
  <si>
    <t>NOV</t>
  </si>
  <si>
    <t>DEC</t>
  </si>
  <si>
    <t>JAN</t>
  </si>
  <si>
    <t>FEB</t>
  </si>
  <si>
    <t>MAR</t>
  </si>
  <si>
    <t>SINDH MADRESSAH board
ACTIVITIES STATUS
FOR THE MONTH OF ---------------------------------</t>
  </si>
  <si>
    <t>ACTIVITIES</t>
  </si>
  <si>
    <t>STATUS</t>
  </si>
  <si>
    <t>DELAYED REASON</t>
  </si>
  <si>
    <t>ACTUAL DATE</t>
  </si>
  <si>
    <t>Orientation Day</t>
  </si>
  <si>
    <t>Independance Day Celebration</t>
  </si>
  <si>
    <t>Mango Day (Montessori)</t>
  </si>
  <si>
    <t>Monthly Assessment</t>
  </si>
  <si>
    <t>Admission Closed</t>
  </si>
  <si>
    <t>PTM &amp; Monthly Result Announcemet</t>
  </si>
  <si>
    <t>Defence Day &amp; Plantation</t>
  </si>
  <si>
    <t>Eid Milad un Nabi</t>
  </si>
  <si>
    <t>World Teacher Day</t>
  </si>
  <si>
    <t>Healthy Food Day</t>
  </si>
  <si>
    <t>Iqbal Day Celebrartion</t>
  </si>
  <si>
    <t>World Children Day</t>
  </si>
  <si>
    <t>Sindhi Culture Day</t>
  </si>
  <si>
    <t>Health Day</t>
  </si>
  <si>
    <t>Mid Term examination</t>
  </si>
  <si>
    <t>Student week</t>
  </si>
  <si>
    <t>Start of Final Term</t>
  </si>
  <si>
    <t>PTM &amp; Mid Term Result Announcemet &amp; Science Exhibition</t>
  </si>
  <si>
    <t>Winter Day Celebrartion &amp; Cleanliness Day</t>
  </si>
  <si>
    <t>Color Day/Spring Festival</t>
  </si>
  <si>
    <t>APRIL</t>
  </si>
  <si>
    <t>MAY</t>
  </si>
  <si>
    <t>Earth Day</t>
  </si>
  <si>
    <t>Mothers Day</t>
  </si>
  <si>
    <t>Annual Examination</t>
  </si>
  <si>
    <t>Result Day</t>
  </si>
  <si>
    <t>BOYS</t>
  </si>
  <si>
    <t>GIRLS</t>
  </si>
  <si>
    <t>TOTAL CATEGORY ATTENDANCE</t>
  </si>
  <si>
    <t>Class</t>
  </si>
  <si>
    <t>Total</t>
  </si>
  <si>
    <t>SINDH MADRESSAH board
BOARD RESULT
QUARTER _________________________</t>
  </si>
  <si>
    <t>APPERAED</t>
  </si>
  <si>
    <t>A+</t>
  </si>
  <si>
    <t>A</t>
  </si>
  <si>
    <t>B</t>
  </si>
  <si>
    <t>C</t>
  </si>
  <si>
    <t>D</t>
  </si>
  <si>
    <t>F</t>
  </si>
  <si>
    <t>Total Pass</t>
  </si>
  <si>
    <t>Total Fail</t>
  </si>
  <si>
    <t>2022-2023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</si>
  <si>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</si>
  <si>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</si>
  <si>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</si>
  <si>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</si>
  <si>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</si>
  <si>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</si>
  <si>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</si>
  <si>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</si>
  <si>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</si>
  <si>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</si>
  <si>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SINDH MADRESSAH BOARD</t>
  </si>
  <si>
    <t>TRAINING DETAILS</t>
  </si>
  <si>
    <t>Name</t>
  </si>
  <si>
    <t>Major Training</t>
  </si>
  <si>
    <t>Training Provided before reporting period</t>
  </si>
  <si>
    <t>Training organized during report period</t>
  </si>
  <si>
    <t>MONTH</t>
  </si>
  <si>
    <t>No. of Staff Training</t>
  </si>
  <si>
    <t>Trainings attended since TNA of this academic year</t>
  </si>
  <si>
    <t>Key implications of attended trainings on work performance</t>
  </si>
  <si>
    <t>PTM RECORD</t>
  </si>
  <si>
    <t>Date</t>
  </si>
  <si>
    <t>Number of Parents Attended</t>
  </si>
  <si>
    <t>Agenda</t>
  </si>
  <si>
    <t>MONTHLY</t>
  </si>
  <si>
    <t>TD</t>
  </si>
  <si>
    <t>WHEN REQUIRED</t>
  </si>
  <si>
    <t>TNA</t>
  </si>
  <si>
    <t>BOARD RESULT</t>
  </si>
  <si>
    <t>YEARLY</t>
  </si>
  <si>
    <t>Student Att %</t>
  </si>
  <si>
    <t>Current Enrollment</t>
  </si>
  <si>
    <t>Activities Status</t>
  </si>
  <si>
    <t>Staff Attendance %</t>
  </si>
  <si>
    <t>Student Strength Record</t>
  </si>
  <si>
    <t>Leave Record</t>
  </si>
  <si>
    <t>Staff Details</t>
  </si>
  <si>
    <t>Result sheet</t>
  </si>
  <si>
    <t>Celebrated</t>
  </si>
  <si>
    <t>celebrated</t>
  </si>
  <si>
    <t>Held</t>
  </si>
  <si>
    <t xml:space="preserve">Sixth Class PTM Held for student issues  </t>
  </si>
  <si>
    <t>Fair Copies issue discussed with parents</t>
  </si>
  <si>
    <t xml:space="preserve">Late Coming,Absentees and Discipline Management issues discussed </t>
  </si>
  <si>
    <t>SINDH MADRESSAH board
Current Enrollment
FOR THE MONTH OF MARCH 2024</t>
  </si>
  <si>
    <t>Govt</t>
  </si>
  <si>
    <t>PST</t>
  </si>
  <si>
    <t>HM</t>
  </si>
  <si>
    <t xml:space="preserve">PTM Called &amp; Mid Term Result Announced   </t>
  </si>
  <si>
    <t>Fun Day /Quiz/Spring Festival</t>
  </si>
  <si>
    <t xml:space="preserve"> 05 december 2023</t>
  </si>
  <si>
    <t xml:space="preserve"> Orientation</t>
  </si>
  <si>
    <t>providing syllabus and announcing exam tests</t>
  </si>
  <si>
    <t xml:space="preserve">announcing result and disscussing  student's progress </t>
  </si>
  <si>
    <t>Jan Muhammad</t>
  </si>
  <si>
    <t>Dua</t>
  </si>
  <si>
    <t>Fatima</t>
  </si>
  <si>
    <t>Aijaz Ali</t>
  </si>
  <si>
    <t>M.Ibrahim</t>
  </si>
  <si>
    <t>Islamiat</t>
  </si>
  <si>
    <t>Pass</t>
  </si>
  <si>
    <t>Zubair Ahmed</t>
  </si>
  <si>
    <t>Salman</t>
  </si>
  <si>
    <t>Shahid Ali</t>
  </si>
  <si>
    <t>Abdullah</t>
  </si>
  <si>
    <t>Muneer Ahmed</t>
  </si>
  <si>
    <t xml:space="preserve">Altaf Hussain </t>
  </si>
  <si>
    <t>Faizan</t>
  </si>
  <si>
    <t>Laraib</t>
  </si>
  <si>
    <t>Khalid</t>
  </si>
  <si>
    <t>Ahmed Ali</t>
  </si>
  <si>
    <t>Abdul Rehman</t>
  </si>
  <si>
    <t>Ghulam Hussain</t>
  </si>
  <si>
    <t>Hakim Ali</t>
  </si>
  <si>
    <t>Abdul Wahid</t>
  </si>
  <si>
    <t>Meer Muhammad</t>
  </si>
  <si>
    <t>Haleema</t>
  </si>
  <si>
    <t>NEW ADMISSION</t>
  </si>
  <si>
    <t>STUDENT STRENGTH FOR THE MONTH OF  JANUARY</t>
  </si>
  <si>
    <t xml:space="preserve">     ---</t>
  </si>
  <si>
    <t xml:space="preserve">STUDENT STRENGTH FOR THE MONTH OF DECEMBER </t>
  </si>
  <si>
    <t>STUDENT STRENGTH FOR THE MONTH OF  NOVEMBER</t>
  </si>
  <si>
    <t>STUDENT STRENGTH FOR THE MONTH OF  OCTOBER</t>
  </si>
  <si>
    <t xml:space="preserve">STUDENT STRENGTH FOR THE MONTH OF  SEPTEMBER </t>
  </si>
  <si>
    <r>
      <t xml:space="preserve">SINDH MADRESSAH board
STUDENTS MONTHLY STRENGTH RECORD
</t>
    </r>
    <r>
      <rPr>
        <b/>
        <sz val="11"/>
        <color theme="1"/>
        <rFont val="Calibri"/>
        <family val="2"/>
        <scheme val="minor"/>
      </rPr>
      <t>FOR THE MONTH OF  AUGUST</t>
    </r>
  </si>
  <si>
    <t>Kg</t>
  </si>
  <si>
    <t>Muhammad Hussain</t>
  </si>
  <si>
    <t>PERMANET</t>
  </si>
  <si>
    <t>ON JOB</t>
  </si>
  <si>
    <t>NO</t>
  </si>
  <si>
    <t>Muhammad Yasir</t>
  </si>
  <si>
    <t>Pst</t>
  </si>
  <si>
    <t>Ghulam Muhammad</t>
  </si>
  <si>
    <t>SLT</t>
  </si>
  <si>
    <t>Hajira Bibi</t>
  </si>
  <si>
    <t>Iffat Naz</t>
  </si>
  <si>
    <t>YES</t>
  </si>
  <si>
    <t>School Name Govt Boys Primary School Shafi Goth</t>
  </si>
  <si>
    <t>SINDH MADRESSAG BOARD</t>
  </si>
  <si>
    <t>Leave Record              2023/24</t>
  </si>
  <si>
    <t>GBPS  SHAFI MUHAMMAD GOTH/BIN QASIM TOWN</t>
  </si>
  <si>
    <t xml:space="preserve">NO NONE TEACHING STAFF AVALIBLE IN SCHOOL WATCHMAN HAS RETIRED IN JAN 2024 </t>
  </si>
  <si>
    <t>KG</t>
  </si>
  <si>
    <t>Draw</t>
  </si>
  <si>
    <t>Grade</t>
  </si>
  <si>
    <t>Faisal Raza</t>
  </si>
  <si>
    <t>M.Ismail</t>
  </si>
  <si>
    <t xml:space="preserve">Shakir Hussain </t>
  </si>
  <si>
    <t xml:space="preserve">Hazar Khan </t>
  </si>
  <si>
    <t>Abesh</t>
  </si>
  <si>
    <t>Papu Raja</t>
  </si>
  <si>
    <t>Aftab</t>
  </si>
  <si>
    <t>M.Azaan</t>
  </si>
  <si>
    <t>Nazeer Ahmed</t>
  </si>
  <si>
    <t>Arsalan</t>
  </si>
  <si>
    <t>Izzat Muhammad</t>
  </si>
  <si>
    <t>Gulam Hussain</t>
  </si>
  <si>
    <t xml:space="preserve">Ikram Ullah </t>
  </si>
  <si>
    <t>M.Shali Khan</t>
  </si>
  <si>
    <t>Ali Muhammad</t>
  </si>
  <si>
    <t>Azhar Ali</t>
  </si>
  <si>
    <t>Mazhar Ali</t>
  </si>
  <si>
    <t>Uzair Ali</t>
  </si>
  <si>
    <t>Tabinda</t>
  </si>
  <si>
    <t>Adnan</t>
  </si>
  <si>
    <t>Duaa</t>
  </si>
  <si>
    <t>Alia</t>
  </si>
  <si>
    <t>Bashir Ahmed</t>
  </si>
  <si>
    <t>Komal</t>
  </si>
  <si>
    <t>Aasia</t>
  </si>
  <si>
    <t>Ramesh</t>
  </si>
  <si>
    <t>Zara Ahmed</t>
  </si>
  <si>
    <t>ABS</t>
  </si>
  <si>
    <t>Sahiba</t>
  </si>
  <si>
    <t>Muhammad younas</t>
  </si>
  <si>
    <t>Zain Ali Magsi</t>
  </si>
  <si>
    <t>Rajab Ali</t>
  </si>
  <si>
    <t>S.St</t>
  </si>
  <si>
    <t xml:space="preserve">Kamran </t>
  </si>
  <si>
    <t>Behram</t>
  </si>
  <si>
    <t>Zakir Hussain</t>
  </si>
  <si>
    <t>Hazar Khan</t>
  </si>
  <si>
    <t>M.Habib</t>
  </si>
  <si>
    <t>Ishaq</t>
  </si>
  <si>
    <t>Nazeer Baloch</t>
  </si>
  <si>
    <t>Basheer Ali</t>
  </si>
  <si>
    <t>Sabra</t>
  </si>
  <si>
    <t>Azra</t>
  </si>
  <si>
    <t>Aleena</t>
  </si>
  <si>
    <t>Naik Badshah</t>
  </si>
  <si>
    <t>Ghulam Rabani</t>
  </si>
  <si>
    <t>Uzair</t>
  </si>
  <si>
    <t>Zubair</t>
  </si>
  <si>
    <t>Sardar Khan</t>
  </si>
  <si>
    <t>Abdul Majeed</t>
  </si>
  <si>
    <t>M.Umar</t>
  </si>
  <si>
    <t>Sher Bahadur</t>
  </si>
  <si>
    <t>Ghulam Mustafa</t>
  </si>
  <si>
    <t>Gul Hassan</t>
  </si>
  <si>
    <t>---</t>
  </si>
  <si>
    <t>--</t>
  </si>
  <si>
    <t>Deva</t>
  </si>
  <si>
    <t>Ramo</t>
  </si>
  <si>
    <t>Mohen Lal</t>
  </si>
  <si>
    <t>Karmi</t>
  </si>
  <si>
    <t>Ravi</t>
  </si>
  <si>
    <t>Veerya</t>
  </si>
  <si>
    <t>Buryan</t>
  </si>
  <si>
    <t>Robin</t>
  </si>
  <si>
    <t>Lala</t>
  </si>
  <si>
    <t>Puniya</t>
  </si>
  <si>
    <t>Zanib</t>
  </si>
  <si>
    <t>Jameel Ahmed</t>
  </si>
  <si>
    <t>Qurat ul Ain</t>
  </si>
  <si>
    <t>Sheraz Ali</t>
  </si>
  <si>
    <t>Rukhsar</t>
  </si>
  <si>
    <t>Nadia</t>
  </si>
  <si>
    <t>Gul Muhammad</t>
  </si>
  <si>
    <t>Shaid</t>
  </si>
  <si>
    <t xml:space="preserve">Abdul Rehman </t>
  </si>
  <si>
    <r>
      <t xml:space="preserve">School Name </t>
    </r>
    <r>
      <rPr>
        <u/>
        <sz val="16"/>
        <color rgb="FF000000"/>
        <rFont val="Calibri"/>
        <family val="2"/>
        <scheme val="minor"/>
      </rPr>
      <t>GBPS SHAFI MUHAMMAD GOTH</t>
    </r>
  </si>
  <si>
    <r>
      <t xml:space="preserve">School Code  </t>
    </r>
    <r>
      <rPr>
        <u/>
        <sz val="16"/>
        <color rgb="FF000000"/>
        <rFont val="Calibri"/>
        <family val="2"/>
        <scheme val="minor"/>
      </rPr>
      <t>408170128</t>
    </r>
  </si>
  <si>
    <r>
      <t xml:space="preserve">Class  </t>
    </r>
    <r>
      <rPr>
        <u/>
        <sz val="16"/>
        <color rgb="FF000000"/>
        <rFont val="Calibri"/>
        <family val="2"/>
        <scheme val="minor"/>
      </rPr>
      <t>III</t>
    </r>
  </si>
  <si>
    <r>
      <t xml:space="preserve">Class   </t>
    </r>
    <r>
      <rPr>
        <u/>
        <sz val="16"/>
        <color rgb="FF000000"/>
        <rFont val="Calibri"/>
        <family val="2"/>
        <scheme val="minor"/>
      </rPr>
      <t>IV</t>
    </r>
  </si>
  <si>
    <r>
      <t xml:space="preserve">                                      CLass  </t>
    </r>
    <r>
      <rPr>
        <u/>
        <sz val="16"/>
        <color rgb="FF000000"/>
        <rFont val="Calibri"/>
        <family val="2"/>
        <scheme val="minor"/>
      </rPr>
      <t xml:space="preserve"> V</t>
    </r>
  </si>
  <si>
    <t>Monthly Test For The Month Of  DECEMBER 2023(MID TERM)</t>
  </si>
  <si>
    <t>Monthly Test For The Month Of  DECEMBER 2023 (MID TERM)</t>
  </si>
  <si>
    <r>
      <t xml:space="preserve">Monthly Test For The Month Of </t>
    </r>
    <r>
      <rPr>
        <u/>
        <sz val="16"/>
        <color rgb="FF000000"/>
        <rFont val="Calibri"/>
        <family val="2"/>
        <scheme val="minor"/>
      </rPr>
      <t xml:space="preserve"> DECEMBER 2023 (MID TERM)</t>
    </r>
  </si>
  <si>
    <t>Fail</t>
  </si>
  <si>
    <t xml:space="preserve">Meer Muhammad   </t>
  </si>
  <si>
    <t>All Subjects/Education</t>
  </si>
  <si>
    <t>15/9/2023</t>
  </si>
  <si>
    <t>22-01-2024</t>
  </si>
  <si>
    <t>21/12/2023</t>
  </si>
  <si>
    <t>STUDENT STRENGTH FOR THE MONTH OF  FEBRUARY</t>
  </si>
  <si>
    <t>STUDENT STRENGTH FOR THE MONTH OF  MARCH</t>
  </si>
  <si>
    <t>STUDENT STRENGTH FOR THE MONTH OF  APRIL</t>
  </si>
  <si>
    <t>Yearly Examination Started</t>
  </si>
  <si>
    <t>18-04-2024</t>
  </si>
  <si>
    <t>SINDH MADRESSAH board
Student Attendance Percentage
QUARTER  AUGUST 2023 TO APRIL 2024</t>
  </si>
  <si>
    <t>GBPS SHAFI MUHAMMAD GOTH</t>
  </si>
  <si>
    <t>Monthly Test For The Month Of  JANUARY 2024</t>
  </si>
  <si>
    <r>
      <t xml:space="preserve">Monthly Test For The Month Of </t>
    </r>
    <r>
      <rPr>
        <u/>
        <sz val="16"/>
        <color rgb="FF000000"/>
        <rFont val="Calibri"/>
        <family val="2"/>
        <scheme val="minor"/>
      </rPr>
      <t xml:space="preserve"> JANUARY 2024</t>
    </r>
  </si>
  <si>
    <t>Monthly Test For The Month Of  APRIL 2024</t>
  </si>
  <si>
    <r>
      <t xml:space="preserve">Monthly Test For The Month Of </t>
    </r>
    <r>
      <rPr>
        <u/>
        <sz val="16"/>
        <color rgb="FF000000"/>
        <rFont val="Calibri"/>
        <family val="2"/>
        <scheme val="minor"/>
      </rPr>
      <t xml:space="preserve"> APRIL 2024</t>
    </r>
  </si>
  <si>
    <t>Monthly Test For The Month Of  FEBRUARY 2024</t>
  </si>
  <si>
    <r>
      <t xml:space="preserve">Monthly Test For The Month Of </t>
    </r>
    <r>
      <rPr>
        <u/>
        <sz val="16"/>
        <color rgb="FF000000"/>
        <rFont val="Calibri"/>
        <family val="2"/>
        <scheme val="minor"/>
      </rPr>
      <t xml:space="preserve"> FEBRUARY 2024</t>
    </r>
  </si>
  <si>
    <t>Monthly Test For The Month Of  MARCH 2024</t>
  </si>
  <si>
    <r>
      <t xml:space="preserve">Monthly Test For The Month Of </t>
    </r>
    <r>
      <rPr>
        <u/>
        <sz val="16"/>
        <color rgb="FF000000"/>
        <rFont val="Calibri"/>
        <family val="2"/>
        <scheme val="minor"/>
      </rPr>
      <t xml:space="preserve"> MARCH 2024</t>
    </r>
  </si>
  <si>
    <r>
      <t xml:space="preserve">School Name </t>
    </r>
    <r>
      <rPr>
        <u/>
        <sz val="13"/>
        <color rgb="FF000000"/>
        <rFont val="Calibri"/>
        <family val="2"/>
        <scheme val="minor"/>
      </rPr>
      <t>GBPS SHAFI MUHAMMAD GOTH</t>
    </r>
  </si>
  <si>
    <r>
      <t xml:space="preserve">School Code  </t>
    </r>
    <r>
      <rPr>
        <u/>
        <sz val="13"/>
        <color rgb="FF000000"/>
        <rFont val="Calibri"/>
        <family val="2"/>
        <scheme val="minor"/>
      </rPr>
      <t>408170128</t>
    </r>
  </si>
  <si>
    <r>
      <t xml:space="preserve">Class  </t>
    </r>
    <r>
      <rPr>
        <u/>
        <sz val="13"/>
        <color rgb="FF000000"/>
        <rFont val="Calibri"/>
        <family val="2"/>
        <scheme val="minor"/>
      </rPr>
      <t>III</t>
    </r>
  </si>
  <si>
    <r>
      <t xml:space="preserve">Class   </t>
    </r>
    <r>
      <rPr>
        <u/>
        <sz val="13"/>
        <color rgb="FF000000"/>
        <rFont val="Calibri"/>
        <family val="2"/>
        <scheme val="minor"/>
      </rPr>
      <t>IV</t>
    </r>
  </si>
  <si>
    <r>
      <t xml:space="preserve">                                      CLass  </t>
    </r>
    <r>
      <rPr>
        <u/>
        <sz val="13"/>
        <color rgb="FF000000"/>
        <rFont val="Calibri"/>
        <family val="2"/>
        <scheme val="minor"/>
      </rPr>
      <t xml:space="preserve"> V</t>
    </r>
  </si>
  <si>
    <t>Student Information for the session of 2023-2024</t>
  </si>
  <si>
    <t>Gender</t>
  </si>
  <si>
    <t>Date of Birth</t>
  </si>
  <si>
    <t>Date of Admission</t>
  </si>
  <si>
    <t>Male</t>
  </si>
  <si>
    <t>Female</t>
  </si>
  <si>
    <t>B-Form/CNIC No</t>
  </si>
  <si>
    <t>Student Information Session 2023-2024</t>
  </si>
  <si>
    <t>Contact No</t>
  </si>
  <si>
    <t>0315-0779321</t>
  </si>
  <si>
    <t>43301-7080107-1</t>
  </si>
  <si>
    <t>45303-4318440-3</t>
  </si>
  <si>
    <t>42501-7357857-1</t>
  </si>
  <si>
    <t>30-12-2014</t>
  </si>
  <si>
    <t>0317-7892112</t>
  </si>
  <si>
    <t>43102-2474504-5</t>
  </si>
  <si>
    <t>42301-1863385-7</t>
  </si>
  <si>
    <t>41409-4401364-7</t>
  </si>
  <si>
    <t>53405-3126822-3</t>
  </si>
  <si>
    <t>43102-8701328-5</t>
  </si>
  <si>
    <t>42501-1955011-1</t>
  </si>
  <si>
    <t>42501-2050546-7</t>
  </si>
  <si>
    <t>21104-6377088-5</t>
  </si>
  <si>
    <t>42501-1134527-5</t>
  </si>
  <si>
    <t>42501-5915942-9</t>
  </si>
  <si>
    <t>425015915942-9</t>
  </si>
  <si>
    <t>37301-9935640-3</t>
  </si>
  <si>
    <t>0345-335583</t>
  </si>
  <si>
    <t>0316-2379689</t>
  </si>
  <si>
    <t>0306-2360612</t>
  </si>
  <si>
    <t>0302-3994845</t>
  </si>
  <si>
    <t>0335-7475895</t>
  </si>
  <si>
    <t>0341-5940899</t>
  </si>
  <si>
    <t>0319-488654</t>
  </si>
  <si>
    <t>0311-1022408</t>
  </si>
  <si>
    <t>0324-2139003</t>
  </si>
  <si>
    <t>20-11-2015</t>
  </si>
  <si>
    <t>28/6/2009</t>
  </si>
  <si>
    <t>23/08/2010</t>
  </si>
  <si>
    <t>30/9/2013</t>
  </si>
  <si>
    <t>26/7/2014</t>
  </si>
  <si>
    <t>20/9/2014</t>
  </si>
  <si>
    <t xml:space="preserve">   0304-3683599</t>
  </si>
  <si>
    <t xml:space="preserve">   0300-3703404</t>
  </si>
  <si>
    <t xml:space="preserve"> 0314-658209</t>
  </si>
  <si>
    <t xml:space="preserve">  0300-2088955</t>
  </si>
  <si>
    <t>42101-1506238-3</t>
  </si>
  <si>
    <t>27/9/2023</t>
  </si>
  <si>
    <t>14/10/2023</t>
  </si>
  <si>
    <t>15/8/2018</t>
  </si>
  <si>
    <t>42501-1617563-1</t>
  </si>
  <si>
    <t>43402-0357514-3</t>
  </si>
  <si>
    <t>43301-3222668-5</t>
  </si>
  <si>
    <t>53201-0515377-5</t>
  </si>
  <si>
    <t>45504-6798374-7</t>
  </si>
  <si>
    <t>42501-1395261-7</t>
  </si>
  <si>
    <t>42501-8844989-1</t>
  </si>
  <si>
    <t>21/6/2014</t>
  </si>
  <si>
    <t>15/10/2013</t>
  </si>
  <si>
    <t>26/9/2011</t>
  </si>
  <si>
    <t>26/9/2023</t>
  </si>
  <si>
    <t>14/11/2023</t>
  </si>
  <si>
    <t>0318-1288126</t>
  </si>
  <si>
    <t>0303-9390680</t>
  </si>
  <si>
    <t>0302-6062360</t>
  </si>
  <si>
    <t>0323-2144367</t>
  </si>
  <si>
    <t>0307-2551061</t>
  </si>
  <si>
    <t>29/9/2023</t>
  </si>
  <si>
    <t>23/2/2024</t>
  </si>
  <si>
    <t>15/1/2023</t>
  </si>
  <si>
    <t xml:space="preserve"> </t>
  </si>
  <si>
    <t xml:space="preserve">       Contact No</t>
  </si>
  <si>
    <t>Class  I</t>
  </si>
  <si>
    <t>Guwaram</t>
  </si>
  <si>
    <t>Arman</t>
  </si>
  <si>
    <t>Naveed Hussain</t>
  </si>
  <si>
    <t>Kaleemullah</t>
  </si>
  <si>
    <t>Rehan</t>
  </si>
  <si>
    <t>Amjad</t>
  </si>
  <si>
    <t>Ghulam Umar</t>
  </si>
  <si>
    <t>Mudasir Shah</t>
  </si>
  <si>
    <t xml:space="preserve">Talha </t>
  </si>
  <si>
    <t>Nresh</t>
  </si>
  <si>
    <t>Weermil</t>
  </si>
  <si>
    <t>Vishal</t>
  </si>
  <si>
    <t>Kanwal</t>
  </si>
  <si>
    <t>Mlala</t>
  </si>
  <si>
    <t>Saba Gul</t>
  </si>
  <si>
    <t>Seema</t>
  </si>
  <si>
    <t>Zubaida</t>
  </si>
  <si>
    <t>Paras Batool</t>
  </si>
  <si>
    <t>M. Yaqoob</t>
  </si>
  <si>
    <t>Shar Alam</t>
  </si>
  <si>
    <t>Amir Shah</t>
  </si>
  <si>
    <t>Hanifullah</t>
  </si>
  <si>
    <t>Jamil Ahmed</t>
  </si>
  <si>
    <t>Rabila</t>
  </si>
  <si>
    <t>Khalil Ahmed</t>
  </si>
  <si>
    <t>Wazeer Mil</t>
  </si>
  <si>
    <t>Nadeem Chand</t>
  </si>
  <si>
    <t>Baroz Khan</t>
  </si>
  <si>
    <t>Sir Taj</t>
  </si>
  <si>
    <t>Ameer Ali</t>
  </si>
  <si>
    <t>Sheraz</t>
  </si>
  <si>
    <t>42501-8410735-5</t>
  </si>
  <si>
    <t>41101-8107531-7</t>
  </si>
  <si>
    <t>43301-3223713-5</t>
  </si>
  <si>
    <t>42501-8463685-5</t>
  </si>
  <si>
    <t>42501-1487511-3</t>
  </si>
  <si>
    <t>42401-1886923-7</t>
  </si>
  <si>
    <t>21104-2888035-5</t>
  </si>
  <si>
    <t>42201-9847431-7</t>
  </si>
  <si>
    <t>53202-4266812-1</t>
  </si>
  <si>
    <t>45304-8740531-7</t>
  </si>
  <si>
    <t>53201-7263111-3</t>
  </si>
  <si>
    <t>42501-4131797-5</t>
  </si>
  <si>
    <t>13504-2213599-5</t>
  </si>
  <si>
    <t>45303-0699072-3</t>
  </si>
  <si>
    <t>45502-7709714-7</t>
  </si>
  <si>
    <t>42502-7709714-7</t>
  </si>
  <si>
    <t>Bushra Batool</t>
  </si>
  <si>
    <t>Shahajahan</t>
  </si>
  <si>
    <t>Siraj</t>
  </si>
  <si>
    <t>Fareeda</t>
  </si>
  <si>
    <t>Muzamil</t>
  </si>
  <si>
    <t>Najumuddin</t>
  </si>
  <si>
    <t>Ashraf Ali</t>
  </si>
  <si>
    <t>Liaqat Ali</t>
  </si>
  <si>
    <t>Allah Bachayio</t>
  </si>
  <si>
    <t xml:space="preserve">Allah Bachayio </t>
  </si>
  <si>
    <t>43203-4196794-3</t>
  </si>
  <si>
    <t>41101-6395650-9</t>
  </si>
  <si>
    <t xml:space="preserve">41101-6395650-9 </t>
  </si>
  <si>
    <t>45301-0635959-1</t>
  </si>
  <si>
    <t>45303-2051963-5</t>
  </si>
  <si>
    <t>0312-2648807</t>
  </si>
  <si>
    <t>0324-2131003</t>
  </si>
  <si>
    <t>0325-3929603</t>
  </si>
  <si>
    <t>0348-4656695</t>
  </si>
  <si>
    <t>0304-7786322</t>
  </si>
  <si>
    <t>0334-3077286</t>
  </si>
  <si>
    <t>0321-3453775</t>
  </si>
  <si>
    <t>0318-7716878</t>
  </si>
  <si>
    <t>0304-8524715</t>
  </si>
  <si>
    <t>0314-2032523</t>
  </si>
  <si>
    <t>0301-0800737</t>
  </si>
  <si>
    <t>0306-0812825</t>
  </si>
  <si>
    <t>0317-8563790</t>
  </si>
  <si>
    <t>0343-1013630</t>
  </si>
  <si>
    <t>0300-2761848</t>
  </si>
  <si>
    <t>0306-2416379</t>
  </si>
  <si>
    <t>0332-9672092</t>
  </si>
  <si>
    <t>0308-3427998</t>
  </si>
  <si>
    <t>0300-9010874</t>
  </si>
  <si>
    <t xml:space="preserve">Haseebullah </t>
  </si>
  <si>
    <t>Wahid Bux</t>
  </si>
  <si>
    <t xml:space="preserve">Amna </t>
  </si>
  <si>
    <t>Amna Bibi</t>
  </si>
  <si>
    <t>Arifa</t>
  </si>
  <si>
    <t>Shoaib</t>
  </si>
  <si>
    <t>Iqra Bibi</t>
  </si>
  <si>
    <t>Nadir</t>
  </si>
  <si>
    <t>Mohammad Khan</t>
  </si>
  <si>
    <t>Jamila</t>
  </si>
  <si>
    <t>Marwah Noor</t>
  </si>
  <si>
    <t>Abdul Hafeez</t>
  </si>
  <si>
    <t>Muhammad Bilal</t>
  </si>
  <si>
    <t>M.Nouman</t>
  </si>
  <si>
    <t>Alishba</t>
  </si>
  <si>
    <t>Gulzar Ali</t>
  </si>
  <si>
    <t>Murtaza</t>
  </si>
  <si>
    <t>Muhammad Bux</t>
  </si>
  <si>
    <t>Bharam Saeed</t>
  </si>
  <si>
    <t>Hassan Ali</t>
  </si>
  <si>
    <t>Ghulam Rasool</t>
  </si>
  <si>
    <t>Naqib Zaman</t>
  </si>
  <si>
    <t>Akhtar Khan</t>
  </si>
  <si>
    <t>M.Rafiq</t>
  </si>
  <si>
    <t>Shahid Khan</t>
  </si>
  <si>
    <t>Mushtaq</t>
  </si>
  <si>
    <t xml:space="preserve"> Shoaib</t>
  </si>
  <si>
    <t>42501-4684478-9</t>
  </si>
  <si>
    <t>42401-9296903-7</t>
  </si>
  <si>
    <t>42501-1479183-1</t>
  </si>
  <si>
    <t>43203-3201346-3</t>
  </si>
  <si>
    <t>42501-9765876-9</t>
  </si>
  <si>
    <t>42501-8759230-3</t>
  </si>
  <si>
    <t>13501-0685109-9</t>
  </si>
  <si>
    <t>41101-4494445-9</t>
  </si>
  <si>
    <t>42201-1807426-9</t>
  </si>
  <si>
    <t>42501-8181667-9</t>
  </si>
  <si>
    <t>43301-8001556-3</t>
  </si>
  <si>
    <t>0321-3593771</t>
  </si>
  <si>
    <t>0302-2577250</t>
  </si>
  <si>
    <t>0333-2183164</t>
  </si>
  <si>
    <t>0302-2691737</t>
  </si>
  <si>
    <t>0318-6266631</t>
  </si>
  <si>
    <t>0307-2441737</t>
  </si>
  <si>
    <t>0347-2852754</t>
  </si>
  <si>
    <t>0341-1962321</t>
  </si>
  <si>
    <t>0337-8260711</t>
  </si>
  <si>
    <t>0306-0388910</t>
  </si>
  <si>
    <t>0308-2123759</t>
  </si>
  <si>
    <t>0340-0332875</t>
  </si>
  <si>
    <t>0327-8218169</t>
  </si>
  <si>
    <t>0303-2699260</t>
  </si>
  <si>
    <t>lll</t>
  </si>
  <si>
    <t xml:space="preserve">Laraib </t>
  </si>
  <si>
    <t>Asia</t>
  </si>
  <si>
    <t xml:space="preserve">Zara </t>
  </si>
  <si>
    <t>M.Younis</t>
  </si>
  <si>
    <t>21/09/2014</t>
  </si>
  <si>
    <t>17/05/2014</t>
  </si>
  <si>
    <t>0310-1297108</t>
  </si>
  <si>
    <t>Iqra</t>
  </si>
  <si>
    <t>Aneesa</t>
  </si>
  <si>
    <t>Muskan</t>
  </si>
  <si>
    <t>Safia</t>
  </si>
  <si>
    <t>Zainab Zara</t>
  </si>
  <si>
    <t>Qurt-Ul-Ain</t>
  </si>
  <si>
    <t>Rukhsar Zara</t>
  </si>
  <si>
    <t>Sadia</t>
  </si>
  <si>
    <t>Raima</t>
  </si>
  <si>
    <t>Shahad</t>
  </si>
  <si>
    <t>Dewa</t>
  </si>
  <si>
    <t>Ravi Rathor</t>
  </si>
  <si>
    <t>Khalida</t>
  </si>
  <si>
    <t>27/01/2012</t>
  </si>
  <si>
    <t>15/10/2010</t>
  </si>
  <si>
    <t>18/1/2012</t>
  </si>
  <si>
    <t>14/1/2015</t>
  </si>
  <si>
    <t>28/11/2012</t>
  </si>
  <si>
    <t>13/9/2011</t>
  </si>
  <si>
    <t>15/1/2024</t>
  </si>
  <si>
    <t>15/8/2015</t>
  </si>
  <si>
    <t>0345-2223751</t>
  </si>
  <si>
    <t>0344-2643075</t>
  </si>
  <si>
    <t>0313-0118322</t>
  </si>
  <si>
    <t>41205-1549548-7</t>
  </si>
  <si>
    <t>42201-9347431-7</t>
  </si>
  <si>
    <t>41402-9236409-1</t>
  </si>
  <si>
    <t>42501-7410008-7</t>
  </si>
  <si>
    <t>Sajjad Ali</t>
  </si>
  <si>
    <t>Zaheer Abbas</t>
  </si>
  <si>
    <t>Peer Bux</t>
  </si>
  <si>
    <t xml:space="preserve">Gul Muhammad </t>
  </si>
  <si>
    <t>Raheem Bux</t>
  </si>
  <si>
    <t>M.Akram</t>
  </si>
  <si>
    <t>Muhammad</t>
  </si>
  <si>
    <t>Abdul Rehman Jatoi</t>
  </si>
  <si>
    <t>Ramoon</t>
  </si>
  <si>
    <t>Veero Rathor</t>
  </si>
  <si>
    <t>Anus</t>
  </si>
  <si>
    <t>Muhammad Umar</t>
  </si>
  <si>
    <t>Rajo</t>
  </si>
  <si>
    <t>Naveed Ahmed</t>
  </si>
  <si>
    <t>Mohan Lal Rathor</t>
  </si>
  <si>
    <t>Saeed-ur-Rehman</t>
  </si>
  <si>
    <t>Rub Nawaz</t>
  </si>
  <si>
    <t>Rasool Bux</t>
  </si>
  <si>
    <t>Liaquat</t>
  </si>
  <si>
    <t>Khan Muhammad</t>
  </si>
  <si>
    <t>13504-2253305-9</t>
  </si>
  <si>
    <t>42501-5865575-1</t>
  </si>
  <si>
    <t>42501-8151625-5</t>
  </si>
  <si>
    <t>44206-1698197-2</t>
  </si>
  <si>
    <t>41405-2210944-2</t>
  </si>
  <si>
    <t>22/6/2011</t>
  </si>
  <si>
    <t>24/7/2008</t>
  </si>
  <si>
    <t>18/5/2011</t>
  </si>
  <si>
    <t>16/9/2012</t>
  </si>
  <si>
    <t>14/11/2010</t>
  </si>
  <si>
    <t>20/5/2008</t>
  </si>
  <si>
    <t>Class  ECE</t>
  </si>
  <si>
    <t>Ali Raza</t>
  </si>
  <si>
    <t>0335-3220214</t>
  </si>
  <si>
    <t>Asadullah</t>
  </si>
  <si>
    <t>0345-335588</t>
  </si>
  <si>
    <t>Naeemullah</t>
  </si>
  <si>
    <t>13-11-2017</t>
  </si>
  <si>
    <t>Adil Azad</t>
  </si>
  <si>
    <t>Tahir</t>
  </si>
  <si>
    <t xml:space="preserve">Sheraz </t>
  </si>
  <si>
    <t>Kashif</t>
  </si>
  <si>
    <t>Abdul Samad</t>
  </si>
  <si>
    <t>Muhammad Sufiyan</t>
  </si>
  <si>
    <t>Muhammad Ali</t>
  </si>
  <si>
    <t>Umair Ali</t>
  </si>
  <si>
    <t>Faheem</t>
  </si>
  <si>
    <t>Muhammad Faizan</t>
  </si>
  <si>
    <t>Fawad Khan</t>
  </si>
  <si>
    <t>Sajjad ali</t>
  </si>
  <si>
    <t>Dileeb Kumar</t>
  </si>
  <si>
    <t>Ankheet</t>
  </si>
  <si>
    <t>Mousa</t>
  </si>
  <si>
    <t>Altaf Hussain</t>
  </si>
  <si>
    <t>Nawaz Ali</t>
  </si>
  <si>
    <t>Husnain</t>
  </si>
  <si>
    <t>Siraj Khan</t>
  </si>
  <si>
    <t>Muhammad Waseem</t>
  </si>
  <si>
    <t>Nadeem Ahmed</t>
  </si>
  <si>
    <t>Izat Khan</t>
  </si>
  <si>
    <t>Mazhir Ali</t>
  </si>
  <si>
    <t>Sajid Mehmood</t>
  </si>
  <si>
    <t xml:space="preserve">Sirtaj </t>
  </si>
  <si>
    <t>Bazoz Khan</t>
  </si>
  <si>
    <t>Ranja Ram</t>
  </si>
  <si>
    <t>Hassan Ali Metho</t>
  </si>
  <si>
    <t>Ashooq</t>
  </si>
  <si>
    <t>Narayon</t>
  </si>
  <si>
    <t>Tali Muthal</t>
  </si>
  <si>
    <t>Akhter Khan</t>
  </si>
  <si>
    <t>Muhammad Ashraf</t>
  </si>
  <si>
    <t>Kiran</t>
  </si>
  <si>
    <t>Sheri Davi</t>
  </si>
  <si>
    <t>Manahil</t>
  </si>
  <si>
    <t>Sajjad</t>
  </si>
  <si>
    <t>Zahara Batool</t>
  </si>
  <si>
    <t>Zeheera Rani</t>
  </si>
  <si>
    <t>Naveeda</t>
  </si>
  <si>
    <t>Shazma</t>
  </si>
  <si>
    <t>Tehzeeba</t>
  </si>
  <si>
    <t>Wazeer</t>
  </si>
  <si>
    <t>Noraz</t>
  </si>
  <si>
    <t>Abdul Waheed</t>
  </si>
  <si>
    <t>Sher Ali Khan</t>
  </si>
  <si>
    <t>Najib Deen</t>
  </si>
  <si>
    <t>Muhammad Zahid</t>
  </si>
  <si>
    <t>Inayat Ali</t>
  </si>
  <si>
    <t>Class  KG</t>
  </si>
  <si>
    <t>Student Information for the session of 2024-2025</t>
  </si>
  <si>
    <t>Sohail</t>
  </si>
  <si>
    <t>Zahid Ali</t>
  </si>
  <si>
    <t>Abdullah Panwar</t>
  </si>
  <si>
    <t xml:space="preserve">Husnain </t>
  </si>
  <si>
    <t xml:space="preserve">Sataj </t>
  </si>
  <si>
    <t xml:space="preserve">Narayon </t>
  </si>
  <si>
    <t>Nali Methal</t>
  </si>
  <si>
    <t>Zameer Ali</t>
  </si>
  <si>
    <t>Tariq</t>
  </si>
  <si>
    <t>Ali</t>
  </si>
  <si>
    <t>Naqeeb Zaman</t>
  </si>
  <si>
    <t>Abbas</t>
  </si>
  <si>
    <t xml:space="preserve">Altaf </t>
  </si>
  <si>
    <t>Muhammad Hashim</t>
  </si>
  <si>
    <t>Ajmal Khan</t>
  </si>
  <si>
    <t>Aneesh Kumar</t>
  </si>
  <si>
    <t>Menthar</t>
  </si>
  <si>
    <t>Altaf</t>
  </si>
  <si>
    <t>Ali Bando</t>
  </si>
  <si>
    <t>Addau</t>
  </si>
  <si>
    <t>Amir</t>
  </si>
  <si>
    <t>Sher Chand</t>
  </si>
  <si>
    <t>Hamadullah</t>
  </si>
  <si>
    <t>Muhammad Saleh</t>
  </si>
  <si>
    <t>Sadaf Bibi</t>
  </si>
  <si>
    <t>Ashiq Ali</t>
  </si>
  <si>
    <t>Najabuddin</t>
  </si>
  <si>
    <t>Missri</t>
  </si>
  <si>
    <t>Shawani</t>
  </si>
  <si>
    <t>Ashoke</t>
  </si>
  <si>
    <t>Saneera</t>
  </si>
  <si>
    <t>Muslim</t>
  </si>
  <si>
    <t>Seri Devi</t>
  </si>
  <si>
    <t>Afia</t>
  </si>
  <si>
    <t>Sher Ali khan</t>
  </si>
  <si>
    <t>M Zahid</t>
  </si>
  <si>
    <t>Izzat Khan</t>
  </si>
  <si>
    <t>Sajna</t>
  </si>
  <si>
    <t>Bandu</t>
  </si>
  <si>
    <t>0322-2835576</t>
  </si>
  <si>
    <t>41901-0396933-5</t>
  </si>
  <si>
    <t>43105-8733040-1</t>
  </si>
  <si>
    <t>23-03-2019</t>
  </si>
  <si>
    <t>0343-1013631</t>
  </si>
  <si>
    <t>16202-2394399-1</t>
  </si>
  <si>
    <t>14-09-2020</t>
  </si>
  <si>
    <t>53201-2833501-9</t>
  </si>
  <si>
    <t>0308-0406725</t>
  </si>
  <si>
    <t>53201-3117906-6</t>
  </si>
  <si>
    <t>20-08-2019</t>
  </si>
  <si>
    <t>42501-3293310-8</t>
  </si>
  <si>
    <t>Erum</t>
  </si>
  <si>
    <t>42501-0997586-6</t>
  </si>
  <si>
    <t>Banazeer</t>
  </si>
  <si>
    <t>42501-8103428-4</t>
  </si>
  <si>
    <t>Jabbar Ali</t>
  </si>
  <si>
    <t>Muhammad Gul Hassan</t>
  </si>
  <si>
    <t>42501-9217023-9</t>
  </si>
  <si>
    <t>41702-0717261-1</t>
  </si>
  <si>
    <t>42501-9998853-9</t>
  </si>
  <si>
    <t>0321-2648807</t>
  </si>
  <si>
    <t>0315-8563790</t>
  </si>
  <si>
    <t>Abu Baker Siddique</t>
  </si>
  <si>
    <t>Muhammad Husnain</t>
  </si>
  <si>
    <t>Muhammad Zubair</t>
  </si>
  <si>
    <t>Muhammad Sultan</t>
  </si>
  <si>
    <t>Muhammad Mahavia</t>
  </si>
  <si>
    <t>Naqeemullah</t>
  </si>
  <si>
    <t>Muhammad Yaseen</t>
  </si>
  <si>
    <t>Rahul</t>
  </si>
  <si>
    <t>Sagar</t>
  </si>
  <si>
    <t>Muhammad Arslan Khan</t>
  </si>
  <si>
    <t>Tanveer</t>
  </si>
  <si>
    <t>Ashkey</t>
  </si>
  <si>
    <t>Ali Abbas</t>
  </si>
  <si>
    <t>Sehra</t>
  </si>
  <si>
    <t>Meena</t>
  </si>
  <si>
    <t>Sadia Bibi</t>
  </si>
  <si>
    <t>Aresha</t>
  </si>
  <si>
    <t>Misra</t>
  </si>
  <si>
    <t>Sania</t>
  </si>
  <si>
    <t>Manahil Noroz</t>
  </si>
  <si>
    <t>Shanaz</t>
  </si>
  <si>
    <t>Nida</t>
  </si>
  <si>
    <t>Dua Bibi</t>
  </si>
  <si>
    <t>Farida</t>
  </si>
  <si>
    <t>Amna</t>
  </si>
  <si>
    <t>Sajid  Mehmood</t>
  </si>
  <si>
    <t>Muhammad Muslim</t>
  </si>
  <si>
    <t>Gulsher</t>
  </si>
  <si>
    <t>Rajib</t>
  </si>
  <si>
    <t>Bashir Afzal</t>
  </si>
  <si>
    <t>Mir Muhammad</t>
  </si>
  <si>
    <t>Ghous Bux</t>
  </si>
  <si>
    <t>Mokesh</t>
  </si>
  <si>
    <t>Ajmal  Khan</t>
  </si>
  <si>
    <t>Muhammad Rehman</t>
  </si>
  <si>
    <t>Addu</t>
  </si>
  <si>
    <t>Naimat Khan</t>
  </si>
  <si>
    <t>Misri</t>
  </si>
  <si>
    <t>Ayaz</t>
  </si>
  <si>
    <t>Hashoo</t>
  </si>
  <si>
    <t>Noroz Khan</t>
  </si>
  <si>
    <t xml:space="preserve">Siraj  </t>
  </si>
  <si>
    <t>Saif ur Rehman</t>
  </si>
  <si>
    <t>42501-9372962-8</t>
  </si>
  <si>
    <t>42501-7080958-2</t>
  </si>
  <si>
    <t>42501-5966142-4</t>
  </si>
  <si>
    <t>42501-9447433-6</t>
  </si>
  <si>
    <t>42501-2278785-8</t>
  </si>
  <si>
    <t>42501-6904822-8</t>
  </si>
  <si>
    <t>42603-0417641-8</t>
  </si>
  <si>
    <t>41901-0373026-0</t>
  </si>
  <si>
    <t>0342-2243248</t>
  </si>
  <si>
    <t>0342-0239044</t>
  </si>
  <si>
    <t>0300-3786136</t>
  </si>
  <si>
    <t>0328-2796698</t>
  </si>
  <si>
    <t>0312-2551833</t>
  </si>
  <si>
    <t>0303-2536674</t>
  </si>
  <si>
    <t>0308-2093024</t>
  </si>
  <si>
    <t>0336-3990128</t>
  </si>
  <si>
    <t>0300-3693338</t>
  </si>
  <si>
    <t>0312-2122501</t>
  </si>
  <si>
    <t>0314-6582090</t>
  </si>
  <si>
    <t>0321-2636475</t>
  </si>
  <si>
    <t>0317-2055006</t>
  </si>
  <si>
    <t>0332-4023616</t>
  </si>
  <si>
    <t>0324-8037892</t>
  </si>
  <si>
    <t>0314-2112639</t>
  </si>
  <si>
    <t>0313-1058457</t>
  </si>
  <si>
    <t>20/05/2018</t>
  </si>
  <si>
    <t>13/11/2017</t>
  </si>
  <si>
    <t>20/12/2018</t>
  </si>
  <si>
    <t>13/06/2017</t>
  </si>
  <si>
    <t>23/12/2020</t>
  </si>
  <si>
    <t>30/05/2018</t>
  </si>
  <si>
    <t>1507-2019</t>
  </si>
  <si>
    <t>29/07/2017</t>
  </si>
  <si>
    <t>15/06/2015</t>
  </si>
  <si>
    <t>13/03/2016</t>
  </si>
  <si>
    <t>13/12/2018</t>
  </si>
  <si>
    <t>42603-0422665-9</t>
  </si>
  <si>
    <t>42501-6215756-1</t>
  </si>
  <si>
    <t>41702-0717261-5</t>
  </si>
  <si>
    <t>42501-5378832-1</t>
  </si>
  <si>
    <t>42501-5651259-5</t>
  </si>
  <si>
    <t>42604-0487858-3</t>
  </si>
  <si>
    <t>42501-2269005-9</t>
  </si>
  <si>
    <t>16202-6040326-7</t>
  </si>
  <si>
    <t>42501-3447980-1</t>
  </si>
  <si>
    <t>53202-5045176-7</t>
  </si>
  <si>
    <t>42501-2492631-3</t>
  </si>
  <si>
    <t>Father CNIC</t>
  </si>
  <si>
    <t>Father NIC</t>
  </si>
  <si>
    <t>41408-1961388-5</t>
  </si>
  <si>
    <t>42501-0655183-7</t>
  </si>
  <si>
    <t>42501-1435775-7</t>
  </si>
  <si>
    <t>53201-0905801-3</t>
  </si>
  <si>
    <t>41702-0590407-7</t>
  </si>
  <si>
    <t>42501-6035867-2</t>
  </si>
  <si>
    <t>16202-8455157-7</t>
  </si>
  <si>
    <t>42501-3797462-1</t>
  </si>
  <si>
    <t>42201-1384856-7</t>
  </si>
  <si>
    <t>42501-6426254-5</t>
  </si>
  <si>
    <t>42501-7027873-9</t>
  </si>
  <si>
    <t>44203-3012141-3</t>
  </si>
  <si>
    <t>422019707485-7</t>
  </si>
  <si>
    <t>42501-1553851-3</t>
  </si>
  <si>
    <t>42501-1530382-1</t>
  </si>
  <si>
    <t>53601-0497420-7</t>
  </si>
  <si>
    <t>53201-5197665-7</t>
  </si>
  <si>
    <t>53405-8743579-3</t>
  </si>
  <si>
    <t>42501-7203081-1</t>
  </si>
  <si>
    <t>42501-9651461-3</t>
  </si>
  <si>
    <t>42501-3640556-5</t>
  </si>
  <si>
    <t>13601-0497420-7</t>
  </si>
  <si>
    <t>42501--0655183-7</t>
  </si>
  <si>
    <t>42501-3264694-1</t>
  </si>
  <si>
    <t>41501-1549548-7</t>
  </si>
  <si>
    <t>43105-2306159-3</t>
  </si>
  <si>
    <t>42301-6717506-7</t>
  </si>
  <si>
    <t>42501-5358045</t>
  </si>
  <si>
    <t>43301-8670252-7</t>
  </si>
  <si>
    <t>S</t>
  </si>
  <si>
    <t>Hassan Raza</t>
  </si>
  <si>
    <t>Waseem</t>
  </si>
  <si>
    <t>Wasand</t>
  </si>
  <si>
    <t>Dana</t>
  </si>
  <si>
    <t>Awais</t>
  </si>
  <si>
    <t>Muhammad Umair</t>
  </si>
  <si>
    <t>Habibullah</t>
  </si>
  <si>
    <t>Boorya</t>
  </si>
  <si>
    <t>Ankheat</t>
  </si>
  <si>
    <t>Sanjeet</t>
  </si>
  <si>
    <t>Muhammad Irfan</t>
  </si>
  <si>
    <t>Muhammad Saeed</t>
  </si>
  <si>
    <t>Sheroze</t>
  </si>
  <si>
    <t>Miraj</t>
  </si>
  <si>
    <t>Eman</t>
  </si>
  <si>
    <t>Waseeman</t>
  </si>
  <si>
    <t>Piraya Farooqui Sirjo</t>
  </si>
  <si>
    <t>Zanib Bibi</t>
  </si>
  <si>
    <t>Chandni</t>
  </si>
  <si>
    <t>Samreen</t>
  </si>
  <si>
    <t>Shumaila</t>
  </si>
  <si>
    <t>Saima</t>
  </si>
  <si>
    <t>Ghulam Sakeena</t>
  </si>
  <si>
    <t>Zehneera Rani</t>
  </si>
  <si>
    <t>Nazeer Ali</t>
  </si>
  <si>
    <t>Muhammad Saleem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</si>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</sst>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dd\-mmm\-yy"/>
    <numFmt numFmtId="165" formatCode="dd/mm/yyyy"/>
    <numFmt numFmtId="166" formatCode="[$-409]mmm\-yy;@"/>
    <numFmt numFmtId="167" formatCode="mm/dd/yy;@"/>
  </numFmts>
  <fonts count="35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</font>
    <font>
      <sz val="16"/>
      <name val="Calibri"/>
      <family val="2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u/>
      <sz val="16"/>
      <color rgb="FF000000"/>
      <name val="Calibri"/>
      <family val="2"/>
      <scheme val="minor"/>
    </font>
    <font>
      <b/>
      <sz val="16"/>
      <color rgb="FF333333"/>
      <name val="Segoe UI"/>
      <family val="2"/>
    </font>
    <font>
      <sz val="16"/>
      <color rgb="FF040C28"/>
      <name val="Arial"/>
      <family val="2"/>
    </font>
    <font>
      <b/>
      <sz val="16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3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u/>
      <sz val="13"/>
      <color rgb="FF000000"/>
      <name val="Calibri"/>
      <family val="2"/>
      <scheme val="minor"/>
    </font>
    <font>
      <sz val="13"/>
      <name val="Calibri"/>
      <family val="2"/>
    </font>
    <font>
      <sz val="12"/>
      <name val="Calibri"/>
      <family val="2"/>
    </font>
    <font>
      <sz val="1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0" fontId="5" fillId="0" borderId="0">
      <protection locked="0"/>
    </xf>
    <xf numFmtId="0" fontId="12" fillId="0" borderId="0">
      <protection locked="0"/>
    </xf>
    <xf numFmtId="0" fontId="5" fillId="0" borderId="0">
      <protection locked="0"/>
    </xf>
    <xf numFmtId="44" fontId="5" fillId="0" borderId="0">
      <alignment vertical="top"/>
      <protection locked="0"/>
    </xf>
    <xf numFmtId="9" fontId="18" fillId="0" borderId="0" applyFont="0" applyFill="0" applyBorder="0" applyAlignment="0" applyProtection="0"/>
  </cellStyleXfs>
  <cellXfs count="158">
    <xf numFmtId="0" fontId="0" fillId="0" borderId="0" xfId="0">
      <alignment vertical="center"/>
    </xf>
    <xf numFmtId="0" fontId="4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9" fontId="4" fillId="0" borderId="1" xfId="0" applyNumberFormat="1" applyFont="1" applyBorder="1">
      <alignment vertical="center"/>
    </xf>
    <xf numFmtId="0" fontId="4" fillId="0" borderId="4" xfId="0" applyFont="1" applyBorder="1" applyAlignment="1">
      <alignment horizontal="center" vertical="center" textRotation="90"/>
    </xf>
    <xf numFmtId="0" fontId="4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16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textRotation="90"/>
    </xf>
    <xf numFmtId="0" fontId="4" fillId="0" borderId="0" xfId="0" applyFont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0" fontId="4" fillId="0" borderId="5" xfId="0" applyNumberFormat="1" applyFont="1" applyBorder="1">
      <alignment vertical="center"/>
    </xf>
    <xf numFmtId="0" fontId="4" fillId="0" borderId="5" xfId="0" applyFont="1" applyBorder="1">
      <alignment vertical="center"/>
    </xf>
    <xf numFmtId="0" fontId="8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165" fontId="4" fillId="0" borderId="5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2" fillId="0" borderId="1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14" fillId="2" borderId="1" xfId="0" applyFont="1" applyFill="1" applyBorder="1">
      <alignment vertical="center"/>
    </xf>
    <xf numFmtId="0" fontId="1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9" fontId="1" fillId="0" borderId="1" xfId="0" applyNumberFormat="1" applyFont="1" applyBorder="1">
      <alignment vertical="center"/>
    </xf>
    <xf numFmtId="0" fontId="19" fillId="0" borderId="0" xfId="0" applyFont="1" applyAlignment="1"/>
    <xf numFmtId="0" fontId="20" fillId="0" borderId="1" xfId="2" applyFont="1" applyBorder="1" applyAlignment="1" applyProtection="1">
      <alignment vertical="center"/>
    </xf>
    <xf numFmtId="0" fontId="20" fillId="0" borderId="1" xfId="2" applyFont="1" applyBorder="1" applyAlignment="1" applyProtection="1">
      <alignment horizontal="center" vertical="center"/>
    </xf>
    <xf numFmtId="0" fontId="19" fillId="0" borderId="1" xfId="2" applyFont="1" applyBorder="1" applyAlignment="1" applyProtection="1">
      <alignment horizontal="center" vertical="center"/>
    </xf>
    <xf numFmtId="0" fontId="19" fillId="0" borderId="1" xfId="2" applyFont="1" applyBorder="1" applyAlignment="1" applyProtection="1">
      <alignment vertical="center"/>
    </xf>
    <xf numFmtId="0" fontId="23" fillId="0" borderId="10" xfId="2" applyFont="1" applyBorder="1" applyAlignment="1" applyProtection="1">
      <alignment horizontal="center" vertical="center"/>
    </xf>
    <xf numFmtId="0" fontId="24" fillId="0" borderId="3" xfId="2" applyFont="1" applyBorder="1" applyAlignment="1" applyProtection="1">
      <alignment horizontal="center" vertical="center"/>
    </xf>
    <xf numFmtId="0" fontId="23" fillId="0" borderId="11" xfId="2" applyFont="1" applyBorder="1" applyAlignment="1" applyProtection="1">
      <alignment horizontal="center" vertical="center"/>
    </xf>
    <xf numFmtId="0" fontId="20" fillId="0" borderId="0" xfId="2" applyFont="1" applyAlignment="1" applyProtection="1">
      <alignment vertical="center"/>
    </xf>
    <xf numFmtId="0" fontId="21" fillId="0" borderId="1" xfId="2" applyFont="1" applyBorder="1" applyAlignment="1" applyProtection="1">
      <alignment horizontal="center" vertical="center"/>
    </xf>
    <xf numFmtId="0" fontId="25" fillId="0" borderId="1" xfId="2" applyFont="1" applyBorder="1" applyAlignment="1" applyProtection="1">
      <alignment horizontal="center" vertical="center"/>
    </xf>
    <xf numFmtId="0" fontId="19" fillId="0" borderId="1" xfId="2" quotePrefix="1" applyFont="1" applyBorder="1" applyAlignment="1" applyProtection="1">
      <alignment horizontal="center" vertical="center"/>
    </xf>
    <xf numFmtId="0" fontId="19" fillId="0" borderId="1" xfId="0" applyFont="1" applyBorder="1" applyAlignment="1"/>
    <xf numFmtId="0" fontId="20" fillId="0" borderId="1" xfId="2" applyFont="1" applyBorder="1" applyAlignment="1" applyProtection="1">
      <alignment horizontal="left" vertical="center"/>
    </xf>
    <xf numFmtId="0" fontId="19" fillId="0" borderId="1" xfId="2" applyFont="1" applyBorder="1" applyAlignment="1" applyProtection="1">
      <alignment horizontal="left" vertical="center"/>
    </xf>
    <xf numFmtId="0" fontId="19" fillId="0" borderId="4" xfId="2" applyFont="1" applyBorder="1" applyAlignment="1" applyProtection="1">
      <alignment horizontal="left" vertical="center"/>
    </xf>
    <xf numFmtId="9" fontId="26" fillId="0" borderId="0" xfId="5" applyFont="1" applyAlignment="1">
      <alignment vertical="center"/>
    </xf>
    <xf numFmtId="0" fontId="27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20" fillId="4" borderId="1" xfId="2" applyFont="1" applyFill="1" applyBorder="1" applyAlignment="1" applyProtection="1">
      <alignment vertical="center"/>
    </xf>
    <xf numFmtId="0" fontId="20" fillId="4" borderId="1" xfId="2" applyFont="1" applyFill="1" applyBorder="1" applyAlignment="1" applyProtection="1">
      <alignment horizontal="center" vertical="center"/>
    </xf>
    <xf numFmtId="0" fontId="19" fillId="4" borderId="1" xfId="2" applyFont="1" applyFill="1" applyBorder="1" applyAlignment="1" applyProtection="1">
      <alignment horizontal="center" vertical="center"/>
    </xf>
    <xf numFmtId="0" fontId="20" fillId="4" borderId="1" xfId="2" applyFont="1" applyFill="1" applyBorder="1" applyAlignment="1" applyProtection="1">
      <alignment horizontal="center"/>
    </xf>
    <xf numFmtId="9" fontId="4" fillId="0" borderId="5" xfId="0" applyNumberFormat="1" applyFont="1" applyBorder="1">
      <alignment vertical="center"/>
    </xf>
    <xf numFmtId="167" fontId="8" fillId="0" borderId="9" xfId="0" applyNumberFormat="1" applyFont="1" applyBorder="1" applyAlignment="1">
      <alignment horizontal="center" vertical="center"/>
    </xf>
    <xf numFmtId="165" fontId="27" fillId="0" borderId="9" xfId="0" applyNumberFormat="1" applyFont="1" applyBorder="1" applyAlignment="1">
      <alignment horizontal="center" vertical="center"/>
    </xf>
    <xf numFmtId="165" fontId="28" fillId="0" borderId="5" xfId="0" applyNumberFormat="1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9" fillId="4" borderId="1" xfId="2" applyFont="1" applyFill="1" applyBorder="1" applyAlignment="1" applyProtection="1">
      <alignment vertical="center"/>
    </xf>
    <xf numFmtId="0" fontId="29" fillId="4" borderId="1" xfId="2" applyFont="1" applyFill="1" applyBorder="1" applyAlignment="1" applyProtection="1">
      <alignment horizontal="center" vertical="center"/>
    </xf>
    <xf numFmtId="0" fontId="29" fillId="0" borderId="1" xfId="2" applyFont="1" applyBorder="1" applyAlignment="1" applyProtection="1">
      <alignment vertical="center"/>
    </xf>
    <xf numFmtId="0" fontId="29" fillId="0" borderId="1" xfId="2" applyFont="1" applyBorder="1" applyAlignment="1" applyProtection="1">
      <alignment horizontal="center" vertical="center"/>
    </xf>
    <xf numFmtId="0" fontId="32" fillId="0" borderId="1" xfId="2" applyFont="1" applyBorder="1" applyAlignment="1" applyProtection="1">
      <alignment vertical="center"/>
    </xf>
    <xf numFmtId="0" fontId="32" fillId="0" borderId="1" xfId="2" applyFont="1" applyBorder="1" applyAlignment="1" applyProtection="1">
      <alignment horizontal="center" vertical="center"/>
    </xf>
    <xf numFmtId="0" fontId="29" fillId="0" borderId="1" xfId="2" applyFont="1" applyBorder="1" applyAlignment="1" applyProtection="1">
      <alignment horizontal="left" vertical="center"/>
    </xf>
    <xf numFmtId="0" fontId="32" fillId="0" borderId="1" xfId="2" applyFont="1" applyBorder="1" applyAlignment="1" applyProtection="1">
      <alignment horizontal="left" vertical="center"/>
    </xf>
    <xf numFmtId="0" fontId="32" fillId="0" borderId="1" xfId="0" applyFont="1" applyBorder="1" applyAlignment="1"/>
    <xf numFmtId="0" fontId="32" fillId="0" borderId="4" xfId="2" applyFont="1" applyBorder="1" applyAlignment="1" applyProtection="1">
      <alignment horizontal="left" vertical="center"/>
    </xf>
    <xf numFmtId="0" fontId="29" fillId="4" borderId="4" xfId="2" applyFont="1" applyFill="1" applyBorder="1" applyAlignment="1" applyProtection="1">
      <alignment vertical="center"/>
    </xf>
    <xf numFmtId="14" fontId="29" fillId="0" borderId="1" xfId="2" applyNumberFormat="1" applyFont="1" applyBorder="1" applyAlignment="1" applyProtection="1">
      <alignment horizontal="center" vertical="center"/>
    </xf>
    <xf numFmtId="14" fontId="32" fillId="0" borderId="1" xfId="2" applyNumberFormat="1" applyFont="1" applyBorder="1" applyAlignment="1" applyProtection="1">
      <alignment horizontal="center" vertical="center"/>
    </xf>
    <xf numFmtId="0" fontId="29" fillId="0" borderId="4" xfId="2" applyFont="1" applyBorder="1" applyAlignment="1" applyProtection="1">
      <alignment horizontal="center" vertical="center"/>
    </xf>
    <xf numFmtId="0" fontId="0" fillId="4" borderId="0" xfId="0" applyFill="1">
      <alignment vertical="center"/>
    </xf>
    <xf numFmtId="0" fontId="29" fillId="0" borderId="0" xfId="2" applyFont="1" applyAlignment="1" applyProtection="1">
      <alignment vertical="center"/>
    </xf>
    <xf numFmtId="0" fontId="32" fillId="0" borderId="0" xfId="2" applyFont="1" applyAlignment="1" applyProtection="1">
      <alignment vertical="center"/>
    </xf>
    <xf numFmtId="0" fontId="29" fillId="0" borderId="0" xfId="2" applyFont="1" applyAlignment="1" applyProtection="1">
      <alignment horizontal="center" vertical="center"/>
    </xf>
    <xf numFmtId="14" fontId="32" fillId="0" borderId="0" xfId="2" applyNumberFormat="1" applyFont="1" applyAlignment="1" applyProtection="1">
      <alignment horizontal="center" vertical="center"/>
    </xf>
    <xf numFmtId="0" fontId="32" fillId="0" borderId="0" xfId="2" applyFont="1" applyAlignment="1" applyProtection="1">
      <alignment horizontal="center" vertical="center"/>
    </xf>
    <xf numFmtId="0" fontId="32" fillId="0" borderId="1" xfId="0" applyFont="1" applyBorder="1">
      <alignment vertical="center"/>
    </xf>
    <xf numFmtId="0" fontId="32" fillId="0" borderId="3" xfId="0" applyFont="1" applyBorder="1">
      <alignment vertical="center"/>
    </xf>
    <xf numFmtId="0" fontId="32" fillId="0" borderId="4" xfId="2" applyFont="1" applyBorder="1" applyAlignment="1" applyProtection="1">
      <alignment vertical="center"/>
    </xf>
    <xf numFmtId="14" fontId="29" fillId="0" borderId="4" xfId="2" applyNumberFormat="1" applyFont="1" applyBorder="1" applyAlignment="1" applyProtection="1">
      <alignment horizontal="center" vertical="center"/>
    </xf>
    <xf numFmtId="14" fontId="32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9" fillId="0" borderId="1" xfId="2" applyFont="1" applyBorder="1" applyAlignment="1" applyProtection="1">
      <alignment horizontal="center"/>
    </xf>
    <xf numFmtId="14" fontId="29" fillId="0" borderId="1" xfId="2" applyNumberFormat="1" applyFont="1" applyBorder="1" applyAlignment="1" applyProtection="1">
      <alignment horizontal="center"/>
    </xf>
    <xf numFmtId="0" fontId="29" fillId="0" borderId="4" xfId="2" applyFont="1" applyBorder="1" applyAlignment="1" applyProtection="1">
      <alignment horizontal="center"/>
    </xf>
    <xf numFmtId="14" fontId="29" fillId="5" borderId="1" xfId="2" applyNumberFormat="1" applyFont="1" applyFill="1" applyBorder="1" applyAlignment="1" applyProtection="1">
      <alignment horizontal="center"/>
    </xf>
    <xf numFmtId="14" fontId="34" fillId="0" borderId="0" xfId="0" applyNumberFormat="1" applyFont="1" applyAlignment="1"/>
    <xf numFmtId="14" fontId="34" fillId="0" borderId="1" xfId="0" applyNumberFormat="1" applyFont="1" applyBorder="1" applyAlignment="1"/>
    <xf numFmtId="0" fontId="0" fillId="0" borderId="1" xfId="0" applyBorder="1" applyAlignment="1"/>
    <xf numFmtId="14" fontId="33" fillId="0" borderId="0" xfId="0" applyNumberFormat="1" applyFont="1" applyAlignment="1"/>
    <xf numFmtId="0" fontId="33" fillId="0" borderId="1" xfId="0" applyFont="1" applyBorder="1">
      <alignment vertical="center"/>
    </xf>
    <xf numFmtId="0" fontId="18" fillId="0" borderId="0" xfId="0" applyFont="1">
      <alignment vertical="center"/>
    </xf>
    <xf numFmtId="0" fontId="21" fillId="0" borderId="12" xfId="2" applyFont="1" applyBorder="1" applyAlignment="1" applyProtection="1">
      <alignment horizontal="center" vertical="center"/>
    </xf>
    <xf numFmtId="0" fontId="21" fillId="0" borderId="13" xfId="2" applyFont="1" applyBorder="1" applyAlignment="1" applyProtection="1">
      <alignment horizontal="center" vertical="center"/>
    </xf>
    <xf numFmtId="0" fontId="21" fillId="0" borderId="11" xfId="2" applyFont="1" applyBorder="1" applyAlignment="1" applyProtection="1">
      <alignment horizontal="center" vertical="center"/>
    </xf>
    <xf numFmtId="0" fontId="20" fillId="0" borderId="13" xfId="2" applyFont="1" applyBorder="1" applyAlignment="1" applyProtection="1">
      <alignment horizontal="center" vertical="center"/>
    </xf>
    <xf numFmtId="0" fontId="20" fillId="0" borderId="11" xfId="2" applyFont="1" applyBorder="1" applyAlignment="1" applyProtection="1">
      <alignment horizontal="center" vertical="center"/>
    </xf>
    <xf numFmtId="0" fontId="20" fillId="0" borderId="0" xfId="2" applyFont="1" applyAlignment="1" applyProtection="1">
      <alignment horizontal="center" vertical="center"/>
    </xf>
    <xf numFmtId="0" fontId="21" fillId="0" borderId="0" xfId="2" applyFont="1" applyAlignment="1" applyProtection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7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textRotation="90"/>
    </xf>
    <xf numFmtId="0" fontId="0" fillId="0" borderId="4" xfId="0" applyBorder="1" applyAlignment="1">
      <alignment horizontal="center" vertical="center" textRotation="90"/>
    </xf>
    <xf numFmtId="0" fontId="0" fillId="0" borderId="3" xfId="0" applyBorder="1" applyAlignment="1">
      <alignment horizontal="center" vertical="center" textRotation="90"/>
    </xf>
    <xf numFmtId="0" fontId="0" fillId="3" borderId="2" xfId="0" applyFill="1" applyBorder="1" applyAlignment="1">
      <alignment horizontal="center" vertical="center" textRotation="90"/>
    </xf>
    <xf numFmtId="0" fontId="0" fillId="3" borderId="4" xfId="0" applyFill="1" applyBorder="1" applyAlignment="1">
      <alignment horizontal="center" vertical="center" textRotation="90"/>
    </xf>
    <xf numFmtId="0" fontId="0" fillId="3" borderId="3" xfId="0" applyFill="1" applyBorder="1" applyAlignment="1">
      <alignment horizontal="center" vertical="center" textRotation="90"/>
    </xf>
    <xf numFmtId="0" fontId="16" fillId="0" borderId="0" xfId="0" applyFont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textRotation="90"/>
    </xf>
    <xf numFmtId="0" fontId="4" fillId="0" borderId="3" xfId="0" applyFont="1" applyBorder="1" applyAlignment="1">
      <alignment horizontal="center" vertical="center" textRotation="90"/>
    </xf>
    <xf numFmtId="0" fontId="9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textRotation="90"/>
    </xf>
    <xf numFmtId="0" fontId="8" fillId="0" borderId="4" xfId="0" applyFont="1" applyBorder="1" applyAlignment="1">
      <alignment horizontal="center" vertical="center" textRotation="90"/>
    </xf>
    <xf numFmtId="0" fontId="8" fillId="0" borderId="3" xfId="0" applyFont="1" applyBorder="1" applyAlignment="1">
      <alignment horizontal="center" vertical="center" textRotation="90"/>
    </xf>
    <xf numFmtId="0" fontId="5" fillId="0" borderId="0" xfId="0" applyFont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9" fillId="0" borderId="0" xfId="2" applyFont="1" applyAlignment="1" applyProtection="1">
      <alignment horizontal="center" vertical="center"/>
    </xf>
    <xf numFmtId="0" fontId="30" fillId="0" borderId="0" xfId="2" applyFont="1" applyAlignment="1" applyProtection="1">
      <alignment horizontal="center" vertical="center"/>
    </xf>
    <xf numFmtId="0" fontId="30" fillId="0" borderId="13" xfId="2" applyFont="1" applyBorder="1" applyAlignment="1" applyProtection="1">
      <alignment horizontal="center" vertical="center"/>
    </xf>
    <xf numFmtId="0" fontId="29" fillId="0" borderId="13" xfId="2" applyFont="1" applyBorder="1" applyAlignment="1" applyProtection="1">
      <alignment horizontal="center" vertical="center"/>
    </xf>
    <xf numFmtId="0" fontId="30" fillId="0" borderId="12" xfId="2" applyFont="1" applyBorder="1" applyAlignment="1" applyProtection="1">
      <alignment horizontal="center" vertical="center"/>
    </xf>
  </cellXfs>
  <cellStyles count="6">
    <cellStyle name="Currency 2" xfId="4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  <cellStyle name="Normal 4" xfId="1" xr:uid="{00000000-0005-0000-0000-000004000000}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V325"/>
  <sheetViews>
    <sheetView zoomScale="60" zoomScaleNormal="60" workbookViewId="0">
      <selection activeCell="E1" sqref="E1:T1"/>
    </sheetView>
  </sheetViews>
  <sheetFormatPr defaultColWidth="10" defaultRowHeight="15" x14ac:dyDescent="0.25"/>
  <cols>
    <col min="5" max="5" width="13.140625" customWidth="1"/>
    <col min="6" max="6" width="15.5703125" customWidth="1"/>
    <col min="7" max="7" width="22.140625" customWidth="1"/>
    <col min="8" max="8" width="33.5703125" customWidth="1"/>
    <col min="10" max="10" width="11.7109375" customWidth="1"/>
    <col min="12" max="12" width="16.85546875" customWidth="1"/>
    <col min="14" max="14" width="11.85546875" customWidth="1"/>
    <col min="15" max="15" width="10.28515625" customWidth="1"/>
    <col min="16" max="16" width="16.7109375" customWidth="1"/>
    <col min="17" max="17" width="17.5703125" bestFit="1" customWidth="1"/>
    <col min="18" max="18" width="11" bestFit="1" customWidth="1"/>
    <col min="19" max="19" width="9.42578125" customWidth="1"/>
    <col min="20" max="20" width="12.7109375" bestFit="1" customWidth="1"/>
  </cols>
  <sheetData>
    <row r="1" spans="3:22" ht="21" x14ac:dyDescent="0.35">
      <c r="C1" s="44"/>
      <c r="D1" s="44"/>
      <c r="E1" s="113" t="s">
        <v>0</v>
      </c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44"/>
      <c r="V1" s="44"/>
    </row>
    <row r="2" spans="3:22" ht="21" x14ac:dyDescent="0.35">
      <c r="C2" s="44"/>
      <c r="D2" s="44"/>
      <c r="E2" s="114" t="s">
        <v>291</v>
      </c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44"/>
      <c r="V2" s="44"/>
    </row>
    <row r="3" spans="3:22" ht="21" x14ac:dyDescent="0.35">
      <c r="C3" s="44"/>
      <c r="D3" s="44"/>
      <c r="E3" s="114" t="s">
        <v>292</v>
      </c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44"/>
      <c r="V3" s="44"/>
    </row>
    <row r="4" spans="3:22" ht="21" x14ac:dyDescent="0.35">
      <c r="C4" s="44"/>
      <c r="D4" s="44"/>
      <c r="E4" s="114" t="s">
        <v>296</v>
      </c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44"/>
      <c r="V4" s="44"/>
    </row>
    <row r="5" spans="3:22" ht="21" x14ac:dyDescent="0.35">
      <c r="C5" s="44"/>
      <c r="D5" s="44"/>
      <c r="E5" s="114" t="s">
        <v>293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44"/>
      <c r="V5" s="44"/>
    </row>
    <row r="6" spans="3:22" ht="21" x14ac:dyDescent="0.35">
      <c r="C6" s="44"/>
      <c r="D6" s="44"/>
      <c r="E6" s="63" t="s">
        <v>1</v>
      </c>
      <c r="F6" s="63" t="s">
        <v>2</v>
      </c>
      <c r="G6" s="63" t="s">
        <v>3</v>
      </c>
      <c r="H6" s="63" t="s">
        <v>4</v>
      </c>
      <c r="I6" s="64" t="s">
        <v>5</v>
      </c>
      <c r="J6" s="64" t="s">
        <v>6</v>
      </c>
      <c r="K6" s="64" t="s">
        <v>7</v>
      </c>
      <c r="L6" s="64" t="s">
        <v>8</v>
      </c>
      <c r="M6" s="64" t="s">
        <v>9</v>
      </c>
      <c r="N6" s="64" t="s">
        <v>170</v>
      </c>
      <c r="O6" s="64" t="s">
        <v>214</v>
      </c>
      <c r="P6" s="65" t="s">
        <v>11</v>
      </c>
      <c r="Q6" s="65" t="s">
        <v>10</v>
      </c>
      <c r="R6" s="66" t="s">
        <v>12</v>
      </c>
      <c r="S6" s="64" t="s">
        <v>215</v>
      </c>
      <c r="T6" s="64" t="s">
        <v>13</v>
      </c>
      <c r="U6" s="44"/>
      <c r="V6" s="44"/>
    </row>
    <row r="7" spans="3:22" ht="21" x14ac:dyDescent="0.35">
      <c r="C7" s="44"/>
      <c r="D7" s="44"/>
      <c r="E7" s="45"/>
      <c r="F7" s="45"/>
      <c r="G7" s="45"/>
      <c r="H7" s="45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4"/>
      <c r="V7" s="44"/>
    </row>
    <row r="8" spans="3:22" ht="25.5" x14ac:dyDescent="0.35">
      <c r="C8" s="44"/>
      <c r="D8" s="44"/>
      <c r="E8" s="45">
        <v>1</v>
      </c>
      <c r="F8" s="45">
        <v>1645</v>
      </c>
      <c r="G8" s="48" t="s">
        <v>216</v>
      </c>
      <c r="H8" s="48" t="s">
        <v>217</v>
      </c>
      <c r="I8" s="46">
        <v>27</v>
      </c>
      <c r="J8" s="46">
        <v>28</v>
      </c>
      <c r="K8" s="46">
        <v>35</v>
      </c>
      <c r="L8" s="46">
        <v>22</v>
      </c>
      <c r="M8" s="46">
        <v>37</v>
      </c>
      <c r="N8" s="46">
        <v>40</v>
      </c>
      <c r="O8" s="46">
        <v>37</v>
      </c>
      <c r="P8" s="46">
        <f>SUM(I8:O8)</f>
        <v>226</v>
      </c>
      <c r="Q8" s="46">
        <v>350</v>
      </c>
      <c r="R8" s="46">
        <f>P8/Q8*100</f>
        <v>64.571428571428569</v>
      </c>
      <c r="S8" s="49"/>
      <c r="T8" s="50" t="s">
        <v>171</v>
      </c>
      <c r="U8" s="44"/>
      <c r="V8" s="44"/>
    </row>
    <row r="9" spans="3:22" ht="25.5" x14ac:dyDescent="0.35">
      <c r="C9" s="44"/>
      <c r="D9" s="44"/>
      <c r="E9" s="45">
        <v>2</v>
      </c>
      <c r="F9" s="45">
        <v>1648</v>
      </c>
      <c r="G9" s="48" t="s">
        <v>218</v>
      </c>
      <c r="H9" s="48" t="s">
        <v>219</v>
      </c>
      <c r="I9" s="46">
        <v>35</v>
      </c>
      <c r="J9" s="46">
        <v>444</v>
      </c>
      <c r="K9" s="46">
        <v>47</v>
      </c>
      <c r="L9" s="46">
        <v>46</v>
      </c>
      <c r="M9" s="46">
        <v>48</v>
      </c>
      <c r="N9" s="46">
        <v>49</v>
      </c>
      <c r="O9" s="46">
        <v>30</v>
      </c>
      <c r="P9" s="46">
        <f t="shared" ref="P9:P29" si="0">SUM(I9:O9)</f>
        <v>699</v>
      </c>
      <c r="Q9" s="46">
        <v>350</v>
      </c>
      <c r="R9" s="46">
        <f t="shared" ref="R9:R29" si="1">P9/Q9*100</f>
        <v>199.71428571428572</v>
      </c>
      <c r="S9" s="49"/>
      <c r="T9" s="50" t="s">
        <v>171</v>
      </c>
      <c r="U9" s="44"/>
      <c r="V9" s="44"/>
    </row>
    <row r="10" spans="3:22" ht="25.5" x14ac:dyDescent="0.35">
      <c r="C10" s="44"/>
      <c r="D10" s="44"/>
      <c r="E10" s="45">
        <v>3</v>
      </c>
      <c r="F10" s="45">
        <v>1641</v>
      </c>
      <c r="G10" s="48" t="s">
        <v>175</v>
      </c>
      <c r="H10" s="48" t="s">
        <v>300</v>
      </c>
      <c r="I10" s="46">
        <v>34</v>
      </c>
      <c r="J10" s="46">
        <v>49</v>
      </c>
      <c r="K10" s="46">
        <v>50</v>
      </c>
      <c r="L10" s="46">
        <v>45</v>
      </c>
      <c r="M10" s="46">
        <v>49</v>
      </c>
      <c r="N10" s="46">
        <v>49</v>
      </c>
      <c r="O10" s="46">
        <v>47</v>
      </c>
      <c r="P10" s="46">
        <f t="shared" si="0"/>
        <v>323</v>
      </c>
      <c r="Q10" s="46">
        <v>350</v>
      </c>
      <c r="R10" s="46">
        <f t="shared" si="1"/>
        <v>92.285714285714278</v>
      </c>
      <c r="S10" s="49"/>
      <c r="T10" s="50" t="s">
        <v>171</v>
      </c>
      <c r="U10" s="44"/>
      <c r="V10" s="44"/>
    </row>
    <row r="11" spans="3:22" ht="25.5" x14ac:dyDescent="0.35">
      <c r="C11" s="44"/>
      <c r="D11" s="44"/>
      <c r="E11" s="45">
        <v>4</v>
      </c>
      <c r="F11" s="45">
        <v>1609</v>
      </c>
      <c r="G11" s="48" t="s">
        <v>178</v>
      </c>
      <c r="H11" s="48" t="s">
        <v>184</v>
      </c>
      <c r="I11" s="46">
        <v>44</v>
      </c>
      <c r="J11" s="46">
        <v>47</v>
      </c>
      <c r="K11" s="46">
        <v>50</v>
      </c>
      <c r="L11" s="46">
        <v>47</v>
      </c>
      <c r="M11" s="46">
        <v>50</v>
      </c>
      <c r="N11" s="46">
        <v>49</v>
      </c>
      <c r="O11" s="46">
        <v>45</v>
      </c>
      <c r="P11" s="46">
        <f t="shared" si="0"/>
        <v>332</v>
      </c>
      <c r="Q11" s="46">
        <v>350</v>
      </c>
      <c r="R11" s="46">
        <f t="shared" si="1"/>
        <v>94.857142857142861</v>
      </c>
      <c r="S11" s="49"/>
      <c r="T11" s="50" t="s">
        <v>171</v>
      </c>
      <c r="U11" s="44"/>
      <c r="V11" s="44"/>
    </row>
    <row r="12" spans="3:22" ht="25.5" x14ac:dyDescent="0.35">
      <c r="C12" s="44"/>
      <c r="D12" s="44"/>
      <c r="E12" s="45">
        <v>5</v>
      </c>
      <c r="F12" s="45">
        <v>1712</v>
      </c>
      <c r="G12" s="48" t="s">
        <v>220</v>
      </c>
      <c r="H12" s="48" t="s">
        <v>221</v>
      </c>
      <c r="I12" s="46">
        <v>20</v>
      </c>
      <c r="J12" s="46">
        <v>35</v>
      </c>
      <c r="K12" s="46">
        <v>50</v>
      </c>
      <c r="L12" s="46">
        <v>25</v>
      </c>
      <c r="M12" s="46">
        <v>40</v>
      </c>
      <c r="N12" s="46">
        <v>25</v>
      </c>
      <c r="O12" s="46">
        <v>50</v>
      </c>
      <c r="P12" s="46">
        <f t="shared" si="0"/>
        <v>245</v>
      </c>
      <c r="Q12" s="46">
        <v>350</v>
      </c>
      <c r="R12" s="46">
        <f t="shared" si="1"/>
        <v>70</v>
      </c>
      <c r="S12" s="51"/>
      <c r="T12" s="50" t="s">
        <v>171</v>
      </c>
      <c r="U12" s="44"/>
      <c r="V12" s="44"/>
    </row>
    <row r="13" spans="3:22" ht="25.5" x14ac:dyDescent="0.35">
      <c r="C13" s="44"/>
      <c r="D13" s="44"/>
      <c r="E13" s="45">
        <v>6</v>
      </c>
      <c r="F13" s="45">
        <v>1710</v>
      </c>
      <c r="G13" s="48" t="s">
        <v>222</v>
      </c>
      <c r="H13" s="48" t="s">
        <v>177</v>
      </c>
      <c r="I13" s="46">
        <v>43</v>
      </c>
      <c r="J13" s="46">
        <v>48</v>
      </c>
      <c r="K13" s="46">
        <v>39</v>
      </c>
      <c r="L13" s="46">
        <v>35</v>
      </c>
      <c r="M13" s="46">
        <v>45</v>
      </c>
      <c r="N13" s="46">
        <v>49</v>
      </c>
      <c r="O13" s="46">
        <v>40</v>
      </c>
      <c r="P13" s="46">
        <f t="shared" si="0"/>
        <v>299</v>
      </c>
      <c r="Q13" s="46">
        <v>350</v>
      </c>
      <c r="R13" s="46">
        <f t="shared" si="1"/>
        <v>85.428571428571431</v>
      </c>
      <c r="S13" s="51"/>
      <c r="T13" s="50" t="s">
        <v>171</v>
      </c>
      <c r="U13" s="44"/>
      <c r="V13" s="44"/>
    </row>
    <row r="14" spans="3:22" ht="25.5" x14ac:dyDescent="0.35">
      <c r="C14" s="44"/>
      <c r="D14" s="44"/>
      <c r="E14" s="45">
        <v>7</v>
      </c>
      <c r="F14" s="45">
        <v>1790</v>
      </c>
      <c r="G14" s="48" t="s">
        <v>223</v>
      </c>
      <c r="H14" s="48" t="s">
        <v>224</v>
      </c>
      <c r="I14" s="46">
        <v>37</v>
      </c>
      <c r="J14" s="46">
        <v>29</v>
      </c>
      <c r="K14" s="46">
        <v>48</v>
      </c>
      <c r="L14" s="46">
        <v>39</v>
      </c>
      <c r="M14" s="46">
        <v>46</v>
      </c>
      <c r="N14" s="46">
        <v>47</v>
      </c>
      <c r="O14" s="46">
        <v>40</v>
      </c>
      <c r="P14" s="46">
        <f t="shared" si="0"/>
        <v>286</v>
      </c>
      <c r="Q14" s="46">
        <v>350</v>
      </c>
      <c r="R14" s="46">
        <f t="shared" si="1"/>
        <v>81.714285714285722</v>
      </c>
      <c r="S14" s="51"/>
      <c r="T14" s="50" t="s">
        <v>171</v>
      </c>
      <c r="U14" s="44"/>
      <c r="V14" s="44"/>
    </row>
    <row r="15" spans="3:22" ht="25.5" x14ac:dyDescent="0.35">
      <c r="C15" s="44"/>
      <c r="D15" s="44"/>
      <c r="E15" s="45">
        <v>8</v>
      </c>
      <c r="F15" s="45">
        <v>1791</v>
      </c>
      <c r="G15" s="48" t="s">
        <v>225</v>
      </c>
      <c r="H15" s="48" t="s">
        <v>226</v>
      </c>
      <c r="I15" s="46">
        <v>20</v>
      </c>
      <c r="J15" s="46">
        <v>47</v>
      </c>
      <c r="K15" s="46">
        <v>39</v>
      </c>
      <c r="L15" s="46">
        <v>45</v>
      </c>
      <c r="M15" s="46">
        <v>30</v>
      </c>
      <c r="N15" s="46">
        <v>45</v>
      </c>
      <c r="O15" s="46">
        <v>38</v>
      </c>
      <c r="P15" s="46">
        <f t="shared" si="0"/>
        <v>264</v>
      </c>
      <c r="Q15" s="46">
        <v>350</v>
      </c>
      <c r="R15" s="46">
        <f t="shared" si="1"/>
        <v>75.428571428571431</v>
      </c>
      <c r="S15" s="51"/>
      <c r="T15" s="50" t="s">
        <v>171</v>
      </c>
      <c r="U15" s="44"/>
      <c r="V15" s="44"/>
    </row>
    <row r="16" spans="3:22" ht="25.5" x14ac:dyDescent="0.35">
      <c r="C16" s="44"/>
      <c r="D16" s="44"/>
      <c r="E16" s="45">
        <v>9</v>
      </c>
      <c r="F16" s="45">
        <v>1792</v>
      </c>
      <c r="G16" s="48" t="s">
        <v>182</v>
      </c>
      <c r="H16" s="48" t="s">
        <v>227</v>
      </c>
      <c r="I16" s="46">
        <v>28</v>
      </c>
      <c r="J16" s="46">
        <v>30</v>
      </c>
      <c r="K16" s="46">
        <v>38</v>
      </c>
      <c r="L16" s="46">
        <v>34</v>
      </c>
      <c r="M16" s="46">
        <v>40</v>
      </c>
      <c r="N16" s="46">
        <v>37</v>
      </c>
      <c r="O16" s="46">
        <v>45</v>
      </c>
      <c r="P16" s="46">
        <f t="shared" si="0"/>
        <v>252</v>
      </c>
      <c r="Q16" s="46">
        <v>350</v>
      </c>
      <c r="R16" s="46">
        <f t="shared" si="1"/>
        <v>72</v>
      </c>
      <c r="S16" s="51"/>
      <c r="T16" s="50" t="s">
        <v>171</v>
      </c>
      <c r="U16" s="44"/>
      <c r="V16" s="44"/>
    </row>
    <row r="17" spans="3:22" ht="25.5" x14ac:dyDescent="0.35">
      <c r="C17" s="44"/>
      <c r="D17" s="44"/>
      <c r="E17" s="45">
        <v>10</v>
      </c>
      <c r="F17" s="45">
        <v>1793</v>
      </c>
      <c r="G17" s="48" t="s">
        <v>228</v>
      </c>
      <c r="H17" s="48" t="s">
        <v>229</v>
      </c>
      <c r="I17" s="46">
        <v>38</v>
      </c>
      <c r="J17" s="46">
        <v>45</v>
      </c>
      <c r="K17" s="46">
        <v>48</v>
      </c>
      <c r="L17" s="46">
        <v>33</v>
      </c>
      <c r="M17" s="46">
        <v>39</v>
      </c>
      <c r="N17" s="46">
        <v>46</v>
      </c>
      <c r="O17" s="46">
        <v>30</v>
      </c>
      <c r="P17" s="46">
        <f t="shared" si="0"/>
        <v>279</v>
      </c>
      <c r="Q17" s="46">
        <v>350</v>
      </c>
      <c r="R17" s="46">
        <f t="shared" si="1"/>
        <v>79.714285714285722</v>
      </c>
      <c r="S17" s="51"/>
      <c r="T17" s="50" t="s">
        <v>171</v>
      </c>
      <c r="U17" s="44"/>
      <c r="V17" s="44"/>
    </row>
    <row r="18" spans="3:22" ht="25.5" x14ac:dyDescent="0.35">
      <c r="C18" s="44"/>
      <c r="D18" s="44"/>
      <c r="E18" s="45">
        <v>11</v>
      </c>
      <c r="F18" s="45">
        <v>1794</v>
      </c>
      <c r="G18" s="48" t="s">
        <v>230</v>
      </c>
      <c r="H18" s="48" t="s">
        <v>185</v>
      </c>
      <c r="I18" s="46">
        <v>39</v>
      </c>
      <c r="J18" s="46">
        <v>48</v>
      </c>
      <c r="K18" s="46">
        <v>45</v>
      </c>
      <c r="L18" s="46">
        <v>40</v>
      </c>
      <c r="M18" s="46">
        <v>36</v>
      </c>
      <c r="N18" s="46">
        <v>33</v>
      </c>
      <c r="O18" s="46">
        <v>50</v>
      </c>
      <c r="P18" s="46">
        <f t="shared" si="0"/>
        <v>291</v>
      </c>
      <c r="Q18" s="46">
        <v>350</v>
      </c>
      <c r="R18" s="46">
        <f t="shared" si="1"/>
        <v>83.142857142857139</v>
      </c>
      <c r="S18" s="51"/>
      <c r="T18" s="50" t="s">
        <v>171</v>
      </c>
      <c r="U18" s="44"/>
      <c r="V18" s="44"/>
    </row>
    <row r="19" spans="3:22" ht="25.5" x14ac:dyDescent="0.35">
      <c r="C19" s="44"/>
      <c r="D19" s="44"/>
      <c r="E19" s="45">
        <v>12</v>
      </c>
      <c r="F19" s="45">
        <v>1795</v>
      </c>
      <c r="G19" s="48" t="s">
        <v>231</v>
      </c>
      <c r="H19" s="48" t="s">
        <v>232</v>
      </c>
      <c r="I19" s="47">
        <v>25</v>
      </c>
      <c r="J19" s="46">
        <v>20</v>
      </c>
      <c r="K19" s="47">
        <v>35</v>
      </c>
      <c r="L19" s="47">
        <v>29</v>
      </c>
      <c r="M19" s="47">
        <v>45</v>
      </c>
      <c r="N19" s="47">
        <v>33</v>
      </c>
      <c r="O19" s="47">
        <v>29</v>
      </c>
      <c r="P19" s="46">
        <f t="shared" si="0"/>
        <v>216</v>
      </c>
      <c r="Q19" s="46">
        <v>350</v>
      </c>
      <c r="R19" s="46">
        <f t="shared" si="1"/>
        <v>61.714285714285708</v>
      </c>
      <c r="S19" s="51"/>
      <c r="T19" s="50" t="s">
        <v>171</v>
      </c>
      <c r="U19" s="44"/>
      <c r="V19" s="44"/>
    </row>
    <row r="20" spans="3:22" ht="25.5" x14ac:dyDescent="0.35">
      <c r="C20" s="44"/>
      <c r="D20" s="44"/>
      <c r="E20" s="45">
        <v>13</v>
      </c>
      <c r="F20" s="45">
        <v>1796</v>
      </c>
      <c r="G20" s="48" t="s">
        <v>233</v>
      </c>
      <c r="H20" s="48" t="s">
        <v>232</v>
      </c>
      <c r="I20" s="47">
        <v>28</v>
      </c>
      <c r="J20" s="47">
        <v>30</v>
      </c>
      <c r="K20" s="47">
        <v>25</v>
      </c>
      <c r="L20" s="47">
        <v>20</v>
      </c>
      <c r="M20" s="47">
        <v>35</v>
      </c>
      <c r="N20" s="47">
        <v>43</v>
      </c>
      <c r="O20" s="47">
        <v>35</v>
      </c>
      <c r="P20" s="46">
        <f t="shared" si="0"/>
        <v>216</v>
      </c>
      <c r="Q20" s="46">
        <v>350</v>
      </c>
      <c r="R20" s="46">
        <f t="shared" si="1"/>
        <v>61.714285714285708</v>
      </c>
      <c r="S20" s="51"/>
      <c r="T20" s="50" t="s">
        <v>171</v>
      </c>
      <c r="U20" s="44"/>
      <c r="V20" s="44"/>
    </row>
    <row r="21" spans="3:22" ht="25.5" x14ac:dyDescent="0.35">
      <c r="C21" s="44"/>
      <c r="D21" s="44"/>
      <c r="E21" s="45">
        <v>14</v>
      </c>
      <c r="F21" s="45">
        <v>1654</v>
      </c>
      <c r="G21" s="48" t="s">
        <v>234</v>
      </c>
      <c r="H21" s="48" t="s">
        <v>235</v>
      </c>
      <c r="I21" s="46">
        <v>41</v>
      </c>
      <c r="J21" s="46">
        <v>48</v>
      </c>
      <c r="K21" s="46">
        <v>37</v>
      </c>
      <c r="L21" s="46">
        <v>42</v>
      </c>
      <c r="M21" s="46">
        <v>47</v>
      </c>
      <c r="N21" s="46">
        <v>46</v>
      </c>
      <c r="O21" s="46">
        <v>43</v>
      </c>
      <c r="P21" s="46">
        <f t="shared" si="0"/>
        <v>304</v>
      </c>
      <c r="Q21" s="46">
        <v>350</v>
      </c>
      <c r="R21" s="46">
        <f t="shared" si="1"/>
        <v>86.857142857142861</v>
      </c>
      <c r="S21" s="51"/>
      <c r="T21" s="50" t="s">
        <v>171</v>
      </c>
      <c r="U21" s="44"/>
      <c r="V21" s="44"/>
    </row>
    <row r="22" spans="3:22" ht="25.5" x14ac:dyDescent="0.35">
      <c r="C22" s="44"/>
      <c r="D22" s="44"/>
      <c r="E22" s="45">
        <v>15</v>
      </c>
      <c r="F22" s="45">
        <v>1603</v>
      </c>
      <c r="G22" s="48" t="s">
        <v>236</v>
      </c>
      <c r="H22" s="48" t="s">
        <v>172</v>
      </c>
      <c r="I22" s="46">
        <v>30</v>
      </c>
      <c r="J22" s="46">
        <v>39</v>
      </c>
      <c r="K22" s="47">
        <v>29</v>
      </c>
      <c r="L22" s="46">
        <v>30</v>
      </c>
      <c r="M22" s="46">
        <v>48</v>
      </c>
      <c r="N22" s="46">
        <v>40</v>
      </c>
      <c r="O22" s="46">
        <v>49</v>
      </c>
      <c r="P22" s="46">
        <f t="shared" si="0"/>
        <v>265</v>
      </c>
      <c r="Q22" s="46">
        <v>350</v>
      </c>
      <c r="R22" s="46">
        <f t="shared" si="1"/>
        <v>75.714285714285708</v>
      </c>
      <c r="S22" s="51"/>
      <c r="T22" s="50" t="s">
        <v>171</v>
      </c>
      <c r="U22" s="44"/>
      <c r="V22" s="44"/>
    </row>
    <row r="23" spans="3:22" ht="25.5" x14ac:dyDescent="0.35">
      <c r="C23" s="44"/>
      <c r="D23" s="44"/>
      <c r="E23" s="45">
        <v>16</v>
      </c>
      <c r="F23" s="48">
        <v>1656</v>
      </c>
      <c r="G23" s="48" t="s">
        <v>237</v>
      </c>
      <c r="H23" s="48" t="s">
        <v>238</v>
      </c>
      <c r="I23" s="46">
        <v>19</v>
      </c>
      <c r="J23" s="46">
        <v>30</v>
      </c>
      <c r="K23" s="46">
        <v>25</v>
      </c>
      <c r="L23" s="46">
        <v>20</v>
      </c>
      <c r="M23" s="46">
        <v>27</v>
      </c>
      <c r="N23" s="46">
        <v>30</v>
      </c>
      <c r="O23" s="46">
        <v>40</v>
      </c>
      <c r="P23" s="46">
        <f t="shared" si="0"/>
        <v>191</v>
      </c>
      <c r="Q23" s="46">
        <v>350</v>
      </c>
      <c r="R23" s="46">
        <f t="shared" si="1"/>
        <v>54.571428571428569</v>
      </c>
      <c r="S23" s="51"/>
      <c r="T23" s="50" t="s">
        <v>171</v>
      </c>
      <c r="U23" s="44"/>
      <c r="V23" s="44"/>
    </row>
    <row r="24" spans="3:22" ht="25.5" x14ac:dyDescent="0.35">
      <c r="C24" s="44"/>
      <c r="D24" s="44"/>
      <c r="E24" s="45">
        <v>17</v>
      </c>
      <c r="F24" s="48">
        <v>1657</v>
      </c>
      <c r="G24" s="48" t="s">
        <v>239</v>
      </c>
      <c r="H24" s="48" t="s">
        <v>169</v>
      </c>
      <c r="I24" s="46">
        <v>20</v>
      </c>
      <c r="J24" s="46">
        <v>19</v>
      </c>
      <c r="K24" s="46">
        <v>18</v>
      </c>
      <c r="L24" s="46">
        <v>29</v>
      </c>
      <c r="M24" s="46">
        <v>29</v>
      </c>
      <c r="N24" s="46">
        <v>32</v>
      </c>
      <c r="O24" s="46">
        <v>40</v>
      </c>
      <c r="P24" s="46">
        <f t="shared" si="0"/>
        <v>187</v>
      </c>
      <c r="Q24" s="46">
        <v>350</v>
      </c>
      <c r="R24" s="46">
        <f t="shared" si="1"/>
        <v>53.428571428571423</v>
      </c>
      <c r="S24" s="51"/>
      <c r="T24" s="50" t="s">
        <v>171</v>
      </c>
      <c r="U24" s="44"/>
      <c r="V24" s="44"/>
    </row>
    <row r="25" spans="3:22" ht="25.5" x14ac:dyDescent="0.35">
      <c r="C25" s="44"/>
      <c r="D25" s="44"/>
      <c r="E25" s="45">
        <v>18</v>
      </c>
      <c r="F25" s="48">
        <v>1722</v>
      </c>
      <c r="G25" s="48" t="s">
        <v>240</v>
      </c>
      <c r="H25" s="48" t="s">
        <v>241</v>
      </c>
      <c r="I25" s="46">
        <v>45</v>
      </c>
      <c r="J25" s="46">
        <v>40</v>
      </c>
      <c r="K25" s="46">
        <v>40</v>
      </c>
      <c r="L25" s="46">
        <v>43</v>
      </c>
      <c r="M25" s="46">
        <v>41</v>
      </c>
      <c r="N25" s="46">
        <v>45</v>
      </c>
      <c r="O25" s="46">
        <v>49</v>
      </c>
      <c r="P25" s="46">
        <f t="shared" si="0"/>
        <v>303</v>
      </c>
      <c r="Q25" s="46">
        <v>350</v>
      </c>
      <c r="R25" s="46">
        <f t="shared" si="1"/>
        <v>86.571428571428584</v>
      </c>
      <c r="S25" s="51"/>
      <c r="T25" s="50" t="s">
        <v>171</v>
      </c>
      <c r="U25" s="44"/>
      <c r="V25" s="44"/>
    </row>
    <row r="26" spans="3:22" ht="25.5" x14ac:dyDescent="0.35">
      <c r="C26" s="44"/>
      <c r="D26" s="44"/>
      <c r="E26" s="45">
        <v>19</v>
      </c>
      <c r="F26" s="48">
        <v>1788</v>
      </c>
      <c r="G26" s="48" t="s">
        <v>242</v>
      </c>
      <c r="H26" s="48" t="s">
        <v>181</v>
      </c>
      <c r="I26" s="46">
        <v>19</v>
      </c>
      <c r="J26" s="46">
        <v>20</v>
      </c>
      <c r="K26" s="46">
        <v>18</v>
      </c>
      <c r="L26" s="46">
        <v>22</v>
      </c>
      <c r="M26" s="46">
        <v>33</v>
      </c>
      <c r="N26" s="46">
        <v>21</v>
      </c>
      <c r="O26" s="46">
        <v>35</v>
      </c>
      <c r="P26" s="46">
        <f t="shared" si="0"/>
        <v>168</v>
      </c>
      <c r="Q26" s="46">
        <v>350</v>
      </c>
      <c r="R26" s="46">
        <f t="shared" si="1"/>
        <v>48</v>
      </c>
      <c r="S26" s="51"/>
      <c r="T26" s="50" t="s">
        <v>171</v>
      </c>
      <c r="U26" s="44"/>
      <c r="V26" s="44"/>
    </row>
    <row r="27" spans="3:22" ht="25.5" x14ac:dyDescent="0.35">
      <c r="C27" s="44"/>
      <c r="D27" s="44"/>
      <c r="E27" s="45">
        <v>20</v>
      </c>
      <c r="F27" s="48">
        <v>1655</v>
      </c>
      <c r="G27" s="48" t="s">
        <v>179</v>
      </c>
      <c r="H27" s="48" t="s">
        <v>168</v>
      </c>
      <c r="I27" s="46" t="s">
        <v>243</v>
      </c>
      <c r="J27" s="46" t="s">
        <v>243</v>
      </c>
      <c r="K27" s="46" t="s">
        <v>243</v>
      </c>
      <c r="L27" s="46" t="s">
        <v>243</v>
      </c>
      <c r="M27" s="47" t="s">
        <v>243</v>
      </c>
      <c r="N27" s="46" t="s">
        <v>243</v>
      </c>
      <c r="O27" s="47" t="s">
        <v>243</v>
      </c>
      <c r="P27" s="46">
        <f t="shared" si="0"/>
        <v>0</v>
      </c>
      <c r="Q27" s="46">
        <v>350</v>
      </c>
      <c r="R27" s="46">
        <f t="shared" si="1"/>
        <v>0</v>
      </c>
      <c r="S27" s="51"/>
      <c r="T27" s="50" t="s">
        <v>299</v>
      </c>
      <c r="U27" s="44"/>
      <c r="V27" s="44"/>
    </row>
    <row r="28" spans="3:22" ht="25.5" x14ac:dyDescent="0.35">
      <c r="C28" s="44"/>
      <c r="D28" s="44"/>
      <c r="E28" s="45">
        <v>21</v>
      </c>
      <c r="F28" s="48">
        <v>1789</v>
      </c>
      <c r="G28" s="48" t="s">
        <v>244</v>
      </c>
      <c r="H28" s="48" t="s">
        <v>245</v>
      </c>
      <c r="I28" s="46">
        <v>33</v>
      </c>
      <c r="J28" s="46">
        <v>28</v>
      </c>
      <c r="K28" s="46">
        <v>25</v>
      </c>
      <c r="L28" s="46">
        <v>28</v>
      </c>
      <c r="M28" s="46">
        <v>30</v>
      </c>
      <c r="N28" s="46">
        <v>40</v>
      </c>
      <c r="O28" s="46">
        <v>49</v>
      </c>
      <c r="P28" s="46">
        <f t="shared" si="0"/>
        <v>233</v>
      </c>
      <c r="Q28" s="46">
        <v>350</v>
      </c>
      <c r="R28" s="46">
        <f t="shared" si="1"/>
        <v>66.571428571428569</v>
      </c>
      <c r="S28" s="51"/>
      <c r="T28" s="50" t="s">
        <v>171</v>
      </c>
      <c r="U28" s="44"/>
      <c r="V28" s="44"/>
    </row>
    <row r="29" spans="3:22" ht="25.5" x14ac:dyDescent="0.35">
      <c r="C29" s="44"/>
      <c r="D29" s="44"/>
      <c r="E29" s="45">
        <v>22</v>
      </c>
      <c r="F29" s="48">
        <v>1858</v>
      </c>
      <c r="G29" s="48" t="s">
        <v>246</v>
      </c>
      <c r="H29" s="48" t="s">
        <v>247</v>
      </c>
      <c r="I29" s="47" t="s">
        <v>243</v>
      </c>
      <c r="J29" s="46" t="s">
        <v>243</v>
      </c>
      <c r="K29" s="47" t="s">
        <v>243</v>
      </c>
      <c r="L29" s="47" t="s">
        <v>243</v>
      </c>
      <c r="M29" s="46" t="s">
        <v>243</v>
      </c>
      <c r="N29" s="47" t="s">
        <v>243</v>
      </c>
      <c r="O29" s="47" t="s">
        <v>243</v>
      </c>
      <c r="P29" s="46">
        <f t="shared" si="0"/>
        <v>0</v>
      </c>
      <c r="Q29" s="46">
        <v>350</v>
      </c>
      <c r="R29" s="46">
        <f t="shared" si="1"/>
        <v>0</v>
      </c>
      <c r="S29" s="51"/>
      <c r="T29" s="50" t="s">
        <v>299</v>
      </c>
      <c r="U29" s="44"/>
      <c r="V29" s="44"/>
    </row>
    <row r="30" spans="3:22" ht="21" x14ac:dyDescent="0.35">
      <c r="C30" s="44"/>
      <c r="D30" s="52"/>
      <c r="E30" s="108" t="s">
        <v>297</v>
      </c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10"/>
      <c r="U30" s="44"/>
      <c r="V30" s="44"/>
    </row>
    <row r="31" spans="3:22" ht="21" x14ac:dyDescent="0.35">
      <c r="C31" s="44"/>
      <c r="D31" s="52"/>
      <c r="E31" s="109" t="s">
        <v>294</v>
      </c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2"/>
      <c r="U31" s="44"/>
      <c r="V31" s="44"/>
    </row>
    <row r="32" spans="3:22" ht="21" x14ac:dyDescent="0.35">
      <c r="C32" s="44"/>
      <c r="D32" s="52"/>
      <c r="E32" s="63" t="s">
        <v>1</v>
      </c>
      <c r="F32" s="63" t="s">
        <v>2</v>
      </c>
      <c r="G32" s="63" t="s">
        <v>3</v>
      </c>
      <c r="H32" s="63" t="s">
        <v>4</v>
      </c>
      <c r="I32" s="64" t="s">
        <v>5</v>
      </c>
      <c r="J32" s="64" t="s">
        <v>6</v>
      </c>
      <c r="K32" s="64" t="s">
        <v>7</v>
      </c>
      <c r="L32" s="64" t="s">
        <v>8</v>
      </c>
      <c r="M32" s="64" t="s">
        <v>248</v>
      </c>
      <c r="N32" s="64" t="s">
        <v>170</v>
      </c>
      <c r="O32" s="64" t="s">
        <v>9</v>
      </c>
      <c r="P32" s="65" t="s">
        <v>11</v>
      </c>
      <c r="Q32" s="65" t="s">
        <v>10</v>
      </c>
      <c r="R32" s="64" t="s">
        <v>12</v>
      </c>
      <c r="S32" s="64" t="s">
        <v>215</v>
      </c>
      <c r="T32" s="64" t="s">
        <v>13</v>
      </c>
      <c r="U32" s="44"/>
      <c r="V32" s="44"/>
    </row>
    <row r="33" spans="3:22" ht="21" x14ac:dyDescent="0.35">
      <c r="C33" s="44"/>
      <c r="D33" s="52"/>
      <c r="E33" s="45"/>
      <c r="F33" s="45"/>
      <c r="G33" s="45"/>
      <c r="H33" s="45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53"/>
      <c r="U33" s="44"/>
      <c r="V33" s="44"/>
    </row>
    <row r="34" spans="3:22" ht="21" x14ac:dyDescent="0.35">
      <c r="C34" s="44"/>
      <c r="D34" s="44"/>
      <c r="E34" s="45">
        <v>1</v>
      </c>
      <c r="F34" s="45">
        <v>1516</v>
      </c>
      <c r="G34" s="48" t="s">
        <v>249</v>
      </c>
      <c r="H34" s="48" t="s">
        <v>172</v>
      </c>
      <c r="I34" s="46">
        <v>30</v>
      </c>
      <c r="J34" s="46">
        <v>30</v>
      </c>
      <c r="K34" s="46">
        <v>27</v>
      </c>
      <c r="L34" s="46">
        <v>29</v>
      </c>
      <c r="M34" s="46">
        <v>24</v>
      </c>
      <c r="N34" s="46">
        <v>30</v>
      </c>
      <c r="O34" s="46">
        <v>30</v>
      </c>
      <c r="P34" s="46">
        <f>SUM(I34:O34)</f>
        <v>200</v>
      </c>
      <c r="Q34" s="46">
        <v>350</v>
      </c>
      <c r="R34" s="46">
        <f>P34/Q34*100</f>
        <v>57.142857142857139</v>
      </c>
      <c r="S34" s="46"/>
      <c r="T34" s="46" t="s">
        <v>171</v>
      </c>
      <c r="U34" s="44"/>
      <c r="V34" s="44"/>
    </row>
    <row r="35" spans="3:22" ht="21" x14ac:dyDescent="0.35">
      <c r="C35" s="44"/>
      <c r="D35" s="44"/>
      <c r="E35" s="45">
        <v>2</v>
      </c>
      <c r="F35" s="45">
        <v>1025</v>
      </c>
      <c r="G35" s="48" t="s">
        <v>250</v>
      </c>
      <c r="H35" s="48" t="s">
        <v>165</v>
      </c>
      <c r="I35" s="46">
        <v>24</v>
      </c>
      <c r="J35" s="46">
        <v>25</v>
      </c>
      <c r="K35" s="46">
        <v>26</v>
      </c>
      <c r="L35" s="46">
        <v>29</v>
      </c>
      <c r="M35" s="46">
        <v>30</v>
      </c>
      <c r="N35" s="46">
        <v>28</v>
      </c>
      <c r="O35" s="46">
        <v>30</v>
      </c>
      <c r="P35" s="46">
        <f t="shared" ref="P35:P45" si="2">SUM(I35:O35)</f>
        <v>192</v>
      </c>
      <c r="Q35" s="46">
        <v>350</v>
      </c>
      <c r="R35" s="46">
        <f t="shared" ref="R35:R45" si="3">P35/Q35*100</f>
        <v>54.857142857142861</v>
      </c>
      <c r="S35" s="46"/>
      <c r="T35" s="46" t="s">
        <v>171</v>
      </c>
      <c r="U35" s="44"/>
      <c r="V35" s="44"/>
    </row>
    <row r="36" spans="3:22" ht="21" x14ac:dyDescent="0.35">
      <c r="C36" s="44"/>
      <c r="D36" s="44"/>
      <c r="E36" s="45">
        <v>3</v>
      </c>
      <c r="F36" s="45">
        <v>1626</v>
      </c>
      <c r="G36" s="48" t="s">
        <v>251</v>
      </c>
      <c r="H36" s="48" t="s">
        <v>252</v>
      </c>
      <c r="I36" s="46">
        <v>32</v>
      </c>
      <c r="J36" s="46">
        <v>35</v>
      </c>
      <c r="K36" s="46">
        <v>26</v>
      </c>
      <c r="L36" s="46">
        <v>32</v>
      </c>
      <c r="M36" s="46">
        <v>29</v>
      </c>
      <c r="N36" s="46">
        <v>31</v>
      </c>
      <c r="O36" s="46">
        <v>27</v>
      </c>
      <c r="P36" s="46">
        <f t="shared" si="2"/>
        <v>212</v>
      </c>
      <c r="Q36" s="46">
        <v>350</v>
      </c>
      <c r="R36" s="46">
        <f t="shared" si="3"/>
        <v>60.571428571428577</v>
      </c>
      <c r="S36" s="46"/>
      <c r="T36" s="46" t="s">
        <v>171</v>
      </c>
      <c r="U36" s="44"/>
      <c r="V36" s="44"/>
    </row>
    <row r="37" spans="3:22" ht="21" x14ac:dyDescent="0.35">
      <c r="C37" s="44"/>
      <c r="D37" s="44"/>
      <c r="E37" s="45">
        <v>4</v>
      </c>
      <c r="F37" s="45">
        <v>1676</v>
      </c>
      <c r="G37" s="48" t="s">
        <v>183</v>
      </c>
      <c r="H37" s="48" t="s">
        <v>253</v>
      </c>
      <c r="I37" s="46">
        <v>31</v>
      </c>
      <c r="J37" s="46">
        <v>26</v>
      </c>
      <c r="K37" s="46">
        <v>28</v>
      </c>
      <c r="L37" s="46">
        <v>27</v>
      </c>
      <c r="M37" s="46">
        <v>27</v>
      </c>
      <c r="N37" s="46">
        <v>28</v>
      </c>
      <c r="O37" s="46">
        <v>32</v>
      </c>
      <c r="P37" s="46">
        <f t="shared" si="2"/>
        <v>199</v>
      </c>
      <c r="Q37" s="46">
        <v>350</v>
      </c>
      <c r="R37" s="46">
        <f t="shared" si="3"/>
        <v>56.857142857142861</v>
      </c>
      <c r="S37" s="46"/>
      <c r="T37" s="46" t="s">
        <v>171</v>
      </c>
      <c r="U37" s="44"/>
      <c r="V37" s="44"/>
    </row>
    <row r="38" spans="3:22" ht="21" x14ac:dyDescent="0.35">
      <c r="C38" s="44"/>
      <c r="D38" s="44"/>
      <c r="E38" s="45">
        <v>5</v>
      </c>
      <c r="F38" s="45">
        <v>1781</v>
      </c>
      <c r="G38" s="48" t="s">
        <v>254</v>
      </c>
      <c r="H38" s="48" t="s">
        <v>255</v>
      </c>
      <c r="I38" s="46">
        <v>28</v>
      </c>
      <c r="J38" s="46">
        <v>27</v>
      </c>
      <c r="K38" s="46">
        <v>25</v>
      </c>
      <c r="L38" s="46">
        <v>28</v>
      </c>
      <c r="M38" s="46">
        <v>26</v>
      </c>
      <c r="N38" s="46">
        <v>30</v>
      </c>
      <c r="O38" s="46">
        <v>32</v>
      </c>
      <c r="P38" s="46">
        <f t="shared" si="2"/>
        <v>196</v>
      </c>
      <c r="Q38" s="46">
        <v>350</v>
      </c>
      <c r="R38" s="46">
        <f t="shared" si="3"/>
        <v>56.000000000000007</v>
      </c>
      <c r="S38" s="46"/>
      <c r="T38" s="46" t="s">
        <v>171</v>
      </c>
      <c r="U38" s="44"/>
      <c r="V38" s="44"/>
    </row>
    <row r="39" spans="3:22" ht="21" x14ac:dyDescent="0.35">
      <c r="C39" s="44"/>
      <c r="D39" s="44"/>
      <c r="E39" s="45">
        <v>6</v>
      </c>
      <c r="F39" s="45">
        <v>1782</v>
      </c>
      <c r="G39" s="48" t="s">
        <v>173</v>
      </c>
      <c r="H39" s="48" t="s">
        <v>174</v>
      </c>
      <c r="I39" s="46">
        <v>31</v>
      </c>
      <c r="J39" s="46">
        <v>28</v>
      </c>
      <c r="K39" s="46">
        <v>30</v>
      </c>
      <c r="L39" s="46">
        <v>24</v>
      </c>
      <c r="M39" s="46">
        <v>25</v>
      </c>
      <c r="N39" s="46">
        <v>26</v>
      </c>
      <c r="O39" s="46">
        <v>34</v>
      </c>
      <c r="P39" s="46">
        <f>SUM(I39:O39)</f>
        <v>198</v>
      </c>
      <c r="Q39" s="46">
        <v>350</v>
      </c>
      <c r="R39" s="46">
        <f t="shared" si="3"/>
        <v>56.571428571428569</v>
      </c>
      <c r="S39" s="46"/>
      <c r="T39" s="46" t="s">
        <v>171</v>
      </c>
      <c r="U39" s="44"/>
      <c r="V39" s="44"/>
    </row>
    <row r="40" spans="3:22" ht="21" x14ac:dyDescent="0.35">
      <c r="C40" s="44"/>
      <c r="D40" s="44"/>
      <c r="E40" s="45">
        <v>7</v>
      </c>
      <c r="F40" s="45">
        <v>1629</v>
      </c>
      <c r="G40" s="48" t="s">
        <v>166</v>
      </c>
      <c r="H40" s="48" t="s">
        <v>256</v>
      </c>
      <c r="I40" s="46">
        <v>31</v>
      </c>
      <c r="J40" s="46">
        <v>32</v>
      </c>
      <c r="K40" s="46">
        <v>34</v>
      </c>
      <c r="L40" s="46">
        <v>26</v>
      </c>
      <c r="M40" s="46">
        <v>27</v>
      </c>
      <c r="N40" s="46">
        <v>29</v>
      </c>
      <c r="O40" s="46">
        <v>26</v>
      </c>
      <c r="P40" s="46">
        <f t="shared" si="2"/>
        <v>205</v>
      </c>
      <c r="Q40" s="46">
        <v>350</v>
      </c>
      <c r="R40" s="46">
        <f t="shared" si="3"/>
        <v>58.571428571428577</v>
      </c>
      <c r="S40" s="46"/>
      <c r="T40" s="46" t="s">
        <v>171</v>
      </c>
      <c r="U40" s="44"/>
      <c r="V40" s="44"/>
    </row>
    <row r="41" spans="3:22" ht="21" x14ac:dyDescent="0.35">
      <c r="C41" s="44"/>
      <c r="D41" s="44"/>
      <c r="E41" s="45">
        <v>8</v>
      </c>
      <c r="F41" s="45">
        <v>1630</v>
      </c>
      <c r="G41" s="48" t="s">
        <v>257</v>
      </c>
      <c r="H41" s="48" t="s">
        <v>217</v>
      </c>
      <c r="I41" s="46">
        <v>30</v>
      </c>
      <c r="J41" s="46">
        <v>31</v>
      </c>
      <c r="K41" s="46">
        <v>29</v>
      </c>
      <c r="L41" s="46">
        <v>31</v>
      </c>
      <c r="M41" s="46">
        <v>37</v>
      </c>
      <c r="N41" s="46">
        <v>30</v>
      </c>
      <c r="O41" s="46">
        <v>30</v>
      </c>
      <c r="P41" s="46">
        <f t="shared" si="2"/>
        <v>218</v>
      </c>
      <c r="Q41" s="46">
        <v>350</v>
      </c>
      <c r="R41" s="46">
        <f t="shared" si="3"/>
        <v>62.285714285714292</v>
      </c>
      <c r="S41" s="46"/>
      <c r="T41" s="46" t="s">
        <v>171</v>
      </c>
      <c r="U41" s="44"/>
      <c r="V41" s="44"/>
    </row>
    <row r="42" spans="3:22" ht="21" x14ac:dyDescent="0.35">
      <c r="C42" s="44"/>
      <c r="D42" s="44"/>
      <c r="E42" s="45">
        <v>9</v>
      </c>
      <c r="F42" s="45">
        <v>1631</v>
      </c>
      <c r="G42" s="48" t="s">
        <v>258</v>
      </c>
      <c r="H42" s="48" t="s">
        <v>186</v>
      </c>
      <c r="I42" s="46">
        <v>30</v>
      </c>
      <c r="J42" s="46">
        <v>25</v>
      </c>
      <c r="K42" s="46">
        <v>26</v>
      </c>
      <c r="L42" s="46">
        <v>28</v>
      </c>
      <c r="M42" s="46">
        <v>28</v>
      </c>
      <c r="N42" s="46">
        <v>29</v>
      </c>
      <c r="O42" s="46">
        <v>30</v>
      </c>
      <c r="P42" s="46">
        <f t="shared" si="2"/>
        <v>196</v>
      </c>
      <c r="Q42" s="46">
        <v>350</v>
      </c>
      <c r="R42" s="46">
        <f t="shared" si="3"/>
        <v>56.000000000000007</v>
      </c>
      <c r="S42" s="46"/>
      <c r="T42" s="46" t="s">
        <v>171</v>
      </c>
      <c r="U42" s="44"/>
      <c r="V42" s="44"/>
    </row>
    <row r="43" spans="3:22" ht="21" x14ac:dyDescent="0.35">
      <c r="C43" s="44"/>
      <c r="D43" s="44"/>
      <c r="E43" s="45">
        <v>10</v>
      </c>
      <c r="F43" s="45">
        <v>1632</v>
      </c>
      <c r="G43" s="48" t="s">
        <v>259</v>
      </c>
      <c r="H43" s="48" t="s">
        <v>260</v>
      </c>
      <c r="I43" s="46">
        <v>27</v>
      </c>
      <c r="J43" s="46">
        <v>28</v>
      </c>
      <c r="K43" s="46">
        <v>31</v>
      </c>
      <c r="L43" s="46">
        <v>39</v>
      </c>
      <c r="M43" s="46">
        <v>37</v>
      </c>
      <c r="N43" s="46">
        <v>39</v>
      </c>
      <c r="O43" s="46">
        <v>41</v>
      </c>
      <c r="P43" s="46">
        <f t="shared" si="2"/>
        <v>242</v>
      </c>
      <c r="Q43" s="46">
        <v>350</v>
      </c>
      <c r="R43" s="46">
        <f t="shared" si="3"/>
        <v>69.142857142857139</v>
      </c>
      <c r="S43" s="46"/>
      <c r="T43" s="46" t="s">
        <v>171</v>
      </c>
      <c r="U43" s="44"/>
      <c r="V43" s="44"/>
    </row>
    <row r="44" spans="3:22" ht="21" x14ac:dyDescent="0.35">
      <c r="C44" s="44"/>
      <c r="D44" s="44"/>
      <c r="E44" s="45">
        <v>11</v>
      </c>
      <c r="F44" s="45">
        <v>1637</v>
      </c>
      <c r="G44" s="48" t="s">
        <v>167</v>
      </c>
      <c r="H44" s="48" t="s">
        <v>261</v>
      </c>
      <c r="I44" s="46">
        <v>31</v>
      </c>
      <c r="J44" s="46">
        <v>33</v>
      </c>
      <c r="K44" s="46">
        <v>34</v>
      </c>
      <c r="L44" s="46">
        <v>37</v>
      </c>
      <c r="M44" s="46">
        <v>35</v>
      </c>
      <c r="N44" s="46">
        <v>32</v>
      </c>
      <c r="O44" s="46">
        <v>40</v>
      </c>
      <c r="P44" s="46">
        <f t="shared" si="2"/>
        <v>242</v>
      </c>
      <c r="Q44" s="46">
        <v>350</v>
      </c>
      <c r="R44" s="46">
        <f t="shared" si="3"/>
        <v>69.142857142857139</v>
      </c>
      <c r="S44" s="46"/>
      <c r="T44" s="46" t="s">
        <v>171</v>
      </c>
      <c r="U44" s="44"/>
      <c r="V44" s="44"/>
    </row>
    <row r="45" spans="3:22" ht="21" x14ac:dyDescent="0.35">
      <c r="C45" s="44"/>
      <c r="D45" s="44"/>
      <c r="E45" s="45">
        <v>12</v>
      </c>
      <c r="F45" s="45">
        <v>1743</v>
      </c>
      <c r="G45" s="48" t="s">
        <v>187</v>
      </c>
      <c r="H45" s="48" t="s">
        <v>261</v>
      </c>
      <c r="I45" s="46">
        <v>32</v>
      </c>
      <c r="J45" s="46">
        <v>33</v>
      </c>
      <c r="K45" s="46">
        <v>40</v>
      </c>
      <c r="L45" s="46">
        <v>30</v>
      </c>
      <c r="M45" s="46">
        <v>32</v>
      </c>
      <c r="N45" s="46">
        <v>32</v>
      </c>
      <c r="O45" s="46">
        <v>29</v>
      </c>
      <c r="P45" s="46">
        <f t="shared" si="2"/>
        <v>228</v>
      </c>
      <c r="Q45" s="46">
        <v>350</v>
      </c>
      <c r="R45" s="46">
        <f t="shared" si="3"/>
        <v>65.142857142857153</v>
      </c>
      <c r="S45" s="46"/>
      <c r="T45" s="46" t="s">
        <v>171</v>
      </c>
      <c r="U45" s="44"/>
      <c r="V45" s="44"/>
    </row>
    <row r="46" spans="3:22" ht="21" x14ac:dyDescent="0.35">
      <c r="C46" s="44"/>
      <c r="D46" s="44"/>
      <c r="E46" s="108" t="s">
        <v>298</v>
      </c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2"/>
      <c r="U46" s="44"/>
      <c r="V46" s="44"/>
    </row>
    <row r="47" spans="3:22" ht="21" x14ac:dyDescent="0.35">
      <c r="C47" s="44"/>
      <c r="D47" s="44"/>
      <c r="E47" s="108" t="s">
        <v>295</v>
      </c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2"/>
      <c r="U47" s="44"/>
      <c r="V47" s="44"/>
    </row>
    <row r="48" spans="3:22" ht="21" x14ac:dyDescent="0.35">
      <c r="C48" s="44"/>
      <c r="D48" s="44"/>
      <c r="E48" s="63" t="s">
        <v>1</v>
      </c>
      <c r="F48" s="63" t="s">
        <v>2</v>
      </c>
      <c r="G48" s="63" t="s">
        <v>3</v>
      </c>
      <c r="H48" s="63" t="s">
        <v>4</v>
      </c>
      <c r="I48" s="64" t="s">
        <v>5</v>
      </c>
      <c r="J48" s="64" t="s">
        <v>6</v>
      </c>
      <c r="K48" s="64" t="s">
        <v>7</v>
      </c>
      <c r="L48" s="64" t="s">
        <v>8</v>
      </c>
      <c r="M48" s="64" t="s">
        <v>248</v>
      </c>
      <c r="N48" s="64" t="s">
        <v>170</v>
      </c>
      <c r="O48" s="64" t="s">
        <v>9</v>
      </c>
      <c r="P48" s="65" t="s">
        <v>11</v>
      </c>
      <c r="Q48" s="65" t="s">
        <v>10</v>
      </c>
      <c r="R48" s="64" t="s">
        <v>12</v>
      </c>
      <c r="S48" s="64" t="s">
        <v>215</v>
      </c>
      <c r="T48" s="64" t="s">
        <v>13</v>
      </c>
      <c r="U48" s="44"/>
      <c r="V48" s="44"/>
    </row>
    <row r="49" spans="3:22" ht="21" x14ac:dyDescent="0.35">
      <c r="C49" s="44"/>
      <c r="D49" s="44"/>
      <c r="E49" s="45"/>
      <c r="F49" s="45"/>
      <c r="G49" s="45"/>
      <c r="H49" s="57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54"/>
      <c r="U49" s="44"/>
      <c r="V49" s="44"/>
    </row>
    <row r="50" spans="3:22" ht="21" x14ac:dyDescent="0.35">
      <c r="C50" s="44"/>
      <c r="D50" s="44"/>
      <c r="E50" s="45">
        <v>1</v>
      </c>
      <c r="F50" s="45">
        <v>1537</v>
      </c>
      <c r="G50" s="48" t="s">
        <v>262</v>
      </c>
      <c r="H50" s="58" t="s">
        <v>263</v>
      </c>
      <c r="I50" s="46">
        <v>24</v>
      </c>
      <c r="J50" s="46">
        <v>25</v>
      </c>
      <c r="K50" s="46">
        <v>26</v>
      </c>
      <c r="L50" s="46">
        <v>26</v>
      </c>
      <c r="M50" s="46">
        <v>25</v>
      </c>
      <c r="N50" s="46">
        <v>27</v>
      </c>
      <c r="O50" s="46">
        <v>26</v>
      </c>
      <c r="P50" s="46">
        <f>SUM(I50:O50)</f>
        <v>179</v>
      </c>
      <c r="Q50" s="46">
        <v>350</v>
      </c>
      <c r="R50" s="46">
        <f>P50/Q50*100</f>
        <v>51.142857142857146</v>
      </c>
      <c r="S50" s="46"/>
      <c r="T50" s="46" t="s">
        <v>171</v>
      </c>
      <c r="U50" s="44"/>
      <c r="V50" s="44"/>
    </row>
    <row r="51" spans="3:22" ht="21" x14ac:dyDescent="0.35">
      <c r="C51" s="44"/>
      <c r="D51" s="44"/>
      <c r="E51" s="45">
        <v>2</v>
      </c>
      <c r="F51" s="45">
        <v>1666</v>
      </c>
      <c r="G51" s="48" t="s">
        <v>264</v>
      </c>
      <c r="H51" s="58" t="s">
        <v>265</v>
      </c>
      <c r="I51" s="46">
        <v>31</v>
      </c>
      <c r="J51" s="46">
        <v>32</v>
      </c>
      <c r="K51" s="46">
        <v>33</v>
      </c>
      <c r="L51" s="46">
        <v>34</v>
      </c>
      <c r="M51" s="46">
        <v>35</v>
      </c>
      <c r="N51" s="46">
        <v>36</v>
      </c>
      <c r="O51" s="46">
        <v>37</v>
      </c>
      <c r="P51" s="46">
        <f t="shared" ref="P51:P64" si="4">SUM(I51:O51)</f>
        <v>238</v>
      </c>
      <c r="Q51" s="46">
        <v>350</v>
      </c>
      <c r="R51" s="46">
        <f t="shared" ref="R51:R64" si="5">P51/Q51*100</f>
        <v>68</v>
      </c>
      <c r="S51" s="46"/>
      <c r="T51" s="46" t="s">
        <v>171</v>
      </c>
      <c r="U51" s="44"/>
      <c r="V51" s="44"/>
    </row>
    <row r="52" spans="3:22" ht="21" x14ac:dyDescent="0.35">
      <c r="C52" s="44"/>
      <c r="D52" s="44"/>
      <c r="E52" s="45">
        <v>3</v>
      </c>
      <c r="F52" s="45">
        <v>1686</v>
      </c>
      <c r="G52" s="48" t="s">
        <v>266</v>
      </c>
      <c r="H52" s="58" t="s">
        <v>267</v>
      </c>
      <c r="I52" s="46">
        <v>32</v>
      </c>
      <c r="J52" s="46">
        <v>36</v>
      </c>
      <c r="K52" s="46">
        <v>36</v>
      </c>
      <c r="L52" s="46">
        <v>33</v>
      </c>
      <c r="M52" s="46">
        <v>38</v>
      </c>
      <c r="N52" s="46">
        <v>34</v>
      </c>
      <c r="O52" s="46">
        <v>33</v>
      </c>
      <c r="P52" s="46">
        <v>27</v>
      </c>
      <c r="Q52" s="46">
        <v>350</v>
      </c>
      <c r="R52" s="46">
        <f t="shared" si="5"/>
        <v>7.7142857142857135</v>
      </c>
      <c r="S52" s="46"/>
      <c r="T52" s="46" t="s">
        <v>171</v>
      </c>
      <c r="U52" s="44"/>
      <c r="V52" s="44"/>
    </row>
    <row r="53" spans="3:22" ht="21" x14ac:dyDescent="0.35">
      <c r="C53" s="44"/>
      <c r="D53" s="44"/>
      <c r="E53" s="45">
        <v>4</v>
      </c>
      <c r="F53" s="45">
        <v>1787</v>
      </c>
      <c r="G53" s="48" t="s">
        <v>268</v>
      </c>
      <c r="H53" s="58" t="s">
        <v>269</v>
      </c>
      <c r="I53" s="46">
        <v>25</v>
      </c>
      <c r="J53" s="46">
        <v>24</v>
      </c>
      <c r="K53" s="46">
        <v>25</v>
      </c>
      <c r="L53" s="46">
        <v>27</v>
      </c>
      <c r="M53" s="46">
        <v>29</v>
      </c>
      <c r="N53" s="46">
        <v>28</v>
      </c>
      <c r="O53" s="46">
        <v>27</v>
      </c>
      <c r="P53" s="46">
        <v>26</v>
      </c>
      <c r="Q53" s="46">
        <v>350</v>
      </c>
      <c r="R53" s="46">
        <f t="shared" si="5"/>
        <v>7.4285714285714288</v>
      </c>
      <c r="S53" s="55" t="s">
        <v>270</v>
      </c>
      <c r="T53" s="46" t="s">
        <v>171</v>
      </c>
      <c r="U53" s="44"/>
      <c r="V53" s="44"/>
    </row>
    <row r="54" spans="3:22" ht="21" x14ac:dyDescent="0.35">
      <c r="C54" s="44"/>
      <c r="D54" s="44"/>
      <c r="E54" s="45">
        <v>5</v>
      </c>
      <c r="F54" s="45">
        <v>1863</v>
      </c>
      <c r="G54" s="48" t="s">
        <v>180</v>
      </c>
      <c r="H54" s="58" t="s">
        <v>182</v>
      </c>
      <c r="I54" s="46">
        <v>25</v>
      </c>
      <c r="J54" s="47">
        <v>25</v>
      </c>
      <c r="K54" s="47">
        <v>28</v>
      </c>
      <c r="L54" s="46">
        <v>28</v>
      </c>
      <c r="M54" s="46">
        <v>27</v>
      </c>
      <c r="N54" s="47">
        <v>29</v>
      </c>
      <c r="O54" s="47">
        <v>30</v>
      </c>
      <c r="P54" s="46">
        <f t="shared" si="4"/>
        <v>192</v>
      </c>
      <c r="Q54" s="46">
        <v>350</v>
      </c>
      <c r="R54" s="46">
        <f t="shared" si="5"/>
        <v>54.857142857142861</v>
      </c>
      <c r="S54" s="55" t="s">
        <v>271</v>
      </c>
      <c r="T54" s="46" t="s">
        <v>171</v>
      </c>
      <c r="U54" s="44"/>
      <c r="V54" s="44"/>
    </row>
    <row r="55" spans="3:22" ht="21" x14ac:dyDescent="0.35">
      <c r="C55" s="44"/>
      <c r="D55" s="44"/>
      <c r="E55" s="45">
        <v>6</v>
      </c>
      <c r="F55" s="45">
        <v>1865</v>
      </c>
      <c r="G55" s="56" t="s">
        <v>272</v>
      </c>
      <c r="H55" s="59" t="s">
        <v>273</v>
      </c>
      <c r="I55" s="46">
        <v>31</v>
      </c>
      <c r="J55" s="46">
        <v>34</v>
      </c>
      <c r="K55" s="46">
        <v>35</v>
      </c>
      <c r="L55" s="46">
        <v>36</v>
      </c>
      <c r="M55" s="46">
        <v>37</v>
      </c>
      <c r="N55" s="46">
        <v>34</v>
      </c>
      <c r="O55" s="46">
        <v>37</v>
      </c>
      <c r="P55" s="46">
        <f t="shared" si="4"/>
        <v>244</v>
      </c>
      <c r="Q55" s="46">
        <v>350</v>
      </c>
      <c r="R55" s="46">
        <f t="shared" si="5"/>
        <v>69.714285714285722</v>
      </c>
      <c r="S55" s="46"/>
      <c r="T55" s="46" t="s">
        <v>171</v>
      </c>
      <c r="U55" s="44"/>
      <c r="V55" s="44"/>
    </row>
    <row r="56" spans="3:22" ht="21" x14ac:dyDescent="0.35">
      <c r="C56" s="44"/>
      <c r="D56" s="44"/>
      <c r="E56" s="45">
        <v>7</v>
      </c>
      <c r="F56" s="45">
        <v>1866</v>
      </c>
      <c r="G56" s="48" t="s">
        <v>274</v>
      </c>
      <c r="H56" s="58" t="s">
        <v>275</v>
      </c>
      <c r="I56" s="46">
        <v>36</v>
      </c>
      <c r="J56" s="46">
        <v>37</v>
      </c>
      <c r="K56" s="46">
        <v>38</v>
      </c>
      <c r="L56" s="46">
        <v>39</v>
      </c>
      <c r="M56" s="46">
        <v>40</v>
      </c>
      <c r="N56" s="46">
        <v>30</v>
      </c>
      <c r="O56" s="46">
        <v>31</v>
      </c>
      <c r="P56" s="46">
        <f t="shared" si="4"/>
        <v>251</v>
      </c>
      <c r="Q56" s="46">
        <v>350</v>
      </c>
      <c r="R56" s="46">
        <f t="shared" si="5"/>
        <v>71.714285714285722</v>
      </c>
      <c r="S56" s="46"/>
      <c r="T56" s="46" t="s">
        <v>171</v>
      </c>
      <c r="U56" s="44"/>
      <c r="V56" s="44"/>
    </row>
    <row r="57" spans="3:22" ht="21" x14ac:dyDescent="0.35">
      <c r="C57" s="44"/>
      <c r="D57" s="44"/>
      <c r="E57" s="45">
        <v>8</v>
      </c>
      <c r="F57" s="45">
        <v>1867</v>
      </c>
      <c r="G57" s="48" t="s">
        <v>276</v>
      </c>
      <c r="H57" s="58" t="s">
        <v>277</v>
      </c>
      <c r="I57" s="46">
        <v>38</v>
      </c>
      <c r="J57" s="46">
        <v>33</v>
      </c>
      <c r="K57" s="46">
        <v>40</v>
      </c>
      <c r="L57" s="46">
        <v>31</v>
      </c>
      <c r="M57" s="46">
        <v>32</v>
      </c>
      <c r="N57" s="46">
        <v>31</v>
      </c>
      <c r="O57" s="46">
        <v>30</v>
      </c>
      <c r="P57" s="46">
        <f t="shared" si="4"/>
        <v>235</v>
      </c>
      <c r="Q57" s="46">
        <v>350</v>
      </c>
      <c r="R57" s="46">
        <f t="shared" si="5"/>
        <v>67.142857142857139</v>
      </c>
      <c r="S57" s="46"/>
      <c r="T57" s="46" t="s">
        <v>171</v>
      </c>
      <c r="U57" s="44"/>
      <c r="V57" s="44"/>
    </row>
    <row r="58" spans="3:22" ht="21" x14ac:dyDescent="0.35">
      <c r="C58" s="44"/>
      <c r="D58" s="44"/>
      <c r="E58" s="45">
        <v>9</v>
      </c>
      <c r="F58" s="45">
        <v>1868</v>
      </c>
      <c r="G58" s="48" t="s">
        <v>278</v>
      </c>
      <c r="H58" s="58" t="s">
        <v>279</v>
      </c>
      <c r="I58" s="46">
        <v>41</v>
      </c>
      <c r="J58" s="46">
        <v>32</v>
      </c>
      <c r="K58" s="46">
        <v>33</v>
      </c>
      <c r="L58" s="46">
        <v>34</v>
      </c>
      <c r="M58" s="46">
        <v>35</v>
      </c>
      <c r="N58" s="46">
        <v>34</v>
      </c>
      <c r="O58" s="46">
        <v>35</v>
      </c>
      <c r="P58" s="46">
        <f t="shared" si="4"/>
        <v>244</v>
      </c>
      <c r="Q58" s="46">
        <v>350</v>
      </c>
      <c r="R58" s="46">
        <f t="shared" si="5"/>
        <v>69.714285714285722</v>
      </c>
      <c r="S58" s="46"/>
      <c r="T58" s="46" t="s">
        <v>171</v>
      </c>
      <c r="U58" s="44"/>
      <c r="V58" s="44"/>
    </row>
    <row r="59" spans="3:22" ht="21" x14ac:dyDescent="0.35">
      <c r="C59" s="44"/>
      <c r="D59" s="44"/>
      <c r="E59" s="45">
        <v>10</v>
      </c>
      <c r="F59" s="45">
        <v>1897</v>
      </c>
      <c r="G59" s="48" t="s">
        <v>280</v>
      </c>
      <c r="H59" s="58" t="s">
        <v>281</v>
      </c>
      <c r="I59" s="46">
        <v>37</v>
      </c>
      <c r="J59" s="46">
        <v>31</v>
      </c>
      <c r="K59" s="46">
        <v>36</v>
      </c>
      <c r="L59" s="46">
        <v>41</v>
      </c>
      <c r="M59" s="46">
        <v>36</v>
      </c>
      <c r="N59" s="46">
        <v>36</v>
      </c>
      <c r="O59" s="46">
        <v>37</v>
      </c>
      <c r="P59" s="46">
        <f t="shared" si="4"/>
        <v>254</v>
      </c>
      <c r="Q59" s="46">
        <v>350</v>
      </c>
      <c r="R59" s="46">
        <f t="shared" si="5"/>
        <v>72.571428571428569</v>
      </c>
      <c r="S59" s="46"/>
      <c r="T59" s="46" t="s">
        <v>171</v>
      </c>
      <c r="U59" s="44"/>
      <c r="V59" s="44"/>
    </row>
    <row r="60" spans="3:22" ht="21" x14ac:dyDescent="0.35">
      <c r="C60" s="44"/>
      <c r="D60" s="44"/>
      <c r="E60" s="45">
        <v>11</v>
      </c>
      <c r="F60" s="45">
        <v>1783</v>
      </c>
      <c r="G60" s="48" t="s">
        <v>282</v>
      </c>
      <c r="H60" s="58" t="s">
        <v>283</v>
      </c>
      <c r="I60" s="46">
        <v>32</v>
      </c>
      <c r="J60" s="46">
        <v>31</v>
      </c>
      <c r="K60" s="46">
        <v>32</v>
      </c>
      <c r="L60" s="46">
        <v>25</v>
      </c>
      <c r="M60" s="46">
        <v>30</v>
      </c>
      <c r="N60" s="46">
        <v>30</v>
      </c>
      <c r="O60" s="46">
        <v>32</v>
      </c>
      <c r="P60" s="46">
        <f t="shared" si="4"/>
        <v>212</v>
      </c>
      <c r="Q60" s="46">
        <v>350</v>
      </c>
      <c r="R60" s="46">
        <f t="shared" si="5"/>
        <v>60.571428571428577</v>
      </c>
      <c r="S60" s="46"/>
      <c r="T60" s="46" t="s">
        <v>171</v>
      </c>
      <c r="U60" s="44"/>
      <c r="V60" s="44"/>
    </row>
    <row r="61" spans="3:22" ht="21" x14ac:dyDescent="0.35">
      <c r="C61" s="44"/>
      <c r="D61" s="44"/>
      <c r="E61" s="45">
        <v>12</v>
      </c>
      <c r="F61" s="45">
        <v>1784</v>
      </c>
      <c r="G61" s="48" t="s">
        <v>284</v>
      </c>
      <c r="H61" s="58" t="s">
        <v>285</v>
      </c>
      <c r="I61" s="46">
        <v>37</v>
      </c>
      <c r="J61" s="46">
        <v>33</v>
      </c>
      <c r="K61" s="46">
        <v>40</v>
      </c>
      <c r="L61" s="46">
        <v>41</v>
      </c>
      <c r="M61" s="46">
        <v>27</v>
      </c>
      <c r="N61" s="46">
        <v>28</v>
      </c>
      <c r="O61" s="46">
        <v>29</v>
      </c>
      <c r="P61" s="46">
        <f t="shared" si="4"/>
        <v>235</v>
      </c>
      <c r="Q61" s="46">
        <v>350</v>
      </c>
      <c r="R61" s="46">
        <f t="shared" si="5"/>
        <v>67.142857142857139</v>
      </c>
      <c r="S61" s="46"/>
      <c r="T61" s="46" t="s">
        <v>171</v>
      </c>
      <c r="U61" s="44"/>
      <c r="V61" s="44"/>
    </row>
    <row r="62" spans="3:22" ht="21" x14ac:dyDescent="0.35">
      <c r="C62" s="44"/>
      <c r="D62" s="44"/>
      <c r="E62" s="45">
        <v>13</v>
      </c>
      <c r="F62" s="45">
        <v>1785</v>
      </c>
      <c r="G62" s="48" t="s">
        <v>286</v>
      </c>
      <c r="H62" s="58" t="s">
        <v>285</v>
      </c>
      <c r="I62" s="46">
        <v>34</v>
      </c>
      <c r="J62" s="46">
        <v>36</v>
      </c>
      <c r="K62" s="46">
        <v>40</v>
      </c>
      <c r="L62" s="46">
        <v>41</v>
      </c>
      <c r="M62" s="46">
        <v>28</v>
      </c>
      <c r="N62" s="46">
        <v>29</v>
      </c>
      <c r="O62" s="46">
        <v>30</v>
      </c>
      <c r="P62" s="46">
        <f t="shared" si="4"/>
        <v>238</v>
      </c>
      <c r="Q62" s="46">
        <v>350</v>
      </c>
      <c r="R62" s="46">
        <f t="shared" si="5"/>
        <v>68</v>
      </c>
      <c r="S62" s="46"/>
      <c r="T62" s="46" t="s">
        <v>171</v>
      </c>
      <c r="U62" s="44"/>
      <c r="V62" s="44"/>
    </row>
    <row r="63" spans="3:22" ht="21" x14ac:dyDescent="0.35">
      <c r="C63" s="44"/>
      <c r="D63" s="44"/>
      <c r="E63" s="45">
        <v>14</v>
      </c>
      <c r="F63" s="45">
        <v>1786</v>
      </c>
      <c r="G63" s="48" t="s">
        <v>287</v>
      </c>
      <c r="H63" s="58" t="s">
        <v>288</v>
      </c>
      <c r="I63" s="46">
        <v>31</v>
      </c>
      <c r="J63" s="46">
        <v>32</v>
      </c>
      <c r="K63" s="46">
        <v>33</v>
      </c>
      <c r="L63" s="46">
        <v>35</v>
      </c>
      <c r="M63" s="46">
        <v>36</v>
      </c>
      <c r="N63" s="46">
        <v>37</v>
      </c>
      <c r="O63" s="46">
        <v>39</v>
      </c>
      <c r="P63" s="46">
        <f t="shared" si="4"/>
        <v>243</v>
      </c>
      <c r="Q63" s="46">
        <v>350</v>
      </c>
      <c r="R63" s="46">
        <f t="shared" si="5"/>
        <v>69.428571428571431</v>
      </c>
      <c r="S63" s="46"/>
      <c r="T63" s="46" t="s">
        <v>171</v>
      </c>
      <c r="U63" s="44"/>
      <c r="V63" s="44"/>
    </row>
    <row r="64" spans="3:22" ht="21" x14ac:dyDescent="0.35">
      <c r="C64" s="44"/>
      <c r="D64" s="44"/>
      <c r="E64" s="45">
        <v>15</v>
      </c>
      <c r="F64" s="45">
        <v>1864</v>
      </c>
      <c r="G64" s="48" t="s">
        <v>289</v>
      </c>
      <c r="H64" s="58" t="s">
        <v>290</v>
      </c>
      <c r="I64" s="46">
        <v>29</v>
      </c>
      <c r="J64" s="46">
        <v>32</v>
      </c>
      <c r="K64" s="46">
        <v>31</v>
      </c>
      <c r="L64" s="46">
        <v>28</v>
      </c>
      <c r="M64" s="46">
        <v>27</v>
      </c>
      <c r="N64" s="46">
        <v>29</v>
      </c>
      <c r="O64" s="46">
        <v>32</v>
      </c>
      <c r="P64" s="46">
        <f t="shared" si="4"/>
        <v>208</v>
      </c>
      <c r="Q64" s="46">
        <v>350</v>
      </c>
      <c r="R64" s="46">
        <f t="shared" si="5"/>
        <v>59.428571428571431</v>
      </c>
      <c r="S64" s="46"/>
      <c r="T64" s="46" t="s">
        <v>171</v>
      </c>
      <c r="U64" s="44"/>
      <c r="V64" s="44"/>
    </row>
    <row r="66" spans="5:20" ht="21" x14ac:dyDescent="0.25">
      <c r="E66" s="113" t="s">
        <v>0</v>
      </c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</row>
    <row r="67" spans="5:20" ht="21" x14ac:dyDescent="0.25">
      <c r="E67" s="114" t="s">
        <v>291</v>
      </c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</row>
    <row r="68" spans="5:20" ht="21" x14ac:dyDescent="0.25">
      <c r="E68" s="114" t="s">
        <v>292</v>
      </c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</row>
    <row r="69" spans="5:20" ht="21" x14ac:dyDescent="0.25">
      <c r="E69" s="114" t="s">
        <v>312</v>
      </c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</row>
    <row r="70" spans="5:20" ht="21" x14ac:dyDescent="0.25">
      <c r="E70" s="114" t="s">
        <v>293</v>
      </c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</row>
    <row r="71" spans="5:20" ht="21" x14ac:dyDescent="0.35">
      <c r="E71" s="63" t="s">
        <v>1</v>
      </c>
      <c r="F71" s="63" t="s">
        <v>2</v>
      </c>
      <c r="G71" s="63" t="s">
        <v>3</v>
      </c>
      <c r="H71" s="63" t="s">
        <v>4</v>
      </c>
      <c r="I71" s="64" t="s">
        <v>5</v>
      </c>
      <c r="J71" s="64" t="s">
        <v>6</v>
      </c>
      <c r="K71" s="64" t="s">
        <v>7</v>
      </c>
      <c r="L71" s="64" t="s">
        <v>8</v>
      </c>
      <c r="M71" s="64" t="s">
        <v>9</v>
      </c>
      <c r="N71" s="64" t="s">
        <v>170</v>
      </c>
      <c r="O71" s="64" t="s">
        <v>214</v>
      </c>
      <c r="P71" s="65" t="s">
        <v>11</v>
      </c>
      <c r="Q71" s="65" t="s">
        <v>10</v>
      </c>
      <c r="R71" s="66" t="s">
        <v>12</v>
      </c>
      <c r="S71" s="64" t="s">
        <v>215</v>
      </c>
      <c r="T71" s="64" t="s">
        <v>13</v>
      </c>
    </row>
    <row r="72" spans="5:20" ht="21" x14ac:dyDescent="0.25">
      <c r="E72" s="45"/>
      <c r="F72" s="45"/>
      <c r="G72" s="45"/>
      <c r="H72" s="45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</row>
    <row r="73" spans="5:20" ht="25.5" x14ac:dyDescent="0.25">
      <c r="E73" s="45">
        <v>1</v>
      </c>
      <c r="F73" s="45">
        <v>1645</v>
      </c>
      <c r="G73" s="48" t="s">
        <v>216</v>
      </c>
      <c r="H73" s="48" t="s">
        <v>217</v>
      </c>
      <c r="I73" s="46">
        <v>45</v>
      </c>
      <c r="J73" s="46">
        <v>40</v>
      </c>
      <c r="K73" s="46">
        <v>40</v>
      </c>
      <c r="L73" s="46">
        <v>43</v>
      </c>
      <c r="M73" s="46">
        <v>41</v>
      </c>
      <c r="N73" s="46">
        <v>45</v>
      </c>
      <c r="O73" s="46">
        <v>49</v>
      </c>
      <c r="P73" s="46">
        <f t="shared" ref="P73:P91" si="6">SUM(I73:O73)</f>
        <v>303</v>
      </c>
      <c r="Q73" s="46">
        <v>350</v>
      </c>
      <c r="R73" s="46">
        <f>P73/Q73*100</f>
        <v>86.571428571428584</v>
      </c>
      <c r="S73" s="49"/>
      <c r="T73" s="50" t="s">
        <v>171</v>
      </c>
    </row>
    <row r="74" spans="5:20" ht="25.5" x14ac:dyDescent="0.25">
      <c r="E74" s="45">
        <v>2</v>
      </c>
      <c r="F74" s="45">
        <v>1648</v>
      </c>
      <c r="G74" s="48" t="s">
        <v>218</v>
      </c>
      <c r="H74" s="48" t="s">
        <v>219</v>
      </c>
      <c r="I74" s="46">
        <v>44</v>
      </c>
      <c r="J74" s="46">
        <v>47</v>
      </c>
      <c r="K74" s="46">
        <v>50</v>
      </c>
      <c r="L74" s="46">
        <v>47</v>
      </c>
      <c r="M74" s="46">
        <v>50</v>
      </c>
      <c r="N74" s="46">
        <v>49</v>
      </c>
      <c r="O74" s="46">
        <v>45</v>
      </c>
      <c r="P74" s="46">
        <f t="shared" si="6"/>
        <v>332</v>
      </c>
      <c r="Q74" s="46">
        <v>350</v>
      </c>
      <c r="R74" s="46">
        <f t="shared" ref="R74:R94" si="7">P74/Q74*100</f>
        <v>94.857142857142861</v>
      </c>
      <c r="S74" s="49"/>
      <c r="T74" s="50" t="s">
        <v>171</v>
      </c>
    </row>
    <row r="75" spans="5:20" ht="25.5" x14ac:dyDescent="0.25">
      <c r="E75" s="45">
        <v>3</v>
      </c>
      <c r="F75" s="45">
        <v>1641</v>
      </c>
      <c r="G75" s="48" t="s">
        <v>175</v>
      </c>
      <c r="H75" s="48" t="s">
        <v>300</v>
      </c>
      <c r="I75" s="46">
        <v>43</v>
      </c>
      <c r="J75" s="46">
        <v>48</v>
      </c>
      <c r="K75" s="46">
        <v>39</v>
      </c>
      <c r="L75" s="46">
        <v>35</v>
      </c>
      <c r="M75" s="46">
        <v>45</v>
      </c>
      <c r="N75" s="46">
        <v>49</v>
      </c>
      <c r="O75" s="46">
        <v>40</v>
      </c>
      <c r="P75" s="46">
        <f t="shared" si="6"/>
        <v>299</v>
      </c>
      <c r="Q75" s="46">
        <v>350</v>
      </c>
      <c r="R75" s="46">
        <f t="shared" si="7"/>
        <v>85.428571428571431</v>
      </c>
      <c r="S75" s="49"/>
      <c r="T75" s="50" t="s">
        <v>171</v>
      </c>
    </row>
    <row r="76" spans="5:20" ht="25.5" x14ac:dyDescent="0.25">
      <c r="E76" s="45">
        <v>4</v>
      </c>
      <c r="F76" s="45">
        <v>1609</v>
      </c>
      <c r="G76" s="48" t="s">
        <v>178</v>
      </c>
      <c r="H76" s="48" t="s">
        <v>184</v>
      </c>
      <c r="I76" s="46">
        <v>41</v>
      </c>
      <c r="J76" s="46">
        <v>48</v>
      </c>
      <c r="K76" s="46">
        <v>37</v>
      </c>
      <c r="L76" s="46">
        <v>42</v>
      </c>
      <c r="M76" s="46">
        <v>47</v>
      </c>
      <c r="N76" s="46">
        <v>46</v>
      </c>
      <c r="O76" s="46">
        <v>43</v>
      </c>
      <c r="P76" s="46">
        <f t="shared" si="6"/>
        <v>304</v>
      </c>
      <c r="Q76" s="46">
        <v>350</v>
      </c>
      <c r="R76" s="46">
        <f t="shared" si="7"/>
        <v>86.857142857142861</v>
      </c>
      <c r="S76" s="49"/>
      <c r="T76" s="50" t="s">
        <v>171</v>
      </c>
    </row>
    <row r="77" spans="5:20" ht="25.5" x14ac:dyDescent="0.25">
      <c r="E77" s="45">
        <v>5</v>
      </c>
      <c r="F77" s="45">
        <v>1712</v>
      </c>
      <c r="G77" s="48" t="s">
        <v>220</v>
      </c>
      <c r="H77" s="48" t="s">
        <v>221</v>
      </c>
      <c r="I77" s="46">
        <v>39</v>
      </c>
      <c r="J77" s="46">
        <v>48</v>
      </c>
      <c r="K77" s="46">
        <v>45</v>
      </c>
      <c r="L77" s="46">
        <v>40</v>
      </c>
      <c r="M77" s="46">
        <v>36</v>
      </c>
      <c r="N77" s="46">
        <v>33</v>
      </c>
      <c r="O77" s="46">
        <v>50</v>
      </c>
      <c r="P77" s="46">
        <f t="shared" si="6"/>
        <v>291</v>
      </c>
      <c r="Q77" s="46">
        <v>350</v>
      </c>
      <c r="R77" s="46">
        <f t="shared" si="7"/>
        <v>83.142857142857139</v>
      </c>
      <c r="S77" s="51"/>
      <c r="T77" s="50" t="s">
        <v>171</v>
      </c>
    </row>
    <row r="78" spans="5:20" ht="25.5" x14ac:dyDescent="0.25">
      <c r="E78" s="45">
        <v>6</v>
      </c>
      <c r="F78" s="45">
        <v>1710</v>
      </c>
      <c r="G78" s="48" t="s">
        <v>222</v>
      </c>
      <c r="H78" s="48" t="s">
        <v>177</v>
      </c>
      <c r="I78" s="46">
        <v>38</v>
      </c>
      <c r="J78" s="46">
        <v>45</v>
      </c>
      <c r="K78" s="46">
        <v>48</v>
      </c>
      <c r="L78" s="46">
        <v>33</v>
      </c>
      <c r="M78" s="46">
        <v>39</v>
      </c>
      <c r="N78" s="46">
        <v>46</v>
      </c>
      <c r="O78" s="46">
        <v>30</v>
      </c>
      <c r="P78" s="46">
        <f t="shared" si="6"/>
        <v>279</v>
      </c>
      <c r="Q78" s="46">
        <v>350</v>
      </c>
      <c r="R78" s="46">
        <f t="shared" si="7"/>
        <v>79.714285714285722</v>
      </c>
      <c r="S78" s="51"/>
      <c r="T78" s="50" t="s">
        <v>171</v>
      </c>
    </row>
    <row r="79" spans="5:20" ht="25.5" x14ac:dyDescent="0.25">
      <c r="E79" s="45">
        <v>7</v>
      </c>
      <c r="F79" s="45">
        <v>1790</v>
      </c>
      <c r="G79" s="48" t="s">
        <v>223</v>
      </c>
      <c r="H79" s="48" t="s">
        <v>224</v>
      </c>
      <c r="I79" s="46">
        <v>37</v>
      </c>
      <c r="J79" s="46">
        <v>29</v>
      </c>
      <c r="K79" s="46">
        <v>48</v>
      </c>
      <c r="L79" s="46">
        <v>39</v>
      </c>
      <c r="M79" s="46">
        <v>46</v>
      </c>
      <c r="N79" s="46">
        <v>47</v>
      </c>
      <c r="O79" s="46">
        <v>40</v>
      </c>
      <c r="P79" s="46">
        <f t="shared" si="6"/>
        <v>286</v>
      </c>
      <c r="Q79" s="46">
        <v>350</v>
      </c>
      <c r="R79" s="46">
        <f t="shared" si="7"/>
        <v>81.714285714285722</v>
      </c>
      <c r="S79" s="51"/>
      <c r="T79" s="50" t="s">
        <v>171</v>
      </c>
    </row>
    <row r="80" spans="5:20" ht="25.5" x14ac:dyDescent="0.25">
      <c r="E80" s="45">
        <v>8</v>
      </c>
      <c r="F80" s="45">
        <v>1791</v>
      </c>
      <c r="G80" s="48" t="s">
        <v>225</v>
      </c>
      <c r="H80" s="48" t="s">
        <v>226</v>
      </c>
      <c r="I80" s="46">
        <v>35</v>
      </c>
      <c r="J80" s="46">
        <v>444</v>
      </c>
      <c r="K80" s="46">
        <v>47</v>
      </c>
      <c r="L80" s="46">
        <v>46</v>
      </c>
      <c r="M80" s="46">
        <v>48</v>
      </c>
      <c r="N80" s="46">
        <v>49</v>
      </c>
      <c r="O80" s="46">
        <v>30</v>
      </c>
      <c r="P80" s="46">
        <f t="shared" si="6"/>
        <v>699</v>
      </c>
      <c r="Q80" s="46">
        <v>350</v>
      </c>
      <c r="R80" s="46">
        <f t="shared" si="7"/>
        <v>199.71428571428572</v>
      </c>
      <c r="S80" s="51"/>
      <c r="T80" s="50" t="s">
        <v>171</v>
      </c>
    </row>
    <row r="81" spans="5:20" ht="25.5" x14ac:dyDescent="0.25">
      <c r="E81" s="45">
        <v>9</v>
      </c>
      <c r="F81" s="45">
        <v>1792</v>
      </c>
      <c r="G81" s="48" t="s">
        <v>182</v>
      </c>
      <c r="H81" s="48" t="s">
        <v>227</v>
      </c>
      <c r="I81" s="46">
        <v>34</v>
      </c>
      <c r="J81" s="46">
        <v>49</v>
      </c>
      <c r="K81" s="46">
        <v>50</v>
      </c>
      <c r="L81" s="46">
        <v>45</v>
      </c>
      <c r="M81" s="46">
        <v>49</v>
      </c>
      <c r="N81" s="46">
        <v>49</v>
      </c>
      <c r="O81" s="46">
        <v>47</v>
      </c>
      <c r="P81" s="46">
        <f t="shared" si="6"/>
        <v>323</v>
      </c>
      <c r="Q81" s="46">
        <v>350</v>
      </c>
      <c r="R81" s="46">
        <f t="shared" si="7"/>
        <v>92.285714285714278</v>
      </c>
      <c r="S81" s="51"/>
      <c r="T81" s="50" t="s">
        <v>171</v>
      </c>
    </row>
    <row r="82" spans="5:20" ht="25.5" x14ac:dyDescent="0.25">
      <c r="E82" s="45">
        <v>10</v>
      </c>
      <c r="F82" s="45">
        <v>1793</v>
      </c>
      <c r="G82" s="48" t="s">
        <v>228</v>
      </c>
      <c r="H82" s="48" t="s">
        <v>229</v>
      </c>
      <c r="I82" s="46">
        <v>30</v>
      </c>
      <c r="J82" s="46">
        <v>39</v>
      </c>
      <c r="K82" s="47">
        <v>29</v>
      </c>
      <c r="L82" s="46">
        <v>30</v>
      </c>
      <c r="M82" s="46">
        <v>48</v>
      </c>
      <c r="N82" s="46">
        <v>40</v>
      </c>
      <c r="O82" s="46">
        <v>49</v>
      </c>
      <c r="P82" s="46">
        <f t="shared" si="6"/>
        <v>265</v>
      </c>
      <c r="Q82" s="46">
        <v>350</v>
      </c>
      <c r="R82" s="46">
        <f t="shared" si="7"/>
        <v>75.714285714285708</v>
      </c>
      <c r="S82" s="51"/>
      <c r="T82" s="50" t="s">
        <v>171</v>
      </c>
    </row>
    <row r="83" spans="5:20" ht="25.5" x14ac:dyDescent="0.25">
      <c r="E83" s="45">
        <v>11</v>
      </c>
      <c r="F83" s="45">
        <v>1794</v>
      </c>
      <c r="G83" s="48" t="s">
        <v>230</v>
      </c>
      <c r="H83" s="48" t="s">
        <v>185</v>
      </c>
      <c r="I83" s="46">
        <v>28</v>
      </c>
      <c r="J83" s="46">
        <v>30</v>
      </c>
      <c r="K83" s="46">
        <v>38</v>
      </c>
      <c r="L83" s="46">
        <v>34</v>
      </c>
      <c r="M83" s="46">
        <v>40</v>
      </c>
      <c r="N83" s="46">
        <v>37</v>
      </c>
      <c r="O83" s="46">
        <v>45</v>
      </c>
      <c r="P83" s="46">
        <f t="shared" si="6"/>
        <v>252</v>
      </c>
      <c r="Q83" s="46">
        <v>350</v>
      </c>
      <c r="R83" s="46">
        <f t="shared" si="7"/>
        <v>72</v>
      </c>
      <c r="S83" s="51"/>
      <c r="T83" s="50" t="s">
        <v>171</v>
      </c>
    </row>
    <row r="84" spans="5:20" ht="25.5" x14ac:dyDescent="0.25">
      <c r="E84" s="45">
        <v>12</v>
      </c>
      <c r="F84" s="45">
        <v>1795</v>
      </c>
      <c r="G84" s="48" t="s">
        <v>231</v>
      </c>
      <c r="H84" s="48" t="s">
        <v>232</v>
      </c>
      <c r="I84" s="47">
        <v>28</v>
      </c>
      <c r="J84" s="47">
        <v>30</v>
      </c>
      <c r="K84" s="47">
        <v>25</v>
      </c>
      <c r="L84" s="47">
        <v>20</v>
      </c>
      <c r="M84" s="47">
        <v>35</v>
      </c>
      <c r="N84" s="47">
        <v>43</v>
      </c>
      <c r="O84" s="47">
        <v>35</v>
      </c>
      <c r="P84" s="46">
        <f t="shared" si="6"/>
        <v>216</v>
      </c>
      <c r="Q84" s="46">
        <v>350</v>
      </c>
      <c r="R84" s="46">
        <f t="shared" si="7"/>
        <v>61.714285714285708</v>
      </c>
      <c r="S84" s="51"/>
      <c r="T84" s="50" t="s">
        <v>171</v>
      </c>
    </row>
    <row r="85" spans="5:20" ht="25.5" x14ac:dyDescent="0.25">
      <c r="E85" s="45">
        <v>13</v>
      </c>
      <c r="F85" s="45">
        <v>1796</v>
      </c>
      <c r="G85" s="48" t="s">
        <v>233</v>
      </c>
      <c r="H85" s="48" t="s">
        <v>232</v>
      </c>
      <c r="I85" s="46">
        <v>27</v>
      </c>
      <c r="J85" s="46">
        <v>28</v>
      </c>
      <c r="K85" s="46">
        <v>35</v>
      </c>
      <c r="L85" s="46">
        <v>22</v>
      </c>
      <c r="M85" s="46">
        <v>37</v>
      </c>
      <c r="N85" s="46">
        <v>40</v>
      </c>
      <c r="O85" s="46">
        <v>37</v>
      </c>
      <c r="P85" s="46">
        <f t="shared" si="6"/>
        <v>226</v>
      </c>
      <c r="Q85" s="46">
        <v>350</v>
      </c>
      <c r="R85" s="46">
        <f t="shared" si="7"/>
        <v>64.571428571428569</v>
      </c>
      <c r="S85" s="51"/>
      <c r="T85" s="50" t="s">
        <v>171</v>
      </c>
    </row>
    <row r="86" spans="5:20" ht="25.5" x14ac:dyDescent="0.25">
      <c r="E86" s="45">
        <v>14</v>
      </c>
      <c r="F86" s="45">
        <v>1654</v>
      </c>
      <c r="G86" s="48" t="s">
        <v>234</v>
      </c>
      <c r="H86" s="48" t="s">
        <v>235</v>
      </c>
      <c r="I86" s="47">
        <v>25</v>
      </c>
      <c r="J86" s="46">
        <v>20</v>
      </c>
      <c r="K86" s="47">
        <v>35</v>
      </c>
      <c r="L86" s="47">
        <v>29</v>
      </c>
      <c r="M86" s="47">
        <v>45</v>
      </c>
      <c r="N86" s="47">
        <v>33</v>
      </c>
      <c r="O86" s="47">
        <v>29</v>
      </c>
      <c r="P86" s="46">
        <f t="shared" si="6"/>
        <v>216</v>
      </c>
      <c r="Q86" s="46">
        <v>350</v>
      </c>
      <c r="R86" s="46">
        <f t="shared" si="7"/>
        <v>61.714285714285708</v>
      </c>
      <c r="S86" s="51"/>
      <c r="T86" s="50" t="s">
        <v>171</v>
      </c>
    </row>
    <row r="87" spans="5:20" ht="25.5" x14ac:dyDescent="0.25">
      <c r="E87" s="45">
        <v>15</v>
      </c>
      <c r="F87" s="45">
        <v>1603</v>
      </c>
      <c r="G87" s="48" t="s">
        <v>236</v>
      </c>
      <c r="H87" s="48" t="s">
        <v>172</v>
      </c>
      <c r="I87" s="46">
        <v>20</v>
      </c>
      <c r="J87" s="46">
        <v>35</v>
      </c>
      <c r="K87" s="46">
        <v>50</v>
      </c>
      <c r="L87" s="46">
        <v>25</v>
      </c>
      <c r="M87" s="46">
        <v>40</v>
      </c>
      <c r="N87" s="46">
        <v>25</v>
      </c>
      <c r="O87" s="46">
        <v>50</v>
      </c>
      <c r="P87" s="46">
        <f t="shared" si="6"/>
        <v>245</v>
      </c>
      <c r="Q87" s="46">
        <v>350</v>
      </c>
      <c r="R87" s="46">
        <f t="shared" si="7"/>
        <v>70</v>
      </c>
      <c r="S87" s="51"/>
      <c r="T87" s="50" t="s">
        <v>171</v>
      </c>
    </row>
    <row r="88" spans="5:20" ht="25.5" x14ac:dyDescent="0.25">
      <c r="E88" s="45">
        <v>16</v>
      </c>
      <c r="F88" s="48">
        <v>1656</v>
      </c>
      <c r="G88" s="48" t="s">
        <v>237</v>
      </c>
      <c r="H88" s="48" t="s">
        <v>238</v>
      </c>
      <c r="I88" s="46">
        <v>20</v>
      </c>
      <c r="J88" s="46">
        <v>47</v>
      </c>
      <c r="K88" s="46">
        <v>39</v>
      </c>
      <c r="L88" s="46">
        <v>45</v>
      </c>
      <c r="M88" s="46">
        <v>30</v>
      </c>
      <c r="N88" s="46">
        <v>45</v>
      </c>
      <c r="O88" s="46">
        <v>38</v>
      </c>
      <c r="P88" s="46">
        <f t="shared" si="6"/>
        <v>264</v>
      </c>
      <c r="Q88" s="46">
        <v>350</v>
      </c>
      <c r="R88" s="46">
        <f t="shared" si="7"/>
        <v>75.428571428571431</v>
      </c>
      <c r="S88" s="51"/>
      <c r="T88" s="50" t="s">
        <v>171</v>
      </c>
    </row>
    <row r="89" spans="5:20" ht="25.5" x14ac:dyDescent="0.25">
      <c r="E89" s="45">
        <v>17</v>
      </c>
      <c r="F89" s="48">
        <v>1657</v>
      </c>
      <c r="G89" s="48" t="s">
        <v>239</v>
      </c>
      <c r="H89" s="48" t="s">
        <v>169</v>
      </c>
      <c r="I89" s="46">
        <v>20</v>
      </c>
      <c r="J89" s="46">
        <v>19</v>
      </c>
      <c r="K89" s="46">
        <v>18</v>
      </c>
      <c r="L89" s="46">
        <v>29</v>
      </c>
      <c r="M89" s="46">
        <v>29</v>
      </c>
      <c r="N89" s="46">
        <v>32</v>
      </c>
      <c r="O89" s="46">
        <v>40</v>
      </c>
      <c r="P89" s="46">
        <f t="shared" si="6"/>
        <v>187</v>
      </c>
      <c r="Q89" s="46">
        <v>350</v>
      </c>
      <c r="R89" s="46">
        <f t="shared" si="7"/>
        <v>53.428571428571423</v>
      </c>
      <c r="S89" s="51"/>
      <c r="T89" s="50" t="s">
        <v>171</v>
      </c>
    </row>
    <row r="90" spans="5:20" ht="25.5" x14ac:dyDescent="0.25">
      <c r="E90" s="45">
        <v>18</v>
      </c>
      <c r="F90" s="48">
        <v>1722</v>
      </c>
      <c r="G90" s="48" t="s">
        <v>240</v>
      </c>
      <c r="H90" s="48" t="s">
        <v>241</v>
      </c>
      <c r="I90" s="46">
        <v>19</v>
      </c>
      <c r="J90" s="46">
        <v>30</v>
      </c>
      <c r="K90" s="46">
        <v>25</v>
      </c>
      <c r="L90" s="46">
        <v>20</v>
      </c>
      <c r="M90" s="46">
        <v>27</v>
      </c>
      <c r="N90" s="46">
        <v>30</v>
      </c>
      <c r="O90" s="46">
        <v>40</v>
      </c>
      <c r="P90" s="46">
        <f t="shared" si="6"/>
        <v>191</v>
      </c>
      <c r="Q90" s="46">
        <v>350</v>
      </c>
      <c r="R90" s="46">
        <f t="shared" si="7"/>
        <v>54.571428571428569</v>
      </c>
      <c r="S90" s="51"/>
      <c r="T90" s="50" t="s">
        <v>171</v>
      </c>
    </row>
    <row r="91" spans="5:20" ht="25.5" x14ac:dyDescent="0.25">
      <c r="E91" s="45">
        <v>19</v>
      </c>
      <c r="F91" s="48">
        <v>1788</v>
      </c>
      <c r="G91" s="48" t="s">
        <v>242</v>
      </c>
      <c r="H91" s="48" t="s">
        <v>181</v>
      </c>
      <c r="I91" s="46">
        <v>19</v>
      </c>
      <c r="J91" s="46">
        <v>20</v>
      </c>
      <c r="K91" s="46">
        <v>18</v>
      </c>
      <c r="L91" s="46">
        <v>22</v>
      </c>
      <c r="M91" s="46">
        <v>33</v>
      </c>
      <c r="N91" s="46">
        <v>21</v>
      </c>
      <c r="O91" s="46">
        <v>35</v>
      </c>
      <c r="P91" s="46">
        <f t="shared" si="6"/>
        <v>168</v>
      </c>
      <c r="Q91" s="46">
        <v>350</v>
      </c>
      <c r="R91" s="46">
        <f t="shared" si="7"/>
        <v>48</v>
      </c>
      <c r="S91" s="51"/>
      <c r="T91" s="50" t="s">
        <v>171</v>
      </c>
    </row>
    <row r="92" spans="5:20" ht="25.5" x14ac:dyDescent="0.25">
      <c r="E92" s="45">
        <v>20</v>
      </c>
      <c r="F92" s="48">
        <v>1655</v>
      </c>
      <c r="G92" s="48" t="s">
        <v>179</v>
      </c>
      <c r="H92" s="48" t="s">
        <v>168</v>
      </c>
      <c r="I92" s="46" t="s">
        <v>243</v>
      </c>
      <c r="J92" s="46" t="s">
        <v>243</v>
      </c>
      <c r="K92" s="46" t="s">
        <v>243</v>
      </c>
      <c r="L92" s="46" t="s">
        <v>243</v>
      </c>
      <c r="M92" s="47" t="s">
        <v>243</v>
      </c>
      <c r="N92" s="46" t="s">
        <v>243</v>
      </c>
      <c r="O92" s="47" t="s">
        <v>243</v>
      </c>
      <c r="P92" s="46">
        <f t="shared" ref="P92:P94" si="8">SUM(I92:O92)</f>
        <v>0</v>
      </c>
      <c r="Q92" s="46">
        <v>350</v>
      </c>
      <c r="R92" s="46">
        <f t="shared" si="7"/>
        <v>0</v>
      </c>
      <c r="S92" s="51"/>
      <c r="T92" s="50" t="s">
        <v>299</v>
      </c>
    </row>
    <row r="93" spans="5:20" ht="25.5" x14ac:dyDescent="0.25">
      <c r="E93" s="45">
        <v>21</v>
      </c>
      <c r="F93" s="48">
        <v>1789</v>
      </c>
      <c r="G93" s="48" t="s">
        <v>244</v>
      </c>
      <c r="H93" s="48" t="s">
        <v>245</v>
      </c>
      <c r="I93" s="46">
        <v>31</v>
      </c>
      <c r="J93" s="46">
        <v>30</v>
      </c>
      <c r="K93" s="46">
        <v>29</v>
      </c>
      <c r="L93" s="46">
        <v>29</v>
      </c>
      <c r="M93" s="46">
        <v>31</v>
      </c>
      <c r="N93" s="46">
        <v>41</v>
      </c>
      <c r="O93" s="46">
        <v>40</v>
      </c>
      <c r="P93" s="46">
        <f t="shared" si="8"/>
        <v>231</v>
      </c>
      <c r="Q93" s="46">
        <v>350</v>
      </c>
      <c r="R93" s="46">
        <f t="shared" si="7"/>
        <v>66</v>
      </c>
      <c r="S93" s="51"/>
      <c r="T93" s="50" t="s">
        <v>171</v>
      </c>
    </row>
    <row r="94" spans="5:20" ht="25.5" x14ac:dyDescent="0.25">
      <c r="E94" s="45">
        <v>22</v>
      </c>
      <c r="F94" s="48">
        <v>1858</v>
      </c>
      <c r="G94" s="48" t="s">
        <v>246</v>
      </c>
      <c r="H94" s="48" t="s">
        <v>247</v>
      </c>
      <c r="I94" s="47">
        <v>32</v>
      </c>
      <c r="J94" s="46">
        <v>33</v>
      </c>
      <c r="K94" s="47">
        <v>34</v>
      </c>
      <c r="L94" s="47">
        <v>36</v>
      </c>
      <c r="M94" s="46">
        <v>37</v>
      </c>
      <c r="N94" s="47">
        <v>31</v>
      </c>
      <c r="O94" s="47">
        <v>25</v>
      </c>
      <c r="P94" s="46">
        <f t="shared" si="8"/>
        <v>228</v>
      </c>
      <c r="Q94" s="46">
        <v>350</v>
      </c>
      <c r="R94" s="46">
        <f t="shared" si="7"/>
        <v>65.142857142857153</v>
      </c>
      <c r="S94" s="51"/>
      <c r="T94" s="50" t="s">
        <v>299</v>
      </c>
    </row>
    <row r="95" spans="5:20" ht="21" x14ac:dyDescent="0.25">
      <c r="E95" s="108" t="s">
        <v>312</v>
      </c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10"/>
    </row>
    <row r="96" spans="5:20" ht="21" x14ac:dyDescent="0.25">
      <c r="E96" s="109" t="s">
        <v>294</v>
      </c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2"/>
    </row>
    <row r="97" spans="5:20" ht="21" x14ac:dyDescent="0.25">
      <c r="E97" s="63" t="s">
        <v>1</v>
      </c>
      <c r="F97" s="63" t="s">
        <v>2</v>
      </c>
      <c r="G97" s="63" t="s">
        <v>3</v>
      </c>
      <c r="H97" s="63" t="s">
        <v>4</v>
      </c>
      <c r="I97" s="64" t="s">
        <v>5</v>
      </c>
      <c r="J97" s="64" t="s">
        <v>6</v>
      </c>
      <c r="K97" s="64" t="s">
        <v>7</v>
      </c>
      <c r="L97" s="64" t="s">
        <v>8</v>
      </c>
      <c r="M97" s="64" t="s">
        <v>248</v>
      </c>
      <c r="N97" s="64" t="s">
        <v>170</v>
      </c>
      <c r="O97" s="64" t="s">
        <v>9</v>
      </c>
      <c r="P97" s="65" t="s">
        <v>11</v>
      </c>
      <c r="Q97" s="65" t="s">
        <v>10</v>
      </c>
      <c r="R97" s="64" t="s">
        <v>12</v>
      </c>
      <c r="S97" s="64" t="s">
        <v>215</v>
      </c>
      <c r="T97" s="64" t="s">
        <v>13</v>
      </c>
    </row>
    <row r="98" spans="5:20" ht="21" x14ac:dyDescent="0.25">
      <c r="E98" s="45"/>
      <c r="F98" s="45"/>
      <c r="G98" s="45"/>
      <c r="H98" s="45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53"/>
    </row>
    <row r="99" spans="5:20" ht="21" x14ac:dyDescent="0.25">
      <c r="E99" s="45">
        <v>1</v>
      </c>
      <c r="F99" s="45">
        <v>1516</v>
      </c>
      <c r="G99" s="48" t="s">
        <v>249</v>
      </c>
      <c r="H99" s="48" t="s">
        <v>172</v>
      </c>
      <c r="I99" s="46">
        <v>29</v>
      </c>
      <c r="J99" s="46">
        <v>29</v>
      </c>
      <c r="K99" s="46">
        <v>40</v>
      </c>
      <c r="L99" s="46">
        <v>30</v>
      </c>
      <c r="M99" s="46">
        <v>32</v>
      </c>
      <c r="N99" s="46">
        <v>32</v>
      </c>
      <c r="O99" s="46">
        <v>29</v>
      </c>
      <c r="P99" s="46">
        <f>SUM(I99:O99)</f>
        <v>221</v>
      </c>
      <c r="Q99" s="46">
        <v>350</v>
      </c>
      <c r="R99" s="46">
        <f>P99/Q99*100</f>
        <v>63.142857142857146</v>
      </c>
      <c r="S99" s="46"/>
      <c r="T99" s="46" t="s">
        <v>171</v>
      </c>
    </row>
    <row r="100" spans="5:20" ht="21" x14ac:dyDescent="0.25">
      <c r="E100" s="45">
        <v>2</v>
      </c>
      <c r="F100" s="45">
        <v>1025</v>
      </c>
      <c r="G100" s="48" t="s">
        <v>250</v>
      </c>
      <c r="H100" s="48" t="s">
        <v>165</v>
      </c>
      <c r="I100" s="46">
        <v>24</v>
      </c>
      <c r="J100" s="46">
        <v>26</v>
      </c>
      <c r="K100" s="46">
        <v>34</v>
      </c>
      <c r="L100" s="46">
        <v>26</v>
      </c>
      <c r="M100" s="46">
        <v>27</v>
      </c>
      <c r="N100" s="46">
        <v>29</v>
      </c>
      <c r="O100" s="46">
        <v>26</v>
      </c>
      <c r="P100" s="46">
        <f t="shared" ref="P100:P103" si="9">SUM(I100:O100)</f>
        <v>192</v>
      </c>
      <c r="Q100" s="46">
        <v>350</v>
      </c>
      <c r="R100" s="46">
        <f t="shared" ref="R100:R110" si="10">P100/Q100*100</f>
        <v>54.857142857142861</v>
      </c>
      <c r="S100" s="46"/>
      <c r="T100" s="46" t="s">
        <v>171</v>
      </c>
    </row>
    <row r="101" spans="5:20" ht="21" x14ac:dyDescent="0.25">
      <c r="E101" s="45">
        <v>3</v>
      </c>
      <c r="F101" s="45">
        <v>1626</v>
      </c>
      <c r="G101" s="48" t="s">
        <v>251</v>
      </c>
      <c r="H101" s="48" t="s">
        <v>252</v>
      </c>
      <c r="I101" s="46">
        <v>31</v>
      </c>
      <c r="J101" s="46">
        <v>28</v>
      </c>
      <c r="K101" s="46">
        <v>34</v>
      </c>
      <c r="L101" s="46">
        <v>37</v>
      </c>
      <c r="M101" s="46">
        <v>35</v>
      </c>
      <c r="N101" s="46">
        <v>32</v>
      </c>
      <c r="O101" s="46">
        <v>40</v>
      </c>
      <c r="P101" s="46">
        <f t="shared" si="9"/>
        <v>237</v>
      </c>
      <c r="Q101" s="46">
        <v>350</v>
      </c>
      <c r="R101" s="46">
        <f t="shared" si="10"/>
        <v>67.714285714285722</v>
      </c>
      <c r="S101" s="46"/>
      <c r="T101" s="46" t="s">
        <v>171</v>
      </c>
    </row>
    <row r="102" spans="5:20" ht="21" x14ac:dyDescent="0.25">
      <c r="E102" s="45">
        <v>4</v>
      </c>
      <c r="F102" s="45">
        <v>1676</v>
      </c>
      <c r="G102" s="48" t="s">
        <v>183</v>
      </c>
      <c r="H102" s="48" t="s">
        <v>253</v>
      </c>
      <c r="I102" s="46">
        <v>32</v>
      </c>
      <c r="J102" s="46">
        <v>29</v>
      </c>
      <c r="K102" s="46">
        <v>31</v>
      </c>
      <c r="L102" s="46">
        <v>39</v>
      </c>
      <c r="M102" s="46">
        <v>37</v>
      </c>
      <c r="N102" s="46">
        <v>39</v>
      </c>
      <c r="O102" s="46">
        <v>41</v>
      </c>
      <c r="P102" s="46">
        <f t="shared" si="9"/>
        <v>248</v>
      </c>
      <c r="Q102" s="46">
        <v>350</v>
      </c>
      <c r="R102" s="46">
        <f t="shared" si="10"/>
        <v>70.857142857142847</v>
      </c>
      <c r="S102" s="46"/>
      <c r="T102" s="46" t="s">
        <v>171</v>
      </c>
    </row>
    <row r="103" spans="5:20" ht="21" x14ac:dyDescent="0.25">
      <c r="E103" s="45">
        <v>5</v>
      </c>
      <c r="F103" s="45">
        <v>1781</v>
      </c>
      <c r="G103" s="48" t="s">
        <v>254</v>
      </c>
      <c r="H103" s="48" t="s">
        <v>255</v>
      </c>
      <c r="I103" s="46">
        <v>29</v>
      </c>
      <c r="J103" s="46">
        <v>30</v>
      </c>
      <c r="K103" s="46">
        <v>30</v>
      </c>
      <c r="L103" s="46">
        <v>24</v>
      </c>
      <c r="M103" s="46">
        <v>25</v>
      </c>
      <c r="N103" s="46">
        <v>26</v>
      </c>
      <c r="O103" s="46">
        <v>34</v>
      </c>
      <c r="P103" s="46">
        <f t="shared" si="9"/>
        <v>198</v>
      </c>
      <c r="Q103" s="46">
        <v>350</v>
      </c>
      <c r="R103" s="46">
        <f t="shared" si="10"/>
        <v>56.571428571428569</v>
      </c>
      <c r="S103" s="46"/>
      <c r="T103" s="46" t="s">
        <v>171</v>
      </c>
    </row>
    <row r="104" spans="5:20" ht="21" x14ac:dyDescent="0.25">
      <c r="E104" s="45">
        <v>6</v>
      </c>
      <c r="F104" s="45">
        <v>1782</v>
      </c>
      <c r="G104" s="48" t="s">
        <v>173</v>
      </c>
      <c r="H104" s="48" t="s">
        <v>174</v>
      </c>
      <c r="I104" s="46">
        <v>30</v>
      </c>
      <c r="J104" s="46">
        <v>31</v>
      </c>
      <c r="K104" s="46">
        <v>29</v>
      </c>
      <c r="L104" s="46">
        <v>31</v>
      </c>
      <c r="M104" s="46">
        <v>37</v>
      </c>
      <c r="N104" s="46">
        <v>30</v>
      </c>
      <c r="O104" s="46">
        <v>30</v>
      </c>
      <c r="P104" s="46">
        <f>SUM(I104:O104)</f>
        <v>218</v>
      </c>
      <c r="Q104" s="46">
        <v>350</v>
      </c>
      <c r="R104" s="46">
        <f t="shared" si="10"/>
        <v>62.285714285714292</v>
      </c>
      <c r="S104" s="46"/>
      <c r="T104" s="46" t="s">
        <v>171</v>
      </c>
    </row>
    <row r="105" spans="5:20" ht="21" x14ac:dyDescent="0.25">
      <c r="E105" s="45">
        <v>7</v>
      </c>
      <c r="F105" s="45">
        <v>1629</v>
      </c>
      <c r="G105" s="48" t="s">
        <v>166</v>
      </c>
      <c r="H105" s="48" t="s">
        <v>256</v>
      </c>
      <c r="I105" s="46">
        <v>27</v>
      </c>
      <c r="J105" s="46">
        <v>32</v>
      </c>
      <c r="K105" s="46">
        <v>28</v>
      </c>
      <c r="L105" s="46">
        <v>27</v>
      </c>
      <c r="M105" s="46">
        <v>27</v>
      </c>
      <c r="N105" s="46">
        <v>28</v>
      </c>
      <c r="O105" s="46">
        <v>32</v>
      </c>
      <c r="P105" s="46">
        <f t="shared" ref="P105:P110" si="11">SUM(I105:O105)</f>
        <v>201</v>
      </c>
      <c r="Q105" s="46">
        <v>350</v>
      </c>
      <c r="R105" s="46">
        <f t="shared" si="10"/>
        <v>57.428571428571431</v>
      </c>
      <c r="S105" s="46"/>
      <c r="T105" s="46" t="s">
        <v>171</v>
      </c>
    </row>
    <row r="106" spans="5:20" ht="21" x14ac:dyDescent="0.25">
      <c r="E106" s="45">
        <v>8</v>
      </c>
      <c r="F106" s="45">
        <v>1630</v>
      </c>
      <c r="G106" s="48" t="s">
        <v>257</v>
      </c>
      <c r="H106" s="48" t="s">
        <v>217</v>
      </c>
      <c r="I106" s="46">
        <v>32</v>
      </c>
      <c r="J106" s="46">
        <v>33</v>
      </c>
      <c r="K106" s="46">
        <v>27</v>
      </c>
      <c r="L106" s="46">
        <v>29</v>
      </c>
      <c r="M106" s="46">
        <v>24</v>
      </c>
      <c r="N106" s="46">
        <v>30</v>
      </c>
      <c r="O106" s="46">
        <v>30</v>
      </c>
      <c r="P106" s="46">
        <f t="shared" si="11"/>
        <v>205</v>
      </c>
      <c r="Q106" s="46">
        <v>350</v>
      </c>
      <c r="R106" s="46">
        <f t="shared" si="10"/>
        <v>58.571428571428577</v>
      </c>
      <c r="S106" s="46"/>
      <c r="T106" s="46" t="s">
        <v>171</v>
      </c>
    </row>
    <row r="107" spans="5:20" ht="21" x14ac:dyDescent="0.25">
      <c r="E107" s="45">
        <v>9</v>
      </c>
      <c r="F107" s="45">
        <v>1631</v>
      </c>
      <c r="G107" s="48" t="s">
        <v>258</v>
      </c>
      <c r="H107" s="48" t="s">
        <v>186</v>
      </c>
      <c r="I107" s="46">
        <v>30</v>
      </c>
      <c r="J107" s="46">
        <v>34</v>
      </c>
      <c r="K107" s="46">
        <v>26</v>
      </c>
      <c r="L107" s="46">
        <v>29</v>
      </c>
      <c r="M107" s="46">
        <v>30</v>
      </c>
      <c r="N107" s="46">
        <v>28</v>
      </c>
      <c r="O107" s="46">
        <v>30</v>
      </c>
      <c r="P107" s="46">
        <f t="shared" si="11"/>
        <v>207</v>
      </c>
      <c r="Q107" s="46">
        <v>350</v>
      </c>
      <c r="R107" s="46">
        <f t="shared" si="10"/>
        <v>59.142857142857139</v>
      </c>
      <c r="S107" s="46"/>
      <c r="T107" s="46" t="s">
        <v>171</v>
      </c>
    </row>
    <row r="108" spans="5:20" ht="21" x14ac:dyDescent="0.25">
      <c r="E108" s="45">
        <v>10</v>
      </c>
      <c r="F108" s="45">
        <v>1632</v>
      </c>
      <c r="G108" s="48" t="s">
        <v>259</v>
      </c>
      <c r="H108" s="48" t="s">
        <v>260</v>
      </c>
      <c r="I108" s="46">
        <v>29</v>
      </c>
      <c r="J108" s="46">
        <v>35</v>
      </c>
      <c r="K108" s="46">
        <v>26</v>
      </c>
      <c r="L108" s="46">
        <v>32</v>
      </c>
      <c r="M108" s="46">
        <v>29</v>
      </c>
      <c r="N108" s="46">
        <v>31</v>
      </c>
      <c r="O108" s="46">
        <v>27</v>
      </c>
      <c r="P108" s="46">
        <f t="shared" si="11"/>
        <v>209</v>
      </c>
      <c r="Q108" s="46">
        <v>350</v>
      </c>
      <c r="R108" s="46">
        <f t="shared" si="10"/>
        <v>59.714285714285722</v>
      </c>
      <c r="S108" s="46"/>
      <c r="T108" s="46" t="s">
        <v>171</v>
      </c>
    </row>
    <row r="109" spans="5:20" ht="21" x14ac:dyDescent="0.25">
      <c r="E109" s="45">
        <v>11</v>
      </c>
      <c r="F109" s="45">
        <v>1637</v>
      </c>
      <c r="G109" s="48" t="s">
        <v>167</v>
      </c>
      <c r="H109" s="48" t="s">
        <v>261</v>
      </c>
      <c r="I109" s="46">
        <v>30</v>
      </c>
      <c r="J109" s="46">
        <v>36</v>
      </c>
      <c r="K109" s="46">
        <v>26</v>
      </c>
      <c r="L109" s="46">
        <v>28</v>
      </c>
      <c r="M109" s="46">
        <v>28</v>
      </c>
      <c r="N109" s="46">
        <v>29</v>
      </c>
      <c r="O109" s="46">
        <v>30</v>
      </c>
      <c r="P109" s="46">
        <f t="shared" si="11"/>
        <v>207</v>
      </c>
      <c r="Q109" s="46">
        <v>350</v>
      </c>
      <c r="R109" s="46">
        <f t="shared" si="10"/>
        <v>59.142857142857139</v>
      </c>
      <c r="S109" s="46"/>
      <c r="T109" s="46" t="s">
        <v>171</v>
      </c>
    </row>
    <row r="110" spans="5:20" ht="21" x14ac:dyDescent="0.25">
      <c r="E110" s="45">
        <v>12</v>
      </c>
      <c r="F110" s="45">
        <v>1743</v>
      </c>
      <c r="G110" s="48" t="s">
        <v>187</v>
      </c>
      <c r="H110" s="48" t="s">
        <v>261</v>
      </c>
      <c r="I110" s="46">
        <v>32</v>
      </c>
      <c r="J110" s="46">
        <v>37</v>
      </c>
      <c r="K110" s="46">
        <v>25</v>
      </c>
      <c r="L110" s="46">
        <v>28</v>
      </c>
      <c r="M110" s="46">
        <v>26</v>
      </c>
      <c r="N110" s="46">
        <v>30</v>
      </c>
      <c r="O110" s="46">
        <v>32</v>
      </c>
      <c r="P110" s="46">
        <f t="shared" si="11"/>
        <v>210</v>
      </c>
      <c r="Q110" s="46">
        <v>350</v>
      </c>
      <c r="R110" s="46">
        <f t="shared" si="10"/>
        <v>60</v>
      </c>
      <c r="S110" s="46"/>
      <c r="T110" s="46" t="s">
        <v>171</v>
      </c>
    </row>
    <row r="111" spans="5:20" ht="21" x14ac:dyDescent="0.25">
      <c r="E111" s="108" t="s">
        <v>313</v>
      </c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2"/>
    </row>
    <row r="112" spans="5:20" ht="21" x14ac:dyDescent="0.25">
      <c r="E112" s="108" t="s">
        <v>295</v>
      </c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2"/>
    </row>
    <row r="113" spans="5:20" ht="21" x14ac:dyDescent="0.25">
      <c r="E113" s="63" t="s">
        <v>1</v>
      </c>
      <c r="F113" s="63" t="s">
        <v>2</v>
      </c>
      <c r="G113" s="63" t="s">
        <v>3</v>
      </c>
      <c r="H113" s="63" t="s">
        <v>4</v>
      </c>
      <c r="I113" s="64" t="s">
        <v>5</v>
      </c>
      <c r="J113" s="64" t="s">
        <v>6</v>
      </c>
      <c r="K113" s="64" t="s">
        <v>7</v>
      </c>
      <c r="L113" s="64" t="s">
        <v>8</v>
      </c>
      <c r="M113" s="64" t="s">
        <v>248</v>
      </c>
      <c r="N113" s="64" t="s">
        <v>170</v>
      </c>
      <c r="O113" s="64" t="s">
        <v>9</v>
      </c>
      <c r="P113" s="65" t="s">
        <v>11</v>
      </c>
      <c r="Q113" s="65" t="s">
        <v>10</v>
      </c>
      <c r="R113" s="64" t="s">
        <v>12</v>
      </c>
      <c r="S113" s="64" t="s">
        <v>215</v>
      </c>
      <c r="T113" s="64" t="s">
        <v>13</v>
      </c>
    </row>
    <row r="114" spans="5:20" ht="21" x14ac:dyDescent="0.25">
      <c r="E114" s="45"/>
      <c r="F114" s="45"/>
      <c r="G114" s="45"/>
      <c r="H114" s="57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54"/>
    </row>
    <row r="115" spans="5:20" ht="21" x14ac:dyDescent="0.25">
      <c r="E115" s="45">
        <v>1</v>
      </c>
      <c r="F115" s="45">
        <v>1537</v>
      </c>
      <c r="G115" s="48" t="s">
        <v>262</v>
      </c>
      <c r="H115" s="58" t="s">
        <v>263</v>
      </c>
      <c r="I115" s="46">
        <v>25</v>
      </c>
      <c r="J115" s="46">
        <v>29</v>
      </c>
      <c r="K115" s="46">
        <v>27</v>
      </c>
      <c r="L115" s="46">
        <v>27</v>
      </c>
      <c r="M115" s="46">
        <v>27</v>
      </c>
      <c r="N115" s="46">
        <v>28</v>
      </c>
      <c r="O115" s="46">
        <v>26</v>
      </c>
      <c r="P115" s="46">
        <f>SUM(I115:O115)</f>
        <v>189</v>
      </c>
      <c r="Q115" s="46">
        <v>350</v>
      </c>
      <c r="R115" s="46">
        <f>P115/Q115*100</f>
        <v>54</v>
      </c>
      <c r="S115" s="46"/>
      <c r="T115" s="46" t="s">
        <v>171</v>
      </c>
    </row>
    <row r="116" spans="5:20" ht="21" x14ac:dyDescent="0.25">
      <c r="E116" s="45">
        <v>2</v>
      </c>
      <c r="F116" s="45">
        <v>1666</v>
      </c>
      <c r="G116" s="48" t="s">
        <v>264</v>
      </c>
      <c r="H116" s="58" t="s">
        <v>265</v>
      </c>
      <c r="I116" s="46">
        <v>26</v>
      </c>
      <c r="J116" s="46">
        <v>27</v>
      </c>
      <c r="K116" s="46">
        <v>27</v>
      </c>
      <c r="L116" s="46">
        <v>32</v>
      </c>
      <c r="M116" s="46">
        <v>28</v>
      </c>
      <c r="N116" s="46">
        <v>37</v>
      </c>
      <c r="O116" s="46">
        <v>27</v>
      </c>
      <c r="P116" s="46">
        <f t="shared" ref="P116" si="12">SUM(I116:O116)</f>
        <v>204</v>
      </c>
      <c r="Q116" s="46">
        <v>350</v>
      </c>
      <c r="R116" s="46">
        <f t="shared" ref="R116:R129" si="13">P116/Q116*100</f>
        <v>58.285714285714285</v>
      </c>
      <c r="S116" s="46"/>
      <c r="T116" s="46" t="s">
        <v>171</v>
      </c>
    </row>
    <row r="117" spans="5:20" ht="21" x14ac:dyDescent="0.25">
      <c r="E117" s="45">
        <v>3</v>
      </c>
      <c r="F117" s="45">
        <v>1686</v>
      </c>
      <c r="G117" s="48" t="s">
        <v>266</v>
      </c>
      <c r="H117" s="58" t="s">
        <v>267</v>
      </c>
      <c r="I117" s="46">
        <v>29</v>
      </c>
      <c r="J117" s="46">
        <v>36</v>
      </c>
      <c r="K117" s="46">
        <v>29</v>
      </c>
      <c r="L117" s="46">
        <v>34</v>
      </c>
      <c r="M117" s="46">
        <v>30</v>
      </c>
      <c r="N117" s="46">
        <v>32</v>
      </c>
      <c r="O117" s="46">
        <v>29</v>
      </c>
      <c r="P117" s="46">
        <v>27</v>
      </c>
      <c r="Q117" s="46">
        <v>350</v>
      </c>
      <c r="R117" s="46">
        <f t="shared" si="13"/>
        <v>7.7142857142857135</v>
      </c>
      <c r="S117" s="46"/>
      <c r="T117" s="46" t="s">
        <v>171</v>
      </c>
    </row>
    <row r="118" spans="5:20" ht="21" x14ac:dyDescent="0.25">
      <c r="E118" s="45">
        <v>4</v>
      </c>
      <c r="F118" s="45">
        <v>1787</v>
      </c>
      <c r="G118" s="48" t="s">
        <v>268</v>
      </c>
      <c r="H118" s="58" t="s">
        <v>269</v>
      </c>
      <c r="I118" s="46">
        <v>31</v>
      </c>
      <c r="J118" s="46">
        <v>28</v>
      </c>
      <c r="K118" s="46">
        <v>30</v>
      </c>
      <c r="L118" s="46">
        <v>28</v>
      </c>
      <c r="M118" s="46">
        <v>31</v>
      </c>
      <c r="N118" s="46">
        <v>29</v>
      </c>
      <c r="O118" s="46">
        <v>31</v>
      </c>
      <c r="P118" s="46">
        <v>26</v>
      </c>
      <c r="Q118" s="46">
        <v>350</v>
      </c>
      <c r="R118" s="46">
        <f t="shared" si="13"/>
        <v>7.4285714285714288</v>
      </c>
      <c r="S118" s="55" t="s">
        <v>270</v>
      </c>
      <c r="T118" s="46" t="s">
        <v>171</v>
      </c>
    </row>
    <row r="119" spans="5:20" ht="21" x14ac:dyDescent="0.25">
      <c r="E119" s="45">
        <v>5</v>
      </c>
      <c r="F119" s="45">
        <v>1863</v>
      </c>
      <c r="G119" s="48" t="s">
        <v>180</v>
      </c>
      <c r="H119" s="58" t="s">
        <v>182</v>
      </c>
      <c r="I119" s="46">
        <v>37</v>
      </c>
      <c r="J119" s="47">
        <v>25</v>
      </c>
      <c r="K119" s="47">
        <v>31</v>
      </c>
      <c r="L119" s="46">
        <v>29</v>
      </c>
      <c r="M119" s="46">
        <v>32</v>
      </c>
      <c r="N119" s="47">
        <v>30</v>
      </c>
      <c r="O119" s="47">
        <v>29</v>
      </c>
      <c r="P119" s="46">
        <f t="shared" ref="P119:P129" si="14">SUM(I119:O119)</f>
        <v>213</v>
      </c>
      <c r="Q119" s="46">
        <v>350</v>
      </c>
      <c r="R119" s="46">
        <f t="shared" si="13"/>
        <v>60.857142857142854</v>
      </c>
      <c r="S119" s="55" t="s">
        <v>271</v>
      </c>
      <c r="T119" s="46" t="s">
        <v>171</v>
      </c>
    </row>
    <row r="120" spans="5:20" ht="21" x14ac:dyDescent="0.35">
      <c r="E120" s="45">
        <v>6</v>
      </c>
      <c r="F120" s="45">
        <v>1865</v>
      </c>
      <c r="G120" s="56" t="s">
        <v>272</v>
      </c>
      <c r="H120" s="59" t="s">
        <v>273</v>
      </c>
      <c r="I120" s="46">
        <v>32</v>
      </c>
      <c r="J120" s="46">
        <v>35</v>
      </c>
      <c r="K120" s="46">
        <v>32</v>
      </c>
      <c r="L120" s="46">
        <v>30</v>
      </c>
      <c r="M120" s="46">
        <v>33</v>
      </c>
      <c r="N120" s="46">
        <v>32</v>
      </c>
      <c r="O120" s="46">
        <v>30</v>
      </c>
      <c r="P120" s="46">
        <f t="shared" si="14"/>
        <v>224</v>
      </c>
      <c r="Q120" s="46">
        <v>350</v>
      </c>
      <c r="R120" s="46">
        <f t="shared" si="13"/>
        <v>64</v>
      </c>
      <c r="S120" s="46"/>
      <c r="T120" s="46" t="s">
        <v>171</v>
      </c>
    </row>
    <row r="121" spans="5:20" ht="21" x14ac:dyDescent="0.25">
      <c r="E121" s="45">
        <v>7</v>
      </c>
      <c r="F121" s="45">
        <v>1866</v>
      </c>
      <c r="G121" s="48" t="s">
        <v>274</v>
      </c>
      <c r="H121" s="58" t="s">
        <v>275</v>
      </c>
      <c r="I121" s="46">
        <v>36</v>
      </c>
      <c r="J121" s="46">
        <v>44</v>
      </c>
      <c r="K121" s="46">
        <v>33</v>
      </c>
      <c r="L121" s="46">
        <v>34</v>
      </c>
      <c r="M121" s="46">
        <v>40</v>
      </c>
      <c r="N121" s="46">
        <v>40</v>
      </c>
      <c r="O121" s="46">
        <v>42</v>
      </c>
      <c r="P121" s="46">
        <f t="shared" si="14"/>
        <v>269</v>
      </c>
      <c r="Q121" s="46">
        <v>350</v>
      </c>
      <c r="R121" s="46">
        <f t="shared" si="13"/>
        <v>76.857142857142861</v>
      </c>
      <c r="S121" s="46"/>
      <c r="T121" s="46" t="s">
        <v>171</v>
      </c>
    </row>
    <row r="122" spans="5:20" ht="21" x14ac:dyDescent="0.25">
      <c r="E122" s="45">
        <v>8</v>
      </c>
      <c r="F122" s="45">
        <v>1867</v>
      </c>
      <c r="G122" s="48" t="s">
        <v>276</v>
      </c>
      <c r="H122" s="58" t="s">
        <v>277</v>
      </c>
      <c r="I122" s="46">
        <v>37</v>
      </c>
      <c r="J122" s="46">
        <v>34</v>
      </c>
      <c r="K122" s="46">
        <v>34</v>
      </c>
      <c r="L122" s="46">
        <v>32</v>
      </c>
      <c r="M122" s="46">
        <v>33</v>
      </c>
      <c r="N122" s="46">
        <v>32</v>
      </c>
      <c r="O122" s="46">
        <v>30</v>
      </c>
      <c r="P122" s="46">
        <f t="shared" si="14"/>
        <v>232</v>
      </c>
      <c r="Q122" s="46">
        <v>350</v>
      </c>
      <c r="R122" s="46">
        <f t="shared" si="13"/>
        <v>66.285714285714278</v>
      </c>
      <c r="S122" s="46"/>
      <c r="T122" s="46" t="s">
        <v>171</v>
      </c>
    </row>
    <row r="123" spans="5:20" ht="21" x14ac:dyDescent="0.25">
      <c r="E123" s="45">
        <v>9</v>
      </c>
      <c r="F123" s="45">
        <v>1868</v>
      </c>
      <c r="G123" s="48" t="s">
        <v>278</v>
      </c>
      <c r="H123" s="58" t="s">
        <v>279</v>
      </c>
      <c r="I123" s="46">
        <v>40</v>
      </c>
      <c r="J123" s="46">
        <v>29</v>
      </c>
      <c r="K123" s="46">
        <v>35</v>
      </c>
      <c r="L123" s="46">
        <v>33</v>
      </c>
      <c r="M123" s="46">
        <v>34</v>
      </c>
      <c r="N123" s="46">
        <v>35</v>
      </c>
      <c r="O123" s="46">
        <v>35</v>
      </c>
      <c r="P123" s="46">
        <f t="shared" si="14"/>
        <v>241</v>
      </c>
      <c r="Q123" s="46">
        <v>350</v>
      </c>
      <c r="R123" s="46">
        <f t="shared" si="13"/>
        <v>68.857142857142861</v>
      </c>
      <c r="S123" s="46"/>
      <c r="T123" s="46" t="s">
        <v>171</v>
      </c>
    </row>
    <row r="124" spans="5:20" ht="21" x14ac:dyDescent="0.25">
      <c r="E124" s="45">
        <v>10</v>
      </c>
      <c r="F124" s="45">
        <v>1897</v>
      </c>
      <c r="G124" s="48" t="s">
        <v>280</v>
      </c>
      <c r="H124" s="58" t="s">
        <v>281</v>
      </c>
      <c r="I124" s="46">
        <v>36</v>
      </c>
      <c r="J124" s="46">
        <v>32</v>
      </c>
      <c r="K124" s="46">
        <v>36</v>
      </c>
      <c r="L124" s="46">
        <v>40</v>
      </c>
      <c r="M124" s="46">
        <v>34</v>
      </c>
      <c r="N124" s="46">
        <v>36</v>
      </c>
      <c r="O124" s="46">
        <v>38</v>
      </c>
      <c r="P124" s="46">
        <f t="shared" si="14"/>
        <v>252</v>
      </c>
      <c r="Q124" s="46">
        <v>350</v>
      </c>
      <c r="R124" s="46">
        <f t="shared" si="13"/>
        <v>72</v>
      </c>
      <c r="S124" s="46"/>
      <c r="T124" s="46" t="s">
        <v>171</v>
      </c>
    </row>
    <row r="125" spans="5:20" ht="21" x14ac:dyDescent="0.25">
      <c r="E125" s="45">
        <v>11</v>
      </c>
      <c r="F125" s="45">
        <v>1783</v>
      </c>
      <c r="G125" s="48" t="s">
        <v>282</v>
      </c>
      <c r="H125" s="58" t="s">
        <v>283</v>
      </c>
      <c r="I125" s="46">
        <v>31</v>
      </c>
      <c r="J125" s="46">
        <v>37</v>
      </c>
      <c r="K125" s="46">
        <v>38</v>
      </c>
      <c r="L125" s="46">
        <v>27</v>
      </c>
      <c r="M125" s="46">
        <v>32</v>
      </c>
      <c r="N125" s="46">
        <v>31</v>
      </c>
      <c r="O125" s="46">
        <v>31</v>
      </c>
      <c r="P125" s="46">
        <f t="shared" si="14"/>
        <v>227</v>
      </c>
      <c r="Q125" s="46">
        <v>350</v>
      </c>
      <c r="R125" s="46">
        <f t="shared" si="13"/>
        <v>64.857142857142861</v>
      </c>
      <c r="S125" s="46"/>
      <c r="T125" s="46" t="s">
        <v>171</v>
      </c>
    </row>
    <row r="126" spans="5:20" ht="21" x14ac:dyDescent="0.25">
      <c r="E126" s="45">
        <v>12</v>
      </c>
      <c r="F126" s="45">
        <v>1784</v>
      </c>
      <c r="G126" s="48" t="s">
        <v>284</v>
      </c>
      <c r="H126" s="58" t="s">
        <v>285</v>
      </c>
      <c r="I126" s="46">
        <v>32</v>
      </c>
      <c r="J126" s="46">
        <v>36</v>
      </c>
      <c r="K126" s="46">
        <v>29</v>
      </c>
      <c r="L126" s="46">
        <v>29</v>
      </c>
      <c r="M126" s="46">
        <v>27</v>
      </c>
      <c r="N126" s="46">
        <v>29</v>
      </c>
      <c r="O126" s="46">
        <v>30</v>
      </c>
      <c r="P126" s="46">
        <f t="shared" si="14"/>
        <v>212</v>
      </c>
      <c r="Q126" s="46">
        <v>350</v>
      </c>
      <c r="R126" s="46">
        <f t="shared" si="13"/>
        <v>60.571428571428577</v>
      </c>
      <c r="S126" s="46"/>
      <c r="T126" s="46" t="s">
        <v>171</v>
      </c>
    </row>
    <row r="127" spans="5:20" ht="21" x14ac:dyDescent="0.25">
      <c r="E127" s="45">
        <v>13</v>
      </c>
      <c r="F127" s="45">
        <v>1785</v>
      </c>
      <c r="G127" s="48" t="s">
        <v>286</v>
      </c>
      <c r="H127" s="58" t="s">
        <v>285</v>
      </c>
      <c r="I127" s="46">
        <v>33</v>
      </c>
      <c r="J127" s="46">
        <v>36</v>
      </c>
      <c r="K127" s="46">
        <v>40</v>
      </c>
      <c r="L127" s="46">
        <v>40</v>
      </c>
      <c r="M127" s="46">
        <v>29</v>
      </c>
      <c r="N127" s="46">
        <v>30</v>
      </c>
      <c r="O127" s="46">
        <v>31</v>
      </c>
      <c r="P127" s="46">
        <f t="shared" si="14"/>
        <v>239</v>
      </c>
      <c r="Q127" s="46">
        <v>350</v>
      </c>
      <c r="R127" s="46">
        <f t="shared" si="13"/>
        <v>68.285714285714278</v>
      </c>
      <c r="S127" s="46"/>
      <c r="T127" s="46" t="s">
        <v>171</v>
      </c>
    </row>
    <row r="128" spans="5:20" ht="21" x14ac:dyDescent="0.25">
      <c r="E128" s="45">
        <v>14</v>
      </c>
      <c r="F128" s="45">
        <v>1786</v>
      </c>
      <c r="G128" s="48" t="s">
        <v>287</v>
      </c>
      <c r="H128" s="58" t="s">
        <v>288</v>
      </c>
      <c r="I128" s="46">
        <v>32</v>
      </c>
      <c r="J128" s="46">
        <v>35</v>
      </c>
      <c r="K128" s="46">
        <v>38</v>
      </c>
      <c r="L128" s="46">
        <v>41</v>
      </c>
      <c r="M128" s="46">
        <v>36</v>
      </c>
      <c r="N128" s="46">
        <v>31</v>
      </c>
      <c r="O128" s="46">
        <v>30</v>
      </c>
      <c r="P128" s="46">
        <f t="shared" si="14"/>
        <v>243</v>
      </c>
      <c r="Q128" s="46">
        <v>350</v>
      </c>
      <c r="R128" s="46">
        <f t="shared" si="13"/>
        <v>69.428571428571431</v>
      </c>
      <c r="S128" s="46"/>
      <c r="T128" s="46" t="s">
        <v>171</v>
      </c>
    </row>
    <row r="129" spans="5:20" ht="21" x14ac:dyDescent="0.25">
      <c r="E129" s="45">
        <v>15</v>
      </c>
      <c r="F129" s="45">
        <v>1864</v>
      </c>
      <c r="G129" s="48" t="s">
        <v>289</v>
      </c>
      <c r="H129" s="58" t="s">
        <v>290</v>
      </c>
      <c r="I129" s="46">
        <v>31</v>
      </c>
      <c r="J129" s="46">
        <v>31</v>
      </c>
      <c r="K129" s="46">
        <v>32</v>
      </c>
      <c r="L129" s="46">
        <v>43</v>
      </c>
      <c r="M129" s="46">
        <v>37</v>
      </c>
      <c r="N129" s="46">
        <v>30</v>
      </c>
      <c r="O129" s="46">
        <v>31</v>
      </c>
      <c r="P129" s="46">
        <f t="shared" si="14"/>
        <v>235</v>
      </c>
      <c r="Q129" s="46">
        <v>350</v>
      </c>
      <c r="R129" s="46">
        <f t="shared" si="13"/>
        <v>67.142857142857139</v>
      </c>
      <c r="S129" s="46"/>
      <c r="T129" s="46" t="s">
        <v>171</v>
      </c>
    </row>
    <row r="131" spans="5:20" ht="21" x14ac:dyDescent="0.25">
      <c r="E131" s="113" t="s">
        <v>0</v>
      </c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</row>
    <row r="132" spans="5:20" ht="21" x14ac:dyDescent="0.25">
      <c r="E132" s="114" t="s">
        <v>291</v>
      </c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</row>
    <row r="133" spans="5:20" ht="21" x14ac:dyDescent="0.25">
      <c r="E133" s="114" t="s">
        <v>292</v>
      </c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</row>
    <row r="134" spans="5:20" ht="21" x14ac:dyDescent="0.25">
      <c r="E134" s="114" t="s">
        <v>316</v>
      </c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</row>
    <row r="135" spans="5:20" ht="21" x14ac:dyDescent="0.25">
      <c r="E135" s="114" t="s">
        <v>293</v>
      </c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</row>
    <row r="136" spans="5:20" ht="21" x14ac:dyDescent="0.35">
      <c r="E136" s="63" t="s">
        <v>1</v>
      </c>
      <c r="F136" s="63" t="s">
        <v>2</v>
      </c>
      <c r="G136" s="63" t="s">
        <v>3</v>
      </c>
      <c r="H136" s="63" t="s">
        <v>4</v>
      </c>
      <c r="I136" s="64" t="s">
        <v>5</v>
      </c>
      <c r="J136" s="64" t="s">
        <v>6</v>
      </c>
      <c r="K136" s="64" t="s">
        <v>7</v>
      </c>
      <c r="L136" s="64" t="s">
        <v>8</v>
      </c>
      <c r="M136" s="64" t="s">
        <v>9</v>
      </c>
      <c r="N136" s="64" t="s">
        <v>170</v>
      </c>
      <c r="O136" s="64" t="s">
        <v>214</v>
      </c>
      <c r="P136" s="65" t="s">
        <v>11</v>
      </c>
      <c r="Q136" s="65" t="s">
        <v>10</v>
      </c>
      <c r="R136" s="66" t="s">
        <v>12</v>
      </c>
      <c r="S136" s="64" t="s">
        <v>215</v>
      </c>
      <c r="T136" s="64" t="s">
        <v>13</v>
      </c>
    </row>
    <row r="137" spans="5:20" ht="21" x14ac:dyDescent="0.25">
      <c r="E137" s="45"/>
      <c r="F137" s="45"/>
      <c r="G137" s="45"/>
      <c r="H137" s="45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</row>
    <row r="138" spans="5:20" ht="25.5" x14ac:dyDescent="0.25">
      <c r="E138" s="45">
        <v>1</v>
      </c>
      <c r="F138" s="45">
        <v>1645</v>
      </c>
      <c r="G138" s="48" t="s">
        <v>216</v>
      </c>
      <c r="H138" s="48" t="s">
        <v>217</v>
      </c>
      <c r="I138" s="46">
        <v>30</v>
      </c>
      <c r="J138" s="46">
        <v>27</v>
      </c>
      <c r="K138" s="46">
        <v>31</v>
      </c>
      <c r="L138" s="46">
        <v>47</v>
      </c>
      <c r="M138" s="46">
        <v>50</v>
      </c>
      <c r="N138" s="46">
        <v>49</v>
      </c>
      <c r="O138" s="46">
        <v>45</v>
      </c>
      <c r="P138" s="46">
        <f>SUM(I138:O138)</f>
        <v>279</v>
      </c>
      <c r="Q138" s="46">
        <v>350</v>
      </c>
      <c r="R138" s="46">
        <f>P138/Q138*100</f>
        <v>79.714285714285722</v>
      </c>
      <c r="S138" s="49"/>
      <c r="T138" s="50" t="s">
        <v>171</v>
      </c>
    </row>
    <row r="139" spans="5:20" ht="25.5" x14ac:dyDescent="0.25">
      <c r="E139" s="45">
        <v>2</v>
      </c>
      <c r="F139" s="45">
        <v>1648</v>
      </c>
      <c r="G139" s="48" t="s">
        <v>218</v>
      </c>
      <c r="H139" s="48" t="s">
        <v>219</v>
      </c>
      <c r="I139" s="46">
        <v>31</v>
      </c>
      <c r="J139" s="46">
        <v>37</v>
      </c>
      <c r="K139" s="46">
        <v>35</v>
      </c>
      <c r="L139" s="46">
        <v>46</v>
      </c>
      <c r="M139" s="46">
        <v>48</v>
      </c>
      <c r="N139" s="46">
        <v>49</v>
      </c>
      <c r="O139" s="46">
        <v>30</v>
      </c>
      <c r="P139" s="46">
        <f t="shared" ref="P139:P159" si="15">SUM(I139:O139)</f>
        <v>276</v>
      </c>
      <c r="Q139" s="46">
        <v>350</v>
      </c>
      <c r="R139" s="46">
        <f t="shared" ref="R139:R159" si="16">P139/Q139*100</f>
        <v>78.857142857142861</v>
      </c>
      <c r="S139" s="49"/>
      <c r="T139" s="50" t="s">
        <v>171</v>
      </c>
    </row>
    <row r="140" spans="5:20" ht="25.5" x14ac:dyDescent="0.25">
      <c r="E140" s="45">
        <v>3</v>
      </c>
      <c r="F140" s="45">
        <v>1641</v>
      </c>
      <c r="G140" s="48" t="s">
        <v>175</v>
      </c>
      <c r="H140" s="48" t="s">
        <v>300</v>
      </c>
      <c r="I140" s="46">
        <v>33</v>
      </c>
      <c r="J140" s="46">
        <v>25</v>
      </c>
      <c r="K140" s="46">
        <v>34</v>
      </c>
      <c r="L140" s="46">
        <v>45</v>
      </c>
      <c r="M140" s="46">
        <v>49</v>
      </c>
      <c r="N140" s="46">
        <v>49</v>
      </c>
      <c r="O140" s="46">
        <v>47</v>
      </c>
      <c r="P140" s="46">
        <f t="shared" si="15"/>
        <v>282</v>
      </c>
      <c r="Q140" s="46">
        <v>350</v>
      </c>
      <c r="R140" s="46">
        <f t="shared" si="16"/>
        <v>80.571428571428569</v>
      </c>
      <c r="S140" s="49"/>
      <c r="T140" s="50" t="s">
        <v>171</v>
      </c>
    </row>
    <row r="141" spans="5:20" ht="25.5" x14ac:dyDescent="0.25">
      <c r="E141" s="45">
        <v>4</v>
      </c>
      <c r="F141" s="45">
        <v>1609</v>
      </c>
      <c r="G141" s="48" t="s">
        <v>178</v>
      </c>
      <c r="H141" s="48" t="s">
        <v>184</v>
      </c>
      <c r="I141" s="46">
        <v>34</v>
      </c>
      <c r="J141" s="46">
        <v>40</v>
      </c>
      <c r="K141" s="46">
        <v>32</v>
      </c>
      <c r="L141" s="46">
        <v>45</v>
      </c>
      <c r="M141" s="46">
        <v>30</v>
      </c>
      <c r="N141" s="46">
        <v>45</v>
      </c>
      <c r="O141" s="46">
        <v>38</v>
      </c>
      <c r="P141" s="46">
        <f t="shared" si="15"/>
        <v>264</v>
      </c>
      <c r="Q141" s="46">
        <v>350</v>
      </c>
      <c r="R141" s="46">
        <f t="shared" si="16"/>
        <v>75.428571428571431</v>
      </c>
      <c r="S141" s="49"/>
      <c r="T141" s="50" t="s">
        <v>171</v>
      </c>
    </row>
    <row r="142" spans="5:20" ht="25.5" x14ac:dyDescent="0.25">
      <c r="E142" s="45">
        <v>5</v>
      </c>
      <c r="F142" s="45">
        <v>1712</v>
      </c>
      <c r="G142" s="48" t="s">
        <v>220</v>
      </c>
      <c r="H142" s="48" t="s">
        <v>221</v>
      </c>
      <c r="I142" s="46">
        <v>36</v>
      </c>
      <c r="J142" s="46">
        <v>30</v>
      </c>
      <c r="K142" s="46">
        <v>36</v>
      </c>
      <c r="L142" s="46">
        <v>43</v>
      </c>
      <c r="M142" s="46">
        <v>41</v>
      </c>
      <c r="N142" s="46">
        <v>45</v>
      </c>
      <c r="O142" s="46">
        <v>49</v>
      </c>
      <c r="P142" s="46">
        <f t="shared" si="15"/>
        <v>280</v>
      </c>
      <c r="Q142" s="46">
        <v>350</v>
      </c>
      <c r="R142" s="46">
        <f t="shared" si="16"/>
        <v>80</v>
      </c>
      <c r="S142" s="51"/>
      <c r="T142" s="50" t="s">
        <v>171</v>
      </c>
    </row>
    <row r="143" spans="5:20" ht="25.5" x14ac:dyDescent="0.25">
      <c r="E143" s="45">
        <v>6</v>
      </c>
      <c r="F143" s="45">
        <v>1710</v>
      </c>
      <c r="G143" s="48" t="s">
        <v>222</v>
      </c>
      <c r="H143" s="48" t="s">
        <v>177</v>
      </c>
      <c r="I143" s="46">
        <v>37</v>
      </c>
      <c r="J143" s="46">
        <v>32</v>
      </c>
      <c r="K143" s="46">
        <v>41</v>
      </c>
      <c r="L143" s="46">
        <v>42</v>
      </c>
      <c r="M143" s="46">
        <v>47</v>
      </c>
      <c r="N143" s="46">
        <v>46</v>
      </c>
      <c r="O143" s="46">
        <v>43</v>
      </c>
      <c r="P143" s="46">
        <f t="shared" si="15"/>
        <v>288</v>
      </c>
      <c r="Q143" s="46">
        <v>350</v>
      </c>
      <c r="R143" s="46">
        <f t="shared" si="16"/>
        <v>82.285714285714278</v>
      </c>
      <c r="S143" s="51"/>
      <c r="T143" s="50" t="s">
        <v>171</v>
      </c>
    </row>
    <row r="144" spans="5:20" ht="25.5" x14ac:dyDescent="0.25">
      <c r="E144" s="45">
        <v>7</v>
      </c>
      <c r="F144" s="45">
        <v>1790</v>
      </c>
      <c r="G144" s="48" t="s">
        <v>223</v>
      </c>
      <c r="H144" s="48" t="s">
        <v>224</v>
      </c>
      <c r="I144" s="46">
        <v>38</v>
      </c>
      <c r="J144" s="46">
        <v>29</v>
      </c>
      <c r="K144" s="46">
        <v>26</v>
      </c>
      <c r="L144" s="46">
        <v>40</v>
      </c>
      <c r="M144" s="46">
        <v>36</v>
      </c>
      <c r="N144" s="46">
        <v>33</v>
      </c>
      <c r="O144" s="46">
        <v>50</v>
      </c>
      <c r="P144" s="46">
        <f t="shared" si="15"/>
        <v>252</v>
      </c>
      <c r="Q144" s="46">
        <v>350</v>
      </c>
      <c r="R144" s="46">
        <f t="shared" si="16"/>
        <v>72</v>
      </c>
      <c r="S144" s="51"/>
      <c r="T144" s="50" t="s">
        <v>171</v>
      </c>
    </row>
    <row r="145" spans="5:20" ht="25.5" x14ac:dyDescent="0.25">
      <c r="E145" s="45">
        <v>8</v>
      </c>
      <c r="F145" s="45">
        <v>1791</v>
      </c>
      <c r="G145" s="48" t="s">
        <v>225</v>
      </c>
      <c r="H145" s="48" t="s">
        <v>226</v>
      </c>
      <c r="I145" s="46">
        <v>32</v>
      </c>
      <c r="J145" s="46">
        <v>31</v>
      </c>
      <c r="K145" s="46">
        <v>39</v>
      </c>
      <c r="L145" s="46">
        <v>39</v>
      </c>
      <c r="M145" s="46">
        <v>46</v>
      </c>
      <c r="N145" s="46">
        <v>47</v>
      </c>
      <c r="O145" s="46">
        <v>40</v>
      </c>
      <c r="P145" s="46">
        <f t="shared" si="15"/>
        <v>274</v>
      </c>
      <c r="Q145" s="46">
        <v>350</v>
      </c>
      <c r="R145" s="46">
        <f t="shared" si="16"/>
        <v>78.285714285714278</v>
      </c>
      <c r="S145" s="51"/>
      <c r="T145" s="50" t="s">
        <v>171</v>
      </c>
    </row>
    <row r="146" spans="5:20" ht="25.5" x14ac:dyDescent="0.25">
      <c r="E146" s="45">
        <v>9</v>
      </c>
      <c r="F146" s="45">
        <v>1792</v>
      </c>
      <c r="G146" s="48" t="s">
        <v>182</v>
      </c>
      <c r="H146" s="48" t="s">
        <v>227</v>
      </c>
      <c r="I146" s="46">
        <v>29</v>
      </c>
      <c r="J146" s="46">
        <v>30</v>
      </c>
      <c r="K146" s="46">
        <v>27</v>
      </c>
      <c r="L146" s="46">
        <v>35</v>
      </c>
      <c r="M146" s="46">
        <v>45</v>
      </c>
      <c r="N146" s="46">
        <v>49</v>
      </c>
      <c r="O146" s="46">
        <v>40</v>
      </c>
      <c r="P146" s="46">
        <f t="shared" si="15"/>
        <v>255</v>
      </c>
      <c r="Q146" s="46">
        <v>350</v>
      </c>
      <c r="R146" s="46">
        <f t="shared" si="16"/>
        <v>72.857142857142847</v>
      </c>
      <c r="S146" s="51"/>
      <c r="T146" s="50" t="s">
        <v>171</v>
      </c>
    </row>
    <row r="147" spans="5:20" ht="25.5" x14ac:dyDescent="0.25">
      <c r="E147" s="45">
        <v>10</v>
      </c>
      <c r="F147" s="45">
        <v>1793</v>
      </c>
      <c r="G147" s="48" t="s">
        <v>228</v>
      </c>
      <c r="H147" s="48" t="s">
        <v>229</v>
      </c>
      <c r="I147" s="46">
        <v>30</v>
      </c>
      <c r="J147" s="46">
        <v>34</v>
      </c>
      <c r="K147" s="46">
        <v>30</v>
      </c>
      <c r="L147" s="46">
        <v>34</v>
      </c>
      <c r="M147" s="46">
        <v>40</v>
      </c>
      <c r="N147" s="46">
        <v>37</v>
      </c>
      <c r="O147" s="46">
        <v>45</v>
      </c>
      <c r="P147" s="46">
        <f t="shared" si="15"/>
        <v>250</v>
      </c>
      <c r="Q147" s="46">
        <v>350</v>
      </c>
      <c r="R147" s="46">
        <f t="shared" si="16"/>
        <v>71.428571428571431</v>
      </c>
      <c r="S147" s="51"/>
      <c r="T147" s="50" t="s">
        <v>171</v>
      </c>
    </row>
    <row r="148" spans="5:20" ht="25.5" x14ac:dyDescent="0.25">
      <c r="E148" s="45">
        <v>11</v>
      </c>
      <c r="F148" s="45">
        <v>1794</v>
      </c>
      <c r="G148" s="48" t="s">
        <v>230</v>
      </c>
      <c r="H148" s="48" t="s">
        <v>185</v>
      </c>
      <c r="I148" s="46">
        <v>30</v>
      </c>
      <c r="J148" s="46">
        <v>34</v>
      </c>
      <c r="K148" s="46">
        <v>31</v>
      </c>
      <c r="L148" s="46">
        <v>33</v>
      </c>
      <c r="M148" s="46">
        <v>39</v>
      </c>
      <c r="N148" s="46">
        <v>46</v>
      </c>
      <c r="O148" s="46">
        <v>30</v>
      </c>
      <c r="P148" s="46">
        <f t="shared" si="15"/>
        <v>243</v>
      </c>
      <c r="Q148" s="46">
        <v>350</v>
      </c>
      <c r="R148" s="46">
        <f t="shared" si="16"/>
        <v>69.428571428571431</v>
      </c>
      <c r="S148" s="51"/>
      <c r="T148" s="50" t="s">
        <v>171</v>
      </c>
    </row>
    <row r="149" spans="5:20" ht="25.5" x14ac:dyDescent="0.25">
      <c r="E149" s="45">
        <v>12</v>
      </c>
      <c r="F149" s="45">
        <v>1795</v>
      </c>
      <c r="G149" s="48" t="s">
        <v>231</v>
      </c>
      <c r="H149" s="48" t="s">
        <v>232</v>
      </c>
      <c r="I149" s="47">
        <v>26</v>
      </c>
      <c r="J149" s="46">
        <v>32</v>
      </c>
      <c r="K149" s="47">
        <v>34</v>
      </c>
      <c r="L149" s="46">
        <v>30</v>
      </c>
      <c r="M149" s="46">
        <v>48</v>
      </c>
      <c r="N149" s="46">
        <v>40</v>
      </c>
      <c r="O149" s="46">
        <v>49</v>
      </c>
      <c r="P149" s="46">
        <f t="shared" si="15"/>
        <v>259</v>
      </c>
      <c r="Q149" s="46">
        <v>350</v>
      </c>
      <c r="R149" s="46">
        <f t="shared" si="16"/>
        <v>74</v>
      </c>
      <c r="S149" s="51"/>
      <c r="T149" s="50" t="s">
        <v>171</v>
      </c>
    </row>
    <row r="150" spans="5:20" ht="25.5" x14ac:dyDescent="0.25">
      <c r="E150" s="45">
        <v>13</v>
      </c>
      <c r="F150" s="45">
        <v>1796</v>
      </c>
      <c r="G150" s="48" t="s">
        <v>233</v>
      </c>
      <c r="H150" s="48" t="s">
        <v>232</v>
      </c>
      <c r="I150" s="47">
        <v>29</v>
      </c>
      <c r="J150" s="47">
        <v>30</v>
      </c>
      <c r="K150" s="47">
        <v>32</v>
      </c>
      <c r="L150" s="47">
        <v>29</v>
      </c>
      <c r="M150" s="47">
        <v>45</v>
      </c>
      <c r="N150" s="47">
        <v>33</v>
      </c>
      <c r="O150" s="47">
        <v>29</v>
      </c>
      <c r="P150" s="46">
        <f t="shared" si="15"/>
        <v>227</v>
      </c>
      <c r="Q150" s="46">
        <v>350</v>
      </c>
      <c r="R150" s="46">
        <f t="shared" si="16"/>
        <v>64.857142857142861</v>
      </c>
      <c r="S150" s="51"/>
      <c r="T150" s="50" t="s">
        <v>171</v>
      </c>
    </row>
    <row r="151" spans="5:20" ht="25.5" x14ac:dyDescent="0.25">
      <c r="E151" s="45">
        <v>14</v>
      </c>
      <c r="F151" s="45">
        <v>1654</v>
      </c>
      <c r="G151" s="48" t="s">
        <v>234</v>
      </c>
      <c r="H151" s="48" t="s">
        <v>235</v>
      </c>
      <c r="I151" s="46">
        <v>30</v>
      </c>
      <c r="J151" s="46">
        <v>36</v>
      </c>
      <c r="K151" s="46">
        <v>33</v>
      </c>
      <c r="L151" s="46">
        <v>29</v>
      </c>
      <c r="M151" s="46">
        <v>29</v>
      </c>
      <c r="N151" s="46">
        <v>32</v>
      </c>
      <c r="O151" s="46">
        <v>40</v>
      </c>
      <c r="P151" s="46">
        <f t="shared" si="15"/>
        <v>229</v>
      </c>
      <c r="Q151" s="46">
        <v>350</v>
      </c>
      <c r="R151" s="46">
        <f t="shared" si="16"/>
        <v>65.428571428571431</v>
      </c>
      <c r="S151" s="51"/>
      <c r="T151" s="50" t="s">
        <v>171</v>
      </c>
    </row>
    <row r="152" spans="5:20" ht="25.5" x14ac:dyDescent="0.25">
      <c r="E152" s="45">
        <v>15</v>
      </c>
      <c r="F152" s="45">
        <v>1603</v>
      </c>
      <c r="G152" s="48" t="s">
        <v>236</v>
      </c>
      <c r="H152" s="48" t="s">
        <v>172</v>
      </c>
      <c r="I152" s="46">
        <v>31</v>
      </c>
      <c r="J152" s="46">
        <v>37</v>
      </c>
      <c r="K152" s="47">
        <v>29</v>
      </c>
      <c r="L152" s="46">
        <v>25</v>
      </c>
      <c r="M152" s="46">
        <v>40</v>
      </c>
      <c r="N152" s="46">
        <v>25</v>
      </c>
      <c r="O152" s="46">
        <v>50</v>
      </c>
      <c r="P152" s="46">
        <f t="shared" si="15"/>
        <v>237</v>
      </c>
      <c r="Q152" s="46">
        <v>350</v>
      </c>
      <c r="R152" s="46">
        <f t="shared" si="16"/>
        <v>67.714285714285722</v>
      </c>
      <c r="S152" s="51"/>
      <c r="T152" s="50" t="s">
        <v>171</v>
      </c>
    </row>
    <row r="153" spans="5:20" ht="25.5" x14ac:dyDescent="0.25">
      <c r="E153" s="45">
        <v>16</v>
      </c>
      <c r="F153" s="48">
        <v>1656</v>
      </c>
      <c r="G153" s="48" t="s">
        <v>237</v>
      </c>
      <c r="H153" s="48" t="s">
        <v>238</v>
      </c>
      <c r="I153" s="46">
        <v>30</v>
      </c>
      <c r="J153" s="46">
        <v>32</v>
      </c>
      <c r="K153" s="46">
        <v>27</v>
      </c>
      <c r="L153" s="46">
        <v>22</v>
      </c>
      <c r="M153" s="46">
        <v>37</v>
      </c>
      <c r="N153" s="46">
        <v>40</v>
      </c>
      <c r="O153" s="46">
        <v>37</v>
      </c>
      <c r="P153" s="46">
        <f t="shared" si="15"/>
        <v>225</v>
      </c>
      <c r="Q153" s="46">
        <v>350</v>
      </c>
      <c r="R153" s="46">
        <f t="shared" si="16"/>
        <v>64.285714285714292</v>
      </c>
      <c r="S153" s="51"/>
      <c r="T153" s="50" t="s">
        <v>171</v>
      </c>
    </row>
    <row r="154" spans="5:20" ht="25.5" x14ac:dyDescent="0.25">
      <c r="E154" s="45">
        <v>17</v>
      </c>
      <c r="F154" s="48">
        <v>1657</v>
      </c>
      <c r="G154" s="48" t="s">
        <v>239</v>
      </c>
      <c r="H154" s="48" t="s">
        <v>169</v>
      </c>
      <c r="I154" s="46">
        <v>28</v>
      </c>
      <c r="J154" s="46">
        <v>31</v>
      </c>
      <c r="K154" s="46">
        <v>29</v>
      </c>
      <c r="L154" s="46">
        <v>22</v>
      </c>
      <c r="M154" s="46">
        <v>33</v>
      </c>
      <c r="N154" s="46">
        <v>21</v>
      </c>
      <c r="O154" s="46">
        <v>35</v>
      </c>
      <c r="P154" s="46">
        <f t="shared" si="15"/>
        <v>199</v>
      </c>
      <c r="Q154" s="46">
        <v>350</v>
      </c>
      <c r="R154" s="46">
        <f t="shared" si="16"/>
        <v>56.857142857142861</v>
      </c>
      <c r="S154" s="51"/>
      <c r="T154" s="50" t="s">
        <v>171</v>
      </c>
    </row>
    <row r="155" spans="5:20" ht="25.5" x14ac:dyDescent="0.25">
      <c r="E155" s="45">
        <v>18</v>
      </c>
      <c r="F155" s="48">
        <v>1722</v>
      </c>
      <c r="G155" s="48" t="s">
        <v>240</v>
      </c>
      <c r="H155" s="48" t="s">
        <v>241</v>
      </c>
      <c r="I155" s="46">
        <v>27</v>
      </c>
      <c r="J155" s="46">
        <v>40</v>
      </c>
      <c r="K155" s="46">
        <v>27</v>
      </c>
      <c r="L155" s="47">
        <v>20</v>
      </c>
      <c r="M155" s="47">
        <v>35</v>
      </c>
      <c r="N155" s="47">
        <v>43</v>
      </c>
      <c r="O155" s="47">
        <v>35</v>
      </c>
      <c r="P155" s="46">
        <f t="shared" si="15"/>
        <v>227</v>
      </c>
      <c r="Q155" s="46">
        <v>350</v>
      </c>
      <c r="R155" s="46">
        <f t="shared" si="16"/>
        <v>64.857142857142861</v>
      </c>
      <c r="S155" s="51"/>
      <c r="T155" s="50" t="s">
        <v>171</v>
      </c>
    </row>
    <row r="156" spans="5:20" ht="25.5" x14ac:dyDescent="0.25">
      <c r="E156" s="45">
        <v>19</v>
      </c>
      <c r="F156" s="48">
        <v>1788</v>
      </c>
      <c r="G156" s="48" t="s">
        <v>242</v>
      </c>
      <c r="H156" s="48" t="s">
        <v>181</v>
      </c>
      <c r="I156" s="46">
        <v>25</v>
      </c>
      <c r="J156" s="46">
        <v>29</v>
      </c>
      <c r="K156" s="46">
        <v>31</v>
      </c>
      <c r="L156" s="46">
        <v>20</v>
      </c>
      <c r="M156" s="46">
        <v>27</v>
      </c>
      <c r="N156" s="46">
        <v>30</v>
      </c>
      <c r="O156" s="46">
        <v>40</v>
      </c>
      <c r="P156" s="46">
        <f t="shared" si="15"/>
        <v>202</v>
      </c>
      <c r="Q156" s="46">
        <v>350</v>
      </c>
      <c r="R156" s="46">
        <f t="shared" si="16"/>
        <v>57.714285714285715</v>
      </c>
      <c r="S156" s="51"/>
      <c r="T156" s="50" t="s">
        <v>171</v>
      </c>
    </row>
    <row r="157" spans="5:20" ht="25.5" x14ac:dyDescent="0.25">
      <c r="E157" s="45">
        <v>20</v>
      </c>
      <c r="F157" s="48">
        <v>1655</v>
      </c>
      <c r="G157" s="48" t="s">
        <v>179</v>
      </c>
      <c r="H157" s="48" t="s">
        <v>168</v>
      </c>
      <c r="I157" s="46" t="s">
        <v>243</v>
      </c>
      <c r="J157" s="46" t="s">
        <v>243</v>
      </c>
      <c r="K157" s="46" t="s">
        <v>243</v>
      </c>
      <c r="L157" s="46" t="s">
        <v>243</v>
      </c>
      <c r="M157" s="47" t="s">
        <v>243</v>
      </c>
      <c r="N157" s="46" t="s">
        <v>243</v>
      </c>
      <c r="O157" s="47" t="s">
        <v>243</v>
      </c>
      <c r="P157" s="46">
        <f t="shared" si="15"/>
        <v>0</v>
      </c>
      <c r="Q157" s="46">
        <v>350</v>
      </c>
      <c r="R157" s="46">
        <f t="shared" si="16"/>
        <v>0</v>
      </c>
      <c r="S157" s="51"/>
      <c r="T157" s="50" t="s">
        <v>299</v>
      </c>
    </row>
    <row r="158" spans="5:20" ht="25.5" x14ac:dyDescent="0.25">
      <c r="E158" s="45">
        <v>21</v>
      </c>
      <c r="F158" s="48">
        <v>1789</v>
      </c>
      <c r="G158" s="48" t="s">
        <v>244</v>
      </c>
      <c r="H158" s="48" t="s">
        <v>245</v>
      </c>
      <c r="I158" s="46">
        <v>33</v>
      </c>
      <c r="J158" s="46">
        <v>27</v>
      </c>
      <c r="K158" s="46">
        <v>29</v>
      </c>
      <c r="L158" s="46">
        <v>28</v>
      </c>
      <c r="M158" s="46">
        <v>31</v>
      </c>
      <c r="N158" s="46">
        <v>41</v>
      </c>
      <c r="O158" s="46">
        <v>34</v>
      </c>
      <c r="P158" s="46">
        <f t="shared" si="15"/>
        <v>223</v>
      </c>
      <c r="Q158" s="46">
        <v>350</v>
      </c>
      <c r="R158" s="46">
        <f t="shared" si="16"/>
        <v>63.714285714285715</v>
      </c>
      <c r="S158" s="51"/>
      <c r="T158" s="50" t="s">
        <v>171</v>
      </c>
    </row>
    <row r="159" spans="5:20" ht="25.5" x14ac:dyDescent="0.25">
      <c r="E159" s="45">
        <v>22</v>
      </c>
      <c r="F159" s="48">
        <v>1858</v>
      </c>
      <c r="G159" s="48" t="s">
        <v>246</v>
      </c>
      <c r="H159" s="48" t="s">
        <v>247</v>
      </c>
      <c r="I159" s="47">
        <v>32</v>
      </c>
      <c r="J159" s="46">
        <v>25</v>
      </c>
      <c r="K159" s="47">
        <v>28</v>
      </c>
      <c r="L159" s="47">
        <v>29</v>
      </c>
      <c r="M159" s="46">
        <v>31</v>
      </c>
      <c r="N159" s="47">
        <v>30</v>
      </c>
      <c r="O159" s="47">
        <v>32</v>
      </c>
      <c r="P159" s="46">
        <f t="shared" si="15"/>
        <v>207</v>
      </c>
      <c r="Q159" s="46">
        <v>350</v>
      </c>
      <c r="R159" s="46">
        <f t="shared" si="16"/>
        <v>59.142857142857139</v>
      </c>
      <c r="S159" s="51"/>
      <c r="T159" s="50" t="s">
        <v>299</v>
      </c>
    </row>
    <row r="160" spans="5:20" ht="21" x14ac:dyDescent="0.25">
      <c r="E160" s="108" t="s">
        <v>316</v>
      </c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10"/>
    </row>
    <row r="161" spans="5:20" ht="21" x14ac:dyDescent="0.25">
      <c r="E161" s="109" t="s">
        <v>294</v>
      </c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2"/>
    </row>
    <row r="162" spans="5:20" ht="21" x14ac:dyDescent="0.25">
      <c r="E162" s="63" t="s">
        <v>1</v>
      </c>
      <c r="F162" s="63" t="s">
        <v>2</v>
      </c>
      <c r="G162" s="63" t="s">
        <v>3</v>
      </c>
      <c r="H162" s="63" t="s">
        <v>4</v>
      </c>
      <c r="I162" s="64" t="s">
        <v>5</v>
      </c>
      <c r="J162" s="64" t="s">
        <v>6</v>
      </c>
      <c r="K162" s="64" t="s">
        <v>7</v>
      </c>
      <c r="L162" s="64" t="s">
        <v>8</v>
      </c>
      <c r="M162" s="64" t="s">
        <v>248</v>
      </c>
      <c r="N162" s="64" t="s">
        <v>170</v>
      </c>
      <c r="O162" s="64" t="s">
        <v>9</v>
      </c>
      <c r="P162" s="65" t="s">
        <v>11</v>
      </c>
      <c r="Q162" s="65" t="s">
        <v>10</v>
      </c>
      <c r="R162" s="64" t="s">
        <v>12</v>
      </c>
      <c r="S162" s="64" t="s">
        <v>215</v>
      </c>
      <c r="T162" s="64" t="s">
        <v>13</v>
      </c>
    </row>
    <row r="163" spans="5:20" ht="21" x14ac:dyDescent="0.25">
      <c r="E163" s="45"/>
      <c r="F163" s="45"/>
      <c r="G163" s="45"/>
      <c r="H163" s="45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53"/>
    </row>
    <row r="164" spans="5:20" ht="21" x14ac:dyDescent="0.25">
      <c r="E164" s="45">
        <v>1</v>
      </c>
      <c r="F164" s="45">
        <v>1516</v>
      </c>
      <c r="G164" s="48" t="s">
        <v>249</v>
      </c>
      <c r="H164" s="48" t="s">
        <v>172</v>
      </c>
      <c r="I164" s="46">
        <v>31</v>
      </c>
      <c r="J164" s="46">
        <v>31</v>
      </c>
      <c r="K164" s="46">
        <v>29</v>
      </c>
      <c r="L164" s="46">
        <v>28</v>
      </c>
      <c r="M164" s="46">
        <v>25</v>
      </c>
      <c r="N164" s="46">
        <v>31</v>
      </c>
      <c r="O164" s="46">
        <v>29</v>
      </c>
      <c r="P164" s="46">
        <f>SUM(I164:O164)</f>
        <v>204</v>
      </c>
      <c r="Q164" s="46">
        <v>350</v>
      </c>
      <c r="R164" s="46">
        <f>P164/Q164*100</f>
        <v>58.285714285714285</v>
      </c>
      <c r="S164" s="46"/>
      <c r="T164" s="46" t="s">
        <v>171</v>
      </c>
    </row>
    <row r="165" spans="5:20" ht="21" x14ac:dyDescent="0.25">
      <c r="E165" s="45">
        <v>2</v>
      </c>
      <c r="F165" s="45">
        <v>1025</v>
      </c>
      <c r="G165" s="48" t="s">
        <v>250</v>
      </c>
      <c r="H165" s="48" t="s">
        <v>165</v>
      </c>
      <c r="I165" s="46">
        <v>25</v>
      </c>
      <c r="J165" s="46">
        <v>26</v>
      </c>
      <c r="K165" s="46">
        <v>27</v>
      </c>
      <c r="L165" s="46">
        <v>27</v>
      </c>
      <c r="M165" s="46">
        <v>29</v>
      </c>
      <c r="N165" s="46">
        <v>32</v>
      </c>
      <c r="O165" s="46">
        <v>26</v>
      </c>
      <c r="P165" s="46">
        <f t="shared" ref="P165:P168" si="17">SUM(I165:O165)</f>
        <v>192</v>
      </c>
      <c r="Q165" s="46">
        <v>350</v>
      </c>
      <c r="R165" s="46">
        <f t="shared" ref="R165:R175" si="18">P165/Q165*100</f>
        <v>54.857142857142861</v>
      </c>
      <c r="S165" s="46"/>
      <c r="T165" s="46" t="s">
        <v>171</v>
      </c>
    </row>
    <row r="166" spans="5:20" ht="21" x14ac:dyDescent="0.25">
      <c r="E166" s="45">
        <v>3</v>
      </c>
      <c r="F166" s="45">
        <v>1626</v>
      </c>
      <c r="G166" s="48" t="s">
        <v>251</v>
      </c>
      <c r="H166" s="48" t="s">
        <v>252</v>
      </c>
      <c r="I166" s="46">
        <v>33</v>
      </c>
      <c r="J166" s="46">
        <v>27</v>
      </c>
      <c r="K166" s="46">
        <v>27</v>
      </c>
      <c r="L166" s="46">
        <v>31</v>
      </c>
      <c r="M166" s="46">
        <v>29</v>
      </c>
      <c r="N166" s="46">
        <v>34</v>
      </c>
      <c r="O166" s="46">
        <v>27</v>
      </c>
      <c r="P166" s="46">
        <f t="shared" si="17"/>
        <v>208</v>
      </c>
      <c r="Q166" s="46">
        <v>350</v>
      </c>
      <c r="R166" s="46">
        <f t="shared" si="18"/>
        <v>59.428571428571431</v>
      </c>
      <c r="S166" s="46"/>
      <c r="T166" s="46" t="s">
        <v>171</v>
      </c>
    </row>
    <row r="167" spans="5:20" ht="21" x14ac:dyDescent="0.25">
      <c r="E167" s="45">
        <v>4</v>
      </c>
      <c r="F167" s="45">
        <v>1676</v>
      </c>
      <c r="G167" s="48" t="s">
        <v>183</v>
      </c>
      <c r="H167" s="48" t="s">
        <v>253</v>
      </c>
      <c r="I167" s="46">
        <v>32</v>
      </c>
      <c r="J167" s="46">
        <v>29</v>
      </c>
      <c r="K167" s="46">
        <v>28</v>
      </c>
      <c r="L167" s="46">
        <v>26</v>
      </c>
      <c r="M167" s="46">
        <v>26</v>
      </c>
      <c r="N167" s="46">
        <v>35</v>
      </c>
      <c r="O167" s="46">
        <v>28</v>
      </c>
      <c r="P167" s="46">
        <f t="shared" si="17"/>
        <v>204</v>
      </c>
      <c r="Q167" s="46">
        <v>350</v>
      </c>
      <c r="R167" s="46">
        <f t="shared" si="18"/>
        <v>58.285714285714285</v>
      </c>
      <c r="S167" s="46"/>
      <c r="T167" s="46" t="s">
        <v>171</v>
      </c>
    </row>
    <row r="168" spans="5:20" ht="21" x14ac:dyDescent="0.25">
      <c r="E168" s="45">
        <v>5</v>
      </c>
      <c r="F168" s="45">
        <v>1781</v>
      </c>
      <c r="G168" s="48" t="s">
        <v>254</v>
      </c>
      <c r="H168" s="48" t="s">
        <v>255</v>
      </c>
      <c r="I168" s="46">
        <v>29</v>
      </c>
      <c r="J168" s="46">
        <v>30</v>
      </c>
      <c r="K168" s="46">
        <v>27</v>
      </c>
      <c r="L168" s="46">
        <v>27</v>
      </c>
      <c r="M168" s="46">
        <v>27</v>
      </c>
      <c r="N168" s="46">
        <v>36</v>
      </c>
      <c r="O168" s="46">
        <v>31</v>
      </c>
      <c r="P168" s="46">
        <f t="shared" si="17"/>
        <v>207</v>
      </c>
      <c r="Q168" s="46">
        <v>350</v>
      </c>
      <c r="R168" s="46">
        <f t="shared" si="18"/>
        <v>59.142857142857139</v>
      </c>
      <c r="S168" s="46"/>
      <c r="T168" s="46" t="s">
        <v>171</v>
      </c>
    </row>
    <row r="169" spans="5:20" ht="21" x14ac:dyDescent="0.25">
      <c r="E169" s="45">
        <v>6</v>
      </c>
      <c r="F169" s="45">
        <v>1782</v>
      </c>
      <c r="G169" s="48" t="s">
        <v>173</v>
      </c>
      <c r="H169" s="48" t="s">
        <v>174</v>
      </c>
      <c r="I169" s="46">
        <v>32</v>
      </c>
      <c r="J169" s="46">
        <v>29</v>
      </c>
      <c r="K169" s="46">
        <v>30</v>
      </c>
      <c r="L169" s="46">
        <v>25</v>
      </c>
      <c r="M169" s="46">
        <v>24</v>
      </c>
      <c r="N169" s="46">
        <v>40</v>
      </c>
      <c r="O169" s="46">
        <v>32</v>
      </c>
      <c r="P169" s="46">
        <f>SUM(I169:O169)</f>
        <v>212</v>
      </c>
      <c r="Q169" s="46">
        <v>350</v>
      </c>
      <c r="R169" s="46">
        <f t="shared" si="18"/>
        <v>60.571428571428577</v>
      </c>
      <c r="S169" s="46"/>
      <c r="T169" s="46" t="s">
        <v>171</v>
      </c>
    </row>
    <row r="170" spans="5:20" ht="21" x14ac:dyDescent="0.25">
      <c r="E170" s="45">
        <v>7</v>
      </c>
      <c r="F170" s="45">
        <v>1629</v>
      </c>
      <c r="G170" s="48" t="s">
        <v>166</v>
      </c>
      <c r="H170" s="48" t="s">
        <v>256</v>
      </c>
      <c r="I170" s="46">
        <v>30</v>
      </c>
      <c r="J170" s="46">
        <v>31</v>
      </c>
      <c r="K170" s="46">
        <v>33</v>
      </c>
      <c r="L170" s="46">
        <v>24</v>
      </c>
      <c r="M170" s="46">
        <v>24</v>
      </c>
      <c r="N170" s="46">
        <v>25</v>
      </c>
      <c r="O170" s="46">
        <v>33</v>
      </c>
      <c r="P170" s="46">
        <f t="shared" ref="P170:P175" si="19">SUM(I170:O170)</f>
        <v>200</v>
      </c>
      <c r="Q170" s="46">
        <v>350</v>
      </c>
      <c r="R170" s="46">
        <f t="shared" si="18"/>
        <v>57.142857142857139</v>
      </c>
      <c r="S170" s="46"/>
      <c r="T170" s="46" t="s">
        <v>171</v>
      </c>
    </row>
    <row r="171" spans="5:20" ht="21" x14ac:dyDescent="0.25">
      <c r="E171" s="45">
        <v>8</v>
      </c>
      <c r="F171" s="45">
        <v>1630</v>
      </c>
      <c r="G171" s="48" t="s">
        <v>257</v>
      </c>
      <c r="H171" s="48" t="s">
        <v>217</v>
      </c>
      <c r="I171" s="46">
        <v>31</v>
      </c>
      <c r="J171" s="46">
        <v>32</v>
      </c>
      <c r="K171" s="46">
        <v>30</v>
      </c>
      <c r="L171" s="46">
        <v>30</v>
      </c>
      <c r="M171" s="46">
        <v>27</v>
      </c>
      <c r="N171" s="46">
        <v>27</v>
      </c>
      <c r="O171" s="46">
        <v>32</v>
      </c>
      <c r="P171" s="46">
        <f t="shared" si="19"/>
        <v>209</v>
      </c>
      <c r="Q171" s="46">
        <v>350</v>
      </c>
      <c r="R171" s="46">
        <f t="shared" si="18"/>
        <v>59.714285714285722</v>
      </c>
      <c r="S171" s="46"/>
      <c r="T171" s="46" t="s">
        <v>171</v>
      </c>
    </row>
    <row r="172" spans="5:20" ht="21" x14ac:dyDescent="0.25">
      <c r="E172" s="45">
        <v>9</v>
      </c>
      <c r="F172" s="45">
        <v>1631</v>
      </c>
      <c r="G172" s="48" t="s">
        <v>258</v>
      </c>
      <c r="H172" s="48" t="s">
        <v>186</v>
      </c>
      <c r="I172" s="46">
        <v>31</v>
      </c>
      <c r="J172" s="46">
        <v>27</v>
      </c>
      <c r="K172" s="46">
        <v>27</v>
      </c>
      <c r="L172" s="46">
        <v>29</v>
      </c>
      <c r="M172" s="46">
        <v>29</v>
      </c>
      <c r="N172" s="46">
        <v>28</v>
      </c>
      <c r="O172" s="46">
        <v>34</v>
      </c>
      <c r="P172" s="46">
        <f t="shared" si="19"/>
        <v>205</v>
      </c>
      <c r="Q172" s="46">
        <v>350</v>
      </c>
      <c r="R172" s="46">
        <f t="shared" si="18"/>
        <v>58.571428571428577</v>
      </c>
      <c r="S172" s="46"/>
      <c r="T172" s="46" t="s">
        <v>171</v>
      </c>
    </row>
    <row r="173" spans="5:20" ht="21" x14ac:dyDescent="0.25">
      <c r="E173" s="45">
        <v>10</v>
      </c>
      <c r="F173" s="45">
        <v>1632</v>
      </c>
      <c r="G173" s="48" t="s">
        <v>259</v>
      </c>
      <c r="H173" s="48" t="s">
        <v>260</v>
      </c>
      <c r="I173" s="46">
        <v>28</v>
      </c>
      <c r="J173" s="46">
        <v>29</v>
      </c>
      <c r="K173" s="46">
        <v>30</v>
      </c>
      <c r="L173" s="46">
        <v>37</v>
      </c>
      <c r="M173" s="46">
        <v>30</v>
      </c>
      <c r="N173" s="46">
        <v>29</v>
      </c>
      <c r="O173" s="46">
        <v>42</v>
      </c>
      <c r="P173" s="46">
        <f t="shared" si="19"/>
        <v>225</v>
      </c>
      <c r="Q173" s="46">
        <v>350</v>
      </c>
      <c r="R173" s="46">
        <f t="shared" si="18"/>
        <v>64.285714285714292</v>
      </c>
      <c r="S173" s="46"/>
      <c r="T173" s="46" t="s">
        <v>171</v>
      </c>
    </row>
    <row r="174" spans="5:20" ht="21" x14ac:dyDescent="0.25">
      <c r="E174" s="45">
        <v>11</v>
      </c>
      <c r="F174" s="45">
        <v>1637</v>
      </c>
      <c r="G174" s="48" t="s">
        <v>167</v>
      </c>
      <c r="H174" s="48" t="s">
        <v>261</v>
      </c>
      <c r="I174" s="46">
        <v>30</v>
      </c>
      <c r="J174" s="46">
        <v>30</v>
      </c>
      <c r="K174" s="46">
        <v>32</v>
      </c>
      <c r="L174" s="46">
        <v>32</v>
      </c>
      <c r="M174" s="46">
        <v>35</v>
      </c>
      <c r="N174" s="46">
        <v>31</v>
      </c>
      <c r="O174" s="46">
        <v>39</v>
      </c>
      <c r="P174" s="46">
        <f t="shared" si="19"/>
        <v>229</v>
      </c>
      <c r="Q174" s="46">
        <v>350</v>
      </c>
      <c r="R174" s="46">
        <f t="shared" si="18"/>
        <v>65.428571428571431</v>
      </c>
      <c r="S174" s="46"/>
      <c r="T174" s="46" t="s">
        <v>171</v>
      </c>
    </row>
    <row r="175" spans="5:20" ht="21" x14ac:dyDescent="0.25">
      <c r="E175" s="45">
        <v>12</v>
      </c>
      <c r="F175" s="45">
        <v>1743</v>
      </c>
      <c r="G175" s="48" t="s">
        <v>187</v>
      </c>
      <c r="H175" s="48" t="s">
        <v>261</v>
      </c>
      <c r="I175" s="46">
        <v>31</v>
      </c>
      <c r="J175" s="46">
        <v>31</v>
      </c>
      <c r="K175" s="46">
        <v>39</v>
      </c>
      <c r="L175" s="46">
        <v>29</v>
      </c>
      <c r="M175" s="46">
        <v>31</v>
      </c>
      <c r="N175" s="46">
        <v>29</v>
      </c>
      <c r="O175" s="46">
        <v>29</v>
      </c>
      <c r="P175" s="46">
        <f t="shared" si="19"/>
        <v>219</v>
      </c>
      <c r="Q175" s="46">
        <v>350</v>
      </c>
      <c r="R175" s="46">
        <f t="shared" si="18"/>
        <v>62.571428571428569</v>
      </c>
      <c r="S175" s="46"/>
      <c r="T175" s="46" t="s">
        <v>171</v>
      </c>
    </row>
    <row r="176" spans="5:20" ht="21" x14ac:dyDescent="0.25">
      <c r="E176" s="108" t="s">
        <v>317</v>
      </c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2"/>
    </row>
    <row r="177" spans="5:20" ht="21" x14ac:dyDescent="0.25">
      <c r="E177" s="108" t="s">
        <v>295</v>
      </c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2"/>
    </row>
    <row r="178" spans="5:20" ht="21" x14ac:dyDescent="0.25">
      <c r="E178" s="63" t="s">
        <v>1</v>
      </c>
      <c r="F178" s="63" t="s">
        <v>2</v>
      </c>
      <c r="G178" s="63" t="s">
        <v>3</v>
      </c>
      <c r="H178" s="63" t="s">
        <v>4</v>
      </c>
      <c r="I178" s="64" t="s">
        <v>5</v>
      </c>
      <c r="J178" s="64" t="s">
        <v>6</v>
      </c>
      <c r="K178" s="64" t="s">
        <v>7</v>
      </c>
      <c r="L178" s="64" t="s">
        <v>8</v>
      </c>
      <c r="M178" s="64" t="s">
        <v>248</v>
      </c>
      <c r="N178" s="64" t="s">
        <v>170</v>
      </c>
      <c r="O178" s="64" t="s">
        <v>9</v>
      </c>
      <c r="P178" s="65" t="s">
        <v>11</v>
      </c>
      <c r="Q178" s="65" t="s">
        <v>10</v>
      </c>
      <c r="R178" s="64" t="s">
        <v>12</v>
      </c>
      <c r="S178" s="64" t="s">
        <v>215</v>
      </c>
      <c r="T178" s="64" t="s">
        <v>13</v>
      </c>
    </row>
    <row r="179" spans="5:20" ht="21" x14ac:dyDescent="0.25">
      <c r="E179" s="45"/>
      <c r="F179" s="45"/>
      <c r="G179" s="45"/>
      <c r="H179" s="57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54"/>
    </row>
    <row r="180" spans="5:20" ht="21" x14ac:dyDescent="0.25">
      <c r="E180" s="45">
        <v>1</v>
      </c>
      <c r="F180" s="45">
        <v>1537</v>
      </c>
      <c r="G180" s="48" t="s">
        <v>262</v>
      </c>
      <c r="H180" s="58" t="s">
        <v>263</v>
      </c>
      <c r="I180" s="46">
        <v>29</v>
      </c>
      <c r="J180" s="46">
        <v>26</v>
      </c>
      <c r="K180" s="46">
        <v>25</v>
      </c>
      <c r="L180" s="46">
        <v>27</v>
      </c>
      <c r="M180" s="46">
        <v>26</v>
      </c>
      <c r="N180" s="46">
        <v>33</v>
      </c>
      <c r="O180" s="46">
        <v>28</v>
      </c>
      <c r="P180" s="46">
        <f>SUM(I180:O180)</f>
        <v>194</v>
      </c>
      <c r="Q180" s="46">
        <v>350</v>
      </c>
      <c r="R180" s="46">
        <f>P180/Q180*100</f>
        <v>55.428571428571431</v>
      </c>
      <c r="S180" s="46"/>
      <c r="T180" s="46" t="s">
        <v>171</v>
      </c>
    </row>
    <row r="181" spans="5:20" ht="21" x14ac:dyDescent="0.25">
      <c r="E181" s="45">
        <v>2</v>
      </c>
      <c r="F181" s="45">
        <v>1666</v>
      </c>
      <c r="G181" s="48" t="s">
        <v>264</v>
      </c>
      <c r="H181" s="58" t="s">
        <v>265</v>
      </c>
      <c r="I181" s="46">
        <v>28</v>
      </c>
      <c r="J181" s="46">
        <v>33</v>
      </c>
      <c r="K181" s="46">
        <v>35</v>
      </c>
      <c r="L181" s="46">
        <v>33</v>
      </c>
      <c r="M181" s="46">
        <v>36</v>
      </c>
      <c r="N181" s="46">
        <v>34</v>
      </c>
      <c r="O181" s="46">
        <v>35</v>
      </c>
      <c r="P181" s="46">
        <f t="shared" ref="P181" si="20">SUM(I181:O181)</f>
        <v>234</v>
      </c>
      <c r="Q181" s="46">
        <v>350</v>
      </c>
      <c r="R181" s="46">
        <f t="shared" ref="R181:R194" si="21">P181/Q181*100</f>
        <v>66.857142857142861</v>
      </c>
      <c r="S181" s="46"/>
      <c r="T181" s="46" t="s">
        <v>171</v>
      </c>
    </row>
    <row r="182" spans="5:20" ht="21" x14ac:dyDescent="0.25">
      <c r="E182" s="45">
        <v>3</v>
      </c>
      <c r="F182" s="45">
        <v>1686</v>
      </c>
      <c r="G182" s="48" t="s">
        <v>266</v>
      </c>
      <c r="H182" s="58" t="s">
        <v>267</v>
      </c>
      <c r="I182" s="46">
        <v>27</v>
      </c>
      <c r="J182" s="46">
        <v>35</v>
      </c>
      <c r="K182" s="46">
        <v>36</v>
      </c>
      <c r="L182" s="46">
        <v>32</v>
      </c>
      <c r="M182" s="46">
        <v>37</v>
      </c>
      <c r="N182" s="46">
        <v>35</v>
      </c>
      <c r="O182" s="46">
        <v>35</v>
      </c>
      <c r="P182" s="46">
        <v>27</v>
      </c>
      <c r="Q182" s="46">
        <v>350</v>
      </c>
      <c r="R182" s="46">
        <f t="shared" si="21"/>
        <v>7.7142857142857135</v>
      </c>
      <c r="S182" s="46"/>
      <c r="T182" s="46" t="s">
        <v>171</v>
      </c>
    </row>
    <row r="183" spans="5:20" ht="21" x14ac:dyDescent="0.25">
      <c r="E183" s="45">
        <v>4</v>
      </c>
      <c r="F183" s="45">
        <v>1787</v>
      </c>
      <c r="G183" s="48" t="s">
        <v>268</v>
      </c>
      <c r="H183" s="58" t="s">
        <v>269</v>
      </c>
      <c r="I183" s="46">
        <v>25</v>
      </c>
      <c r="J183" s="46">
        <v>35</v>
      </c>
      <c r="K183" s="46">
        <v>21</v>
      </c>
      <c r="L183" s="46">
        <v>26</v>
      </c>
      <c r="M183" s="46">
        <v>30</v>
      </c>
      <c r="N183" s="46">
        <v>36</v>
      </c>
      <c r="O183" s="46">
        <v>29</v>
      </c>
      <c r="P183" s="46">
        <v>26</v>
      </c>
      <c r="Q183" s="46">
        <v>350</v>
      </c>
      <c r="R183" s="46">
        <f t="shared" si="21"/>
        <v>7.4285714285714288</v>
      </c>
      <c r="S183" s="55" t="s">
        <v>270</v>
      </c>
      <c r="T183" s="46" t="s">
        <v>171</v>
      </c>
    </row>
    <row r="184" spans="5:20" ht="21" x14ac:dyDescent="0.25">
      <c r="E184" s="45">
        <v>5</v>
      </c>
      <c r="F184" s="45">
        <v>1863</v>
      </c>
      <c r="G184" s="48" t="s">
        <v>180</v>
      </c>
      <c r="H184" s="58" t="s">
        <v>182</v>
      </c>
      <c r="I184" s="46">
        <v>26</v>
      </c>
      <c r="J184" s="47">
        <v>26</v>
      </c>
      <c r="K184" s="47">
        <v>28</v>
      </c>
      <c r="L184" s="46">
        <v>27</v>
      </c>
      <c r="M184" s="46">
        <v>38</v>
      </c>
      <c r="N184" s="47">
        <v>37</v>
      </c>
      <c r="O184" s="47">
        <v>30</v>
      </c>
      <c r="P184" s="46">
        <f t="shared" ref="P184:P194" si="22">SUM(I184:O184)</f>
        <v>212</v>
      </c>
      <c r="Q184" s="46">
        <v>350</v>
      </c>
      <c r="R184" s="46">
        <f t="shared" si="21"/>
        <v>60.571428571428577</v>
      </c>
      <c r="S184" s="55" t="s">
        <v>271</v>
      </c>
      <c r="T184" s="46" t="s">
        <v>171</v>
      </c>
    </row>
    <row r="185" spans="5:20" ht="21" x14ac:dyDescent="0.35">
      <c r="E185" s="45">
        <v>6</v>
      </c>
      <c r="F185" s="45">
        <v>1865</v>
      </c>
      <c r="G185" s="56" t="s">
        <v>272</v>
      </c>
      <c r="H185" s="59" t="s">
        <v>273</v>
      </c>
      <c r="I185" s="46">
        <v>31</v>
      </c>
      <c r="J185" s="46">
        <v>36</v>
      </c>
      <c r="K185" s="46">
        <v>31</v>
      </c>
      <c r="L185" s="46">
        <v>32</v>
      </c>
      <c r="M185" s="46">
        <v>38</v>
      </c>
      <c r="N185" s="46">
        <v>39</v>
      </c>
      <c r="O185" s="46">
        <v>35</v>
      </c>
      <c r="P185" s="46">
        <f t="shared" si="22"/>
        <v>242</v>
      </c>
      <c r="Q185" s="46">
        <v>350</v>
      </c>
      <c r="R185" s="46">
        <f t="shared" si="21"/>
        <v>69.142857142857139</v>
      </c>
      <c r="S185" s="46"/>
      <c r="T185" s="46" t="s">
        <v>171</v>
      </c>
    </row>
    <row r="186" spans="5:20" ht="21" x14ac:dyDescent="0.25">
      <c r="E186" s="45">
        <v>7</v>
      </c>
      <c r="F186" s="45">
        <v>1866</v>
      </c>
      <c r="G186" s="48" t="s">
        <v>274</v>
      </c>
      <c r="H186" s="58" t="s">
        <v>275</v>
      </c>
      <c r="I186" s="46">
        <v>32</v>
      </c>
      <c r="J186" s="46">
        <v>40</v>
      </c>
      <c r="K186" s="46">
        <v>38</v>
      </c>
      <c r="L186" s="46">
        <v>37</v>
      </c>
      <c r="M186" s="46">
        <v>39</v>
      </c>
      <c r="N186" s="46">
        <v>31</v>
      </c>
      <c r="O186" s="46">
        <v>31</v>
      </c>
      <c r="P186" s="46">
        <f t="shared" si="22"/>
        <v>248</v>
      </c>
      <c r="Q186" s="46">
        <v>350</v>
      </c>
      <c r="R186" s="46">
        <f t="shared" si="21"/>
        <v>70.857142857142847</v>
      </c>
      <c r="S186" s="46"/>
      <c r="T186" s="46" t="s">
        <v>171</v>
      </c>
    </row>
    <row r="187" spans="5:20" ht="21" x14ac:dyDescent="0.25">
      <c r="E187" s="45">
        <v>8</v>
      </c>
      <c r="F187" s="45">
        <v>1867</v>
      </c>
      <c r="G187" s="48" t="s">
        <v>276</v>
      </c>
      <c r="H187" s="58" t="s">
        <v>277</v>
      </c>
      <c r="I187" s="46">
        <v>35</v>
      </c>
      <c r="J187" s="46">
        <v>34</v>
      </c>
      <c r="K187" s="46">
        <v>41</v>
      </c>
      <c r="L187" s="46">
        <v>30</v>
      </c>
      <c r="M187" s="46">
        <v>40</v>
      </c>
      <c r="N187" s="46">
        <v>32</v>
      </c>
      <c r="O187" s="46">
        <v>30</v>
      </c>
      <c r="P187" s="46">
        <f t="shared" si="22"/>
        <v>242</v>
      </c>
      <c r="Q187" s="46">
        <v>350</v>
      </c>
      <c r="R187" s="46">
        <f t="shared" si="21"/>
        <v>69.142857142857139</v>
      </c>
      <c r="S187" s="46"/>
      <c r="T187" s="46" t="s">
        <v>171</v>
      </c>
    </row>
    <row r="188" spans="5:20" ht="21" x14ac:dyDescent="0.25">
      <c r="E188" s="45">
        <v>9</v>
      </c>
      <c r="F188" s="45">
        <v>1868</v>
      </c>
      <c r="G188" s="48" t="s">
        <v>278</v>
      </c>
      <c r="H188" s="58" t="s">
        <v>279</v>
      </c>
      <c r="I188" s="46">
        <v>40</v>
      </c>
      <c r="J188" s="46">
        <v>33</v>
      </c>
      <c r="K188" s="46">
        <v>33</v>
      </c>
      <c r="L188" s="46">
        <v>33</v>
      </c>
      <c r="M188" s="46">
        <v>42</v>
      </c>
      <c r="N188" s="46">
        <v>33</v>
      </c>
      <c r="O188" s="46">
        <v>32</v>
      </c>
      <c r="P188" s="46">
        <f t="shared" si="22"/>
        <v>246</v>
      </c>
      <c r="Q188" s="46">
        <v>350</v>
      </c>
      <c r="R188" s="46">
        <f t="shared" si="21"/>
        <v>70.285714285714278</v>
      </c>
      <c r="S188" s="46"/>
      <c r="T188" s="46" t="s">
        <v>171</v>
      </c>
    </row>
    <row r="189" spans="5:20" ht="21" x14ac:dyDescent="0.25">
      <c r="E189" s="45">
        <v>10</v>
      </c>
      <c r="F189" s="45">
        <v>1897</v>
      </c>
      <c r="G189" s="48" t="s">
        <v>280</v>
      </c>
      <c r="H189" s="58" t="s">
        <v>281</v>
      </c>
      <c r="I189" s="46">
        <v>30</v>
      </c>
      <c r="J189" s="46">
        <v>34</v>
      </c>
      <c r="K189" s="46">
        <v>31</v>
      </c>
      <c r="L189" s="46">
        <v>40</v>
      </c>
      <c r="M189" s="46">
        <v>35</v>
      </c>
      <c r="N189" s="46">
        <v>32</v>
      </c>
      <c r="O189" s="46">
        <v>33</v>
      </c>
      <c r="P189" s="46">
        <f t="shared" si="22"/>
        <v>235</v>
      </c>
      <c r="Q189" s="46">
        <v>350</v>
      </c>
      <c r="R189" s="46">
        <f t="shared" si="21"/>
        <v>67.142857142857139</v>
      </c>
      <c r="S189" s="46"/>
      <c r="T189" s="46" t="s">
        <v>171</v>
      </c>
    </row>
    <row r="190" spans="5:20" ht="21" x14ac:dyDescent="0.25">
      <c r="E190" s="45">
        <v>11</v>
      </c>
      <c r="F190" s="45">
        <v>1783</v>
      </c>
      <c r="G190" s="48" t="s">
        <v>282</v>
      </c>
      <c r="H190" s="58" t="s">
        <v>283</v>
      </c>
      <c r="I190" s="46">
        <v>31</v>
      </c>
      <c r="J190" s="46">
        <v>32</v>
      </c>
      <c r="K190" s="46">
        <v>31</v>
      </c>
      <c r="L190" s="46">
        <v>26</v>
      </c>
      <c r="M190" s="46">
        <v>31</v>
      </c>
      <c r="N190" s="46">
        <v>31</v>
      </c>
      <c r="O190" s="46">
        <v>34</v>
      </c>
      <c r="P190" s="46">
        <f t="shared" si="22"/>
        <v>216</v>
      </c>
      <c r="Q190" s="46">
        <v>350</v>
      </c>
      <c r="R190" s="46">
        <f t="shared" si="21"/>
        <v>61.714285714285708</v>
      </c>
      <c r="S190" s="46"/>
      <c r="T190" s="46" t="s">
        <v>171</v>
      </c>
    </row>
    <row r="191" spans="5:20" ht="21" x14ac:dyDescent="0.25">
      <c r="E191" s="45">
        <v>12</v>
      </c>
      <c r="F191" s="45">
        <v>1784</v>
      </c>
      <c r="G191" s="48" t="s">
        <v>284</v>
      </c>
      <c r="H191" s="58" t="s">
        <v>285</v>
      </c>
      <c r="I191" s="46">
        <v>34</v>
      </c>
      <c r="J191" s="46">
        <v>36</v>
      </c>
      <c r="K191" s="46">
        <v>40</v>
      </c>
      <c r="L191" s="46">
        <v>40</v>
      </c>
      <c r="M191" s="46">
        <v>28</v>
      </c>
      <c r="N191" s="46">
        <v>29</v>
      </c>
      <c r="O191" s="46">
        <v>34</v>
      </c>
      <c r="P191" s="46">
        <f t="shared" si="22"/>
        <v>241</v>
      </c>
      <c r="Q191" s="46">
        <v>350</v>
      </c>
      <c r="R191" s="46">
        <f t="shared" si="21"/>
        <v>68.857142857142861</v>
      </c>
      <c r="S191" s="46"/>
      <c r="T191" s="46" t="s">
        <v>171</v>
      </c>
    </row>
    <row r="192" spans="5:20" ht="21" x14ac:dyDescent="0.25">
      <c r="E192" s="45">
        <v>13</v>
      </c>
      <c r="F192" s="45">
        <v>1785</v>
      </c>
      <c r="G192" s="48" t="s">
        <v>286</v>
      </c>
      <c r="H192" s="58" t="s">
        <v>285</v>
      </c>
      <c r="I192" s="46">
        <v>35</v>
      </c>
      <c r="J192" s="46">
        <v>31</v>
      </c>
      <c r="K192" s="46">
        <v>32</v>
      </c>
      <c r="L192" s="46">
        <v>31</v>
      </c>
      <c r="M192" s="46">
        <v>27</v>
      </c>
      <c r="N192" s="46">
        <v>30</v>
      </c>
      <c r="O192" s="46">
        <v>32</v>
      </c>
      <c r="P192" s="46">
        <f t="shared" si="22"/>
        <v>218</v>
      </c>
      <c r="Q192" s="46">
        <v>350</v>
      </c>
      <c r="R192" s="46">
        <f t="shared" si="21"/>
        <v>62.285714285714292</v>
      </c>
      <c r="S192" s="46"/>
      <c r="T192" s="46" t="s">
        <v>171</v>
      </c>
    </row>
    <row r="193" spans="5:20" ht="21" x14ac:dyDescent="0.25">
      <c r="E193" s="45">
        <v>14</v>
      </c>
      <c r="F193" s="45">
        <v>1786</v>
      </c>
      <c r="G193" s="48" t="s">
        <v>287</v>
      </c>
      <c r="H193" s="58" t="s">
        <v>288</v>
      </c>
      <c r="I193" s="46">
        <v>39</v>
      </c>
      <c r="J193" s="46">
        <v>33</v>
      </c>
      <c r="K193" s="46">
        <v>33</v>
      </c>
      <c r="L193" s="46">
        <v>32</v>
      </c>
      <c r="M193" s="46">
        <v>34</v>
      </c>
      <c r="N193" s="46">
        <v>35</v>
      </c>
      <c r="O193" s="46">
        <v>34</v>
      </c>
      <c r="P193" s="46">
        <f t="shared" si="22"/>
        <v>240</v>
      </c>
      <c r="Q193" s="46">
        <v>350</v>
      </c>
      <c r="R193" s="46">
        <f t="shared" si="21"/>
        <v>68.571428571428569</v>
      </c>
      <c r="S193" s="46"/>
      <c r="T193" s="46" t="s">
        <v>171</v>
      </c>
    </row>
    <row r="194" spans="5:20" ht="21" x14ac:dyDescent="0.25">
      <c r="E194" s="45">
        <v>15</v>
      </c>
      <c r="F194" s="45">
        <v>1864</v>
      </c>
      <c r="G194" s="48" t="s">
        <v>289</v>
      </c>
      <c r="H194" s="58" t="s">
        <v>290</v>
      </c>
      <c r="I194" s="46">
        <v>40</v>
      </c>
      <c r="J194" s="46">
        <v>35</v>
      </c>
      <c r="K194" s="46">
        <v>30</v>
      </c>
      <c r="L194" s="46">
        <v>29</v>
      </c>
      <c r="M194" s="46">
        <v>28</v>
      </c>
      <c r="N194" s="46">
        <v>30</v>
      </c>
      <c r="O194" s="46">
        <v>32</v>
      </c>
      <c r="P194" s="46">
        <f t="shared" si="22"/>
        <v>224</v>
      </c>
      <c r="Q194" s="46">
        <v>350</v>
      </c>
      <c r="R194" s="46">
        <f t="shared" si="21"/>
        <v>64</v>
      </c>
      <c r="S194" s="46"/>
      <c r="T194" s="46" t="s">
        <v>171</v>
      </c>
    </row>
    <row r="196" spans="5:20" ht="21" x14ac:dyDescent="0.25">
      <c r="E196" s="113" t="s">
        <v>0</v>
      </c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</row>
    <row r="197" spans="5:20" ht="21" x14ac:dyDescent="0.25">
      <c r="E197" s="114" t="s">
        <v>291</v>
      </c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  <c r="R197" s="113"/>
      <c r="S197" s="113"/>
      <c r="T197" s="113"/>
    </row>
    <row r="198" spans="5:20" ht="21" x14ac:dyDescent="0.25">
      <c r="E198" s="114" t="s">
        <v>292</v>
      </c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  <c r="R198" s="113"/>
      <c r="S198" s="113"/>
      <c r="T198" s="113"/>
    </row>
    <row r="199" spans="5:20" ht="21" x14ac:dyDescent="0.25">
      <c r="E199" s="114" t="s">
        <v>318</v>
      </c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  <c r="R199" s="113"/>
      <c r="S199" s="113"/>
      <c r="T199" s="113"/>
    </row>
    <row r="200" spans="5:20" ht="21" x14ac:dyDescent="0.25">
      <c r="E200" s="114" t="s">
        <v>293</v>
      </c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  <c r="R200" s="113"/>
      <c r="S200" s="113"/>
      <c r="T200" s="113"/>
    </row>
    <row r="201" spans="5:20" ht="21" x14ac:dyDescent="0.35">
      <c r="E201" s="63" t="s">
        <v>1</v>
      </c>
      <c r="F201" s="63" t="s">
        <v>2</v>
      </c>
      <c r="G201" s="63" t="s">
        <v>3</v>
      </c>
      <c r="H201" s="63" t="s">
        <v>4</v>
      </c>
      <c r="I201" s="64" t="s">
        <v>5</v>
      </c>
      <c r="J201" s="64" t="s">
        <v>6</v>
      </c>
      <c r="K201" s="64" t="s">
        <v>7</v>
      </c>
      <c r="L201" s="64" t="s">
        <v>8</v>
      </c>
      <c r="M201" s="64" t="s">
        <v>9</v>
      </c>
      <c r="N201" s="64" t="s">
        <v>170</v>
      </c>
      <c r="O201" s="64" t="s">
        <v>214</v>
      </c>
      <c r="P201" s="65" t="s">
        <v>11</v>
      </c>
      <c r="Q201" s="65" t="s">
        <v>10</v>
      </c>
      <c r="R201" s="66" t="s">
        <v>12</v>
      </c>
      <c r="S201" s="64" t="s">
        <v>215</v>
      </c>
      <c r="T201" s="64" t="s">
        <v>13</v>
      </c>
    </row>
    <row r="202" spans="5:20" ht="21" x14ac:dyDescent="0.25">
      <c r="E202" s="45"/>
      <c r="F202" s="45"/>
      <c r="G202" s="45"/>
      <c r="H202" s="45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</row>
    <row r="203" spans="5:20" ht="25.5" x14ac:dyDescent="0.25">
      <c r="E203" s="45">
        <v>1</v>
      </c>
      <c r="F203" s="45">
        <v>1645</v>
      </c>
      <c r="G203" s="48" t="s">
        <v>216</v>
      </c>
      <c r="H203" s="48" t="s">
        <v>217</v>
      </c>
      <c r="I203" s="46">
        <v>30</v>
      </c>
      <c r="J203" s="46">
        <v>29</v>
      </c>
      <c r="K203" s="46">
        <v>35</v>
      </c>
      <c r="L203" s="46">
        <v>23</v>
      </c>
      <c r="M203" s="46">
        <v>36</v>
      </c>
      <c r="N203" s="46">
        <v>38</v>
      </c>
      <c r="O203" s="46">
        <v>32</v>
      </c>
      <c r="P203" s="46">
        <f>SUM(I203:O203)</f>
        <v>223</v>
      </c>
      <c r="Q203" s="46">
        <v>350</v>
      </c>
      <c r="R203" s="46">
        <f>P203/Q203*100</f>
        <v>63.714285714285715</v>
      </c>
      <c r="S203" s="49"/>
      <c r="T203" s="50" t="s">
        <v>171</v>
      </c>
    </row>
    <row r="204" spans="5:20" ht="25.5" x14ac:dyDescent="0.25">
      <c r="E204" s="45">
        <v>2</v>
      </c>
      <c r="F204" s="45">
        <v>1648</v>
      </c>
      <c r="G204" s="48" t="s">
        <v>218</v>
      </c>
      <c r="H204" s="48" t="s">
        <v>219</v>
      </c>
      <c r="I204" s="46">
        <v>31</v>
      </c>
      <c r="J204" s="46">
        <v>30</v>
      </c>
      <c r="K204" s="46">
        <v>40</v>
      </c>
      <c r="L204" s="46">
        <v>42</v>
      </c>
      <c r="M204" s="46">
        <v>44</v>
      </c>
      <c r="N204" s="46">
        <v>37</v>
      </c>
      <c r="O204" s="46">
        <v>31</v>
      </c>
      <c r="P204" s="46">
        <f t="shared" ref="P204:P224" si="23">SUM(I204:O204)</f>
        <v>255</v>
      </c>
      <c r="Q204" s="46">
        <v>350</v>
      </c>
      <c r="R204" s="46">
        <f t="shared" ref="R204:R224" si="24">P204/Q204*100</f>
        <v>72.857142857142847</v>
      </c>
      <c r="S204" s="49"/>
      <c r="T204" s="50" t="s">
        <v>171</v>
      </c>
    </row>
    <row r="205" spans="5:20" ht="25.5" x14ac:dyDescent="0.25">
      <c r="E205" s="45">
        <v>3</v>
      </c>
      <c r="F205" s="45">
        <v>1641</v>
      </c>
      <c r="G205" s="48" t="s">
        <v>175</v>
      </c>
      <c r="H205" s="48" t="s">
        <v>300</v>
      </c>
      <c r="I205" s="46">
        <v>32</v>
      </c>
      <c r="J205" s="46">
        <v>28</v>
      </c>
      <c r="K205" s="46">
        <v>41</v>
      </c>
      <c r="L205" s="46">
        <v>41</v>
      </c>
      <c r="M205" s="46">
        <v>43</v>
      </c>
      <c r="N205" s="46">
        <v>40</v>
      </c>
      <c r="O205" s="46">
        <v>40</v>
      </c>
      <c r="P205" s="46">
        <f t="shared" si="23"/>
        <v>265</v>
      </c>
      <c r="Q205" s="46">
        <v>350</v>
      </c>
      <c r="R205" s="46">
        <f t="shared" si="24"/>
        <v>75.714285714285708</v>
      </c>
      <c r="S205" s="49"/>
      <c r="T205" s="50" t="s">
        <v>171</v>
      </c>
    </row>
    <row r="206" spans="5:20" ht="25.5" x14ac:dyDescent="0.25">
      <c r="E206" s="45">
        <v>4</v>
      </c>
      <c r="F206" s="45">
        <v>1609</v>
      </c>
      <c r="G206" s="48" t="s">
        <v>178</v>
      </c>
      <c r="H206" s="48" t="s">
        <v>184</v>
      </c>
      <c r="I206" s="46">
        <v>42</v>
      </c>
      <c r="J206" s="46">
        <v>27</v>
      </c>
      <c r="K206" s="46">
        <v>41</v>
      </c>
      <c r="L206" s="46">
        <v>40</v>
      </c>
      <c r="M206" s="46">
        <v>38</v>
      </c>
      <c r="N206" s="46">
        <v>32</v>
      </c>
      <c r="O206" s="46">
        <v>41</v>
      </c>
      <c r="P206" s="46">
        <f t="shared" si="23"/>
        <v>261</v>
      </c>
      <c r="Q206" s="46">
        <v>350</v>
      </c>
      <c r="R206" s="46">
        <f t="shared" si="24"/>
        <v>74.571428571428569</v>
      </c>
      <c r="S206" s="49"/>
      <c r="T206" s="50" t="s">
        <v>171</v>
      </c>
    </row>
    <row r="207" spans="5:20" ht="25.5" x14ac:dyDescent="0.25">
      <c r="E207" s="45">
        <v>5</v>
      </c>
      <c r="F207" s="45">
        <v>1712</v>
      </c>
      <c r="G207" s="48" t="s">
        <v>220</v>
      </c>
      <c r="H207" s="48" t="s">
        <v>221</v>
      </c>
      <c r="I207" s="46">
        <v>25</v>
      </c>
      <c r="J207" s="46">
        <v>25</v>
      </c>
      <c r="K207" s="46">
        <v>39</v>
      </c>
      <c r="L207" s="46">
        <v>26</v>
      </c>
      <c r="M207" s="46">
        <v>41</v>
      </c>
      <c r="N207" s="46">
        <v>26</v>
      </c>
      <c r="O207" s="46">
        <v>43</v>
      </c>
      <c r="P207" s="46">
        <f t="shared" si="23"/>
        <v>225</v>
      </c>
      <c r="Q207" s="46">
        <v>350</v>
      </c>
      <c r="R207" s="46">
        <f t="shared" si="24"/>
        <v>64.285714285714292</v>
      </c>
      <c r="S207" s="51"/>
      <c r="T207" s="50" t="s">
        <v>171</v>
      </c>
    </row>
    <row r="208" spans="5:20" ht="25.5" x14ac:dyDescent="0.25">
      <c r="E208" s="45">
        <v>6</v>
      </c>
      <c r="F208" s="45">
        <v>1710</v>
      </c>
      <c r="G208" s="48" t="s">
        <v>222</v>
      </c>
      <c r="H208" s="48" t="s">
        <v>177</v>
      </c>
      <c r="I208" s="46">
        <v>43</v>
      </c>
      <c r="J208" s="46">
        <v>27</v>
      </c>
      <c r="K208" s="46">
        <v>39</v>
      </c>
      <c r="L208" s="46">
        <v>32</v>
      </c>
      <c r="M208" s="46">
        <v>32</v>
      </c>
      <c r="N208" s="46">
        <v>25</v>
      </c>
      <c r="O208" s="46">
        <v>41</v>
      </c>
      <c r="P208" s="46">
        <f t="shared" si="23"/>
        <v>239</v>
      </c>
      <c r="Q208" s="46">
        <v>350</v>
      </c>
      <c r="R208" s="46">
        <f t="shared" si="24"/>
        <v>68.285714285714278</v>
      </c>
      <c r="S208" s="51"/>
      <c r="T208" s="50" t="s">
        <v>171</v>
      </c>
    </row>
    <row r="209" spans="5:20" ht="25.5" x14ac:dyDescent="0.25">
      <c r="E209" s="45">
        <v>7</v>
      </c>
      <c r="F209" s="45">
        <v>1790</v>
      </c>
      <c r="G209" s="48" t="s">
        <v>223</v>
      </c>
      <c r="H209" s="48" t="s">
        <v>224</v>
      </c>
      <c r="I209" s="46">
        <v>38</v>
      </c>
      <c r="J209" s="46">
        <v>27</v>
      </c>
      <c r="K209" s="46">
        <v>37</v>
      </c>
      <c r="L209" s="46">
        <v>40</v>
      </c>
      <c r="M209" s="46">
        <v>42</v>
      </c>
      <c r="N209" s="46">
        <v>34</v>
      </c>
      <c r="O209" s="46">
        <v>35</v>
      </c>
      <c r="P209" s="46">
        <f t="shared" si="23"/>
        <v>253</v>
      </c>
      <c r="Q209" s="46">
        <v>350</v>
      </c>
      <c r="R209" s="46">
        <f t="shared" si="24"/>
        <v>72.285714285714292</v>
      </c>
      <c r="S209" s="51"/>
      <c r="T209" s="50" t="s">
        <v>171</v>
      </c>
    </row>
    <row r="210" spans="5:20" ht="25.5" x14ac:dyDescent="0.25">
      <c r="E210" s="45">
        <v>8</v>
      </c>
      <c r="F210" s="45">
        <v>1791</v>
      </c>
      <c r="G210" s="48" t="s">
        <v>225</v>
      </c>
      <c r="H210" s="48" t="s">
        <v>226</v>
      </c>
      <c r="I210" s="46">
        <v>31</v>
      </c>
      <c r="J210" s="46">
        <v>39</v>
      </c>
      <c r="K210" s="46">
        <v>33</v>
      </c>
      <c r="L210" s="46">
        <v>41</v>
      </c>
      <c r="M210" s="46">
        <v>30</v>
      </c>
      <c r="N210" s="46">
        <v>33</v>
      </c>
      <c r="O210" s="46">
        <v>38</v>
      </c>
      <c r="P210" s="46">
        <f t="shared" si="23"/>
        <v>245</v>
      </c>
      <c r="Q210" s="46">
        <v>350</v>
      </c>
      <c r="R210" s="46">
        <f t="shared" si="24"/>
        <v>70</v>
      </c>
      <c r="S210" s="51"/>
      <c r="T210" s="50" t="s">
        <v>171</v>
      </c>
    </row>
    <row r="211" spans="5:20" ht="25.5" x14ac:dyDescent="0.25">
      <c r="E211" s="45">
        <v>9</v>
      </c>
      <c r="F211" s="45">
        <v>1792</v>
      </c>
      <c r="G211" s="48" t="s">
        <v>182</v>
      </c>
      <c r="H211" s="48" t="s">
        <v>227</v>
      </c>
      <c r="I211" s="46">
        <v>28</v>
      </c>
      <c r="J211" s="46">
        <v>41</v>
      </c>
      <c r="K211" s="46">
        <v>37</v>
      </c>
      <c r="L211" s="46">
        <v>34</v>
      </c>
      <c r="M211" s="46">
        <v>43</v>
      </c>
      <c r="N211" s="46">
        <v>34</v>
      </c>
      <c r="O211" s="46">
        <v>42</v>
      </c>
      <c r="P211" s="46">
        <f t="shared" si="23"/>
        <v>259</v>
      </c>
      <c r="Q211" s="46">
        <v>350</v>
      </c>
      <c r="R211" s="46">
        <f t="shared" si="24"/>
        <v>74</v>
      </c>
      <c r="S211" s="51"/>
      <c r="T211" s="50" t="s">
        <v>171</v>
      </c>
    </row>
    <row r="212" spans="5:20" ht="25.5" x14ac:dyDescent="0.25">
      <c r="E212" s="45">
        <v>10</v>
      </c>
      <c r="F212" s="45">
        <v>1793</v>
      </c>
      <c r="G212" s="48" t="s">
        <v>228</v>
      </c>
      <c r="H212" s="48" t="s">
        <v>229</v>
      </c>
      <c r="I212" s="46">
        <v>29</v>
      </c>
      <c r="J212" s="46">
        <v>41</v>
      </c>
      <c r="K212" s="46">
        <v>32</v>
      </c>
      <c r="L212" s="46">
        <v>33</v>
      </c>
      <c r="M212" s="46">
        <v>39</v>
      </c>
      <c r="N212" s="46">
        <v>40</v>
      </c>
      <c r="O212" s="46">
        <v>31</v>
      </c>
      <c r="P212" s="46">
        <f t="shared" si="23"/>
        <v>245</v>
      </c>
      <c r="Q212" s="46">
        <v>350</v>
      </c>
      <c r="R212" s="46">
        <f t="shared" si="24"/>
        <v>70</v>
      </c>
      <c r="S212" s="51"/>
      <c r="T212" s="50" t="s">
        <v>171</v>
      </c>
    </row>
    <row r="213" spans="5:20" ht="25.5" x14ac:dyDescent="0.25">
      <c r="E213" s="45">
        <v>11</v>
      </c>
      <c r="F213" s="45">
        <v>1794</v>
      </c>
      <c r="G213" s="48" t="s">
        <v>230</v>
      </c>
      <c r="H213" s="48" t="s">
        <v>185</v>
      </c>
      <c r="I213" s="46">
        <v>41</v>
      </c>
      <c r="J213" s="46">
        <v>30</v>
      </c>
      <c r="K213" s="46">
        <v>45</v>
      </c>
      <c r="L213" s="46">
        <v>42</v>
      </c>
      <c r="M213" s="46">
        <v>35</v>
      </c>
      <c r="N213" s="46">
        <v>34</v>
      </c>
      <c r="O213" s="46">
        <v>42</v>
      </c>
      <c r="P213" s="46">
        <f t="shared" si="23"/>
        <v>269</v>
      </c>
      <c r="Q213" s="46">
        <v>350</v>
      </c>
      <c r="R213" s="46">
        <f t="shared" si="24"/>
        <v>76.857142857142861</v>
      </c>
      <c r="S213" s="51"/>
      <c r="T213" s="50" t="s">
        <v>171</v>
      </c>
    </row>
    <row r="214" spans="5:20" ht="25.5" x14ac:dyDescent="0.25">
      <c r="E214" s="45">
        <v>12</v>
      </c>
      <c r="F214" s="45">
        <v>1795</v>
      </c>
      <c r="G214" s="48" t="s">
        <v>231</v>
      </c>
      <c r="H214" s="48" t="s">
        <v>232</v>
      </c>
      <c r="I214" s="47">
        <v>26</v>
      </c>
      <c r="J214" s="46">
        <v>25</v>
      </c>
      <c r="K214" s="47">
        <v>32</v>
      </c>
      <c r="L214" s="47">
        <v>30</v>
      </c>
      <c r="M214" s="47">
        <v>42</v>
      </c>
      <c r="N214" s="47">
        <v>33</v>
      </c>
      <c r="O214" s="47">
        <v>23</v>
      </c>
      <c r="P214" s="46">
        <f t="shared" si="23"/>
        <v>211</v>
      </c>
      <c r="Q214" s="46">
        <v>350</v>
      </c>
      <c r="R214" s="46">
        <f t="shared" si="24"/>
        <v>60.285714285714285</v>
      </c>
      <c r="S214" s="51"/>
      <c r="T214" s="50" t="s">
        <v>171</v>
      </c>
    </row>
    <row r="215" spans="5:20" ht="25.5" x14ac:dyDescent="0.25">
      <c r="E215" s="45">
        <v>13</v>
      </c>
      <c r="F215" s="45">
        <v>1796</v>
      </c>
      <c r="G215" s="48" t="s">
        <v>233</v>
      </c>
      <c r="H215" s="48" t="s">
        <v>232</v>
      </c>
      <c r="I215" s="47">
        <v>29</v>
      </c>
      <c r="J215" s="47">
        <v>27</v>
      </c>
      <c r="K215" s="47">
        <v>27</v>
      </c>
      <c r="L215" s="47">
        <v>25</v>
      </c>
      <c r="M215" s="47">
        <v>32</v>
      </c>
      <c r="N215" s="47">
        <v>36</v>
      </c>
      <c r="O215" s="47">
        <v>34</v>
      </c>
      <c r="P215" s="46">
        <f t="shared" si="23"/>
        <v>210</v>
      </c>
      <c r="Q215" s="46">
        <v>350</v>
      </c>
      <c r="R215" s="46">
        <f t="shared" si="24"/>
        <v>60</v>
      </c>
      <c r="S215" s="51"/>
      <c r="T215" s="50" t="s">
        <v>171</v>
      </c>
    </row>
    <row r="216" spans="5:20" ht="25.5" x14ac:dyDescent="0.25">
      <c r="E216" s="45">
        <v>14</v>
      </c>
      <c r="F216" s="45">
        <v>1654</v>
      </c>
      <c r="G216" s="48" t="s">
        <v>234</v>
      </c>
      <c r="H216" s="48" t="s">
        <v>235</v>
      </c>
      <c r="I216" s="46">
        <v>40</v>
      </c>
      <c r="J216" s="46">
        <v>28</v>
      </c>
      <c r="K216" s="46">
        <v>37</v>
      </c>
      <c r="L216" s="46">
        <v>42</v>
      </c>
      <c r="M216" s="46">
        <v>42</v>
      </c>
      <c r="N216" s="46">
        <v>38</v>
      </c>
      <c r="O216" s="46">
        <v>41</v>
      </c>
      <c r="P216" s="46">
        <f t="shared" si="23"/>
        <v>268</v>
      </c>
      <c r="Q216" s="46">
        <v>350</v>
      </c>
      <c r="R216" s="46">
        <f t="shared" si="24"/>
        <v>76.571428571428569</v>
      </c>
      <c r="S216" s="51"/>
      <c r="T216" s="50" t="s">
        <v>171</v>
      </c>
    </row>
    <row r="217" spans="5:20" ht="25.5" x14ac:dyDescent="0.25">
      <c r="E217" s="45">
        <v>15</v>
      </c>
      <c r="F217" s="45">
        <v>1603</v>
      </c>
      <c r="G217" s="48" t="s">
        <v>236</v>
      </c>
      <c r="H217" s="48" t="s">
        <v>172</v>
      </c>
      <c r="I217" s="46">
        <v>20</v>
      </c>
      <c r="J217" s="46">
        <v>29</v>
      </c>
      <c r="K217" s="47">
        <v>33</v>
      </c>
      <c r="L217" s="46">
        <v>30</v>
      </c>
      <c r="M217" s="46">
        <v>41</v>
      </c>
      <c r="N217" s="46">
        <v>40</v>
      </c>
      <c r="O217" s="46">
        <v>41</v>
      </c>
      <c r="P217" s="46">
        <f t="shared" si="23"/>
        <v>234</v>
      </c>
      <c r="Q217" s="46">
        <v>350</v>
      </c>
      <c r="R217" s="46">
        <f t="shared" si="24"/>
        <v>66.857142857142861</v>
      </c>
      <c r="S217" s="51"/>
      <c r="T217" s="50" t="s">
        <v>171</v>
      </c>
    </row>
    <row r="218" spans="5:20" ht="25.5" x14ac:dyDescent="0.25">
      <c r="E218" s="45">
        <v>16</v>
      </c>
      <c r="F218" s="48">
        <v>1656</v>
      </c>
      <c r="G218" s="48" t="s">
        <v>237</v>
      </c>
      <c r="H218" s="48" t="s">
        <v>238</v>
      </c>
      <c r="I218" s="46">
        <v>20</v>
      </c>
      <c r="J218" s="46">
        <v>30</v>
      </c>
      <c r="K218" s="46">
        <v>32</v>
      </c>
      <c r="L218" s="46">
        <v>25</v>
      </c>
      <c r="M218" s="46">
        <v>29</v>
      </c>
      <c r="N218" s="46">
        <v>30</v>
      </c>
      <c r="O218" s="46">
        <v>32</v>
      </c>
      <c r="P218" s="46">
        <f t="shared" si="23"/>
        <v>198</v>
      </c>
      <c r="Q218" s="46">
        <v>350</v>
      </c>
      <c r="R218" s="46">
        <f t="shared" si="24"/>
        <v>56.571428571428569</v>
      </c>
      <c r="S218" s="51"/>
      <c r="T218" s="50" t="s">
        <v>171</v>
      </c>
    </row>
    <row r="219" spans="5:20" ht="25.5" x14ac:dyDescent="0.25">
      <c r="E219" s="45">
        <v>17</v>
      </c>
      <c r="F219" s="48">
        <v>1657</v>
      </c>
      <c r="G219" s="48" t="s">
        <v>239</v>
      </c>
      <c r="H219" s="48" t="s">
        <v>169</v>
      </c>
      <c r="I219" s="46">
        <v>21</v>
      </c>
      <c r="J219" s="46">
        <v>20</v>
      </c>
      <c r="K219" s="46">
        <v>28</v>
      </c>
      <c r="L219" s="46">
        <v>29</v>
      </c>
      <c r="M219" s="46">
        <v>32</v>
      </c>
      <c r="N219" s="46">
        <v>32</v>
      </c>
      <c r="O219" s="46">
        <v>29</v>
      </c>
      <c r="P219" s="46">
        <f t="shared" si="23"/>
        <v>191</v>
      </c>
      <c r="Q219" s="46">
        <v>350</v>
      </c>
      <c r="R219" s="46">
        <f t="shared" si="24"/>
        <v>54.571428571428569</v>
      </c>
      <c r="S219" s="51"/>
      <c r="T219" s="50" t="s">
        <v>171</v>
      </c>
    </row>
    <row r="220" spans="5:20" ht="25.5" x14ac:dyDescent="0.25">
      <c r="E220" s="45">
        <v>18</v>
      </c>
      <c r="F220" s="48">
        <v>1722</v>
      </c>
      <c r="G220" s="48" t="s">
        <v>240</v>
      </c>
      <c r="H220" s="48" t="s">
        <v>241</v>
      </c>
      <c r="I220" s="46">
        <v>40</v>
      </c>
      <c r="J220" s="46">
        <v>30</v>
      </c>
      <c r="K220" s="46">
        <v>36</v>
      </c>
      <c r="L220" s="46">
        <v>43</v>
      </c>
      <c r="M220" s="46">
        <v>40</v>
      </c>
      <c r="N220" s="46">
        <v>37</v>
      </c>
      <c r="O220" s="46">
        <v>41</v>
      </c>
      <c r="P220" s="46">
        <f t="shared" si="23"/>
        <v>267</v>
      </c>
      <c r="Q220" s="46">
        <v>350</v>
      </c>
      <c r="R220" s="46">
        <f t="shared" si="24"/>
        <v>76.285714285714292</v>
      </c>
      <c r="S220" s="51"/>
      <c r="T220" s="50" t="s">
        <v>171</v>
      </c>
    </row>
    <row r="221" spans="5:20" ht="25.5" x14ac:dyDescent="0.25">
      <c r="E221" s="45">
        <v>19</v>
      </c>
      <c r="F221" s="48">
        <v>1788</v>
      </c>
      <c r="G221" s="48" t="s">
        <v>242</v>
      </c>
      <c r="H221" s="48" t="s">
        <v>181</v>
      </c>
      <c r="I221" s="46">
        <v>21</v>
      </c>
      <c r="J221" s="46">
        <v>30</v>
      </c>
      <c r="K221" s="46">
        <v>27</v>
      </c>
      <c r="L221" s="46">
        <v>25</v>
      </c>
      <c r="M221" s="46">
        <v>30</v>
      </c>
      <c r="N221" s="46">
        <v>29</v>
      </c>
      <c r="O221" s="46">
        <v>33</v>
      </c>
      <c r="P221" s="46">
        <f t="shared" si="23"/>
        <v>195</v>
      </c>
      <c r="Q221" s="46">
        <v>350</v>
      </c>
      <c r="R221" s="46">
        <f t="shared" si="24"/>
        <v>55.714285714285715</v>
      </c>
      <c r="S221" s="51"/>
      <c r="T221" s="50" t="s">
        <v>171</v>
      </c>
    </row>
    <row r="222" spans="5:20" ht="25.5" x14ac:dyDescent="0.25">
      <c r="E222" s="45">
        <v>20</v>
      </c>
      <c r="F222" s="48">
        <v>1655</v>
      </c>
      <c r="G222" s="48" t="s">
        <v>179</v>
      </c>
      <c r="H222" s="48" t="s">
        <v>168</v>
      </c>
      <c r="I222" s="46" t="s">
        <v>243</v>
      </c>
      <c r="J222" s="46" t="s">
        <v>243</v>
      </c>
      <c r="K222" s="46" t="s">
        <v>243</v>
      </c>
      <c r="L222" s="46" t="s">
        <v>243</v>
      </c>
      <c r="M222" s="47" t="s">
        <v>243</v>
      </c>
      <c r="N222" s="46" t="s">
        <v>243</v>
      </c>
      <c r="O222" s="47" t="s">
        <v>243</v>
      </c>
      <c r="P222" s="46">
        <f t="shared" si="23"/>
        <v>0</v>
      </c>
      <c r="Q222" s="46">
        <v>350</v>
      </c>
      <c r="R222" s="46">
        <f t="shared" si="24"/>
        <v>0</v>
      </c>
      <c r="S222" s="51"/>
      <c r="T222" s="50" t="s">
        <v>299</v>
      </c>
    </row>
    <row r="223" spans="5:20" ht="25.5" x14ac:dyDescent="0.25">
      <c r="E223" s="45">
        <v>21</v>
      </c>
      <c r="F223" s="48">
        <v>1789</v>
      </c>
      <c r="G223" s="48" t="s">
        <v>244</v>
      </c>
      <c r="H223" s="48" t="s">
        <v>245</v>
      </c>
      <c r="I223" s="46">
        <v>32</v>
      </c>
      <c r="J223" s="46">
        <v>20</v>
      </c>
      <c r="K223" s="46">
        <v>30</v>
      </c>
      <c r="L223" s="46">
        <v>29</v>
      </c>
      <c r="M223" s="46">
        <v>31</v>
      </c>
      <c r="N223" s="46">
        <v>32</v>
      </c>
      <c r="O223" s="46">
        <v>42</v>
      </c>
      <c r="P223" s="46">
        <f t="shared" si="23"/>
        <v>216</v>
      </c>
      <c r="Q223" s="46">
        <v>350</v>
      </c>
      <c r="R223" s="46">
        <f t="shared" si="24"/>
        <v>61.714285714285708</v>
      </c>
      <c r="S223" s="51"/>
      <c r="T223" s="50" t="s">
        <v>171</v>
      </c>
    </row>
    <row r="224" spans="5:20" ht="25.5" x14ac:dyDescent="0.25">
      <c r="E224" s="45">
        <v>22</v>
      </c>
      <c r="F224" s="48">
        <v>1858</v>
      </c>
      <c r="G224" s="48" t="s">
        <v>246</v>
      </c>
      <c r="H224" s="48" t="s">
        <v>247</v>
      </c>
      <c r="I224" s="47">
        <v>33</v>
      </c>
      <c r="J224" s="46">
        <v>32</v>
      </c>
      <c r="K224" s="47">
        <v>34</v>
      </c>
      <c r="L224" s="47">
        <v>32</v>
      </c>
      <c r="M224" s="46">
        <v>44</v>
      </c>
      <c r="N224" s="47">
        <v>31</v>
      </c>
      <c r="O224" s="47">
        <v>32</v>
      </c>
      <c r="P224" s="46">
        <f t="shared" si="23"/>
        <v>238</v>
      </c>
      <c r="Q224" s="46">
        <v>350</v>
      </c>
      <c r="R224" s="46">
        <f t="shared" si="24"/>
        <v>68</v>
      </c>
      <c r="S224" s="51"/>
      <c r="T224" s="50" t="s">
        <v>299</v>
      </c>
    </row>
    <row r="225" spans="5:20" ht="21" x14ac:dyDescent="0.25">
      <c r="E225" s="108" t="s">
        <v>318</v>
      </c>
      <c r="F225" s="109"/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10"/>
    </row>
    <row r="226" spans="5:20" ht="21" x14ac:dyDescent="0.25">
      <c r="E226" s="109" t="s">
        <v>294</v>
      </c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2"/>
    </row>
    <row r="227" spans="5:20" ht="21" x14ac:dyDescent="0.25">
      <c r="E227" s="63" t="s">
        <v>1</v>
      </c>
      <c r="F227" s="63" t="s">
        <v>2</v>
      </c>
      <c r="G227" s="63" t="s">
        <v>3</v>
      </c>
      <c r="H227" s="63" t="s">
        <v>4</v>
      </c>
      <c r="I227" s="64" t="s">
        <v>5</v>
      </c>
      <c r="J227" s="64" t="s">
        <v>6</v>
      </c>
      <c r="K227" s="64" t="s">
        <v>7</v>
      </c>
      <c r="L227" s="64" t="s">
        <v>8</v>
      </c>
      <c r="M227" s="64" t="s">
        <v>248</v>
      </c>
      <c r="N227" s="64" t="s">
        <v>170</v>
      </c>
      <c r="O227" s="64" t="s">
        <v>9</v>
      </c>
      <c r="P227" s="65" t="s">
        <v>11</v>
      </c>
      <c r="Q227" s="65" t="s">
        <v>10</v>
      </c>
      <c r="R227" s="64" t="s">
        <v>12</v>
      </c>
      <c r="S227" s="64" t="s">
        <v>215</v>
      </c>
      <c r="T227" s="64" t="s">
        <v>13</v>
      </c>
    </row>
    <row r="228" spans="5:20" ht="21" x14ac:dyDescent="0.25">
      <c r="E228" s="45"/>
      <c r="F228" s="45"/>
      <c r="G228" s="45"/>
      <c r="H228" s="45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53"/>
    </row>
    <row r="229" spans="5:20" ht="21" x14ac:dyDescent="0.25">
      <c r="E229" s="45">
        <v>1</v>
      </c>
      <c r="F229" s="45">
        <v>1516</v>
      </c>
      <c r="G229" s="48" t="s">
        <v>249</v>
      </c>
      <c r="H229" s="48" t="s">
        <v>172</v>
      </c>
      <c r="I229" s="46">
        <v>31</v>
      </c>
      <c r="J229" s="46">
        <v>37</v>
      </c>
      <c r="K229" s="46">
        <v>29</v>
      </c>
      <c r="L229" s="46">
        <v>30</v>
      </c>
      <c r="M229" s="46">
        <v>25</v>
      </c>
      <c r="N229" s="46">
        <v>31</v>
      </c>
      <c r="O229" s="46">
        <v>32</v>
      </c>
      <c r="P229" s="46">
        <f>SUM(I229:O229)</f>
        <v>215</v>
      </c>
      <c r="Q229" s="46">
        <v>350</v>
      </c>
      <c r="R229" s="46">
        <f>P229/Q229*100</f>
        <v>61.428571428571431</v>
      </c>
      <c r="S229" s="46"/>
      <c r="T229" s="46" t="s">
        <v>171</v>
      </c>
    </row>
    <row r="230" spans="5:20" ht="21" x14ac:dyDescent="0.25">
      <c r="E230" s="45">
        <v>2</v>
      </c>
      <c r="F230" s="45">
        <v>1025</v>
      </c>
      <c r="G230" s="48" t="s">
        <v>250</v>
      </c>
      <c r="H230" s="48" t="s">
        <v>165</v>
      </c>
      <c r="I230" s="46">
        <v>25</v>
      </c>
      <c r="J230" s="46">
        <v>35</v>
      </c>
      <c r="K230" s="46">
        <v>30</v>
      </c>
      <c r="L230" s="46">
        <v>31</v>
      </c>
      <c r="M230" s="46">
        <v>31</v>
      </c>
      <c r="N230" s="46">
        <v>32</v>
      </c>
      <c r="O230" s="46">
        <v>31</v>
      </c>
      <c r="P230" s="46">
        <f t="shared" ref="P230:P233" si="25">SUM(I230:O230)</f>
        <v>215</v>
      </c>
      <c r="Q230" s="46">
        <v>350</v>
      </c>
      <c r="R230" s="46">
        <f t="shared" ref="R230:R240" si="26">P230/Q230*100</f>
        <v>61.428571428571431</v>
      </c>
      <c r="S230" s="46"/>
      <c r="T230" s="46" t="s">
        <v>171</v>
      </c>
    </row>
    <row r="231" spans="5:20" ht="21" x14ac:dyDescent="0.25">
      <c r="E231" s="45">
        <v>3</v>
      </c>
      <c r="F231" s="45">
        <v>1626</v>
      </c>
      <c r="G231" s="48" t="s">
        <v>251</v>
      </c>
      <c r="H231" s="48" t="s">
        <v>252</v>
      </c>
      <c r="I231" s="46">
        <v>31</v>
      </c>
      <c r="J231" s="46">
        <v>33</v>
      </c>
      <c r="K231" s="46">
        <v>31</v>
      </c>
      <c r="L231" s="46">
        <v>33</v>
      </c>
      <c r="M231" s="46">
        <v>31</v>
      </c>
      <c r="N231" s="46">
        <v>33</v>
      </c>
      <c r="O231" s="46">
        <v>28</v>
      </c>
      <c r="P231" s="46">
        <f t="shared" si="25"/>
        <v>220</v>
      </c>
      <c r="Q231" s="46">
        <v>350</v>
      </c>
      <c r="R231" s="46">
        <f t="shared" si="26"/>
        <v>62.857142857142854</v>
      </c>
      <c r="S231" s="46"/>
      <c r="T231" s="46" t="s">
        <v>171</v>
      </c>
    </row>
    <row r="232" spans="5:20" ht="21" x14ac:dyDescent="0.25">
      <c r="E232" s="45">
        <v>4</v>
      </c>
      <c r="F232" s="45">
        <v>1676</v>
      </c>
      <c r="G232" s="48" t="s">
        <v>183</v>
      </c>
      <c r="H232" s="48" t="s">
        <v>253</v>
      </c>
      <c r="I232" s="46">
        <v>32</v>
      </c>
      <c r="J232" s="46">
        <v>31</v>
      </c>
      <c r="K232" s="46">
        <v>29</v>
      </c>
      <c r="L232" s="46">
        <v>29</v>
      </c>
      <c r="M232" s="46">
        <v>30</v>
      </c>
      <c r="N232" s="46">
        <v>35</v>
      </c>
      <c r="O232" s="46">
        <v>32</v>
      </c>
      <c r="P232" s="46">
        <f t="shared" si="25"/>
        <v>218</v>
      </c>
      <c r="Q232" s="46">
        <v>350</v>
      </c>
      <c r="R232" s="46">
        <f t="shared" si="26"/>
        <v>62.285714285714292</v>
      </c>
      <c r="S232" s="46"/>
      <c r="T232" s="46" t="s">
        <v>171</v>
      </c>
    </row>
    <row r="233" spans="5:20" ht="21" x14ac:dyDescent="0.25">
      <c r="E233" s="45">
        <v>5</v>
      </c>
      <c r="F233" s="45">
        <v>1781</v>
      </c>
      <c r="G233" s="48" t="s">
        <v>254</v>
      </c>
      <c r="H233" s="48" t="s">
        <v>255</v>
      </c>
      <c r="I233" s="46">
        <v>31</v>
      </c>
      <c r="J233" s="46">
        <v>29</v>
      </c>
      <c r="K233" s="46">
        <v>26</v>
      </c>
      <c r="L233" s="46">
        <v>30</v>
      </c>
      <c r="M233" s="46">
        <v>27</v>
      </c>
      <c r="N233" s="46">
        <v>31</v>
      </c>
      <c r="O233" s="46">
        <v>33</v>
      </c>
      <c r="P233" s="46">
        <f t="shared" si="25"/>
        <v>207</v>
      </c>
      <c r="Q233" s="46">
        <v>350</v>
      </c>
      <c r="R233" s="46">
        <f t="shared" si="26"/>
        <v>59.142857142857139</v>
      </c>
      <c r="S233" s="46"/>
      <c r="T233" s="46" t="s">
        <v>171</v>
      </c>
    </row>
    <row r="234" spans="5:20" ht="21" x14ac:dyDescent="0.25">
      <c r="E234" s="45">
        <v>6</v>
      </c>
      <c r="F234" s="45">
        <v>1782</v>
      </c>
      <c r="G234" s="48" t="s">
        <v>173</v>
      </c>
      <c r="H234" s="48" t="s">
        <v>174</v>
      </c>
      <c r="I234" s="46">
        <v>32</v>
      </c>
      <c r="J234" s="46">
        <v>34</v>
      </c>
      <c r="K234" s="46">
        <v>31</v>
      </c>
      <c r="L234" s="46">
        <v>25</v>
      </c>
      <c r="M234" s="46">
        <v>26</v>
      </c>
      <c r="N234" s="46">
        <v>26</v>
      </c>
      <c r="O234" s="46">
        <v>35</v>
      </c>
      <c r="P234" s="46">
        <f>SUM(I234:O234)</f>
        <v>209</v>
      </c>
      <c r="Q234" s="46">
        <v>350</v>
      </c>
      <c r="R234" s="46">
        <f t="shared" si="26"/>
        <v>59.714285714285722</v>
      </c>
      <c r="S234" s="46"/>
      <c r="T234" s="46" t="s">
        <v>171</v>
      </c>
    </row>
    <row r="235" spans="5:20" ht="21" x14ac:dyDescent="0.25">
      <c r="E235" s="45">
        <v>7</v>
      </c>
      <c r="F235" s="45">
        <v>1629</v>
      </c>
      <c r="G235" s="48" t="s">
        <v>166</v>
      </c>
      <c r="H235" s="48" t="s">
        <v>256</v>
      </c>
      <c r="I235" s="46">
        <v>34</v>
      </c>
      <c r="J235" s="46">
        <v>33</v>
      </c>
      <c r="K235" s="46">
        <v>35</v>
      </c>
      <c r="L235" s="46">
        <v>27</v>
      </c>
      <c r="M235" s="46">
        <v>28</v>
      </c>
      <c r="N235" s="46">
        <v>30</v>
      </c>
      <c r="O235" s="46">
        <v>27</v>
      </c>
      <c r="P235" s="46">
        <f t="shared" ref="P235:P240" si="27">SUM(I235:O235)</f>
        <v>214</v>
      </c>
      <c r="Q235" s="46">
        <v>350</v>
      </c>
      <c r="R235" s="46">
        <f t="shared" si="26"/>
        <v>61.142857142857146</v>
      </c>
      <c r="S235" s="46"/>
      <c r="T235" s="46" t="s">
        <v>171</v>
      </c>
    </row>
    <row r="236" spans="5:20" ht="21" x14ac:dyDescent="0.25">
      <c r="E236" s="45">
        <v>8</v>
      </c>
      <c r="F236" s="45">
        <v>1630</v>
      </c>
      <c r="G236" s="48" t="s">
        <v>257</v>
      </c>
      <c r="H236" s="48" t="s">
        <v>217</v>
      </c>
      <c r="I236" s="46">
        <v>37</v>
      </c>
      <c r="J236" s="46">
        <v>32</v>
      </c>
      <c r="K236" s="46">
        <v>30</v>
      </c>
      <c r="L236" s="46">
        <v>32</v>
      </c>
      <c r="M236" s="46">
        <v>32</v>
      </c>
      <c r="N236" s="46">
        <v>31</v>
      </c>
      <c r="O236" s="46">
        <v>31</v>
      </c>
      <c r="P236" s="46">
        <f t="shared" si="27"/>
        <v>225</v>
      </c>
      <c r="Q236" s="46">
        <v>350</v>
      </c>
      <c r="R236" s="46">
        <f t="shared" si="26"/>
        <v>64.285714285714292</v>
      </c>
      <c r="S236" s="46"/>
      <c r="T236" s="46" t="s">
        <v>171</v>
      </c>
    </row>
    <row r="237" spans="5:20" ht="21" x14ac:dyDescent="0.25">
      <c r="E237" s="45">
        <v>9</v>
      </c>
      <c r="F237" s="45">
        <v>1631</v>
      </c>
      <c r="G237" s="48" t="s">
        <v>258</v>
      </c>
      <c r="H237" s="48" t="s">
        <v>186</v>
      </c>
      <c r="I237" s="46">
        <v>31</v>
      </c>
      <c r="J237" s="46">
        <v>26</v>
      </c>
      <c r="K237" s="46">
        <v>27</v>
      </c>
      <c r="L237" s="46">
        <v>29</v>
      </c>
      <c r="M237" s="46">
        <v>29</v>
      </c>
      <c r="N237" s="46">
        <v>30</v>
      </c>
      <c r="O237" s="46">
        <v>31</v>
      </c>
      <c r="P237" s="46">
        <f t="shared" si="27"/>
        <v>203</v>
      </c>
      <c r="Q237" s="46">
        <v>350</v>
      </c>
      <c r="R237" s="46">
        <f t="shared" si="26"/>
        <v>57.999999999999993</v>
      </c>
      <c r="S237" s="46"/>
      <c r="T237" s="46" t="s">
        <v>171</v>
      </c>
    </row>
    <row r="238" spans="5:20" ht="21" x14ac:dyDescent="0.25">
      <c r="E238" s="45">
        <v>10</v>
      </c>
      <c r="F238" s="45">
        <v>1632</v>
      </c>
      <c r="G238" s="48" t="s">
        <v>259</v>
      </c>
      <c r="H238" s="48" t="s">
        <v>260</v>
      </c>
      <c r="I238" s="46">
        <v>32</v>
      </c>
      <c r="J238" s="46">
        <v>29</v>
      </c>
      <c r="K238" s="46">
        <v>32</v>
      </c>
      <c r="L238" s="46">
        <v>40</v>
      </c>
      <c r="M238" s="46">
        <v>32</v>
      </c>
      <c r="N238" s="46">
        <v>32</v>
      </c>
      <c r="O238" s="46">
        <v>42</v>
      </c>
      <c r="P238" s="46">
        <f t="shared" si="27"/>
        <v>239</v>
      </c>
      <c r="Q238" s="46">
        <v>350</v>
      </c>
      <c r="R238" s="46">
        <f t="shared" si="26"/>
        <v>68.285714285714278</v>
      </c>
      <c r="S238" s="46"/>
      <c r="T238" s="46" t="s">
        <v>171</v>
      </c>
    </row>
    <row r="239" spans="5:20" ht="21" x14ac:dyDescent="0.25">
      <c r="E239" s="45">
        <v>11</v>
      </c>
      <c r="F239" s="45">
        <v>1637</v>
      </c>
      <c r="G239" s="48" t="s">
        <v>167</v>
      </c>
      <c r="H239" s="48" t="s">
        <v>261</v>
      </c>
      <c r="I239" s="46">
        <v>37</v>
      </c>
      <c r="J239" s="46">
        <v>33</v>
      </c>
      <c r="K239" s="46">
        <v>32</v>
      </c>
      <c r="L239" s="46">
        <v>38</v>
      </c>
      <c r="M239" s="46">
        <v>35</v>
      </c>
      <c r="N239" s="46">
        <v>33</v>
      </c>
      <c r="O239" s="46">
        <v>41</v>
      </c>
      <c r="P239" s="46">
        <f t="shared" si="27"/>
        <v>249</v>
      </c>
      <c r="Q239" s="46">
        <v>350</v>
      </c>
      <c r="R239" s="46">
        <f t="shared" si="26"/>
        <v>71.142857142857139</v>
      </c>
      <c r="S239" s="46"/>
      <c r="T239" s="46" t="s">
        <v>171</v>
      </c>
    </row>
    <row r="240" spans="5:20" ht="21" x14ac:dyDescent="0.25">
      <c r="E240" s="45">
        <v>12</v>
      </c>
      <c r="F240" s="45">
        <v>1743</v>
      </c>
      <c r="G240" s="48" t="s">
        <v>187</v>
      </c>
      <c r="H240" s="48" t="s">
        <v>261</v>
      </c>
      <c r="I240" s="46">
        <v>29</v>
      </c>
      <c r="J240" s="46">
        <v>34</v>
      </c>
      <c r="K240" s="46">
        <v>39</v>
      </c>
      <c r="L240" s="46">
        <v>31</v>
      </c>
      <c r="M240" s="46">
        <v>31</v>
      </c>
      <c r="N240" s="46">
        <v>36</v>
      </c>
      <c r="O240" s="46">
        <v>30</v>
      </c>
      <c r="P240" s="46">
        <f t="shared" si="27"/>
        <v>230</v>
      </c>
      <c r="Q240" s="46">
        <v>350</v>
      </c>
      <c r="R240" s="46">
        <f t="shared" si="26"/>
        <v>65.714285714285708</v>
      </c>
      <c r="S240" s="46"/>
      <c r="T240" s="46" t="s">
        <v>171</v>
      </c>
    </row>
    <row r="241" spans="5:20" ht="21" x14ac:dyDescent="0.25">
      <c r="E241" s="108" t="s">
        <v>319</v>
      </c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2"/>
    </row>
    <row r="242" spans="5:20" ht="21" x14ac:dyDescent="0.25">
      <c r="E242" s="108" t="s">
        <v>295</v>
      </c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2"/>
    </row>
    <row r="243" spans="5:20" ht="21" x14ac:dyDescent="0.25">
      <c r="E243" s="63" t="s">
        <v>1</v>
      </c>
      <c r="F243" s="63" t="s">
        <v>2</v>
      </c>
      <c r="G243" s="63" t="s">
        <v>3</v>
      </c>
      <c r="H243" s="63" t="s">
        <v>4</v>
      </c>
      <c r="I243" s="64" t="s">
        <v>5</v>
      </c>
      <c r="J243" s="64" t="s">
        <v>6</v>
      </c>
      <c r="K243" s="64" t="s">
        <v>7</v>
      </c>
      <c r="L243" s="64" t="s">
        <v>8</v>
      </c>
      <c r="M243" s="64" t="s">
        <v>248</v>
      </c>
      <c r="N243" s="64" t="s">
        <v>170</v>
      </c>
      <c r="O243" s="64" t="s">
        <v>9</v>
      </c>
      <c r="P243" s="65" t="s">
        <v>11</v>
      </c>
      <c r="Q243" s="65" t="s">
        <v>10</v>
      </c>
      <c r="R243" s="64" t="s">
        <v>12</v>
      </c>
      <c r="S243" s="64" t="s">
        <v>215</v>
      </c>
      <c r="T243" s="64" t="s">
        <v>13</v>
      </c>
    </row>
    <row r="244" spans="5:20" ht="21" x14ac:dyDescent="0.25">
      <c r="E244" s="45"/>
      <c r="F244" s="45"/>
      <c r="G244" s="45"/>
      <c r="H244" s="57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54"/>
    </row>
    <row r="245" spans="5:20" ht="21" x14ac:dyDescent="0.25">
      <c r="E245" s="45">
        <v>1</v>
      </c>
      <c r="F245" s="45">
        <v>1537</v>
      </c>
      <c r="G245" s="48" t="s">
        <v>262</v>
      </c>
      <c r="H245" s="58" t="s">
        <v>263</v>
      </c>
      <c r="I245" s="46">
        <v>29</v>
      </c>
      <c r="J245" s="46">
        <v>26</v>
      </c>
      <c r="K245" s="46">
        <v>27</v>
      </c>
      <c r="L245" s="46">
        <v>27</v>
      </c>
      <c r="M245" s="46">
        <v>26</v>
      </c>
      <c r="N245" s="46">
        <v>29</v>
      </c>
      <c r="O245" s="46">
        <v>28</v>
      </c>
      <c r="P245" s="46">
        <f>SUM(I245:O245)</f>
        <v>192</v>
      </c>
      <c r="Q245" s="46">
        <v>350</v>
      </c>
      <c r="R245" s="46">
        <f>P245/Q245*100</f>
        <v>54.857142857142861</v>
      </c>
      <c r="S245" s="46"/>
      <c r="T245" s="46" t="s">
        <v>171</v>
      </c>
    </row>
    <row r="246" spans="5:20" ht="21" x14ac:dyDescent="0.25">
      <c r="E246" s="45">
        <v>2</v>
      </c>
      <c r="F246" s="45">
        <v>1666</v>
      </c>
      <c r="G246" s="48" t="s">
        <v>264</v>
      </c>
      <c r="H246" s="58" t="s">
        <v>265</v>
      </c>
      <c r="I246" s="46">
        <v>30</v>
      </c>
      <c r="J246" s="46">
        <v>33</v>
      </c>
      <c r="K246" s="46">
        <v>34</v>
      </c>
      <c r="L246" s="46">
        <v>28</v>
      </c>
      <c r="M246" s="46">
        <v>36</v>
      </c>
      <c r="N246" s="46">
        <v>36</v>
      </c>
      <c r="O246" s="46">
        <v>29</v>
      </c>
      <c r="P246" s="46">
        <f t="shared" ref="P246" si="28">SUM(I246:O246)</f>
        <v>226</v>
      </c>
      <c r="Q246" s="46">
        <v>350</v>
      </c>
      <c r="R246" s="46">
        <f t="shared" ref="R246:R259" si="29">P246/Q246*100</f>
        <v>64.571428571428569</v>
      </c>
      <c r="S246" s="46"/>
      <c r="T246" s="46" t="s">
        <v>171</v>
      </c>
    </row>
    <row r="247" spans="5:20" ht="21" x14ac:dyDescent="0.25">
      <c r="E247" s="45">
        <v>3</v>
      </c>
      <c r="F247" s="45">
        <v>1686</v>
      </c>
      <c r="G247" s="48" t="s">
        <v>266</v>
      </c>
      <c r="H247" s="58" t="s">
        <v>267</v>
      </c>
      <c r="I247" s="46">
        <v>31</v>
      </c>
      <c r="J247" s="46">
        <v>37</v>
      </c>
      <c r="K247" s="46">
        <v>36</v>
      </c>
      <c r="L247" s="46">
        <v>32</v>
      </c>
      <c r="M247" s="46">
        <v>37</v>
      </c>
      <c r="N247" s="46">
        <v>35</v>
      </c>
      <c r="O247" s="46">
        <v>31</v>
      </c>
      <c r="P247" s="46">
        <v>27</v>
      </c>
      <c r="Q247" s="46">
        <v>350</v>
      </c>
      <c r="R247" s="46">
        <f t="shared" si="29"/>
        <v>7.7142857142857135</v>
      </c>
      <c r="S247" s="46"/>
      <c r="T247" s="46" t="s">
        <v>171</v>
      </c>
    </row>
    <row r="248" spans="5:20" ht="21" x14ac:dyDescent="0.25">
      <c r="E248" s="45">
        <v>4</v>
      </c>
      <c r="F248" s="45">
        <v>1787</v>
      </c>
      <c r="G248" s="48" t="s">
        <v>268</v>
      </c>
      <c r="H248" s="58" t="s">
        <v>269</v>
      </c>
      <c r="I248" s="46">
        <v>25</v>
      </c>
      <c r="J248" s="46">
        <v>25</v>
      </c>
      <c r="K248" s="46">
        <v>36</v>
      </c>
      <c r="L248" s="46">
        <v>28</v>
      </c>
      <c r="M248" s="46">
        <v>30</v>
      </c>
      <c r="N248" s="46">
        <v>27</v>
      </c>
      <c r="O248" s="46">
        <v>31</v>
      </c>
      <c r="P248" s="46">
        <v>26</v>
      </c>
      <c r="Q248" s="46">
        <v>350</v>
      </c>
      <c r="R248" s="46">
        <f t="shared" si="29"/>
        <v>7.4285714285714288</v>
      </c>
      <c r="S248" s="55" t="s">
        <v>270</v>
      </c>
      <c r="T248" s="46" t="s">
        <v>171</v>
      </c>
    </row>
    <row r="249" spans="5:20" ht="21" x14ac:dyDescent="0.25">
      <c r="E249" s="45">
        <v>5</v>
      </c>
      <c r="F249" s="45">
        <v>1863</v>
      </c>
      <c r="G249" s="48" t="s">
        <v>180</v>
      </c>
      <c r="H249" s="58" t="s">
        <v>182</v>
      </c>
      <c r="I249" s="46">
        <v>26</v>
      </c>
      <c r="J249" s="47">
        <v>26</v>
      </c>
      <c r="K249" s="47">
        <v>39</v>
      </c>
      <c r="L249" s="46">
        <v>29</v>
      </c>
      <c r="M249" s="46">
        <v>28</v>
      </c>
      <c r="N249" s="47">
        <v>30</v>
      </c>
      <c r="O249" s="47">
        <v>32</v>
      </c>
      <c r="P249" s="46">
        <f t="shared" ref="P249:P259" si="30">SUM(I249:O249)</f>
        <v>210</v>
      </c>
      <c r="Q249" s="46">
        <v>350</v>
      </c>
      <c r="R249" s="46">
        <f t="shared" si="29"/>
        <v>60</v>
      </c>
      <c r="S249" s="55" t="s">
        <v>271</v>
      </c>
      <c r="T249" s="46" t="s">
        <v>171</v>
      </c>
    </row>
    <row r="250" spans="5:20" ht="21" x14ac:dyDescent="0.35">
      <c r="E250" s="45">
        <v>6</v>
      </c>
      <c r="F250" s="45">
        <v>1865</v>
      </c>
      <c r="G250" s="56" t="s">
        <v>272</v>
      </c>
      <c r="H250" s="59" t="s">
        <v>273</v>
      </c>
      <c r="I250" s="46">
        <v>32</v>
      </c>
      <c r="J250" s="46">
        <v>35</v>
      </c>
      <c r="K250" s="46">
        <v>38</v>
      </c>
      <c r="L250" s="46">
        <v>37</v>
      </c>
      <c r="M250" s="46">
        <v>35</v>
      </c>
      <c r="N250" s="46">
        <v>35</v>
      </c>
      <c r="O250" s="46">
        <v>33</v>
      </c>
      <c r="P250" s="46">
        <f t="shared" si="30"/>
        <v>245</v>
      </c>
      <c r="Q250" s="46">
        <v>350</v>
      </c>
      <c r="R250" s="46">
        <f t="shared" si="29"/>
        <v>70</v>
      </c>
      <c r="S250" s="46"/>
      <c r="T250" s="46" t="s">
        <v>171</v>
      </c>
    </row>
    <row r="251" spans="5:20" ht="21" x14ac:dyDescent="0.25">
      <c r="E251" s="45">
        <v>7</v>
      </c>
      <c r="F251" s="45">
        <v>1866</v>
      </c>
      <c r="G251" s="48" t="s">
        <v>274</v>
      </c>
      <c r="H251" s="58" t="s">
        <v>275</v>
      </c>
      <c r="I251" s="46">
        <v>34</v>
      </c>
      <c r="J251" s="46">
        <v>35</v>
      </c>
      <c r="K251" s="46">
        <v>39</v>
      </c>
      <c r="L251" s="46">
        <v>36</v>
      </c>
      <c r="M251" s="46">
        <v>37</v>
      </c>
      <c r="N251" s="46">
        <v>31</v>
      </c>
      <c r="O251" s="46">
        <v>31</v>
      </c>
      <c r="P251" s="46">
        <f t="shared" si="30"/>
        <v>243</v>
      </c>
      <c r="Q251" s="46">
        <v>350</v>
      </c>
      <c r="R251" s="46">
        <f t="shared" si="29"/>
        <v>69.428571428571431</v>
      </c>
      <c r="S251" s="46"/>
      <c r="T251" s="46" t="s">
        <v>171</v>
      </c>
    </row>
    <row r="252" spans="5:20" ht="21" x14ac:dyDescent="0.25">
      <c r="E252" s="45">
        <v>8</v>
      </c>
      <c r="F252" s="45">
        <v>1867</v>
      </c>
      <c r="G252" s="48" t="s">
        <v>276</v>
      </c>
      <c r="H252" s="58" t="s">
        <v>277</v>
      </c>
      <c r="I252" s="46">
        <v>37</v>
      </c>
      <c r="J252" s="46">
        <v>34</v>
      </c>
      <c r="K252" s="46">
        <v>41</v>
      </c>
      <c r="L252" s="46">
        <v>32</v>
      </c>
      <c r="M252" s="46">
        <v>33</v>
      </c>
      <c r="N252" s="46">
        <v>30</v>
      </c>
      <c r="O252" s="46">
        <v>34</v>
      </c>
      <c r="P252" s="46">
        <f t="shared" si="30"/>
        <v>241</v>
      </c>
      <c r="Q252" s="46">
        <v>350</v>
      </c>
      <c r="R252" s="46">
        <f t="shared" si="29"/>
        <v>68.857142857142861</v>
      </c>
      <c r="S252" s="46"/>
      <c r="T252" s="46" t="s">
        <v>171</v>
      </c>
    </row>
    <row r="253" spans="5:20" ht="21" x14ac:dyDescent="0.25">
      <c r="E253" s="45">
        <v>9</v>
      </c>
      <c r="F253" s="45">
        <v>1868</v>
      </c>
      <c r="G253" s="48" t="s">
        <v>278</v>
      </c>
      <c r="H253" s="58" t="s">
        <v>279</v>
      </c>
      <c r="I253" s="46">
        <v>40</v>
      </c>
      <c r="J253" s="46">
        <v>31</v>
      </c>
      <c r="K253" s="46">
        <v>35</v>
      </c>
      <c r="L253" s="46">
        <v>33</v>
      </c>
      <c r="M253" s="46">
        <v>31</v>
      </c>
      <c r="N253" s="46">
        <v>36</v>
      </c>
      <c r="O253" s="46">
        <v>35</v>
      </c>
      <c r="P253" s="46">
        <f t="shared" si="30"/>
        <v>241</v>
      </c>
      <c r="Q253" s="46">
        <v>350</v>
      </c>
      <c r="R253" s="46">
        <f t="shared" si="29"/>
        <v>68.857142857142861</v>
      </c>
      <c r="S253" s="46"/>
      <c r="T253" s="46" t="s">
        <v>171</v>
      </c>
    </row>
    <row r="254" spans="5:20" ht="21" x14ac:dyDescent="0.25">
      <c r="E254" s="45">
        <v>10</v>
      </c>
      <c r="F254" s="45">
        <v>1897</v>
      </c>
      <c r="G254" s="48" t="s">
        <v>280</v>
      </c>
      <c r="H254" s="58" t="s">
        <v>281</v>
      </c>
      <c r="I254" s="46">
        <v>35</v>
      </c>
      <c r="J254" s="46">
        <v>32</v>
      </c>
      <c r="K254" s="46">
        <v>37</v>
      </c>
      <c r="L254" s="46">
        <v>40</v>
      </c>
      <c r="M254" s="46">
        <v>32</v>
      </c>
      <c r="N254" s="46">
        <v>31</v>
      </c>
      <c r="O254" s="46">
        <v>35</v>
      </c>
      <c r="P254" s="46">
        <f t="shared" si="30"/>
        <v>242</v>
      </c>
      <c r="Q254" s="46">
        <v>350</v>
      </c>
      <c r="R254" s="46">
        <f t="shared" si="29"/>
        <v>69.142857142857139</v>
      </c>
      <c r="S254" s="46"/>
      <c r="T254" s="46" t="s">
        <v>171</v>
      </c>
    </row>
    <row r="255" spans="5:20" ht="21" x14ac:dyDescent="0.25">
      <c r="E255" s="45">
        <v>11</v>
      </c>
      <c r="F255" s="45">
        <v>1783</v>
      </c>
      <c r="G255" s="48" t="s">
        <v>282</v>
      </c>
      <c r="H255" s="58" t="s">
        <v>283</v>
      </c>
      <c r="I255" s="46">
        <v>36</v>
      </c>
      <c r="J255" s="46">
        <v>33</v>
      </c>
      <c r="K255" s="46">
        <v>33</v>
      </c>
      <c r="L255" s="46">
        <v>26</v>
      </c>
      <c r="M255" s="46">
        <v>33</v>
      </c>
      <c r="N255" s="46">
        <v>32</v>
      </c>
      <c r="O255" s="46">
        <v>32</v>
      </c>
      <c r="P255" s="46">
        <f t="shared" si="30"/>
        <v>225</v>
      </c>
      <c r="Q255" s="46">
        <v>350</v>
      </c>
      <c r="R255" s="46">
        <f t="shared" si="29"/>
        <v>64.285714285714292</v>
      </c>
      <c r="S255" s="46"/>
      <c r="T255" s="46" t="s">
        <v>171</v>
      </c>
    </row>
    <row r="256" spans="5:20" ht="21" x14ac:dyDescent="0.25">
      <c r="E256" s="45">
        <v>12</v>
      </c>
      <c r="F256" s="45">
        <v>1784</v>
      </c>
      <c r="G256" s="48" t="s">
        <v>284</v>
      </c>
      <c r="H256" s="58" t="s">
        <v>285</v>
      </c>
      <c r="I256" s="46">
        <v>34</v>
      </c>
      <c r="J256" s="46">
        <v>37</v>
      </c>
      <c r="K256" s="46">
        <v>41</v>
      </c>
      <c r="L256" s="46">
        <v>40</v>
      </c>
      <c r="M256" s="46">
        <v>29</v>
      </c>
      <c r="N256" s="46">
        <v>29</v>
      </c>
      <c r="O256" s="46">
        <v>31</v>
      </c>
      <c r="P256" s="46">
        <f t="shared" si="30"/>
        <v>241</v>
      </c>
      <c r="Q256" s="46">
        <v>350</v>
      </c>
      <c r="R256" s="46">
        <f t="shared" si="29"/>
        <v>68.857142857142861</v>
      </c>
      <c r="S256" s="46"/>
      <c r="T256" s="46" t="s">
        <v>171</v>
      </c>
    </row>
    <row r="257" spans="5:20" ht="21" x14ac:dyDescent="0.25">
      <c r="E257" s="45">
        <v>13</v>
      </c>
      <c r="F257" s="45">
        <v>1785</v>
      </c>
      <c r="G257" s="48" t="s">
        <v>286</v>
      </c>
      <c r="H257" s="58" t="s">
        <v>285</v>
      </c>
      <c r="I257" s="46">
        <v>34</v>
      </c>
      <c r="J257" s="46">
        <v>38</v>
      </c>
      <c r="K257" s="46">
        <v>40</v>
      </c>
      <c r="L257" s="46">
        <v>39</v>
      </c>
      <c r="M257" s="46">
        <v>29</v>
      </c>
      <c r="N257" s="46">
        <v>30</v>
      </c>
      <c r="O257" s="46">
        <v>35</v>
      </c>
      <c r="P257" s="46">
        <f t="shared" si="30"/>
        <v>245</v>
      </c>
      <c r="Q257" s="46">
        <v>350</v>
      </c>
      <c r="R257" s="46">
        <f t="shared" si="29"/>
        <v>70</v>
      </c>
      <c r="S257" s="46"/>
      <c r="T257" s="46" t="s">
        <v>171</v>
      </c>
    </row>
    <row r="258" spans="5:20" ht="21" x14ac:dyDescent="0.25">
      <c r="E258" s="45">
        <v>14</v>
      </c>
      <c r="F258" s="45">
        <v>1786</v>
      </c>
      <c r="G258" s="48" t="s">
        <v>287</v>
      </c>
      <c r="H258" s="58" t="s">
        <v>288</v>
      </c>
      <c r="I258" s="46">
        <v>30</v>
      </c>
      <c r="J258" s="46">
        <v>33</v>
      </c>
      <c r="K258" s="46">
        <v>36</v>
      </c>
      <c r="L258" s="46">
        <v>36</v>
      </c>
      <c r="M258" s="46">
        <v>35</v>
      </c>
      <c r="N258" s="46">
        <v>31</v>
      </c>
      <c r="O258" s="46">
        <v>37</v>
      </c>
      <c r="P258" s="46">
        <f t="shared" si="30"/>
        <v>238</v>
      </c>
      <c r="Q258" s="46">
        <v>350</v>
      </c>
      <c r="R258" s="46">
        <f t="shared" si="29"/>
        <v>68</v>
      </c>
      <c r="S258" s="46"/>
      <c r="T258" s="46" t="s">
        <v>171</v>
      </c>
    </row>
    <row r="259" spans="5:20" ht="21" x14ac:dyDescent="0.25">
      <c r="E259" s="45">
        <v>15</v>
      </c>
      <c r="F259" s="45">
        <v>1864</v>
      </c>
      <c r="G259" s="48" t="s">
        <v>289</v>
      </c>
      <c r="H259" s="58" t="s">
        <v>290</v>
      </c>
      <c r="I259" s="46">
        <v>30</v>
      </c>
      <c r="J259" s="46">
        <v>31</v>
      </c>
      <c r="K259" s="46">
        <v>32</v>
      </c>
      <c r="L259" s="46">
        <v>29</v>
      </c>
      <c r="M259" s="46">
        <v>35</v>
      </c>
      <c r="N259" s="46">
        <v>32</v>
      </c>
      <c r="O259" s="46">
        <v>39</v>
      </c>
      <c r="P259" s="46">
        <f t="shared" si="30"/>
        <v>228</v>
      </c>
      <c r="Q259" s="46">
        <v>350</v>
      </c>
      <c r="R259" s="46">
        <f t="shared" si="29"/>
        <v>65.142857142857153</v>
      </c>
      <c r="S259" s="46"/>
      <c r="T259" s="46" t="s">
        <v>171</v>
      </c>
    </row>
    <row r="262" spans="5:20" ht="21" x14ac:dyDescent="0.25">
      <c r="E262" s="113" t="s">
        <v>0</v>
      </c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</row>
    <row r="263" spans="5:20" ht="21" x14ac:dyDescent="0.25">
      <c r="E263" s="114" t="s">
        <v>291</v>
      </c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  <c r="R263" s="113"/>
      <c r="S263" s="113"/>
      <c r="T263" s="113"/>
    </row>
    <row r="264" spans="5:20" ht="21" x14ac:dyDescent="0.25">
      <c r="E264" s="114" t="s">
        <v>292</v>
      </c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</row>
    <row r="265" spans="5:20" ht="21" x14ac:dyDescent="0.25">
      <c r="E265" s="114" t="s">
        <v>314</v>
      </c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</row>
    <row r="266" spans="5:20" ht="21" x14ac:dyDescent="0.25">
      <c r="E266" s="114" t="s">
        <v>293</v>
      </c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</row>
    <row r="267" spans="5:20" ht="21" x14ac:dyDescent="0.35">
      <c r="E267" s="63" t="s">
        <v>1</v>
      </c>
      <c r="F267" s="63" t="s">
        <v>2</v>
      </c>
      <c r="G267" s="63" t="s">
        <v>3</v>
      </c>
      <c r="H267" s="63" t="s">
        <v>4</v>
      </c>
      <c r="I267" s="64" t="s">
        <v>5</v>
      </c>
      <c r="J267" s="64" t="s">
        <v>6</v>
      </c>
      <c r="K267" s="64" t="s">
        <v>7</v>
      </c>
      <c r="L267" s="64" t="s">
        <v>8</v>
      </c>
      <c r="M267" s="64" t="s">
        <v>9</v>
      </c>
      <c r="N267" s="64" t="s">
        <v>170</v>
      </c>
      <c r="O267" s="64" t="s">
        <v>214</v>
      </c>
      <c r="P267" s="65" t="s">
        <v>11</v>
      </c>
      <c r="Q267" s="65" t="s">
        <v>10</v>
      </c>
      <c r="R267" s="66" t="s">
        <v>12</v>
      </c>
      <c r="S267" s="64" t="s">
        <v>215</v>
      </c>
      <c r="T267" s="64" t="s">
        <v>13</v>
      </c>
    </row>
    <row r="268" spans="5:20" ht="21" x14ac:dyDescent="0.25">
      <c r="E268" s="45"/>
      <c r="F268" s="45"/>
      <c r="G268" s="45"/>
      <c r="H268" s="45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</row>
    <row r="269" spans="5:20" ht="25.5" x14ac:dyDescent="0.25">
      <c r="E269" s="45">
        <v>1</v>
      </c>
      <c r="F269" s="45">
        <v>1645</v>
      </c>
      <c r="G269" s="48" t="s">
        <v>216</v>
      </c>
      <c r="H269" s="48" t="s">
        <v>217</v>
      </c>
      <c r="I269" s="46">
        <v>28</v>
      </c>
      <c r="J269" s="46">
        <v>29</v>
      </c>
      <c r="K269" s="46">
        <v>36</v>
      </c>
      <c r="L269" s="46">
        <v>25</v>
      </c>
      <c r="M269" s="46">
        <v>38</v>
      </c>
      <c r="N269" s="46">
        <v>39</v>
      </c>
      <c r="O269" s="46">
        <v>40</v>
      </c>
      <c r="P269" s="46">
        <f>SUM(I269:O269)</f>
        <v>235</v>
      </c>
      <c r="Q269" s="46">
        <v>350</v>
      </c>
      <c r="R269" s="46">
        <f>P269/Q269*100</f>
        <v>67.142857142857139</v>
      </c>
      <c r="S269" s="49"/>
      <c r="T269" s="50" t="s">
        <v>171</v>
      </c>
    </row>
    <row r="270" spans="5:20" ht="25.5" x14ac:dyDescent="0.25">
      <c r="E270" s="45">
        <v>2</v>
      </c>
      <c r="F270" s="45">
        <v>1648</v>
      </c>
      <c r="G270" s="48" t="s">
        <v>218</v>
      </c>
      <c r="H270" s="48" t="s">
        <v>219</v>
      </c>
      <c r="I270" s="46">
        <v>36</v>
      </c>
      <c r="J270" s="46">
        <v>44</v>
      </c>
      <c r="K270" s="46">
        <v>41</v>
      </c>
      <c r="L270" s="46">
        <v>47</v>
      </c>
      <c r="M270" s="46">
        <v>48</v>
      </c>
      <c r="N270" s="46">
        <v>39</v>
      </c>
      <c r="O270" s="46">
        <v>30</v>
      </c>
      <c r="P270" s="46">
        <f t="shared" ref="P270:P290" si="31">SUM(I270:O270)</f>
        <v>285</v>
      </c>
      <c r="Q270" s="46">
        <v>350</v>
      </c>
      <c r="R270" s="46">
        <f t="shared" ref="R270:R290" si="32">P270/Q270*100</f>
        <v>81.428571428571431</v>
      </c>
      <c r="S270" s="49"/>
      <c r="T270" s="50" t="s">
        <v>171</v>
      </c>
    </row>
    <row r="271" spans="5:20" ht="25.5" x14ac:dyDescent="0.25">
      <c r="E271" s="45">
        <v>3</v>
      </c>
      <c r="F271" s="45">
        <v>1641</v>
      </c>
      <c r="G271" s="48" t="s">
        <v>175</v>
      </c>
      <c r="H271" s="48" t="s">
        <v>300</v>
      </c>
      <c r="I271" s="46">
        <v>34</v>
      </c>
      <c r="J271" s="46">
        <v>49</v>
      </c>
      <c r="K271" s="46">
        <v>50</v>
      </c>
      <c r="L271" s="46">
        <v>45</v>
      </c>
      <c r="M271" s="46">
        <v>49</v>
      </c>
      <c r="N271" s="46">
        <v>37</v>
      </c>
      <c r="O271" s="46">
        <v>47</v>
      </c>
      <c r="P271" s="46">
        <f t="shared" si="31"/>
        <v>311</v>
      </c>
      <c r="Q271" s="46">
        <v>350</v>
      </c>
      <c r="R271" s="46">
        <f t="shared" si="32"/>
        <v>88.857142857142861</v>
      </c>
      <c r="S271" s="49"/>
      <c r="T271" s="50" t="s">
        <v>171</v>
      </c>
    </row>
    <row r="272" spans="5:20" ht="25.5" x14ac:dyDescent="0.25">
      <c r="E272" s="45">
        <v>4</v>
      </c>
      <c r="F272" s="45">
        <v>1609</v>
      </c>
      <c r="G272" s="48" t="s">
        <v>178</v>
      </c>
      <c r="H272" s="48" t="s">
        <v>184</v>
      </c>
      <c r="I272" s="46">
        <v>44</v>
      </c>
      <c r="J272" s="46">
        <v>47</v>
      </c>
      <c r="K272" s="46">
        <v>50</v>
      </c>
      <c r="L272" s="46">
        <v>47</v>
      </c>
      <c r="M272" s="46">
        <v>50</v>
      </c>
      <c r="N272" s="46">
        <v>36</v>
      </c>
      <c r="O272" s="46">
        <v>45</v>
      </c>
      <c r="P272" s="46">
        <f t="shared" si="31"/>
        <v>319</v>
      </c>
      <c r="Q272" s="46">
        <v>350</v>
      </c>
      <c r="R272" s="46">
        <f t="shared" si="32"/>
        <v>91.142857142857153</v>
      </c>
      <c r="S272" s="49"/>
      <c r="T272" s="50" t="s">
        <v>171</v>
      </c>
    </row>
    <row r="273" spans="5:20" ht="25.5" x14ac:dyDescent="0.25">
      <c r="E273" s="45">
        <v>5</v>
      </c>
      <c r="F273" s="45">
        <v>1712</v>
      </c>
      <c r="G273" s="48" t="s">
        <v>220</v>
      </c>
      <c r="H273" s="48" t="s">
        <v>221</v>
      </c>
      <c r="I273" s="46">
        <v>20</v>
      </c>
      <c r="J273" s="46">
        <v>35</v>
      </c>
      <c r="K273" s="46">
        <v>50</v>
      </c>
      <c r="L273" s="46">
        <v>25</v>
      </c>
      <c r="M273" s="46">
        <v>40</v>
      </c>
      <c r="N273" s="46">
        <v>36</v>
      </c>
      <c r="O273" s="46">
        <v>50</v>
      </c>
      <c r="P273" s="46">
        <f t="shared" si="31"/>
        <v>256</v>
      </c>
      <c r="Q273" s="46">
        <v>350</v>
      </c>
      <c r="R273" s="46">
        <f t="shared" si="32"/>
        <v>73.142857142857139</v>
      </c>
      <c r="S273" s="51"/>
      <c r="T273" s="50" t="s">
        <v>171</v>
      </c>
    </row>
    <row r="274" spans="5:20" ht="25.5" x14ac:dyDescent="0.25">
      <c r="E274" s="45">
        <v>6</v>
      </c>
      <c r="F274" s="45">
        <v>1710</v>
      </c>
      <c r="G274" s="48" t="s">
        <v>222</v>
      </c>
      <c r="H274" s="48" t="s">
        <v>177</v>
      </c>
      <c r="I274" s="46">
        <v>43</v>
      </c>
      <c r="J274" s="46">
        <v>48</v>
      </c>
      <c r="K274" s="46">
        <v>39</v>
      </c>
      <c r="L274" s="46">
        <v>35</v>
      </c>
      <c r="M274" s="46">
        <v>45</v>
      </c>
      <c r="N274" s="46">
        <v>36</v>
      </c>
      <c r="O274" s="46">
        <v>40</v>
      </c>
      <c r="P274" s="46">
        <f t="shared" si="31"/>
        <v>286</v>
      </c>
      <c r="Q274" s="46">
        <v>350</v>
      </c>
      <c r="R274" s="46">
        <f t="shared" si="32"/>
        <v>81.714285714285722</v>
      </c>
      <c r="S274" s="51"/>
      <c r="T274" s="50" t="s">
        <v>171</v>
      </c>
    </row>
    <row r="275" spans="5:20" ht="25.5" x14ac:dyDescent="0.25">
      <c r="E275" s="45">
        <v>7</v>
      </c>
      <c r="F275" s="45">
        <v>1790</v>
      </c>
      <c r="G275" s="48" t="s">
        <v>223</v>
      </c>
      <c r="H275" s="48" t="s">
        <v>224</v>
      </c>
      <c r="I275" s="46">
        <v>37</v>
      </c>
      <c r="J275" s="46">
        <v>29</v>
      </c>
      <c r="K275" s="46">
        <v>48</v>
      </c>
      <c r="L275" s="46">
        <v>39</v>
      </c>
      <c r="M275" s="46">
        <v>46</v>
      </c>
      <c r="N275" s="46">
        <v>40</v>
      </c>
      <c r="O275" s="46">
        <v>40</v>
      </c>
      <c r="P275" s="46">
        <f t="shared" si="31"/>
        <v>279</v>
      </c>
      <c r="Q275" s="46">
        <v>350</v>
      </c>
      <c r="R275" s="46">
        <f t="shared" si="32"/>
        <v>79.714285714285722</v>
      </c>
      <c r="S275" s="51"/>
      <c r="T275" s="50" t="s">
        <v>171</v>
      </c>
    </row>
    <row r="276" spans="5:20" ht="25.5" x14ac:dyDescent="0.25">
      <c r="E276" s="45">
        <v>8</v>
      </c>
      <c r="F276" s="45">
        <v>1791</v>
      </c>
      <c r="G276" s="48" t="s">
        <v>225</v>
      </c>
      <c r="H276" s="48" t="s">
        <v>226</v>
      </c>
      <c r="I276" s="46">
        <v>20</v>
      </c>
      <c r="J276" s="46">
        <v>47</v>
      </c>
      <c r="K276" s="46">
        <v>39</v>
      </c>
      <c r="L276" s="46">
        <v>45</v>
      </c>
      <c r="M276" s="46">
        <v>30</v>
      </c>
      <c r="N276" s="46">
        <v>41</v>
      </c>
      <c r="O276" s="46">
        <v>38</v>
      </c>
      <c r="P276" s="46">
        <f t="shared" si="31"/>
        <v>260</v>
      </c>
      <c r="Q276" s="46">
        <v>350</v>
      </c>
      <c r="R276" s="46">
        <f t="shared" si="32"/>
        <v>74.285714285714292</v>
      </c>
      <c r="S276" s="51"/>
      <c r="T276" s="50" t="s">
        <v>171</v>
      </c>
    </row>
    <row r="277" spans="5:20" ht="25.5" x14ac:dyDescent="0.25">
      <c r="E277" s="45">
        <v>9</v>
      </c>
      <c r="F277" s="45">
        <v>1792</v>
      </c>
      <c r="G277" s="48" t="s">
        <v>182</v>
      </c>
      <c r="H277" s="48" t="s">
        <v>227</v>
      </c>
      <c r="I277" s="46">
        <v>28</v>
      </c>
      <c r="J277" s="46">
        <v>30</v>
      </c>
      <c r="K277" s="46">
        <v>38</v>
      </c>
      <c r="L277" s="46">
        <v>34</v>
      </c>
      <c r="M277" s="46">
        <v>40</v>
      </c>
      <c r="N277" s="46">
        <v>37</v>
      </c>
      <c r="O277" s="46">
        <v>45</v>
      </c>
      <c r="P277" s="46">
        <f t="shared" si="31"/>
        <v>252</v>
      </c>
      <c r="Q277" s="46">
        <v>350</v>
      </c>
      <c r="R277" s="46">
        <f t="shared" si="32"/>
        <v>72</v>
      </c>
      <c r="S277" s="51"/>
      <c r="T277" s="50" t="s">
        <v>171</v>
      </c>
    </row>
    <row r="278" spans="5:20" ht="25.5" x14ac:dyDescent="0.25">
      <c r="E278" s="45">
        <v>10</v>
      </c>
      <c r="F278" s="45">
        <v>1793</v>
      </c>
      <c r="G278" s="48" t="s">
        <v>228</v>
      </c>
      <c r="H278" s="48" t="s">
        <v>229</v>
      </c>
      <c r="I278" s="46">
        <v>38</v>
      </c>
      <c r="J278" s="46">
        <v>45</v>
      </c>
      <c r="K278" s="46">
        <v>48</v>
      </c>
      <c r="L278" s="46">
        <v>33</v>
      </c>
      <c r="M278" s="46">
        <v>39</v>
      </c>
      <c r="N278" s="46">
        <v>32</v>
      </c>
      <c r="O278" s="46">
        <v>30</v>
      </c>
      <c r="P278" s="46">
        <f t="shared" si="31"/>
        <v>265</v>
      </c>
      <c r="Q278" s="46">
        <v>350</v>
      </c>
      <c r="R278" s="46">
        <f t="shared" si="32"/>
        <v>75.714285714285708</v>
      </c>
      <c r="S278" s="51"/>
      <c r="T278" s="50" t="s">
        <v>171</v>
      </c>
    </row>
    <row r="279" spans="5:20" ht="25.5" x14ac:dyDescent="0.25">
      <c r="E279" s="45">
        <v>11</v>
      </c>
      <c r="F279" s="45">
        <v>1794</v>
      </c>
      <c r="G279" s="48" t="s">
        <v>230</v>
      </c>
      <c r="H279" s="48" t="s">
        <v>185</v>
      </c>
      <c r="I279" s="46">
        <v>39</v>
      </c>
      <c r="J279" s="46">
        <v>48</v>
      </c>
      <c r="K279" s="46">
        <v>45</v>
      </c>
      <c r="L279" s="46">
        <v>40</v>
      </c>
      <c r="M279" s="46">
        <v>36</v>
      </c>
      <c r="N279" s="46">
        <v>33</v>
      </c>
      <c r="O279" s="46">
        <v>50</v>
      </c>
      <c r="P279" s="46">
        <f t="shared" si="31"/>
        <v>291</v>
      </c>
      <c r="Q279" s="46">
        <v>350</v>
      </c>
      <c r="R279" s="46">
        <f t="shared" si="32"/>
        <v>83.142857142857139</v>
      </c>
      <c r="S279" s="51"/>
      <c r="T279" s="50" t="s">
        <v>171</v>
      </c>
    </row>
    <row r="280" spans="5:20" ht="25.5" x14ac:dyDescent="0.25">
      <c r="E280" s="45">
        <v>12</v>
      </c>
      <c r="F280" s="45">
        <v>1795</v>
      </c>
      <c r="G280" s="48" t="s">
        <v>231</v>
      </c>
      <c r="H280" s="48" t="s">
        <v>232</v>
      </c>
      <c r="I280" s="47">
        <v>25</v>
      </c>
      <c r="J280" s="46">
        <v>20</v>
      </c>
      <c r="K280" s="47">
        <v>35</v>
      </c>
      <c r="L280" s="47">
        <v>29</v>
      </c>
      <c r="M280" s="47">
        <v>45</v>
      </c>
      <c r="N280" s="47">
        <v>34</v>
      </c>
      <c r="O280" s="47">
        <v>29</v>
      </c>
      <c r="P280" s="46">
        <f t="shared" si="31"/>
        <v>217</v>
      </c>
      <c r="Q280" s="46">
        <v>350</v>
      </c>
      <c r="R280" s="46">
        <f t="shared" si="32"/>
        <v>62</v>
      </c>
      <c r="S280" s="51"/>
      <c r="T280" s="50" t="s">
        <v>171</v>
      </c>
    </row>
    <row r="281" spans="5:20" ht="25.5" x14ac:dyDescent="0.25">
      <c r="E281" s="45">
        <v>13</v>
      </c>
      <c r="F281" s="45">
        <v>1796</v>
      </c>
      <c r="G281" s="48" t="s">
        <v>233</v>
      </c>
      <c r="H281" s="48" t="s">
        <v>232</v>
      </c>
      <c r="I281" s="47">
        <v>28</v>
      </c>
      <c r="J281" s="47">
        <v>30</v>
      </c>
      <c r="K281" s="47">
        <v>25</v>
      </c>
      <c r="L281" s="47">
        <v>20</v>
      </c>
      <c r="M281" s="47">
        <v>35</v>
      </c>
      <c r="N281" s="47">
        <v>37</v>
      </c>
      <c r="O281" s="47">
        <v>35</v>
      </c>
      <c r="P281" s="46">
        <f t="shared" si="31"/>
        <v>210</v>
      </c>
      <c r="Q281" s="46">
        <v>350</v>
      </c>
      <c r="R281" s="46">
        <f t="shared" si="32"/>
        <v>60</v>
      </c>
      <c r="S281" s="51"/>
      <c r="T281" s="50" t="s">
        <v>171</v>
      </c>
    </row>
    <row r="282" spans="5:20" ht="25.5" x14ac:dyDescent="0.25">
      <c r="E282" s="45">
        <v>14</v>
      </c>
      <c r="F282" s="45">
        <v>1654</v>
      </c>
      <c r="G282" s="48" t="s">
        <v>234</v>
      </c>
      <c r="H282" s="48" t="s">
        <v>235</v>
      </c>
      <c r="I282" s="46">
        <v>40</v>
      </c>
      <c r="J282" s="46">
        <v>44</v>
      </c>
      <c r="K282" s="46">
        <v>36</v>
      </c>
      <c r="L282" s="46">
        <v>41</v>
      </c>
      <c r="M282" s="46">
        <v>42</v>
      </c>
      <c r="N282" s="46">
        <v>29</v>
      </c>
      <c r="O282" s="46">
        <v>40</v>
      </c>
      <c r="P282" s="46">
        <f t="shared" si="31"/>
        <v>272</v>
      </c>
      <c r="Q282" s="46">
        <v>350</v>
      </c>
      <c r="R282" s="46">
        <f t="shared" si="32"/>
        <v>77.714285714285708</v>
      </c>
      <c r="S282" s="51"/>
      <c r="T282" s="50" t="s">
        <v>171</v>
      </c>
    </row>
    <row r="283" spans="5:20" ht="25.5" x14ac:dyDescent="0.25">
      <c r="E283" s="45">
        <v>15</v>
      </c>
      <c r="F283" s="45">
        <v>1603</v>
      </c>
      <c r="G283" s="48" t="s">
        <v>236</v>
      </c>
      <c r="H283" s="48" t="s">
        <v>172</v>
      </c>
      <c r="I283" s="46">
        <v>31</v>
      </c>
      <c r="J283" s="46">
        <v>32</v>
      </c>
      <c r="K283" s="47">
        <v>29</v>
      </c>
      <c r="L283" s="46">
        <v>31</v>
      </c>
      <c r="M283" s="46">
        <v>49</v>
      </c>
      <c r="N283" s="46">
        <v>40</v>
      </c>
      <c r="O283" s="46">
        <v>37</v>
      </c>
      <c r="P283" s="46">
        <f t="shared" si="31"/>
        <v>249</v>
      </c>
      <c r="Q283" s="46">
        <v>350</v>
      </c>
      <c r="R283" s="46">
        <f t="shared" si="32"/>
        <v>71.142857142857139</v>
      </c>
      <c r="S283" s="51"/>
      <c r="T283" s="50" t="s">
        <v>171</v>
      </c>
    </row>
    <row r="284" spans="5:20" ht="25.5" x14ac:dyDescent="0.25">
      <c r="E284" s="45">
        <v>16</v>
      </c>
      <c r="F284" s="48">
        <v>1656</v>
      </c>
      <c r="G284" s="48" t="s">
        <v>237</v>
      </c>
      <c r="H284" s="48" t="s">
        <v>238</v>
      </c>
      <c r="I284" s="46">
        <v>22</v>
      </c>
      <c r="J284" s="46">
        <v>25</v>
      </c>
      <c r="K284" s="46">
        <v>27</v>
      </c>
      <c r="L284" s="46">
        <v>33</v>
      </c>
      <c r="M284" s="46">
        <v>29</v>
      </c>
      <c r="N284" s="46">
        <v>32</v>
      </c>
      <c r="O284" s="46">
        <v>41</v>
      </c>
      <c r="P284" s="46">
        <f t="shared" si="31"/>
        <v>209</v>
      </c>
      <c r="Q284" s="46">
        <v>350</v>
      </c>
      <c r="R284" s="46">
        <f t="shared" si="32"/>
        <v>59.714285714285722</v>
      </c>
      <c r="S284" s="51"/>
      <c r="T284" s="50" t="s">
        <v>171</v>
      </c>
    </row>
    <row r="285" spans="5:20" ht="25.5" x14ac:dyDescent="0.25">
      <c r="E285" s="45">
        <v>17</v>
      </c>
      <c r="F285" s="48">
        <v>1657</v>
      </c>
      <c r="G285" s="48" t="s">
        <v>239</v>
      </c>
      <c r="H285" s="48" t="s">
        <v>169</v>
      </c>
      <c r="I285" s="46">
        <v>23</v>
      </c>
      <c r="J285" s="46">
        <v>26</v>
      </c>
      <c r="K285" s="46">
        <v>29</v>
      </c>
      <c r="L285" s="46">
        <v>30</v>
      </c>
      <c r="M285" s="46">
        <v>30</v>
      </c>
      <c r="N285" s="46">
        <v>34</v>
      </c>
      <c r="O285" s="46">
        <v>33</v>
      </c>
      <c r="P285" s="46">
        <f t="shared" si="31"/>
        <v>205</v>
      </c>
      <c r="Q285" s="46">
        <v>350</v>
      </c>
      <c r="R285" s="46">
        <f t="shared" si="32"/>
        <v>58.571428571428577</v>
      </c>
      <c r="S285" s="51"/>
      <c r="T285" s="50" t="s">
        <v>171</v>
      </c>
    </row>
    <row r="286" spans="5:20" ht="25.5" x14ac:dyDescent="0.25">
      <c r="E286" s="45">
        <v>18</v>
      </c>
      <c r="F286" s="48">
        <v>1722</v>
      </c>
      <c r="G286" s="48" t="s">
        <v>240</v>
      </c>
      <c r="H286" s="48" t="s">
        <v>241</v>
      </c>
      <c r="I286" s="46">
        <v>31</v>
      </c>
      <c r="J286" s="46">
        <v>30</v>
      </c>
      <c r="K286" s="46">
        <v>30</v>
      </c>
      <c r="L286" s="46">
        <v>39</v>
      </c>
      <c r="M286" s="46">
        <v>40</v>
      </c>
      <c r="N286" s="46">
        <v>39</v>
      </c>
      <c r="O286" s="46">
        <v>40</v>
      </c>
      <c r="P286" s="46">
        <f t="shared" si="31"/>
        <v>249</v>
      </c>
      <c r="Q286" s="46">
        <v>350</v>
      </c>
      <c r="R286" s="46">
        <f t="shared" si="32"/>
        <v>71.142857142857139</v>
      </c>
      <c r="S286" s="51"/>
      <c r="T286" s="50" t="s">
        <v>171</v>
      </c>
    </row>
    <row r="287" spans="5:20" ht="25.5" x14ac:dyDescent="0.25">
      <c r="E287" s="45">
        <v>19</v>
      </c>
      <c r="F287" s="48">
        <v>1788</v>
      </c>
      <c r="G287" s="48" t="s">
        <v>242</v>
      </c>
      <c r="H287" s="48" t="s">
        <v>181</v>
      </c>
      <c r="I287" s="46">
        <v>24</v>
      </c>
      <c r="J287" s="46">
        <v>27</v>
      </c>
      <c r="K287" s="46">
        <v>21</v>
      </c>
      <c r="L287" s="46">
        <v>25</v>
      </c>
      <c r="M287" s="46">
        <v>34</v>
      </c>
      <c r="N287" s="46">
        <v>223</v>
      </c>
      <c r="O287" s="46">
        <v>36</v>
      </c>
      <c r="P287" s="46">
        <f t="shared" si="31"/>
        <v>390</v>
      </c>
      <c r="Q287" s="46">
        <v>350</v>
      </c>
      <c r="R287" s="46">
        <f t="shared" si="32"/>
        <v>111.42857142857143</v>
      </c>
      <c r="S287" s="51"/>
      <c r="T287" s="50" t="s">
        <v>171</v>
      </c>
    </row>
    <row r="288" spans="5:20" ht="25.5" x14ac:dyDescent="0.25">
      <c r="E288" s="45">
        <v>20</v>
      </c>
      <c r="F288" s="48">
        <v>1655</v>
      </c>
      <c r="G288" s="48" t="s">
        <v>179</v>
      </c>
      <c r="H288" s="48" t="s">
        <v>168</v>
      </c>
      <c r="I288" s="46" t="s">
        <v>243</v>
      </c>
      <c r="J288" s="46" t="s">
        <v>243</v>
      </c>
      <c r="K288" s="46" t="s">
        <v>243</v>
      </c>
      <c r="L288" s="46" t="s">
        <v>243</v>
      </c>
      <c r="M288" s="47" t="s">
        <v>243</v>
      </c>
      <c r="N288" s="46" t="s">
        <v>243</v>
      </c>
      <c r="O288" s="47" t="s">
        <v>243</v>
      </c>
      <c r="P288" s="46">
        <f t="shared" si="31"/>
        <v>0</v>
      </c>
      <c r="Q288" s="46">
        <v>350</v>
      </c>
      <c r="R288" s="46">
        <f t="shared" si="32"/>
        <v>0</v>
      </c>
      <c r="S288" s="51"/>
      <c r="T288" s="50" t="s">
        <v>299</v>
      </c>
    </row>
    <row r="289" spans="5:20" ht="25.5" x14ac:dyDescent="0.25">
      <c r="E289" s="45">
        <v>21</v>
      </c>
      <c r="F289" s="48">
        <v>1789</v>
      </c>
      <c r="G289" s="48" t="s">
        <v>244</v>
      </c>
      <c r="H289" s="48" t="s">
        <v>245</v>
      </c>
      <c r="I289" s="46">
        <v>33</v>
      </c>
      <c r="J289" s="46">
        <v>28</v>
      </c>
      <c r="K289" s="46">
        <v>25</v>
      </c>
      <c r="L289" s="46">
        <v>28</v>
      </c>
      <c r="M289" s="46">
        <v>30</v>
      </c>
      <c r="N289" s="46">
        <v>40</v>
      </c>
      <c r="O289" s="46">
        <v>49</v>
      </c>
      <c r="P289" s="46">
        <f t="shared" si="31"/>
        <v>233</v>
      </c>
      <c r="Q289" s="46">
        <v>350</v>
      </c>
      <c r="R289" s="46">
        <f t="shared" si="32"/>
        <v>66.571428571428569</v>
      </c>
      <c r="S289" s="51"/>
      <c r="T289" s="50" t="s">
        <v>171</v>
      </c>
    </row>
    <row r="290" spans="5:20" ht="25.5" x14ac:dyDescent="0.25">
      <c r="E290" s="45">
        <v>22</v>
      </c>
      <c r="F290" s="48">
        <v>1858</v>
      </c>
      <c r="G290" s="48" t="s">
        <v>246</v>
      </c>
      <c r="H290" s="48" t="s">
        <v>247</v>
      </c>
      <c r="I290" s="47">
        <v>32</v>
      </c>
      <c r="J290" s="46">
        <v>33</v>
      </c>
      <c r="K290" s="47">
        <v>31</v>
      </c>
      <c r="L290" s="47">
        <v>30</v>
      </c>
      <c r="M290" s="46">
        <v>27</v>
      </c>
      <c r="N290" s="47">
        <v>29</v>
      </c>
      <c r="O290" s="47">
        <v>31</v>
      </c>
      <c r="P290" s="46">
        <f t="shared" si="31"/>
        <v>213</v>
      </c>
      <c r="Q290" s="46">
        <v>350</v>
      </c>
      <c r="R290" s="46">
        <f t="shared" si="32"/>
        <v>60.857142857142854</v>
      </c>
      <c r="S290" s="51"/>
      <c r="T290" s="50" t="s">
        <v>299</v>
      </c>
    </row>
    <row r="291" spans="5:20" ht="21" x14ac:dyDescent="0.25">
      <c r="E291" s="108" t="s">
        <v>314</v>
      </c>
      <c r="F291" s="109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10"/>
    </row>
    <row r="292" spans="5:20" ht="21" x14ac:dyDescent="0.25">
      <c r="E292" s="109" t="s">
        <v>294</v>
      </c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2"/>
    </row>
    <row r="293" spans="5:20" ht="21" x14ac:dyDescent="0.25">
      <c r="E293" s="63" t="s">
        <v>1</v>
      </c>
      <c r="F293" s="63" t="s">
        <v>2</v>
      </c>
      <c r="G293" s="63" t="s">
        <v>3</v>
      </c>
      <c r="H293" s="63" t="s">
        <v>4</v>
      </c>
      <c r="I293" s="64" t="s">
        <v>5</v>
      </c>
      <c r="J293" s="64" t="s">
        <v>6</v>
      </c>
      <c r="K293" s="64" t="s">
        <v>7</v>
      </c>
      <c r="L293" s="64" t="s">
        <v>8</v>
      </c>
      <c r="M293" s="64" t="s">
        <v>248</v>
      </c>
      <c r="N293" s="64" t="s">
        <v>170</v>
      </c>
      <c r="O293" s="64" t="s">
        <v>9</v>
      </c>
      <c r="P293" s="65" t="s">
        <v>11</v>
      </c>
      <c r="Q293" s="65" t="s">
        <v>10</v>
      </c>
      <c r="R293" s="64" t="s">
        <v>12</v>
      </c>
      <c r="S293" s="64" t="s">
        <v>215</v>
      </c>
      <c r="T293" s="64" t="s">
        <v>13</v>
      </c>
    </row>
    <row r="294" spans="5:20" ht="21" x14ac:dyDescent="0.25">
      <c r="E294" s="45"/>
      <c r="F294" s="45"/>
      <c r="G294" s="45"/>
      <c r="H294" s="45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53"/>
    </row>
    <row r="295" spans="5:20" ht="21" x14ac:dyDescent="0.25">
      <c r="E295" s="45">
        <v>1</v>
      </c>
      <c r="F295" s="45">
        <v>1516</v>
      </c>
      <c r="G295" s="48" t="s">
        <v>249</v>
      </c>
      <c r="H295" s="48" t="s">
        <v>172</v>
      </c>
      <c r="I295" s="46">
        <v>31</v>
      </c>
      <c r="J295" s="46">
        <v>31</v>
      </c>
      <c r="K295" s="46">
        <v>28</v>
      </c>
      <c r="L295" s="46">
        <v>30</v>
      </c>
      <c r="M295" s="46">
        <v>25</v>
      </c>
      <c r="N295" s="46">
        <v>29</v>
      </c>
      <c r="O295" s="46">
        <v>31</v>
      </c>
      <c r="P295" s="46">
        <f>SUM(I295:O295)</f>
        <v>205</v>
      </c>
      <c r="Q295" s="46">
        <v>350</v>
      </c>
      <c r="R295" s="46">
        <f>P295/Q295*100</f>
        <v>58.571428571428577</v>
      </c>
      <c r="S295" s="46"/>
      <c r="T295" s="46" t="s">
        <v>171</v>
      </c>
    </row>
    <row r="296" spans="5:20" ht="21" x14ac:dyDescent="0.25">
      <c r="E296" s="45">
        <v>2</v>
      </c>
      <c r="F296" s="45">
        <v>1025</v>
      </c>
      <c r="G296" s="48" t="s">
        <v>250</v>
      </c>
      <c r="H296" s="48" t="s">
        <v>165</v>
      </c>
      <c r="I296" s="46">
        <v>25</v>
      </c>
      <c r="J296" s="46">
        <v>26</v>
      </c>
      <c r="K296" s="46">
        <v>27</v>
      </c>
      <c r="L296" s="46">
        <v>30</v>
      </c>
      <c r="M296" s="46">
        <v>30</v>
      </c>
      <c r="N296" s="46">
        <v>28</v>
      </c>
      <c r="O296" s="46">
        <v>32</v>
      </c>
      <c r="P296" s="46">
        <f t="shared" ref="P296:P299" si="33">SUM(I296:O296)</f>
        <v>198</v>
      </c>
      <c r="Q296" s="46">
        <v>350</v>
      </c>
      <c r="R296" s="46">
        <f t="shared" ref="R296:R306" si="34">P296/Q296*100</f>
        <v>56.571428571428569</v>
      </c>
      <c r="S296" s="46"/>
      <c r="T296" s="46" t="s">
        <v>171</v>
      </c>
    </row>
    <row r="297" spans="5:20" ht="21" x14ac:dyDescent="0.25">
      <c r="E297" s="45">
        <v>3</v>
      </c>
      <c r="F297" s="45">
        <v>1626</v>
      </c>
      <c r="G297" s="48" t="s">
        <v>251</v>
      </c>
      <c r="H297" s="48" t="s">
        <v>252</v>
      </c>
      <c r="I297" s="46">
        <v>33</v>
      </c>
      <c r="J297" s="46">
        <v>37</v>
      </c>
      <c r="K297" s="46">
        <v>27</v>
      </c>
      <c r="L297" s="46">
        <v>33</v>
      </c>
      <c r="M297" s="46">
        <v>29</v>
      </c>
      <c r="N297" s="46">
        <v>31</v>
      </c>
      <c r="O297" s="46">
        <v>30</v>
      </c>
      <c r="P297" s="46">
        <f t="shared" si="33"/>
        <v>220</v>
      </c>
      <c r="Q297" s="46">
        <v>350</v>
      </c>
      <c r="R297" s="46">
        <f t="shared" si="34"/>
        <v>62.857142857142854</v>
      </c>
      <c r="S297" s="46"/>
      <c r="T297" s="46" t="s">
        <v>171</v>
      </c>
    </row>
    <row r="298" spans="5:20" ht="21" x14ac:dyDescent="0.25">
      <c r="E298" s="45">
        <v>4</v>
      </c>
      <c r="F298" s="45">
        <v>1676</v>
      </c>
      <c r="G298" s="48" t="s">
        <v>183</v>
      </c>
      <c r="H298" s="48" t="s">
        <v>253</v>
      </c>
      <c r="I298" s="46">
        <v>32</v>
      </c>
      <c r="J298" s="46">
        <v>27</v>
      </c>
      <c r="K298" s="46">
        <v>29</v>
      </c>
      <c r="L298" s="46">
        <v>30</v>
      </c>
      <c r="M298" s="46">
        <v>27</v>
      </c>
      <c r="N298" s="46">
        <v>28</v>
      </c>
      <c r="O298" s="46">
        <v>33</v>
      </c>
      <c r="P298" s="46">
        <f t="shared" si="33"/>
        <v>206</v>
      </c>
      <c r="Q298" s="46">
        <v>350</v>
      </c>
      <c r="R298" s="46">
        <f t="shared" si="34"/>
        <v>58.857142857142854</v>
      </c>
      <c r="S298" s="46"/>
      <c r="T298" s="46" t="s">
        <v>171</v>
      </c>
    </row>
    <row r="299" spans="5:20" ht="21" x14ac:dyDescent="0.25">
      <c r="E299" s="45">
        <v>5</v>
      </c>
      <c r="F299" s="45">
        <v>1781</v>
      </c>
      <c r="G299" s="48" t="s">
        <v>254</v>
      </c>
      <c r="H299" s="48" t="s">
        <v>255</v>
      </c>
      <c r="I299" s="46">
        <v>29</v>
      </c>
      <c r="J299" s="46">
        <v>29</v>
      </c>
      <c r="K299" s="46">
        <v>26</v>
      </c>
      <c r="L299" s="46">
        <v>29</v>
      </c>
      <c r="M299" s="46">
        <v>26</v>
      </c>
      <c r="N299" s="46">
        <v>30</v>
      </c>
      <c r="O299" s="46">
        <v>35</v>
      </c>
      <c r="P299" s="46">
        <f t="shared" si="33"/>
        <v>204</v>
      </c>
      <c r="Q299" s="46">
        <v>350</v>
      </c>
      <c r="R299" s="46">
        <f t="shared" si="34"/>
        <v>58.285714285714285</v>
      </c>
      <c r="S299" s="46"/>
      <c r="T299" s="46" t="s">
        <v>171</v>
      </c>
    </row>
    <row r="300" spans="5:20" ht="21" x14ac:dyDescent="0.25">
      <c r="E300" s="45">
        <v>6</v>
      </c>
      <c r="F300" s="45">
        <v>1782</v>
      </c>
      <c r="G300" s="48" t="s">
        <v>173</v>
      </c>
      <c r="H300" s="48" t="s">
        <v>174</v>
      </c>
      <c r="I300" s="46">
        <v>32</v>
      </c>
      <c r="J300" s="46">
        <v>30</v>
      </c>
      <c r="K300" s="46">
        <v>31</v>
      </c>
      <c r="L300" s="46">
        <v>25</v>
      </c>
      <c r="M300" s="46">
        <v>25</v>
      </c>
      <c r="N300" s="46">
        <v>26</v>
      </c>
      <c r="O300" s="46">
        <v>37</v>
      </c>
      <c r="P300" s="46">
        <f>SUM(I300:O300)</f>
        <v>206</v>
      </c>
      <c r="Q300" s="46">
        <v>350</v>
      </c>
      <c r="R300" s="46">
        <f t="shared" si="34"/>
        <v>58.857142857142854</v>
      </c>
      <c r="S300" s="46"/>
      <c r="T300" s="46" t="s">
        <v>171</v>
      </c>
    </row>
    <row r="301" spans="5:20" ht="21" x14ac:dyDescent="0.25">
      <c r="E301" s="45">
        <v>7</v>
      </c>
      <c r="F301" s="45">
        <v>1629</v>
      </c>
      <c r="G301" s="48" t="s">
        <v>166</v>
      </c>
      <c r="H301" s="48" t="s">
        <v>256</v>
      </c>
      <c r="I301" s="46">
        <v>33</v>
      </c>
      <c r="J301" s="46">
        <v>33</v>
      </c>
      <c r="K301" s="46">
        <v>36</v>
      </c>
      <c r="L301" s="46">
        <v>27</v>
      </c>
      <c r="M301" s="46">
        <v>27</v>
      </c>
      <c r="N301" s="46">
        <v>29</v>
      </c>
      <c r="O301" s="46">
        <v>27</v>
      </c>
      <c r="P301" s="46">
        <f t="shared" ref="P301:P306" si="35">SUM(I301:O301)</f>
        <v>212</v>
      </c>
      <c r="Q301" s="46">
        <v>350</v>
      </c>
      <c r="R301" s="46">
        <f t="shared" si="34"/>
        <v>60.571428571428577</v>
      </c>
      <c r="S301" s="46"/>
      <c r="T301" s="46" t="s">
        <v>171</v>
      </c>
    </row>
    <row r="302" spans="5:20" ht="21" x14ac:dyDescent="0.25">
      <c r="E302" s="45">
        <v>8</v>
      </c>
      <c r="F302" s="45">
        <v>1630</v>
      </c>
      <c r="G302" s="48" t="s">
        <v>257</v>
      </c>
      <c r="H302" s="48" t="s">
        <v>217</v>
      </c>
      <c r="I302" s="46">
        <v>34</v>
      </c>
      <c r="J302" s="46">
        <v>32</v>
      </c>
      <c r="K302" s="46">
        <v>33</v>
      </c>
      <c r="L302" s="46">
        <v>32</v>
      </c>
      <c r="M302" s="46">
        <v>37</v>
      </c>
      <c r="N302" s="46">
        <v>30</v>
      </c>
      <c r="O302" s="46">
        <v>32</v>
      </c>
      <c r="P302" s="46">
        <f t="shared" si="35"/>
        <v>230</v>
      </c>
      <c r="Q302" s="46">
        <v>350</v>
      </c>
      <c r="R302" s="46">
        <f t="shared" si="34"/>
        <v>65.714285714285708</v>
      </c>
      <c r="S302" s="46"/>
      <c r="T302" s="46" t="s">
        <v>171</v>
      </c>
    </row>
    <row r="303" spans="5:20" ht="21" x14ac:dyDescent="0.25">
      <c r="E303" s="45">
        <v>9</v>
      </c>
      <c r="F303" s="45">
        <v>1631</v>
      </c>
      <c r="G303" s="48" t="s">
        <v>258</v>
      </c>
      <c r="H303" s="48" t="s">
        <v>186</v>
      </c>
      <c r="I303" s="46">
        <v>35</v>
      </c>
      <c r="J303" s="46">
        <v>28</v>
      </c>
      <c r="K303" s="46">
        <v>34</v>
      </c>
      <c r="L303" s="46">
        <v>29</v>
      </c>
      <c r="M303" s="46">
        <v>28</v>
      </c>
      <c r="N303" s="46">
        <v>29</v>
      </c>
      <c r="O303" s="46">
        <v>33</v>
      </c>
      <c r="P303" s="46">
        <f t="shared" si="35"/>
        <v>216</v>
      </c>
      <c r="Q303" s="46">
        <v>350</v>
      </c>
      <c r="R303" s="46">
        <f t="shared" si="34"/>
        <v>61.714285714285708</v>
      </c>
      <c r="S303" s="46"/>
      <c r="T303" s="46" t="s">
        <v>171</v>
      </c>
    </row>
    <row r="304" spans="5:20" ht="21" x14ac:dyDescent="0.25">
      <c r="E304" s="45">
        <v>10</v>
      </c>
      <c r="F304" s="45">
        <v>1632</v>
      </c>
      <c r="G304" s="48" t="s">
        <v>259</v>
      </c>
      <c r="H304" s="48" t="s">
        <v>260</v>
      </c>
      <c r="I304" s="46">
        <v>29</v>
      </c>
      <c r="J304" s="46">
        <v>29</v>
      </c>
      <c r="K304" s="46">
        <v>31</v>
      </c>
      <c r="L304" s="46">
        <v>40</v>
      </c>
      <c r="M304" s="46">
        <v>37</v>
      </c>
      <c r="N304" s="46">
        <v>39</v>
      </c>
      <c r="O304" s="46">
        <v>37</v>
      </c>
      <c r="P304" s="46">
        <f t="shared" si="35"/>
        <v>242</v>
      </c>
      <c r="Q304" s="46">
        <v>350</v>
      </c>
      <c r="R304" s="46">
        <f t="shared" si="34"/>
        <v>69.142857142857139</v>
      </c>
      <c r="S304" s="46"/>
      <c r="T304" s="46" t="s">
        <v>171</v>
      </c>
    </row>
    <row r="305" spans="5:20" ht="21" x14ac:dyDescent="0.25">
      <c r="E305" s="45">
        <v>11</v>
      </c>
      <c r="F305" s="45">
        <v>1637</v>
      </c>
      <c r="G305" s="48" t="s">
        <v>167</v>
      </c>
      <c r="H305" s="48" t="s">
        <v>261</v>
      </c>
      <c r="I305" s="46">
        <v>33</v>
      </c>
      <c r="J305" s="46">
        <v>34</v>
      </c>
      <c r="K305" s="46">
        <v>37</v>
      </c>
      <c r="L305" s="46">
        <v>37</v>
      </c>
      <c r="M305" s="46">
        <v>35</v>
      </c>
      <c r="N305" s="46">
        <v>32</v>
      </c>
      <c r="O305" s="46">
        <v>41</v>
      </c>
      <c r="P305" s="46">
        <f t="shared" si="35"/>
        <v>249</v>
      </c>
      <c r="Q305" s="46">
        <v>350</v>
      </c>
      <c r="R305" s="46">
        <f t="shared" si="34"/>
        <v>71.142857142857139</v>
      </c>
      <c r="S305" s="46"/>
      <c r="T305" s="46" t="s">
        <v>171</v>
      </c>
    </row>
    <row r="306" spans="5:20" ht="21" x14ac:dyDescent="0.25">
      <c r="E306" s="45">
        <v>12</v>
      </c>
      <c r="F306" s="45">
        <v>1743</v>
      </c>
      <c r="G306" s="48" t="s">
        <v>187</v>
      </c>
      <c r="H306" s="48" t="s">
        <v>261</v>
      </c>
      <c r="I306" s="46">
        <v>33</v>
      </c>
      <c r="J306" s="46">
        <v>35</v>
      </c>
      <c r="K306" s="46">
        <v>41</v>
      </c>
      <c r="L306" s="46">
        <v>31</v>
      </c>
      <c r="M306" s="46">
        <v>32</v>
      </c>
      <c r="N306" s="46">
        <v>32</v>
      </c>
      <c r="O306" s="46">
        <v>30</v>
      </c>
      <c r="P306" s="46">
        <f t="shared" si="35"/>
        <v>234</v>
      </c>
      <c r="Q306" s="46">
        <v>350</v>
      </c>
      <c r="R306" s="46">
        <f t="shared" si="34"/>
        <v>66.857142857142861</v>
      </c>
      <c r="S306" s="46"/>
      <c r="T306" s="46" t="s">
        <v>171</v>
      </c>
    </row>
    <row r="307" spans="5:20" ht="21" x14ac:dyDescent="0.25">
      <c r="E307" s="108" t="s">
        <v>315</v>
      </c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2"/>
    </row>
    <row r="308" spans="5:20" ht="21" x14ac:dyDescent="0.25">
      <c r="E308" s="108" t="s">
        <v>295</v>
      </c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2"/>
    </row>
    <row r="309" spans="5:20" ht="21" x14ac:dyDescent="0.25">
      <c r="E309" s="63" t="s">
        <v>1</v>
      </c>
      <c r="F309" s="63" t="s">
        <v>2</v>
      </c>
      <c r="G309" s="63" t="s">
        <v>3</v>
      </c>
      <c r="H309" s="63" t="s">
        <v>4</v>
      </c>
      <c r="I309" s="64" t="s">
        <v>5</v>
      </c>
      <c r="J309" s="64" t="s">
        <v>6</v>
      </c>
      <c r="K309" s="64" t="s">
        <v>7</v>
      </c>
      <c r="L309" s="64" t="s">
        <v>8</v>
      </c>
      <c r="M309" s="64" t="s">
        <v>248</v>
      </c>
      <c r="N309" s="64" t="s">
        <v>170</v>
      </c>
      <c r="O309" s="64" t="s">
        <v>9</v>
      </c>
      <c r="P309" s="65" t="s">
        <v>11</v>
      </c>
      <c r="Q309" s="65" t="s">
        <v>10</v>
      </c>
      <c r="R309" s="64" t="s">
        <v>12</v>
      </c>
      <c r="S309" s="64" t="s">
        <v>215</v>
      </c>
      <c r="T309" s="64" t="s">
        <v>13</v>
      </c>
    </row>
    <row r="310" spans="5:20" ht="21" x14ac:dyDescent="0.25">
      <c r="E310" s="45"/>
      <c r="F310" s="45"/>
      <c r="G310" s="45"/>
      <c r="H310" s="57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54"/>
    </row>
    <row r="311" spans="5:20" ht="21" x14ac:dyDescent="0.25">
      <c r="E311" s="45">
        <v>1</v>
      </c>
      <c r="F311" s="45">
        <v>1537</v>
      </c>
      <c r="G311" s="48" t="s">
        <v>262</v>
      </c>
      <c r="H311" s="58" t="s">
        <v>263</v>
      </c>
      <c r="I311" s="46">
        <v>30</v>
      </c>
      <c r="J311" s="46">
        <v>35</v>
      </c>
      <c r="K311" s="46">
        <v>39</v>
      </c>
      <c r="L311" s="46">
        <v>38</v>
      </c>
      <c r="M311" s="46">
        <v>27</v>
      </c>
      <c r="N311" s="46">
        <v>34</v>
      </c>
      <c r="O311" s="46">
        <v>27</v>
      </c>
      <c r="P311" s="46">
        <f>SUM(I311:O311)</f>
        <v>230</v>
      </c>
      <c r="Q311" s="46">
        <v>350</v>
      </c>
      <c r="R311" s="46">
        <f>P311/Q311*100</f>
        <v>65.714285714285708</v>
      </c>
      <c r="S311" s="46"/>
      <c r="T311" s="46" t="s">
        <v>171</v>
      </c>
    </row>
    <row r="312" spans="5:20" ht="21" x14ac:dyDescent="0.25">
      <c r="E312" s="45">
        <v>2</v>
      </c>
      <c r="F312" s="45">
        <v>1666</v>
      </c>
      <c r="G312" s="48" t="s">
        <v>264</v>
      </c>
      <c r="H312" s="58" t="s">
        <v>265</v>
      </c>
      <c r="I312" s="46">
        <v>33</v>
      </c>
      <c r="J312" s="46">
        <v>36</v>
      </c>
      <c r="K312" s="46">
        <v>34</v>
      </c>
      <c r="L312" s="46">
        <v>36</v>
      </c>
      <c r="M312" s="46">
        <v>27</v>
      </c>
      <c r="N312" s="46">
        <v>30</v>
      </c>
      <c r="O312" s="46">
        <v>37</v>
      </c>
      <c r="P312" s="46">
        <f t="shared" ref="P312" si="36">SUM(I312:O312)</f>
        <v>233</v>
      </c>
      <c r="Q312" s="46">
        <v>350</v>
      </c>
      <c r="R312" s="46">
        <f t="shared" ref="R312:R325" si="37">P312/Q312*100</f>
        <v>66.571428571428569</v>
      </c>
      <c r="S312" s="46"/>
      <c r="T312" s="46" t="s">
        <v>171</v>
      </c>
    </row>
    <row r="313" spans="5:20" ht="21" x14ac:dyDescent="0.25">
      <c r="E313" s="45">
        <v>3</v>
      </c>
      <c r="F313" s="45">
        <v>1686</v>
      </c>
      <c r="G313" s="48" t="s">
        <v>266</v>
      </c>
      <c r="H313" s="58" t="s">
        <v>267</v>
      </c>
      <c r="I313" s="46">
        <v>33</v>
      </c>
      <c r="J313" s="46">
        <v>36</v>
      </c>
      <c r="K313" s="46">
        <v>36</v>
      </c>
      <c r="L313" s="46">
        <v>36</v>
      </c>
      <c r="M313" s="46">
        <v>27</v>
      </c>
      <c r="N313" s="46">
        <v>33</v>
      </c>
      <c r="O313" s="46">
        <v>31</v>
      </c>
      <c r="P313" s="46">
        <v>27</v>
      </c>
      <c r="Q313" s="46">
        <v>350</v>
      </c>
      <c r="R313" s="46">
        <f t="shared" si="37"/>
        <v>7.7142857142857135</v>
      </c>
      <c r="S313" s="46"/>
      <c r="T313" s="46" t="s">
        <v>171</v>
      </c>
    </row>
    <row r="314" spans="5:20" ht="21" x14ac:dyDescent="0.25">
      <c r="E314" s="45">
        <v>4</v>
      </c>
      <c r="F314" s="45">
        <v>1787</v>
      </c>
      <c r="G314" s="48" t="s">
        <v>268</v>
      </c>
      <c r="H314" s="58" t="s">
        <v>269</v>
      </c>
      <c r="I314" s="46">
        <v>28</v>
      </c>
      <c r="J314" s="46">
        <v>37</v>
      </c>
      <c r="K314" s="46">
        <v>26</v>
      </c>
      <c r="L314" s="46">
        <v>35</v>
      </c>
      <c r="M314" s="46">
        <v>28</v>
      </c>
      <c r="N314" s="46">
        <v>28</v>
      </c>
      <c r="O314" s="46">
        <v>27</v>
      </c>
      <c r="P314" s="46">
        <v>26</v>
      </c>
      <c r="Q314" s="46">
        <v>350</v>
      </c>
      <c r="R314" s="46">
        <f t="shared" si="37"/>
        <v>7.4285714285714288</v>
      </c>
      <c r="S314" s="55" t="s">
        <v>270</v>
      </c>
      <c r="T314" s="46" t="s">
        <v>171</v>
      </c>
    </row>
    <row r="315" spans="5:20" ht="21" x14ac:dyDescent="0.25">
      <c r="E315" s="45">
        <v>5</v>
      </c>
      <c r="F315" s="45">
        <v>1863</v>
      </c>
      <c r="G315" s="48" t="s">
        <v>180</v>
      </c>
      <c r="H315" s="58" t="s">
        <v>182</v>
      </c>
      <c r="I315" s="46">
        <v>26</v>
      </c>
      <c r="J315" s="47">
        <v>36</v>
      </c>
      <c r="K315" s="47">
        <v>29</v>
      </c>
      <c r="L315" s="46">
        <v>39</v>
      </c>
      <c r="M315" s="46">
        <v>29</v>
      </c>
      <c r="N315" s="47">
        <v>29</v>
      </c>
      <c r="O315" s="47">
        <v>30</v>
      </c>
      <c r="P315" s="46">
        <f t="shared" ref="P315:P325" si="38">SUM(I315:O315)</f>
        <v>218</v>
      </c>
      <c r="Q315" s="46">
        <v>350</v>
      </c>
      <c r="R315" s="46">
        <f t="shared" si="37"/>
        <v>62.285714285714292</v>
      </c>
      <c r="S315" s="55" t="s">
        <v>271</v>
      </c>
      <c r="T315" s="46" t="s">
        <v>171</v>
      </c>
    </row>
    <row r="316" spans="5:20" ht="21" x14ac:dyDescent="0.35">
      <c r="E316" s="45">
        <v>6</v>
      </c>
      <c r="F316" s="45">
        <v>1865</v>
      </c>
      <c r="G316" s="56" t="s">
        <v>272</v>
      </c>
      <c r="H316" s="59" t="s">
        <v>273</v>
      </c>
      <c r="I316" s="46">
        <v>32</v>
      </c>
      <c r="J316" s="46">
        <v>37</v>
      </c>
      <c r="K316" s="46">
        <v>36</v>
      </c>
      <c r="L316" s="46">
        <v>37</v>
      </c>
      <c r="M316" s="46">
        <v>30</v>
      </c>
      <c r="N316" s="46">
        <v>34</v>
      </c>
      <c r="O316" s="46">
        <v>37</v>
      </c>
      <c r="P316" s="46">
        <f t="shared" si="38"/>
        <v>243</v>
      </c>
      <c r="Q316" s="46">
        <v>350</v>
      </c>
      <c r="R316" s="46">
        <f t="shared" si="37"/>
        <v>69.428571428571431</v>
      </c>
      <c r="S316" s="46"/>
      <c r="T316" s="46" t="s">
        <v>171</v>
      </c>
    </row>
    <row r="317" spans="5:20" ht="21" x14ac:dyDescent="0.25">
      <c r="E317" s="45">
        <v>7</v>
      </c>
      <c r="F317" s="45">
        <v>1866</v>
      </c>
      <c r="G317" s="48" t="s">
        <v>274</v>
      </c>
      <c r="H317" s="58" t="s">
        <v>275</v>
      </c>
      <c r="I317" s="46">
        <v>27</v>
      </c>
      <c r="J317" s="46">
        <v>36</v>
      </c>
      <c r="K317" s="46">
        <v>37</v>
      </c>
      <c r="L317" s="46">
        <v>38</v>
      </c>
      <c r="M317" s="46">
        <v>32</v>
      </c>
      <c r="N317" s="46">
        <v>30</v>
      </c>
      <c r="O317" s="46">
        <v>31</v>
      </c>
      <c r="P317" s="46">
        <f t="shared" si="38"/>
        <v>231</v>
      </c>
      <c r="Q317" s="46">
        <v>350</v>
      </c>
      <c r="R317" s="46">
        <f t="shared" si="37"/>
        <v>66</v>
      </c>
      <c r="S317" s="46"/>
      <c r="T317" s="46" t="s">
        <v>171</v>
      </c>
    </row>
    <row r="318" spans="5:20" ht="21" x14ac:dyDescent="0.25">
      <c r="E318" s="45">
        <v>8</v>
      </c>
      <c r="F318" s="45">
        <v>1867</v>
      </c>
      <c r="G318" s="48" t="s">
        <v>276</v>
      </c>
      <c r="H318" s="58" t="s">
        <v>277</v>
      </c>
      <c r="I318" s="46">
        <v>37</v>
      </c>
      <c r="J318" s="46">
        <v>34</v>
      </c>
      <c r="K318" s="46">
        <v>39</v>
      </c>
      <c r="L318" s="46">
        <v>32</v>
      </c>
      <c r="M318" s="46">
        <v>35</v>
      </c>
      <c r="N318" s="46">
        <v>31</v>
      </c>
      <c r="O318" s="46">
        <v>30</v>
      </c>
      <c r="P318" s="46">
        <f t="shared" si="38"/>
        <v>238</v>
      </c>
      <c r="Q318" s="46">
        <v>350</v>
      </c>
      <c r="R318" s="46">
        <f t="shared" si="37"/>
        <v>68</v>
      </c>
      <c r="S318" s="46"/>
      <c r="T318" s="46" t="s">
        <v>171</v>
      </c>
    </row>
    <row r="319" spans="5:20" ht="21" x14ac:dyDescent="0.25">
      <c r="E319" s="45">
        <v>9</v>
      </c>
      <c r="F319" s="45">
        <v>1868</v>
      </c>
      <c r="G319" s="48" t="s">
        <v>278</v>
      </c>
      <c r="H319" s="58" t="s">
        <v>279</v>
      </c>
      <c r="I319" s="46">
        <v>40</v>
      </c>
      <c r="J319" s="46">
        <v>33</v>
      </c>
      <c r="K319" s="46">
        <v>34</v>
      </c>
      <c r="L319" s="46">
        <v>33</v>
      </c>
      <c r="M319" s="46">
        <v>36</v>
      </c>
      <c r="N319" s="46">
        <v>34</v>
      </c>
      <c r="O319" s="46">
        <v>35</v>
      </c>
      <c r="P319" s="46">
        <f t="shared" si="38"/>
        <v>245</v>
      </c>
      <c r="Q319" s="46">
        <v>350</v>
      </c>
      <c r="R319" s="46">
        <f t="shared" si="37"/>
        <v>70</v>
      </c>
      <c r="S319" s="46"/>
      <c r="T319" s="46" t="s">
        <v>171</v>
      </c>
    </row>
    <row r="320" spans="5:20" ht="21" x14ac:dyDescent="0.25">
      <c r="E320" s="45">
        <v>10</v>
      </c>
      <c r="F320" s="45">
        <v>1897</v>
      </c>
      <c r="G320" s="48" t="s">
        <v>280</v>
      </c>
      <c r="H320" s="58" t="s">
        <v>281</v>
      </c>
      <c r="I320" s="46">
        <v>38</v>
      </c>
      <c r="J320" s="46">
        <v>34</v>
      </c>
      <c r="K320" s="46">
        <v>35</v>
      </c>
      <c r="L320" s="46">
        <v>40</v>
      </c>
      <c r="M320" s="46">
        <v>36</v>
      </c>
      <c r="N320" s="46">
        <v>36</v>
      </c>
      <c r="O320" s="46">
        <v>37</v>
      </c>
      <c r="P320" s="46">
        <f t="shared" si="38"/>
        <v>256</v>
      </c>
      <c r="Q320" s="46">
        <v>350</v>
      </c>
      <c r="R320" s="46">
        <f t="shared" si="37"/>
        <v>73.142857142857139</v>
      </c>
      <c r="S320" s="46"/>
      <c r="T320" s="46" t="s">
        <v>171</v>
      </c>
    </row>
    <row r="321" spans="5:20" ht="21" x14ac:dyDescent="0.25">
      <c r="E321" s="45">
        <v>11</v>
      </c>
      <c r="F321" s="45">
        <v>1783</v>
      </c>
      <c r="G321" s="48" t="s">
        <v>282</v>
      </c>
      <c r="H321" s="58" t="s">
        <v>283</v>
      </c>
      <c r="I321" s="46">
        <v>33</v>
      </c>
      <c r="J321" s="46">
        <v>32</v>
      </c>
      <c r="K321" s="46">
        <v>33</v>
      </c>
      <c r="L321" s="46">
        <v>28</v>
      </c>
      <c r="M321" s="46">
        <v>36</v>
      </c>
      <c r="N321" s="46">
        <v>30</v>
      </c>
      <c r="O321" s="46">
        <v>32</v>
      </c>
      <c r="P321" s="46">
        <f t="shared" si="38"/>
        <v>224</v>
      </c>
      <c r="Q321" s="46">
        <v>350</v>
      </c>
      <c r="R321" s="46">
        <f t="shared" si="37"/>
        <v>64</v>
      </c>
      <c r="S321" s="46"/>
      <c r="T321" s="46" t="s">
        <v>171</v>
      </c>
    </row>
    <row r="322" spans="5:20" ht="21" x14ac:dyDescent="0.25">
      <c r="E322" s="45">
        <v>12</v>
      </c>
      <c r="F322" s="45">
        <v>1784</v>
      </c>
      <c r="G322" s="48" t="s">
        <v>284</v>
      </c>
      <c r="H322" s="58" t="s">
        <v>285</v>
      </c>
      <c r="I322" s="46">
        <v>36</v>
      </c>
      <c r="J322" s="46">
        <v>34</v>
      </c>
      <c r="K322" s="46">
        <v>39</v>
      </c>
      <c r="L322" s="46">
        <v>30</v>
      </c>
      <c r="M322" s="46">
        <v>37</v>
      </c>
      <c r="N322" s="46">
        <v>28</v>
      </c>
      <c r="O322" s="46">
        <v>29</v>
      </c>
      <c r="P322" s="46">
        <f t="shared" si="38"/>
        <v>233</v>
      </c>
      <c r="Q322" s="46">
        <v>350</v>
      </c>
      <c r="R322" s="46">
        <f t="shared" si="37"/>
        <v>66.571428571428569</v>
      </c>
      <c r="S322" s="46"/>
      <c r="T322" s="46" t="s">
        <v>171</v>
      </c>
    </row>
    <row r="323" spans="5:20" ht="21" x14ac:dyDescent="0.25">
      <c r="E323" s="45">
        <v>13</v>
      </c>
      <c r="F323" s="45">
        <v>1785</v>
      </c>
      <c r="G323" s="48" t="s">
        <v>286</v>
      </c>
      <c r="H323" s="58" t="s">
        <v>285</v>
      </c>
      <c r="I323" s="46">
        <v>36</v>
      </c>
      <c r="J323" s="46">
        <v>35</v>
      </c>
      <c r="K323" s="46">
        <v>41</v>
      </c>
      <c r="L323" s="46">
        <v>40</v>
      </c>
      <c r="M323" s="46">
        <v>37</v>
      </c>
      <c r="N323" s="46">
        <v>29</v>
      </c>
      <c r="O323" s="46">
        <v>30</v>
      </c>
      <c r="P323" s="46">
        <f t="shared" si="38"/>
        <v>248</v>
      </c>
      <c r="Q323" s="46">
        <v>350</v>
      </c>
      <c r="R323" s="46">
        <f t="shared" si="37"/>
        <v>70.857142857142847</v>
      </c>
      <c r="S323" s="46"/>
      <c r="T323" s="46" t="s">
        <v>171</v>
      </c>
    </row>
    <row r="324" spans="5:20" ht="21" x14ac:dyDescent="0.25">
      <c r="E324" s="45">
        <v>14</v>
      </c>
      <c r="F324" s="45">
        <v>1786</v>
      </c>
      <c r="G324" s="48" t="s">
        <v>287</v>
      </c>
      <c r="H324" s="58" t="s">
        <v>288</v>
      </c>
      <c r="I324" s="46">
        <v>32</v>
      </c>
      <c r="J324" s="46">
        <v>33</v>
      </c>
      <c r="K324" s="46">
        <v>36</v>
      </c>
      <c r="L324" s="46">
        <v>36</v>
      </c>
      <c r="M324" s="46">
        <v>37</v>
      </c>
      <c r="N324" s="46">
        <v>37</v>
      </c>
      <c r="O324" s="46">
        <v>39</v>
      </c>
      <c r="P324" s="46">
        <f t="shared" si="38"/>
        <v>250</v>
      </c>
      <c r="Q324" s="46">
        <v>350</v>
      </c>
      <c r="R324" s="46">
        <f t="shared" si="37"/>
        <v>71.428571428571431</v>
      </c>
      <c r="S324" s="46"/>
      <c r="T324" s="46" t="s">
        <v>171</v>
      </c>
    </row>
    <row r="325" spans="5:20" ht="21" x14ac:dyDescent="0.25">
      <c r="E325" s="45">
        <v>15</v>
      </c>
      <c r="F325" s="45">
        <v>1864</v>
      </c>
      <c r="G325" s="48" t="s">
        <v>289</v>
      </c>
      <c r="H325" s="58" t="s">
        <v>290</v>
      </c>
      <c r="I325" s="46">
        <v>30</v>
      </c>
      <c r="J325" s="46">
        <v>33</v>
      </c>
      <c r="K325" s="46">
        <v>32</v>
      </c>
      <c r="L325" s="46">
        <v>27</v>
      </c>
      <c r="M325" s="46">
        <v>40</v>
      </c>
      <c r="N325" s="46">
        <v>29</v>
      </c>
      <c r="O325" s="46">
        <v>32</v>
      </c>
      <c r="P325" s="46">
        <f t="shared" si="38"/>
        <v>223</v>
      </c>
      <c r="Q325" s="46">
        <v>350</v>
      </c>
      <c r="R325" s="46">
        <f t="shared" si="37"/>
        <v>63.714285714285715</v>
      </c>
      <c r="S325" s="46"/>
      <c r="T325" s="46" t="s">
        <v>171</v>
      </c>
    </row>
  </sheetData>
  <sortState xmlns:xlrd2="http://schemas.microsoft.com/office/spreadsheetml/2017/richdata2" ref="I73:P91">
    <sortCondition descending="1" ref="I73"/>
  </sortState>
  <mergeCells count="45">
    <mergeCell ref="E308:T308"/>
    <mergeCell ref="E265:T265"/>
    <mergeCell ref="E266:T266"/>
    <mergeCell ref="E291:T291"/>
    <mergeCell ref="E292:T292"/>
    <mergeCell ref="E307:T307"/>
    <mergeCell ref="E241:T241"/>
    <mergeCell ref="E242:T242"/>
    <mergeCell ref="E262:T262"/>
    <mergeCell ref="E263:T263"/>
    <mergeCell ref="E264:T264"/>
    <mergeCell ref="E198:T198"/>
    <mergeCell ref="E199:T199"/>
    <mergeCell ref="E200:T200"/>
    <mergeCell ref="E225:T225"/>
    <mergeCell ref="E226:T226"/>
    <mergeCell ref="E161:T161"/>
    <mergeCell ref="E176:T176"/>
    <mergeCell ref="E177:T177"/>
    <mergeCell ref="E196:T196"/>
    <mergeCell ref="E197:T197"/>
    <mergeCell ref="E132:T132"/>
    <mergeCell ref="E133:T133"/>
    <mergeCell ref="E134:T134"/>
    <mergeCell ref="E135:T135"/>
    <mergeCell ref="E160:T160"/>
    <mergeCell ref="E95:T95"/>
    <mergeCell ref="E96:T96"/>
    <mergeCell ref="E111:T111"/>
    <mergeCell ref="E112:T112"/>
    <mergeCell ref="E131:T131"/>
    <mergeCell ref="E66:T66"/>
    <mergeCell ref="E67:T67"/>
    <mergeCell ref="E68:T68"/>
    <mergeCell ref="E69:T69"/>
    <mergeCell ref="E70:T70"/>
    <mergeCell ref="E30:T30"/>
    <mergeCell ref="E31:T31"/>
    <mergeCell ref="E46:T46"/>
    <mergeCell ref="E47:T47"/>
    <mergeCell ref="E1:T1"/>
    <mergeCell ref="E2:T2"/>
    <mergeCell ref="E3:T3"/>
    <mergeCell ref="E4:T4"/>
    <mergeCell ref="E5:T5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Q13"/>
  <sheetViews>
    <sheetView topLeftCell="C2" workbookViewId="0">
      <selection activeCell="E18" sqref="E18"/>
    </sheetView>
  </sheetViews>
  <sheetFormatPr defaultColWidth="9" defaultRowHeight="15" x14ac:dyDescent="0.25"/>
  <cols>
    <col min="4" max="4" width="29" customWidth="1"/>
    <col min="5" max="5" width="13.140625" customWidth="1"/>
    <col min="6" max="6" width="12.42578125" customWidth="1"/>
    <col min="7" max="7" width="31.7109375" customWidth="1"/>
    <col min="8" max="8" width="12.42578125" customWidth="1"/>
    <col min="9" max="9" width="16.28515625" customWidth="1"/>
    <col min="10" max="10" width="14.7109375" customWidth="1"/>
    <col min="11" max="11" width="11.28515625" bestFit="1" customWidth="1"/>
    <col min="12" max="12" width="11.7109375" customWidth="1"/>
    <col min="13" max="13" width="11.5703125" customWidth="1"/>
  </cols>
  <sheetData>
    <row r="3" spans="2:17" x14ac:dyDescent="0.25">
      <c r="B3" s="115" t="s">
        <v>121</v>
      </c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</row>
    <row r="4" spans="2:17" x14ac:dyDescent="0.25">
      <c r="B4" s="115" t="s">
        <v>14</v>
      </c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</row>
    <row r="5" spans="2:17" x14ac:dyDescent="0.25">
      <c r="B5" s="116" t="s">
        <v>208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</row>
    <row r="6" spans="2:17" x14ac:dyDescent="0.2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2:17" ht="15.75" x14ac:dyDescent="0.25">
      <c r="C7" s="37" t="s">
        <v>15</v>
      </c>
      <c r="D7" s="37" t="s">
        <v>16</v>
      </c>
      <c r="E7" s="37" t="s">
        <v>17</v>
      </c>
      <c r="F7" s="37" t="s">
        <v>18</v>
      </c>
      <c r="G7" s="37" t="s">
        <v>19</v>
      </c>
      <c r="H7" s="37" t="s">
        <v>20</v>
      </c>
      <c r="I7" s="37" t="s">
        <v>21</v>
      </c>
      <c r="J7" s="37" t="s">
        <v>22</v>
      </c>
      <c r="K7" s="37" t="s">
        <v>23</v>
      </c>
      <c r="L7" s="37" t="s">
        <v>24</v>
      </c>
      <c r="M7" s="37" t="s">
        <v>25</v>
      </c>
    </row>
    <row r="8" spans="2:17" x14ac:dyDescent="0.25">
      <c r="C8" s="32">
        <v>1</v>
      </c>
      <c r="D8" s="39" t="s">
        <v>197</v>
      </c>
      <c r="E8" s="32" t="s">
        <v>156</v>
      </c>
      <c r="F8" s="32" t="s">
        <v>158</v>
      </c>
      <c r="G8" s="32" t="s">
        <v>301</v>
      </c>
      <c r="H8" s="32" t="s">
        <v>198</v>
      </c>
      <c r="I8" s="38" t="s">
        <v>157</v>
      </c>
      <c r="J8" s="32" t="s">
        <v>199</v>
      </c>
      <c r="K8" s="32" t="s">
        <v>200</v>
      </c>
      <c r="L8" s="32" t="s">
        <v>200</v>
      </c>
      <c r="M8" s="32" t="s">
        <v>200</v>
      </c>
    </row>
    <row r="9" spans="2:17" x14ac:dyDescent="0.25">
      <c r="C9" s="32">
        <v>2</v>
      </c>
      <c r="D9" s="39" t="s">
        <v>201</v>
      </c>
      <c r="E9" s="32" t="s">
        <v>156</v>
      </c>
      <c r="F9" s="32" t="s">
        <v>202</v>
      </c>
      <c r="G9" s="32" t="s">
        <v>301</v>
      </c>
      <c r="H9" s="32" t="s">
        <v>198</v>
      </c>
      <c r="I9" s="38" t="s">
        <v>157</v>
      </c>
      <c r="J9" s="32" t="s">
        <v>199</v>
      </c>
      <c r="K9" s="32" t="s">
        <v>200</v>
      </c>
      <c r="L9" s="32" t="s">
        <v>200</v>
      </c>
      <c r="M9" s="32" t="s">
        <v>200</v>
      </c>
    </row>
    <row r="10" spans="2:17" x14ac:dyDescent="0.25">
      <c r="C10" s="32">
        <v>3</v>
      </c>
      <c r="D10" s="39" t="s">
        <v>203</v>
      </c>
      <c r="E10" s="32" t="s">
        <v>156</v>
      </c>
      <c r="F10" s="32" t="s">
        <v>202</v>
      </c>
      <c r="G10" s="32" t="s">
        <v>301</v>
      </c>
      <c r="H10" s="32" t="s">
        <v>198</v>
      </c>
      <c r="I10" s="38" t="s">
        <v>157</v>
      </c>
      <c r="J10" s="32" t="s">
        <v>199</v>
      </c>
      <c r="K10" s="32" t="s">
        <v>200</v>
      </c>
      <c r="L10" s="32" t="s">
        <v>200</v>
      </c>
      <c r="M10" s="32" t="s">
        <v>200</v>
      </c>
    </row>
    <row r="11" spans="2:17" x14ac:dyDescent="0.25">
      <c r="C11" s="32">
        <v>4</v>
      </c>
      <c r="D11" s="39" t="s">
        <v>176</v>
      </c>
      <c r="E11" s="32" t="s">
        <v>156</v>
      </c>
      <c r="F11" s="32" t="s">
        <v>204</v>
      </c>
      <c r="G11" s="32" t="s">
        <v>301</v>
      </c>
      <c r="H11" s="32" t="s">
        <v>198</v>
      </c>
      <c r="I11" s="38" t="s">
        <v>157</v>
      </c>
      <c r="J11" s="32" t="s">
        <v>199</v>
      </c>
      <c r="K11" s="32" t="s">
        <v>200</v>
      </c>
      <c r="L11" s="32" t="s">
        <v>200</v>
      </c>
      <c r="M11" s="32" t="s">
        <v>200</v>
      </c>
    </row>
    <row r="12" spans="2:17" x14ac:dyDescent="0.25">
      <c r="C12" s="32">
        <v>5</v>
      </c>
      <c r="D12" s="39" t="s">
        <v>205</v>
      </c>
      <c r="E12" s="32" t="s">
        <v>156</v>
      </c>
      <c r="F12" s="32" t="s">
        <v>202</v>
      </c>
      <c r="G12" s="32" t="s">
        <v>301</v>
      </c>
      <c r="H12" s="32" t="s">
        <v>198</v>
      </c>
      <c r="I12" s="38" t="s">
        <v>157</v>
      </c>
      <c r="J12" s="32" t="s">
        <v>199</v>
      </c>
      <c r="K12" s="32" t="s">
        <v>200</v>
      </c>
      <c r="L12" s="32" t="s">
        <v>200</v>
      </c>
      <c r="M12" s="32" t="s">
        <v>200</v>
      </c>
    </row>
    <row r="13" spans="2:17" x14ac:dyDescent="0.25">
      <c r="C13" s="32">
        <v>6</v>
      </c>
      <c r="D13" s="39" t="s">
        <v>206</v>
      </c>
      <c r="E13" s="32" t="s">
        <v>156</v>
      </c>
      <c r="F13" s="32" t="s">
        <v>202</v>
      </c>
      <c r="G13" s="32" t="s">
        <v>301</v>
      </c>
      <c r="H13" s="32" t="s">
        <v>198</v>
      </c>
      <c r="I13" s="38" t="s">
        <v>157</v>
      </c>
      <c r="J13" s="32" t="s">
        <v>199</v>
      </c>
      <c r="K13" s="32" t="s">
        <v>200</v>
      </c>
      <c r="L13" s="32" t="s">
        <v>200</v>
      </c>
      <c r="M13" s="32" t="s">
        <v>207</v>
      </c>
    </row>
  </sheetData>
  <mergeCells count="3">
    <mergeCell ref="B3:Q3"/>
    <mergeCell ref="B4:Q4"/>
    <mergeCell ref="B5:Q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H51"/>
  <sheetViews>
    <sheetView topLeftCell="A43" workbookViewId="0">
      <selection activeCell="B52" sqref="B52"/>
    </sheetView>
  </sheetViews>
  <sheetFormatPr defaultColWidth="9" defaultRowHeight="15" x14ac:dyDescent="0.25"/>
  <cols>
    <col min="2" max="2" width="15.5703125" customWidth="1"/>
    <col min="3" max="3" width="11.140625" customWidth="1"/>
    <col min="4" max="4" width="16.5703125" customWidth="1"/>
    <col min="5" max="5" width="18.140625" customWidth="1"/>
    <col min="6" max="6" width="14.85546875" customWidth="1"/>
    <col min="7" max="7" width="18" customWidth="1"/>
    <col min="8" max="8" width="18.42578125" customWidth="1"/>
  </cols>
  <sheetData>
    <row r="3" spans="1:8" ht="21" x14ac:dyDescent="0.25">
      <c r="A3" s="126" t="s">
        <v>209</v>
      </c>
      <c r="B3" s="126"/>
      <c r="C3" s="126"/>
      <c r="D3" s="126"/>
      <c r="E3" s="126"/>
      <c r="F3" s="126"/>
      <c r="G3" s="126"/>
      <c r="H3" s="126"/>
    </row>
    <row r="4" spans="1:8" ht="21" x14ac:dyDescent="0.25">
      <c r="A4" s="126" t="s">
        <v>210</v>
      </c>
      <c r="B4" s="126"/>
      <c r="C4" s="126"/>
      <c r="D4" s="126"/>
      <c r="E4" s="126"/>
      <c r="F4" s="126"/>
      <c r="G4" s="126"/>
      <c r="H4" s="126"/>
    </row>
    <row r="5" spans="1:8" ht="21" x14ac:dyDescent="0.25">
      <c r="A5" s="126" t="s">
        <v>211</v>
      </c>
      <c r="B5" s="126"/>
      <c r="C5" s="126"/>
      <c r="D5" s="126"/>
      <c r="E5" s="126"/>
      <c r="F5" s="126"/>
      <c r="G5" s="126"/>
      <c r="H5" s="126"/>
    </row>
    <row r="6" spans="1:8" x14ac:dyDescent="0.25">
      <c r="A6" s="40"/>
      <c r="B6" s="40"/>
      <c r="C6" s="40"/>
      <c r="D6" s="40"/>
      <c r="E6" s="40"/>
      <c r="F6" s="40"/>
      <c r="G6" s="40"/>
      <c r="H6" s="40"/>
    </row>
    <row r="7" spans="1:8" x14ac:dyDescent="0.25">
      <c r="B7" s="38" t="s">
        <v>26</v>
      </c>
      <c r="C7" s="38"/>
      <c r="D7" s="38" t="s">
        <v>27</v>
      </c>
      <c r="E7" s="38" t="s">
        <v>28</v>
      </c>
      <c r="F7" s="38"/>
      <c r="G7" s="38" t="s">
        <v>27</v>
      </c>
      <c r="H7" s="38" t="s">
        <v>28</v>
      </c>
    </row>
    <row r="8" spans="1:8" ht="50.1" customHeight="1" x14ac:dyDescent="0.25">
      <c r="B8" s="117">
        <v>45139</v>
      </c>
      <c r="C8" s="120" t="s">
        <v>29</v>
      </c>
      <c r="D8" s="32" t="s">
        <v>30</v>
      </c>
      <c r="E8" s="41">
        <v>4</v>
      </c>
      <c r="F8" s="120" t="s">
        <v>31</v>
      </c>
      <c r="G8" s="32" t="s">
        <v>30</v>
      </c>
      <c r="H8" s="41">
        <v>0</v>
      </c>
    </row>
    <row r="9" spans="1:8" ht="50.1" customHeight="1" x14ac:dyDescent="0.25">
      <c r="B9" s="118"/>
      <c r="C9" s="121"/>
      <c r="D9" s="32" t="s">
        <v>32</v>
      </c>
      <c r="E9" s="32">
        <v>0</v>
      </c>
      <c r="F9" s="121"/>
      <c r="G9" s="32" t="s">
        <v>32</v>
      </c>
      <c r="H9" s="32">
        <v>0</v>
      </c>
    </row>
    <row r="10" spans="1:8" ht="50.1" customHeight="1" x14ac:dyDescent="0.25">
      <c r="B10" s="118"/>
      <c r="C10" s="121"/>
      <c r="D10" s="32" t="s">
        <v>33</v>
      </c>
      <c r="E10" s="32">
        <v>0</v>
      </c>
      <c r="F10" s="121"/>
      <c r="G10" s="32" t="s">
        <v>33</v>
      </c>
      <c r="H10" s="32">
        <v>0</v>
      </c>
    </row>
    <row r="11" spans="1:8" ht="50.1" customHeight="1" x14ac:dyDescent="0.25">
      <c r="B11" s="119"/>
      <c r="C11" s="122"/>
      <c r="D11" s="32" t="s">
        <v>34</v>
      </c>
      <c r="E11" s="32">
        <v>0</v>
      </c>
      <c r="F11" s="122"/>
      <c r="G11" s="32" t="s">
        <v>34</v>
      </c>
      <c r="H11" s="32">
        <v>0</v>
      </c>
    </row>
    <row r="12" spans="1:8" ht="50.1" customHeight="1" x14ac:dyDescent="0.25">
      <c r="B12" s="38" t="s">
        <v>26</v>
      </c>
      <c r="C12" s="38"/>
      <c r="D12" s="38" t="s">
        <v>27</v>
      </c>
      <c r="E12" s="38" t="s">
        <v>28</v>
      </c>
      <c r="F12" s="38"/>
      <c r="G12" s="38" t="s">
        <v>27</v>
      </c>
      <c r="H12" s="38" t="s">
        <v>28</v>
      </c>
    </row>
    <row r="13" spans="1:8" ht="50.1" customHeight="1" x14ac:dyDescent="0.25">
      <c r="B13" s="127">
        <v>45192</v>
      </c>
      <c r="C13" s="120" t="s">
        <v>29</v>
      </c>
      <c r="D13" s="32" t="s">
        <v>30</v>
      </c>
      <c r="E13" s="32">
        <v>6</v>
      </c>
      <c r="F13" s="120" t="s">
        <v>31</v>
      </c>
      <c r="G13" s="32" t="s">
        <v>30</v>
      </c>
      <c r="H13" s="32">
        <v>0</v>
      </c>
    </row>
    <row r="14" spans="1:8" ht="50.1" customHeight="1" x14ac:dyDescent="0.25">
      <c r="B14" s="128"/>
      <c r="C14" s="121"/>
      <c r="D14" s="32" t="s">
        <v>32</v>
      </c>
      <c r="E14" s="32">
        <v>0</v>
      </c>
      <c r="F14" s="121"/>
      <c r="G14" s="32" t="s">
        <v>32</v>
      </c>
      <c r="H14" s="32">
        <v>0</v>
      </c>
    </row>
    <row r="15" spans="1:8" ht="50.1" customHeight="1" x14ac:dyDescent="0.25">
      <c r="B15" s="128"/>
      <c r="C15" s="121"/>
      <c r="D15" s="32" t="s">
        <v>33</v>
      </c>
      <c r="E15" s="32"/>
      <c r="F15" s="121"/>
      <c r="G15" s="32" t="s">
        <v>33</v>
      </c>
      <c r="H15" s="32"/>
    </row>
    <row r="16" spans="1:8" ht="50.1" customHeight="1" x14ac:dyDescent="0.25">
      <c r="B16" s="129"/>
      <c r="C16" s="122"/>
      <c r="D16" s="32" t="s">
        <v>34</v>
      </c>
      <c r="E16" s="32"/>
      <c r="F16" s="122"/>
      <c r="G16" s="32" t="s">
        <v>34</v>
      </c>
      <c r="H16" s="32"/>
    </row>
    <row r="17" spans="2:8" ht="50.1" customHeight="1" x14ac:dyDescent="0.25">
      <c r="B17" s="38" t="s">
        <v>26</v>
      </c>
      <c r="C17" s="42"/>
      <c r="D17" s="38" t="s">
        <v>27</v>
      </c>
      <c r="E17" s="38" t="s">
        <v>28</v>
      </c>
      <c r="F17" s="38"/>
      <c r="G17" s="38" t="s">
        <v>27</v>
      </c>
      <c r="H17" s="42" t="s">
        <v>28</v>
      </c>
    </row>
    <row r="18" spans="2:8" ht="50.1" customHeight="1" x14ac:dyDescent="0.25">
      <c r="B18" s="117">
        <v>45200</v>
      </c>
      <c r="C18" s="123" t="s">
        <v>29</v>
      </c>
      <c r="D18" s="32" t="s">
        <v>30</v>
      </c>
      <c r="E18" s="41">
        <v>4</v>
      </c>
      <c r="F18" s="120" t="s">
        <v>31</v>
      </c>
      <c r="G18" s="32" t="s">
        <v>30</v>
      </c>
      <c r="H18" s="41">
        <v>0</v>
      </c>
    </row>
    <row r="19" spans="2:8" ht="50.1" customHeight="1" x14ac:dyDescent="0.25">
      <c r="B19" s="118"/>
      <c r="C19" s="124"/>
      <c r="D19" s="32" t="s">
        <v>32</v>
      </c>
      <c r="E19" s="32"/>
      <c r="F19" s="121"/>
      <c r="G19" s="32" t="s">
        <v>32</v>
      </c>
      <c r="H19" s="32"/>
    </row>
    <row r="20" spans="2:8" ht="50.1" customHeight="1" x14ac:dyDescent="0.25">
      <c r="B20" s="118"/>
      <c r="C20" s="124"/>
      <c r="D20" s="32" t="s">
        <v>33</v>
      </c>
      <c r="E20" s="41"/>
      <c r="F20" s="121"/>
      <c r="G20" s="32" t="s">
        <v>33</v>
      </c>
      <c r="H20" s="32"/>
    </row>
    <row r="21" spans="2:8" ht="50.1" customHeight="1" x14ac:dyDescent="0.25">
      <c r="B21" s="119"/>
      <c r="C21" s="125"/>
      <c r="D21" s="32" t="s">
        <v>34</v>
      </c>
      <c r="E21" s="32"/>
      <c r="F21" s="122"/>
      <c r="G21" s="32" t="s">
        <v>34</v>
      </c>
      <c r="H21" s="32"/>
    </row>
    <row r="22" spans="2:8" x14ac:dyDescent="0.25">
      <c r="B22" s="38" t="s">
        <v>26</v>
      </c>
      <c r="C22" s="38"/>
      <c r="D22" s="38" t="s">
        <v>27</v>
      </c>
      <c r="E22" s="38" t="s">
        <v>28</v>
      </c>
      <c r="F22" s="38"/>
      <c r="G22" s="38" t="s">
        <v>27</v>
      </c>
      <c r="H22" s="38" t="s">
        <v>28</v>
      </c>
    </row>
    <row r="23" spans="2:8" ht="50.1" customHeight="1" x14ac:dyDescent="0.25">
      <c r="B23" s="117">
        <v>45254</v>
      </c>
      <c r="C23" s="120" t="s">
        <v>29</v>
      </c>
      <c r="D23" s="32" t="s">
        <v>30</v>
      </c>
      <c r="E23" s="41">
        <v>4</v>
      </c>
      <c r="F23" s="120" t="s">
        <v>31</v>
      </c>
      <c r="G23" s="32" t="s">
        <v>30</v>
      </c>
      <c r="H23" s="41">
        <v>0</v>
      </c>
    </row>
    <row r="24" spans="2:8" ht="50.1" customHeight="1" x14ac:dyDescent="0.25">
      <c r="B24" s="118"/>
      <c r="C24" s="121"/>
      <c r="D24" s="32" t="s">
        <v>32</v>
      </c>
      <c r="E24" s="32">
        <v>0</v>
      </c>
      <c r="F24" s="121"/>
      <c r="G24" s="32" t="s">
        <v>32</v>
      </c>
      <c r="H24" s="32">
        <v>0</v>
      </c>
    </row>
    <row r="25" spans="2:8" ht="50.1" customHeight="1" x14ac:dyDescent="0.25">
      <c r="B25" s="118"/>
      <c r="C25" s="121"/>
      <c r="D25" s="32" t="s">
        <v>33</v>
      </c>
      <c r="E25" s="32">
        <v>0</v>
      </c>
      <c r="F25" s="121"/>
      <c r="G25" s="32" t="s">
        <v>33</v>
      </c>
      <c r="H25" s="32">
        <v>0</v>
      </c>
    </row>
    <row r="26" spans="2:8" ht="50.1" customHeight="1" x14ac:dyDescent="0.25">
      <c r="B26" s="119"/>
      <c r="C26" s="122"/>
      <c r="D26" s="32" t="s">
        <v>34</v>
      </c>
      <c r="E26" s="32">
        <v>0</v>
      </c>
      <c r="F26" s="122"/>
      <c r="G26" s="32" t="s">
        <v>34</v>
      </c>
      <c r="H26" s="32">
        <v>0</v>
      </c>
    </row>
    <row r="27" spans="2:8" x14ac:dyDescent="0.25">
      <c r="B27" s="38" t="s">
        <v>26</v>
      </c>
      <c r="C27" s="38"/>
      <c r="D27" s="38" t="s">
        <v>27</v>
      </c>
      <c r="E27" s="38" t="s">
        <v>28</v>
      </c>
      <c r="F27" s="38"/>
      <c r="G27" s="38" t="s">
        <v>27</v>
      </c>
      <c r="H27" s="38" t="s">
        <v>28</v>
      </c>
    </row>
    <row r="28" spans="2:8" ht="50.1" customHeight="1" x14ac:dyDescent="0.25">
      <c r="B28" s="117">
        <v>45261</v>
      </c>
      <c r="C28" s="120" t="s">
        <v>29</v>
      </c>
      <c r="D28" s="32" t="s">
        <v>30</v>
      </c>
      <c r="E28" s="41">
        <v>2</v>
      </c>
      <c r="F28" s="120" t="s">
        <v>31</v>
      </c>
      <c r="G28" s="32" t="s">
        <v>30</v>
      </c>
      <c r="H28" s="41">
        <v>0</v>
      </c>
    </row>
    <row r="29" spans="2:8" ht="50.1" customHeight="1" x14ac:dyDescent="0.25">
      <c r="B29" s="118"/>
      <c r="C29" s="121"/>
      <c r="D29" s="32" t="s">
        <v>32</v>
      </c>
      <c r="E29" s="32">
        <v>0</v>
      </c>
      <c r="F29" s="121"/>
      <c r="G29" s="32" t="s">
        <v>32</v>
      </c>
      <c r="H29" s="32">
        <v>0</v>
      </c>
    </row>
    <row r="30" spans="2:8" ht="50.1" customHeight="1" x14ac:dyDescent="0.25">
      <c r="B30" s="118"/>
      <c r="C30" s="121"/>
      <c r="D30" s="32" t="s">
        <v>33</v>
      </c>
      <c r="E30" s="32">
        <v>0</v>
      </c>
      <c r="F30" s="121"/>
      <c r="G30" s="32" t="s">
        <v>33</v>
      </c>
      <c r="H30" s="32">
        <v>0</v>
      </c>
    </row>
    <row r="31" spans="2:8" ht="50.1" customHeight="1" x14ac:dyDescent="0.25">
      <c r="B31" s="119"/>
      <c r="C31" s="122"/>
      <c r="D31" s="32" t="s">
        <v>34</v>
      </c>
      <c r="E31" s="32">
        <v>0</v>
      </c>
      <c r="F31" s="122"/>
      <c r="G31" s="32" t="s">
        <v>34</v>
      </c>
      <c r="H31" s="32">
        <v>0</v>
      </c>
    </row>
    <row r="32" spans="2:8" x14ac:dyDescent="0.25">
      <c r="B32" s="38" t="s">
        <v>26</v>
      </c>
      <c r="C32" s="38"/>
      <c r="D32" s="38" t="s">
        <v>27</v>
      </c>
      <c r="E32" s="38" t="s">
        <v>28</v>
      </c>
      <c r="F32" s="38"/>
      <c r="G32" s="38" t="s">
        <v>27</v>
      </c>
      <c r="H32" s="38" t="s">
        <v>28</v>
      </c>
    </row>
    <row r="33" spans="2:8" ht="50.1" customHeight="1" x14ac:dyDescent="0.25">
      <c r="B33" s="117">
        <v>45292</v>
      </c>
      <c r="C33" s="120" t="s">
        <v>29</v>
      </c>
      <c r="D33" s="32" t="s">
        <v>30</v>
      </c>
      <c r="E33" s="41">
        <v>5</v>
      </c>
      <c r="F33" s="120" t="s">
        <v>31</v>
      </c>
      <c r="G33" s="32" t="s">
        <v>30</v>
      </c>
      <c r="H33" s="41">
        <v>0</v>
      </c>
    </row>
    <row r="34" spans="2:8" ht="50.1" customHeight="1" x14ac:dyDescent="0.25">
      <c r="B34" s="118"/>
      <c r="C34" s="121"/>
      <c r="D34" s="32" t="s">
        <v>32</v>
      </c>
      <c r="E34" s="32">
        <v>0</v>
      </c>
      <c r="F34" s="121"/>
      <c r="G34" s="32" t="s">
        <v>32</v>
      </c>
      <c r="H34" s="32">
        <v>0</v>
      </c>
    </row>
    <row r="35" spans="2:8" ht="50.1" customHeight="1" x14ac:dyDescent="0.25">
      <c r="B35" s="118"/>
      <c r="C35" s="121"/>
      <c r="D35" s="32" t="s">
        <v>33</v>
      </c>
      <c r="E35" s="32">
        <v>0</v>
      </c>
      <c r="F35" s="121"/>
      <c r="G35" s="32" t="s">
        <v>33</v>
      </c>
      <c r="H35" s="32">
        <v>0</v>
      </c>
    </row>
    <row r="36" spans="2:8" ht="50.1" customHeight="1" x14ac:dyDescent="0.25">
      <c r="B36" s="119"/>
      <c r="C36" s="122"/>
      <c r="D36" s="32" t="s">
        <v>34</v>
      </c>
      <c r="E36" s="32">
        <v>0</v>
      </c>
      <c r="F36" s="122"/>
      <c r="G36" s="32" t="s">
        <v>34</v>
      </c>
      <c r="H36" s="32">
        <v>0</v>
      </c>
    </row>
    <row r="37" spans="2:8" x14ac:dyDescent="0.25">
      <c r="B37" s="38" t="s">
        <v>26</v>
      </c>
      <c r="C37" s="38"/>
      <c r="D37" s="38" t="s">
        <v>27</v>
      </c>
      <c r="E37" s="38" t="s">
        <v>28</v>
      </c>
      <c r="F37" s="38"/>
      <c r="G37" s="38" t="s">
        <v>27</v>
      </c>
      <c r="H37" s="38" t="s">
        <v>28</v>
      </c>
    </row>
    <row r="38" spans="2:8" x14ac:dyDescent="0.25">
      <c r="B38" s="117">
        <v>45323</v>
      </c>
      <c r="C38" s="120" t="s">
        <v>29</v>
      </c>
      <c r="D38" s="32" t="s">
        <v>30</v>
      </c>
      <c r="E38" s="41">
        <v>1</v>
      </c>
      <c r="F38" s="120" t="s">
        <v>31</v>
      </c>
      <c r="G38" s="32" t="s">
        <v>30</v>
      </c>
      <c r="H38" s="41">
        <v>0</v>
      </c>
    </row>
    <row r="39" spans="2:8" x14ac:dyDescent="0.25">
      <c r="B39" s="118"/>
      <c r="C39" s="121"/>
      <c r="D39" s="32" t="s">
        <v>32</v>
      </c>
      <c r="E39" s="32">
        <v>0</v>
      </c>
      <c r="F39" s="121"/>
      <c r="G39" s="32" t="s">
        <v>32</v>
      </c>
      <c r="H39" s="32">
        <v>0</v>
      </c>
    </row>
    <row r="40" spans="2:8" x14ac:dyDescent="0.25">
      <c r="B40" s="118"/>
      <c r="C40" s="121"/>
      <c r="D40" s="32" t="s">
        <v>33</v>
      </c>
      <c r="E40" s="32">
        <v>0</v>
      </c>
      <c r="F40" s="121"/>
      <c r="G40" s="32" t="s">
        <v>33</v>
      </c>
      <c r="H40" s="32">
        <v>0</v>
      </c>
    </row>
    <row r="41" spans="2:8" ht="69" customHeight="1" x14ac:dyDescent="0.25">
      <c r="B41" s="119"/>
      <c r="C41" s="122"/>
      <c r="D41" s="32" t="s">
        <v>34</v>
      </c>
      <c r="E41" s="32">
        <v>0</v>
      </c>
      <c r="F41" s="122"/>
      <c r="G41" s="32" t="s">
        <v>34</v>
      </c>
      <c r="H41" s="32">
        <v>0</v>
      </c>
    </row>
    <row r="42" spans="2:8" x14ac:dyDescent="0.25">
      <c r="B42" s="38" t="s">
        <v>26</v>
      </c>
      <c r="C42" s="38"/>
      <c r="D42" s="38" t="s">
        <v>27</v>
      </c>
      <c r="E42" s="38" t="s">
        <v>28</v>
      </c>
      <c r="F42" s="38"/>
      <c r="G42" s="38" t="s">
        <v>27</v>
      </c>
      <c r="H42" s="38" t="s">
        <v>28</v>
      </c>
    </row>
    <row r="43" spans="2:8" x14ac:dyDescent="0.25">
      <c r="B43" s="117">
        <v>45352</v>
      </c>
      <c r="C43" s="120" t="s">
        <v>29</v>
      </c>
      <c r="D43" s="32" t="s">
        <v>30</v>
      </c>
      <c r="E43" s="41">
        <v>6</v>
      </c>
      <c r="F43" s="120" t="s">
        <v>31</v>
      </c>
      <c r="G43" s="32" t="s">
        <v>30</v>
      </c>
      <c r="H43" s="41">
        <v>0</v>
      </c>
    </row>
    <row r="44" spans="2:8" x14ac:dyDescent="0.25">
      <c r="B44" s="118"/>
      <c r="C44" s="121"/>
      <c r="D44" s="32" t="s">
        <v>32</v>
      </c>
      <c r="E44" s="32">
        <v>0</v>
      </c>
      <c r="F44" s="121"/>
      <c r="G44" s="32" t="s">
        <v>32</v>
      </c>
      <c r="H44" s="32">
        <v>0</v>
      </c>
    </row>
    <row r="45" spans="2:8" x14ac:dyDescent="0.25">
      <c r="B45" s="118"/>
      <c r="C45" s="121"/>
      <c r="D45" s="32" t="s">
        <v>33</v>
      </c>
      <c r="E45" s="32">
        <v>0</v>
      </c>
      <c r="F45" s="121"/>
      <c r="G45" s="32" t="s">
        <v>33</v>
      </c>
      <c r="H45" s="32">
        <v>0</v>
      </c>
    </row>
    <row r="46" spans="2:8" ht="104.25" customHeight="1" x14ac:dyDescent="0.25">
      <c r="B46" s="119"/>
      <c r="C46" s="122"/>
      <c r="D46" s="32" t="s">
        <v>34</v>
      </c>
      <c r="E46" s="32">
        <v>0</v>
      </c>
      <c r="F46" s="122"/>
      <c r="G46" s="32" t="s">
        <v>34</v>
      </c>
      <c r="H46" s="32">
        <v>0</v>
      </c>
    </row>
    <row r="47" spans="2:8" x14ac:dyDescent="0.25">
      <c r="B47" s="38" t="s">
        <v>26</v>
      </c>
      <c r="C47" s="38"/>
      <c r="D47" s="38" t="s">
        <v>27</v>
      </c>
      <c r="E47" s="38" t="s">
        <v>28</v>
      </c>
      <c r="F47" s="38"/>
      <c r="G47" s="38" t="s">
        <v>27</v>
      </c>
      <c r="H47" s="38" t="s">
        <v>28</v>
      </c>
    </row>
    <row r="48" spans="2:8" x14ac:dyDescent="0.25">
      <c r="B48" s="117">
        <v>45383</v>
      </c>
      <c r="C48" s="120" t="s">
        <v>29</v>
      </c>
      <c r="D48" s="32" t="s">
        <v>30</v>
      </c>
      <c r="E48" s="41">
        <v>1</v>
      </c>
      <c r="F48" s="120" t="s">
        <v>31</v>
      </c>
      <c r="G48" s="32" t="s">
        <v>30</v>
      </c>
      <c r="H48" s="41">
        <v>0</v>
      </c>
    </row>
    <row r="49" spans="2:8" x14ac:dyDescent="0.25">
      <c r="B49" s="118"/>
      <c r="C49" s="121"/>
      <c r="D49" s="32" t="s">
        <v>32</v>
      </c>
      <c r="E49" s="32">
        <v>0</v>
      </c>
      <c r="F49" s="121"/>
      <c r="G49" s="32" t="s">
        <v>32</v>
      </c>
      <c r="H49" s="32">
        <v>0</v>
      </c>
    </row>
    <row r="50" spans="2:8" x14ac:dyDescent="0.25">
      <c r="B50" s="118"/>
      <c r="C50" s="121"/>
      <c r="D50" s="32" t="s">
        <v>33</v>
      </c>
      <c r="E50" s="32">
        <v>0</v>
      </c>
      <c r="F50" s="121"/>
      <c r="G50" s="32" t="s">
        <v>33</v>
      </c>
      <c r="H50" s="32">
        <v>0</v>
      </c>
    </row>
    <row r="51" spans="2:8" ht="108.75" customHeight="1" x14ac:dyDescent="0.25">
      <c r="B51" s="119"/>
      <c r="C51" s="122"/>
      <c r="D51" s="32" t="s">
        <v>34</v>
      </c>
      <c r="E51" s="32">
        <v>0</v>
      </c>
      <c r="F51" s="122"/>
      <c r="G51" s="32" t="s">
        <v>34</v>
      </c>
      <c r="H51" s="32">
        <v>0</v>
      </c>
    </row>
  </sheetData>
  <mergeCells count="30">
    <mergeCell ref="B18:B21"/>
    <mergeCell ref="C8:C11"/>
    <mergeCell ref="C13:C16"/>
    <mergeCell ref="C18:C21"/>
    <mergeCell ref="A3:H3"/>
    <mergeCell ref="F8:F11"/>
    <mergeCell ref="F13:F16"/>
    <mergeCell ref="F18:F21"/>
    <mergeCell ref="A4:H4"/>
    <mergeCell ref="A5:H5"/>
    <mergeCell ref="B8:B11"/>
    <mergeCell ref="B13:B16"/>
    <mergeCell ref="B33:B36"/>
    <mergeCell ref="C33:C36"/>
    <mergeCell ref="F33:F36"/>
    <mergeCell ref="B23:B26"/>
    <mergeCell ref="C23:C26"/>
    <mergeCell ref="F23:F26"/>
    <mergeCell ref="B28:B31"/>
    <mergeCell ref="C28:C31"/>
    <mergeCell ref="F28:F31"/>
    <mergeCell ref="B48:B51"/>
    <mergeCell ref="C48:C51"/>
    <mergeCell ref="F48:F51"/>
    <mergeCell ref="B38:B41"/>
    <mergeCell ref="C38:C41"/>
    <mergeCell ref="F38:F41"/>
    <mergeCell ref="B43:B46"/>
    <mergeCell ref="C43:C46"/>
    <mergeCell ref="F43:F46"/>
  </mergeCells>
  <pageMargins left="0" right="0" top="0" bottom="0" header="0" footer="0"/>
  <pageSetup paperSize="9"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109"/>
  <sheetViews>
    <sheetView workbookViewId="0">
      <selection activeCell="D10" sqref="D10"/>
    </sheetView>
  </sheetViews>
  <sheetFormatPr defaultColWidth="9" defaultRowHeight="15" x14ac:dyDescent="0.25"/>
  <cols>
    <col min="4" max="4" width="26" customWidth="1"/>
    <col min="5" max="5" width="31.140625" customWidth="1"/>
    <col min="6" max="6" width="26.85546875" customWidth="1"/>
    <col min="7" max="7" width="27" customWidth="1"/>
    <col min="8" max="8" width="29.85546875" customWidth="1"/>
  </cols>
  <sheetData>
    <row r="2" spans="1:15" ht="51" customHeight="1" x14ac:dyDescent="0.25">
      <c r="A2" s="7"/>
      <c r="B2" s="130" t="s">
        <v>195</v>
      </c>
      <c r="C2" s="131"/>
      <c r="D2" s="131"/>
      <c r="E2" s="131"/>
      <c r="F2" s="131"/>
      <c r="G2" s="131"/>
      <c r="H2" s="131"/>
      <c r="I2" s="7"/>
      <c r="J2" s="7"/>
      <c r="K2" s="7"/>
      <c r="L2" s="7"/>
      <c r="M2" s="7"/>
      <c r="N2" s="7"/>
      <c r="O2" s="7"/>
    </row>
    <row r="3" spans="1:15" ht="16.5" customHeight="1" x14ac:dyDescent="0.25">
      <c r="C3" s="33" t="s">
        <v>35</v>
      </c>
      <c r="D3" s="33" t="s">
        <v>36</v>
      </c>
      <c r="E3" s="33" t="s">
        <v>188</v>
      </c>
      <c r="F3" s="33" t="s">
        <v>37</v>
      </c>
      <c r="G3" s="33" t="s">
        <v>38</v>
      </c>
      <c r="H3" s="33" t="s">
        <v>39</v>
      </c>
    </row>
    <row r="4" spans="1:15" ht="19.5" customHeight="1" x14ac:dyDescent="0.25">
      <c r="C4" s="32" t="s">
        <v>40</v>
      </c>
      <c r="D4" s="31">
        <v>20</v>
      </c>
      <c r="E4" s="32">
        <v>20</v>
      </c>
      <c r="F4" s="31"/>
      <c r="G4" s="31"/>
      <c r="H4" s="31"/>
    </row>
    <row r="5" spans="1:15" ht="19.5" customHeight="1" x14ac:dyDescent="0.25">
      <c r="C5" s="32" t="s">
        <v>196</v>
      </c>
      <c r="D5" s="31">
        <v>18</v>
      </c>
      <c r="E5" s="32">
        <v>2</v>
      </c>
      <c r="F5" s="31">
        <v>0</v>
      </c>
      <c r="G5" s="31"/>
      <c r="H5" s="31"/>
    </row>
    <row r="6" spans="1:15" ht="13.5" customHeight="1" x14ac:dyDescent="0.25">
      <c r="C6" s="32" t="s">
        <v>41</v>
      </c>
      <c r="D6">
        <v>37</v>
      </c>
      <c r="E6" s="31">
        <v>0</v>
      </c>
      <c r="F6" s="31"/>
      <c r="G6" s="31"/>
      <c r="H6" s="31"/>
    </row>
    <row r="7" spans="1:15" ht="15.75" customHeight="1" x14ac:dyDescent="0.25">
      <c r="C7" s="32" t="s">
        <v>42</v>
      </c>
      <c r="D7" s="31">
        <v>21</v>
      </c>
      <c r="E7" s="35">
        <v>7</v>
      </c>
      <c r="F7" s="31"/>
      <c r="G7" s="31"/>
      <c r="H7" s="31"/>
    </row>
    <row r="8" spans="1:15" ht="21" customHeight="1" x14ac:dyDescent="0.25">
      <c r="C8" s="32" t="s">
        <v>43</v>
      </c>
      <c r="D8" s="31">
        <v>25</v>
      </c>
      <c r="E8" s="35">
        <v>2</v>
      </c>
      <c r="F8" s="31"/>
      <c r="G8" s="31"/>
      <c r="H8" s="31"/>
    </row>
    <row r="9" spans="1:15" ht="13.5" customHeight="1" x14ac:dyDescent="0.25">
      <c r="C9" s="32" t="s">
        <v>44</v>
      </c>
      <c r="D9" s="31">
        <v>20</v>
      </c>
      <c r="E9" s="31"/>
      <c r="F9" s="31">
        <v>5</v>
      </c>
      <c r="G9" s="31"/>
      <c r="H9" s="31"/>
    </row>
    <row r="10" spans="1:15" ht="18" customHeight="1" x14ac:dyDescent="0.25">
      <c r="C10" s="32" t="s">
        <v>45</v>
      </c>
      <c r="D10" s="31">
        <v>15</v>
      </c>
      <c r="E10" s="31"/>
      <c r="F10" s="31"/>
      <c r="G10" s="31"/>
      <c r="H10" s="31"/>
    </row>
    <row r="11" spans="1:15" ht="19.5" customHeight="1" x14ac:dyDescent="0.25">
      <c r="C11" s="32" t="s">
        <v>48</v>
      </c>
      <c r="D11" s="31">
        <f>SUM(D4:D10)</f>
        <v>156</v>
      </c>
      <c r="E11" s="31">
        <f>SUM(E5:E10)</f>
        <v>11</v>
      </c>
      <c r="F11" s="31">
        <f>SUM(F4:F10)</f>
        <v>5</v>
      </c>
      <c r="G11" s="31">
        <f>SUM(G4:G10)</f>
        <v>0</v>
      </c>
      <c r="H11" s="31">
        <f>SUM(H4:H10)</f>
        <v>0</v>
      </c>
    </row>
    <row r="13" spans="1:15" x14ac:dyDescent="0.25">
      <c r="B13" s="132" t="s">
        <v>194</v>
      </c>
      <c r="C13" s="131"/>
      <c r="D13" s="131"/>
      <c r="E13" s="131"/>
      <c r="F13" s="131"/>
      <c r="G13" s="131"/>
      <c r="H13" s="131"/>
    </row>
    <row r="14" spans="1:15" x14ac:dyDescent="0.25">
      <c r="C14" s="33" t="s">
        <v>35</v>
      </c>
      <c r="D14" s="33" t="s">
        <v>36</v>
      </c>
      <c r="E14" s="33" t="s">
        <v>188</v>
      </c>
      <c r="F14" s="33" t="s">
        <v>37</v>
      </c>
      <c r="G14" s="33" t="s">
        <v>38</v>
      </c>
      <c r="H14" s="33" t="s">
        <v>39</v>
      </c>
    </row>
    <row r="15" spans="1:15" x14ac:dyDescent="0.25">
      <c r="C15" s="32" t="s">
        <v>40</v>
      </c>
      <c r="D15" s="31">
        <v>25</v>
      </c>
      <c r="E15" s="31">
        <v>5</v>
      </c>
      <c r="F15" s="31"/>
      <c r="G15" s="31"/>
      <c r="H15" s="31"/>
    </row>
    <row r="16" spans="1:15" x14ac:dyDescent="0.25">
      <c r="C16" s="32" t="s">
        <v>196</v>
      </c>
      <c r="D16" s="31">
        <v>20</v>
      </c>
      <c r="E16" s="31"/>
      <c r="F16" s="31"/>
      <c r="G16" s="31"/>
      <c r="H16" s="31"/>
    </row>
    <row r="17" spans="3:8" x14ac:dyDescent="0.25">
      <c r="C17" s="32" t="s">
        <v>41</v>
      </c>
      <c r="D17" s="31">
        <v>37</v>
      </c>
      <c r="E17" s="31">
        <v>0</v>
      </c>
      <c r="F17" s="31"/>
      <c r="G17" s="31"/>
      <c r="H17" s="31"/>
    </row>
    <row r="18" spans="3:8" x14ac:dyDescent="0.25">
      <c r="C18" s="32" t="s">
        <v>42</v>
      </c>
      <c r="D18" s="31">
        <v>28</v>
      </c>
      <c r="E18" s="35" t="s">
        <v>190</v>
      </c>
      <c r="F18" s="31"/>
      <c r="G18" s="31"/>
      <c r="H18" s="31"/>
    </row>
    <row r="19" spans="3:8" x14ac:dyDescent="0.25">
      <c r="C19" s="32" t="s">
        <v>43</v>
      </c>
      <c r="D19" s="31">
        <v>27</v>
      </c>
      <c r="E19" s="35" t="s">
        <v>190</v>
      </c>
      <c r="F19" s="31">
        <v>2</v>
      </c>
      <c r="G19" s="31"/>
      <c r="H19" s="31"/>
    </row>
    <row r="20" spans="3:8" x14ac:dyDescent="0.25">
      <c r="C20" s="32" t="s">
        <v>44</v>
      </c>
      <c r="D20" s="31">
        <v>15</v>
      </c>
      <c r="E20" s="35" t="s">
        <v>190</v>
      </c>
      <c r="F20" s="31">
        <v>7</v>
      </c>
      <c r="G20" s="31"/>
      <c r="H20" s="31"/>
    </row>
    <row r="21" spans="3:8" x14ac:dyDescent="0.25">
      <c r="C21" s="32" t="s">
        <v>45</v>
      </c>
      <c r="D21" s="31">
        <v>15</v>
      </c>
      <c r="E21" s="35" t="s">
        <v>190</v>
      </c>
      <c r="F21" s="31"/>
      <c r="G21" s="31"/>
      <c r="H21" s="31"/>
    </row>
    <row r="22" spans="3:8" x14ac:dyDescent="0.25">
      <c r="C22" s="32" t="s">
        <v>48</v>
      </c>
      <c r="D22" s="31">
        <f>SUM(D15:D21)</f>
        <v>167</v>
      </c>
      <c r="E22" s="31">
        <f>SUM(E15:E21)</f>
        <v>5</v>
      </c>
      <c r="F22" s="31">
        <f>SUM(F15:F21)</f>
        <v>9</v>
      </c>
      <c r="G22" s="31">
        <f>SUM(G15:G21)</f>
        <v>0</v>
      </c>
      <c r="H22" s="31">
        <f>SUM(H15:H21)</f>
        <v>0</v>
      </c>
    </row>
    <row r="24" spans="3:8" x14ac:dyDescent="0.25">
      <c r="D24" s="34"/>
      <c r="E24" s="34" t="s">
        <v>193</v>
      </c>
      <c r="F24" s="34"/>
    </row>
    <row r="26" spans="3:8" x14ac:dyDescent="0.25">
      <c r="C26" s="33" t="s">
        <v>35</v>
      </c>
      <c r="D26" s="33" t="s">
        <v>36</v>
      </c>
      <c r="E26" s="33" t="s">
        <v>188</v>
      </c>
      <c r="F26" s="33" t="s">
        <v>37</v>
      </c>
      <c r="G26" s="33" t="s">
        <v>38</v>
      </c>
      <c r="H26" s="33" t="s">
        <v>39</v>
      </c>
    </row>
    <row r="27" spans="3:8" x14ac:dyDescent="0.25">
      <c r="C27" s="32" t="s">
        <v>40</v>
      </c>
      <c r="D27" s="31">
        <v>26</v>
      </c>
      <c r="E27" s="31">
        <v>1</v>
      </c>
      <c r="F27" s="31"/>
      <c r="G27" s="31"/>
      <c r="H27" s="31"/>
    </row>
    <row r="28" spans="3:8" x14ac:dyDescent="0.25">
      <c r="C28" s="32" t="s">
        <v>196</v>
      </c>
      <c r="D28" s="31">
        <v>20</v>
      </c>
      <c r="E28" s="31">
        <v>2</v>
      </c>
      <c r="F28" s="31"/>
      <c r="G28" s="31"/>
      <c r="H28" s="31"/>
    </row>
    <row r="29" spans="3:8" x14ac:dyDescent="0.25">
      <c r="C29" s="32" t="s">
        <v>41</v>
      </c>
      <c r="D29" s="31">
        <v>37</v>
      </c>
      <c r="E29" s="31">
        <v>0</v>
      </c>
      <c r="F29" s="31"/>
      <c r="G29" s="31"/>
      <c r="H29" s="31"/>
    </row>
    <row r="30" spans="3:8" x14ac:dyDescent="0.25">
      <c r="C30" s="32" t="s">
        <v>42</v>
      </c>
      <c r="D30" s="31">
        <v>28</v>
      </c>
      <c r="E30" s="31">
        <v>0</v>
      </c>
      <c r="F30" s="31"/>
      <c r="G30" s="31"/>
      <c r="H30" s="31"/>
    </row>
    <row r="31" spans="3:8" x14ac:dyDescent="0.25">
      <c r="C31" s="32" t="s">
        <v>43</v>
      </c>
      <c r="D31" s="31">
        <v>19</v>
      </c>
      <c r="E31" s="35"/>
      <c r="F31" s="31"/>
      <c r="G31" s="31"/>
      <c r="H31" s="31"/>
    </row>
    <row r="32" spans="3:8" x14ac:dyDescent="0.25">
      <c r="C32" s="32" t="s">
        <v>44</v>
      </c>
      <c r="D32" s="31">
        <v>7</v>
      </c>
      <c r="E32" s="35">
        <v>1</v>
      </c>
      <c r="F32" s="31"/>
      <c r="G32" s="31"/>
      <c r="H32" s="31"/>
    </row>
    <row r="33" spans="3:8" x14ac:dyDescent="0.25">
      <c r="C33" s="32" t="s">
        <v>45</v>
      </c>
      <c r="D33" s="31">
        <v>15</v>
      </c>
      <c r="E33" s="31"/>
      <c r="F33" s="31"/>
      <c r="G33" s="31"/>
      <c r="H33" s="31"/>
    </row>
    <row r="34" spans="3:8" x14ac:dyDescent="0.25">
      <c r="C34" s="32" t="s">
        <v>48</v>
      </c>
      <c r="D34" s="31">
        <f>SUM(D27:D33)</f>
        <v>152</v>
      </c>
      <c r="E34" s="31">
        <f>SUM(E27:E33)</f>
        <v>4</v>
      </c>
      <c r="F34" s="31">
        <f>SUM(F27:F33)</f>
        <v>0</v>
      </c>
      <c r="G34" s="31">
        <f>SUM(G27:G33)</f>
        <v>0</v>
      </c>
      <c r="H34" s="31">
        <f>SUM(H27:H33)</f>
        <v>0</v>
      </c>
    </row>
    <row r="36" spans="3:8" x14ac:dyDescent="0.25">
      <c r="E36" s="34" t="s">
        <v>192</v>
      </c>
      <c r="F36" s="34"/>
      <c r="G36" s="34"/>
    </row>
    <row r="38" spans="3:8" x14ac:dyDescent="0.25">
      <c r="C38" s="33" t="s">
        <v>35</v>
      </c>
      <c r="D38" s="33" t="s">
        <v>36</v>
      </c>
      <c r="E38" s="33" t="s">
        <v>188</v>
      </c>
      <c r="F38" s="33" t="s">
        <v>37</v>
      </c>
      <c r="G38" s="33" t="s">
        <v>38</v>
      </c>
      <c r="H38" s="33" t="s">
        <v>39</v>
      </c>
    </row>
    <row r="39" spans="3:8" x14ac:dyDescent="0.25">
      <c r="C39" s="32" t="s">
        <v>40</v>
      </c>
      <c r="D39" s="31">
        <v>28</v>
      </c>
      <c r="E39" s="31">
        <v>2</v>
      </c>
      <c r="F39" s="31">
        <v>1</v>
      </c>
      <c r="G39" s="31"/>
      <c r="H39" s="31"/>
    </row>
    <row r="40" spans="3:8" x14ac:dyDescent="0.25">
      <c r="C40" s="32" t="s">
        <v>196</v>
      </c>
      <c r="D40" s="31">
        <v>28</v>
      </c>
      <c r="E40" s="31"/>
      <c r="F40" s="31">
        <v>2</v>
      </c>
      <c r="G40" s="31"/>
      <c r="H40" s="31"/>
    </row>
    <row r="41" spans="3:8" x14ac:dyDescent="0.25">
      <c r="C41" s="32" t="s">
        <v>41</v>
      </c>
      <c r="D41" s="31">
        <v>37</v>
      </c>
      <c r="E41" s="31">
        <v>0</v>
      </c>
      <c r="F41" s="31"/>
      <c r="G41" s="31"/>
      <c r="H41" s="31"/>
    </row>
    <row r="42" spans="3:8" x14ac:dyDescent="0.25">
      <c r="C42" s="32" t="s">
        <v>42</v>
      </c>
      <c r="D42" s="31">
        <v>21</v>
      </c>
      <c r="E42" s="31">
        <v>1</v>
      </c>
      <c r="F42" s="31"/>
      <c r="G42" s="31"/>
      <c r="H42" s="31"/>
    </row>
    <row r="43" spans="3:8" x14ac:dyDescent="0.25">
      <c r="C43" s="32" t="s">
        <v>43</v>
      </c>
      <c r="D43" s="31">
        <v>25</v>
      </c>
      <c r="E43" s="31">
        <v>3</v>
      </c>
      <c r="F43" s="31"/>
      <c r="G43" s="31"/>
      <c r="H43" s="31"/>
    </row>
    <row r="44" spans="3:8" x14ac:dyDescent="0.25">
      <c r="C44" s="32" t="s">
        <v>44</v>
      </c>
      <c r="D44" s="31">
        <v>8</v>
      </c>
      <c r="E44" s="31">
        <v>0</v>
      </c>
      <c r="F44" s="31">
        <v>1</v>
      </c>
      <c r="G44" s="31"/>
      <c r="H44" s="31"/>
    </row>
    <row r="45" spans="3:8" x14ac:dyDescent="0.25">
      <c r="C45" s="32" t="s">
        <v>45</v>
      </c>
      <c r="D45" s="31">
        <v>15</v>
      </c>
      <c r="E45" s="31">
        <v>0</v>
      </c>
      <c r="F45" s="31"/>
      <c r="G45" s="31"/>
      <c r="H45" s="31"/>
    </row>
    <row r="46" spans="3:8" x14ac:dyDescent="0.25">
      <c r="C46" s="32" t="s">
        <v>48</v>
      </c>
      <c r="D46" s="31">
        <f>SUM(D39:D45)</f>
        <v>162</v>
      </c>
      <c r="E46" s="31">
        <f>SUM(E39:E45)</f>
        <v>6</v>
      </c>
      <c r="F46" s="31">
        <f>SUM(F39:F45)</f>
        <v>4</v>
      </c>
      <c r="G46" s="31">
        <f>SUM(G39:G45)</f>
        <v>0</v>
      </c>
      <c r="H46" s="31">
        <f>SUM(H39:H45)</f>
        <v>0</v>
      </c>
    </row>
    <row r="49" spans="3:8" x14ac:dyDescent="0.25">
      <c r="E49" s="34" t="s">
        <v>191</v>
      </c>
    </row>
    <row r="50" spans="3:8" x14ac:dyDescent="0.25">
      <c r="C50" s="33" t="s">
        <v>35</v>
      </c>
      <c r="D50" s="33" t="s">
        <v>36</v>
      </c>
      <c r="E50" s="33" t="s">
        <v>188</v>
      </c>
      <c r="F50" s="33" t="s">
        <v>37</v>
      </c>
      <c r="G50" s="33" t="s">
        <v>38</v>
      </c>
      <c r="H50" s="33" t="s">
        <v>39</v>
      </c>
    </row>
    <row r="51" spans="3:8" x14ac:dyDescent="0.25">
      <c r="C51" s="32" t="s">
        <v>40</v>
      </c>
      <c r="D51" s="31">
        <v>29</v>
      </c>
      <c r="E51" s="35">
        <v>1</v>
      </c>
      <c r="F51" s="31">
        <v>2</v>
      </c>
      <c r="G51" s="31"/>
      <c r="H51" s="31"/>
    </row>
    <row r="52" spans="3:8" x14ac:dyDescent="0.25">
      <c r="C52" s="32" t="s">
        <v>196</v>
      </c>
      <c r="D52" s="31">
        <v>28</v>
      </c>
      <c r="E52" s="35"/>
      <c r="F52" s="31"/>
      <c r="G52" s="31"/>
      <c r="H52" s="31"/>
    </row>
    <row r="53" spans="3:8" x14ac:dyDescent="0.25">
      <c r="C53" s="32" t="s">
        <v>41</v>
      </c>
      <c r="D53" s="31">
        <v>37</v>
      </c>
      <c r="E53" s="35">
        <v>0</v>
      </c>
      <c r="F53" s="31">
        <v>2</v>
      </c>
      <c r="G53" s="31"/>
      <c r="H53" s="31"/>
    </row>
    <row r="54" spans="3:8" x14ac:dyDescent="0.25">
      <c r="C54" s="32" t="s">
        <v>42</v>
      </c>
      <c r="D54" s="31">
        <v>22</v>
      </c>
      <c r="E54" s="35"/>
      <c r="F54" s="31">
        <v>1</v>
      </c>
      <c r="G54" s="31"/>
      <c r="H54" s="31"/>
    </row>
    <row r="55" spans="3:8" x14ac:dyDescent="0.25">
      <c r="C55" s="32" t="s">
        <v>43</v>
      </c>
      <c r="D55" s="31">
        <v>25</v>
      </c>
      <c r="E55" s="35" t="s">
        <v>190</v>
      </c>
      <c r="F55" s="31">
        <v>3</v>
      </c>
      <c r="G55" s="31"/>
      <c r="H55" s="31"/>
    </row>
    <row r="56" spans="3:8" x14ac:dyDescent="0.25">
      <c r="C56" s="32" t="s">
        <v>44</v>
      </c>
      <c r="D56" s="31">
        <v>7</v>
      </c>
      <c r="E56" s="35">
        <v>6</v>
      </c>
      <c r="F56" s="31"/>
      <c r="G56" s="31"/>
      <c r="H56" s="31"/>
    </row>
    <row r="57" spans="3:8" x14ac:dyDescent="0.25">
      <c r="C57" s="32" t="s">
        <v>45</v>
      </c>
      <c r="D57" s="31">
        <v>15</v>
      </c>
      <c r="E57" s="35" t="s">
        <v>190</v>
      </c>
      <c r="F57" s="31"/>
      <c r="G57" s="31"/>
      <c r="H57" s="31"/>
    </row>
    <row r="58" spans="3:8" x14ac:dyDescent="0.25">
      <c r="C58" s="32" t="s">
        <v>48</v>
      </c>
      <c r="D58" s="31">
        <f>SUM(D51:D57)</f>
        <v>163</v>
      </c>
      <c r="E58" s="31">
        <f>SUM(E51:E57)</f>
        <v>7</v>
      </c>
      <c r="F58" s="31">
        <f>SUM(F51:F57)</f>
        <v>8</v>
      </c>
      <c r="G58" s="31">
        <f>SUM(G51:G57)</f>
        <v>0</v>
      </c>
      <c r="H58" s="31">
        <f>SUM(H51:H57)</f>
        <v>0</v>
      </c>
    </row>
    <row r="60" spans="3:8" x14ac:dyDescent="0.25">
      <c r="E60" s="34" t="s">
        <v>189</v>
      </c>
    </row>
    <row r="62" spans="3:8" x14ac:dyDescent="0.25">
      <c r="C62" s="33" t="s">
        <v>35</v>
      </c>
      <c r="D62" s="33" t="s">
        <v>36</v>
      </c>
      <c r="E62" s="33" t="s">
        <v>188</v>
      </c>
      <c r="F62" s="33" t="s">
        <v>37</v>
      </c>
      <c r="G62" s="33" t="s">
        <v>38</v>
      </c>
      <c r="H62" s="33" t="s">
        <v>39</v>
      </c>
    </row>
    <row r="63" spans="3:8" x14ac:dyDescent="0.25">
      <c r="C63" s="32" t="s">
        <v>40</v>
      </c>
      <c r="D63" s="31">
        <v>30</v>
      </c>
      <c r="E63" s="35">
        <v>1</v>
      </c>
      <c r="F63" s="31"/>
      <c r="G63" s="31"/>
      <c r="H63" s="31"/>
    </row>
    <row r="64" spans="3:8" x14ac:dyDescent="0.25">
      <c r="C64" s="32" t="s">
        <v>196</v>
      </c>
      <c r="D64" s="31">
        <v>28</v>
      </c>
      <c r="E64" s="35"/>
      <c r="F64" s="31"/>
      <c r="G64" s="31"/>
      <c r="H64" s="31"/>
    </row>
    <row r="65" spans="3:8" x14ac:dyDescent="0.25">
      <c r="C65" s="32" t="s">
        <v>41</v>
      </c>
      <c r="D65" s="31">
        <v>37</v>
      </c>
      <c r="E65" s="31">
        <v>0</v>
      </c>
      <c r="F65" s="31"/>
      <c r="G65" s="31"/>
      <c r="H65" s="31"/>
    </row>
    <row r="66" spans="3:8" x14ac:dyDescent="0.25">
      <c r="C66" s="32" t="s">
        <v>42</v>
      </c>
      <c r="D66" s="31">
        <v>21</v>
      </c>
      <c r="E66" s="35" t="s">
        <v>190</v>
      </c>
      <c r="F66" s="31"/>
      <c r="G66" s="31"/>
      <c r="H66" s="31"/>
    </row>
    <row r="67" spans="3:8" x14ac:dyDescent="0.25">
      <c r="C67" s="32" t="s">
        <v>43</v>
      </c>
      <c r="D67" s="31">
        <v>25</v>
      </c>
      <c r="E67" s="35" t="s">
        <v>190</v>
      </c>
      <c r="F67" s="31"/>
      <c r="G67" s="31"/>
      <c r="H67" s="31"/>
    </row>
    <row r="68" spans="3:8" x14ac:dyDescent="0.25">
      <c r="C68" s="32" t="s">
        <v>44</v>
      </c>
      <c r="D68" s="31">
        <v>13</v>
      </c>
      <c r="E68" s="31">
        <v>1</v>
      </c>
      <c r="F68" s="31"/>
      <c r="G68" s="31"/>
      <c r="H68" s="31"/>
    </row>
    <row r="69" spans="3:8" x14ac:dyDescent="0.25">
      <c r="C69" s="32" t="s">
        <v>45</v>
      </c>
      <c r="D69" s="31">
        <v>15</v>
      </c>
      <c r="E69" s="35" t="s">
        <v>190</v>
      </c>
      <c r="F69" s="31"/>
      <c r="G69" s="31"/>
      <c r="H69" s="31"/>
    </row>
    <row r="70" spans="3:8" x14ac:dyDescent="0.25">
      <c r="C70" s="32" t="s">
        <v>48</v>
      </c>
      <c r="D70" s="31">
        <f>SUM(D63:D69)</f>
        <v>169</v>
      </c>
      <c r="E70" s="31">
        <f>SUM(E63:E69)</f>
        <v>2</v>
      </c>
      <c r="F70" s="31">
        <f>SUM(F63:F69)</f>
        <v>0</v>
      </c>
      <c r="G70" s="31">
        <f>SUM(G63:G69)</f>
        <v>0</v>
      </c>
      <c r="H70" s="31">
        <f>SUM(H63:H69)</f>
        <v>0</v>
      </c>
    </row>
    <row r="73" spans="3:8" x14ac:dyDescent="0.25">
      <c r="E73" s="34" t="s">
        <v>305</v>
      </c>
    </row>
    <row r="75" spans="3:8" x14ac:dyDescent="0.25">
      <c r="C75" s="33" t="s">
        <v>35</v>
      </c>
      <c r="D75" s="33" t="s">
        <v>36</v>
      </c>
      <c r="E75" s="33" t="s">
        <v>188</v>
      </c>
      <c r="F75" s="33" t="s">
        <v>37</v>
      </c>
      <c r="G75" s="33" t="s">
        <v>38</v>
      </c>
      <c r="H75" s="33" t="s">
        <v>39</v>
      </c>
    </row>
    <row r="76" spans="3:8" x14ac:dyDescent="0.25">
      <c r="C76" s="32" t="s">
        <v>40</v>
      </c>
      <c r="D76" s="31">
        <v>31</v>
      </c>
      <c r="E76" s="35">
        <v>0</v>
      </c>
      <c r="F76" s="31"/>
      <c r="G76" s="31"/>
      <c r="H76" s="31"/>
    </row>
    <row r="77" spans="3:8" x14ac:dyDescent="0.25">
      <c r="C77" s="32" t="s">
        <v>196</v>
      </c>
      <c r="D77" s="31">
        <v>28</v>
      </c>
      <c r="E77" s="35"/>
      <c r="F77" s="31"/>
      <c r="G77" s="31"/>
      <c r="H77" s="31"/>
    </row>
    <row r="78" spans="3:8" x14ac:dyDescent="0.25">
      <c r="C78" s="32" t="s">
        <v>41</v>
      </c>
      <c r="D78" s="31">
        <v>37</v>
      </c>
      <c r="E78" s="31">
        <v>0</v>
      </c>
      <c r="F78" s="31"/>
      <c r="G78" s="31"/>
      <c r="H78" s="31"/>
    </row>
    <row r="79" spans="3:8" x14ac:dyDescent="0.25">
      <c r="C79" s="32" t="s">
        <v>42</v>
      </c>
      <c r="D79" s="31">
        <v>21</v>
      </c>
      <c r="E79" s="35" t="s">
        <v>190</v>
      </c>
      <c r="F79" s="31"/>
      <c r="G79" s="31"/>
      <c r="H79" s="31"/>
    </row>
    <row r="80" spans="3:8" x14ac:dyDescent="0.25">
      <c r="C80" s="32" t="s">
        <v>43</v>
      </c>
      <c r="D80" s="31">
        <v>25</v>
      </c>
      <c r="E80" s="35" t="s">
        <v>190</v>
      </c>
      <c r="F80" s="31"/>
      <c r="G80" s="31"/>
      <c r="H80" s="31"/>
    </row>
    <row r="81" spans="3:8" x14ac:dyDescent="0.25">
      <c r="C81" s="32" t="s">
        <v>44</v>
      </c>
      <c r="D81" s="31">
        <v>13</v>
      </c>
      <c r="E81" s="31">
        <v>8</v>
      </c>
      <c r="F81" s="31"/>
      <c r="G81" s="31"/>
      <c r="H81" s="31"/>
    </row>
    <row r="82" spans="3:8" x14ac:dyDescent="0.25">
      <c r="C82" s="32" t="s">
        <v>45</v>
      </c>
      <c r="D82" s="31">
        <v>15</v>
      </c>
      <c r="E82" s="35" t="s">
        <v>190</v>
      </c>
      <c r="F82" s="31"/>
      <c r="G82" s="31"/>
      <c r="H82" s="31"/>
    </row>
    <row r="83" spans="3:8" x14ac:dyDescent="0.25">
      <c r="C83" s="32" t="s">
        <v>48</v>
      </c>
      <c r="D83" s="31">
        <f>SUM(D76:D82)</f>
        <v>170</v>
      </c>
      <c r="E83" s="31">
        <v>0</v>
      </c>
      <c r="F83" s="31">
        <f>SUM(F76:F82)</f>
        <v>0</v>
      </c>
      <c r="G83" s="31">
        <f>SUM(G76:G82)</f>
        <v>0</v>
      </c>
      <c r="H83" s="31">
        <f>SUM(H76:H82)</f>
        <v>0</v>
      </c>
    </row>
    <row r="86" spans="3:8" x14ac:dyDescent="0.25">
      <c r="E86" s="34" t="s">
        <v>306</v>
      </c>
    </row>
    <row r="88" spans="3:8" x14ac:dyDescent="0.25">
      <c r="C88" s="33" t="s">
        <v>35</v>
      </c>
      <c r="D88" s="33" t="s">
        <v>36</v>
      </c>
      <c r="E88" s="33" t="s">
        <v>188</v>
      </c>
      <c r="F88" s="33" t="s">
        <v>37</v>
      </c>
      <c r="G88" s="33" t="s">
        <v>38</v>
      </c>
      <c r="H88" s="33" t="s">
        <v>39</v>
      </c>
    </row>
    <row r="89" spans="3:8" x14ac:dyDescent="0.25">
      <c r="C89" s="32" t="s">
        <v>40</v>
      </c>
      <c r="D89" s="31">
        <v>30</v>
      </c>
      <c r="E89" s="35">
        <v>5</v>
      </c>
      <c r="F89" s="31"/>
      <c r="G89" s="31"/>
      <c r="H89" s="31"/>
    </row>
    <row r="90" spans="3:8" x14ac:dyDescent="0.25">
      <c r="C90" s="32" t="s">
        <v>196</v>
      </c>
      <c r="D90" s="31">
        <v>28</v>
      </c>
      <c r="E90" s="35"/>
      <c r="F90" s="31"/>
      <c r="G90" s="31"/>
      <c r="H90" s="31"/>
    </row>
    <row r="91" spans="3:8" x14ac:dyDescent="0.25">
      <c r="C91" s="32" t="s">
        <v>41</v>
      </c>
      <c r="D91" s="31">
        <v>37</v>
      </c>
      <c r="E91" s="31">
        <v>0</v>
      </c>
      <c r="F91" s="31"/>
      <c r="G91" s="31"/>
      <c r="H91" s="31"/>
    </row>
    <row r="92" spans="3:8" x14ac:dyDescent="0.25">
      <c r="C92" s="32" t="s">
        <v>42</v>
      </c>
      <c r="D92" s="31">
        <v>21</v>
      </c>
      <c r="E92" s="35" t="s">
        <v>190</v>
      </c>
      <c r="F92" s="31"/>
      <c r="G92" s="31"/>
      <c r="H92" s="31"/>
    </row>
    <row r="93" spans="3:8" x14ac:dyDescent="0.25">
      <c r="C93" s="32" t="s">
        <v>43</v>
      </c>
      <c r="D93" s="31">
        <v>25</v>
      </c>
      <c r="E93" s="35" t="s">
        <v>190</v>
      </c>
      <c r="F93" s="31"/>
      <c r="G93" s="31"/>
      <c r="H93" s="31"/>
    </row>
    <row r="94" spans="3:8" x14ac:dyDescent="0.25">
      <c r="C94" s="32" t="s">
        <v>44</v>
      </c>
      <c r="D94" s="31">
        <v>21</v>
      </c>
      <c r="E94" s="31">
        <v>0</v>
      </c>
      <c r="F94" s="31">
        <v>8</v>
      </c>
      <c r="G94" s="31"/>
      <c r="H94" s="31"/>
    </row>
    <row r="95" spans="3:8" x14ac:dyDescent="0.25">
      <c r="C95" s="32" t="s">
        <v>45</v>
      </c>
      <c r="D95" s="31">
        <v>15</v>
      </c>
      <c r="E95" s="35">
        <v>0</v>
      </c>
      <c r="F95" s="31"/>
      <c r="G95" s="31"/>
      <c r="H95" s="31"/>
    </row>
    <row r="96" spans="3:8" x14ac:dyDescent="0.25">
      <c r="C96" s="32" t="s">
        <v>48</v>
      </c>
      <c r="D96" s="31">
        <f>SUM(D89:D95)</f>
        <v>177</v>
      </c>
      <c r="E96" s="31">
        <f>SUM(E89:E95)</f>
        <v>5</v>
      </c>
      <c r="F96" s="31">
        <f>SUM(F89:F95)</f>
        <v>8</v>
      </c>
      <c r="G96" s="31">
        <f>SUM(G89:G95)</f>
        <v>0</v>
      </c>
      <c r="H96" s="31">
        <f>SUM(H89:H95)</f>
        <v>0</v>
      </c>
    </row>
    <row r="99" spans="3:10" x14ac:dyDescent="0.25">
      <c r="E99" s="34" t="s">
        <v>307</v>
      </c>
    </row>
    <row r="101" spans="3:10" x14ac:dyDescent="0.25">
      <c r="C101" s="33" t="s">
        <v>35</v>
      </c>
      <c r="D101" s="33" t="s">
        <v>36</v>
      </c>
      <c r="E101" s="33" t="s">
        <v>188</v>
      </c>
      <c r="F101" s="33" t="s">
        <v>37</v>
      </c>
      <c r="G101" s="33" t="s">
        <v>38</v>
      </c>
      <c r="H101" s="33" t="s">
        <v>39</v>
      </c>
      <c r="J101">
        <v>35</v>
      </c>
    </row>
    <row r="102" spans="3:10" x14ac:dyDescent="0.25">
      <c r="C102" s="32" t="s">
        <v>40</v>
      </c>
      <c r="D102" s="31">
        <v>35</v>
      </c>
      <c r="E102" s="35">
        <v>0</v>
      </c>
      <c r="F102" s="31"/>
      <c r="G102" s="31"/>
      <c r="H102" s="31"/>
      <c r="J102">
        <v>28</v>
      </c>
    </row>
    <row r="103" spans="3:10" x14ac:dyDescent="0.25">
      <c r="C103" s="32" t="s">
        <v>196</v>
      </c>
      <c r="D103" s="31">
        <v>28</v>
      </c>
      <c r="E103" s="35"/>
      <c r="F103" s="31"/>
      <c r="G103" s="31"/>
      <c r="H103" s="31"/>
      <c r="J103">
        <v>37</v>
      </c>
    </row>
    <row r="104" spans="3:10" x14ac:dyDescent="0.25">
      <c r="C104" s="32" t="s">
        <v>41</v>
      </c>
      <c r="D104" s="31">
        <v>37</v>
      </c>
      <c r="E104" s="31">
        <v>0</v>
      </c>
      <c r="F104" s="31"/>
      <c r="G104" s="31"/>
      <c r="H104" s="31"/>
      <c r="J104">
        <v>21</v>
      </c>
    </row>
    <row r="105" spans="3:10" x14ac:dyDescent="0.25">
      <c r="C105" s="32" t="s">
        <v>42</v>
      </c>
      <c r="D105" s="31">
        <v>21</v>
      </c>
      <c r="E105" s="35" t="s">
        <v>190</v>
      </c>
      <c r="F105" s="31"/>
      <c r="G105" s="31"/>
      <c r="H105" s="31"/>
      <c r="J105">
        <v>25</v>
      </c>
    </row>
    <row r="106" spans="3:10" x14ac:dyDescent="0.25">
      <c r="C106" s="32" t="s">
        <v>43</v>
      </c>
      <c r="D106" s="31">
        <v>25</v>
      </c>
      <c r="E106" s="35" t="s">
        <v>190</v>
      </c>
      <c r="F106" s="31"/>
      <c r="G106" s="31"/>
      <c r="H106" s="31"/>
      <c r="J106">
        <v>21</v>
      </c>
    </row>
    <row r="107" spans="3:10" x14ac:dyDescent="0.25">
      <c r="C107" s="32" t="s">
        <v>44</v>
      </c>
      <c r="D107" s="31">
        <v>13</v>
      </c>
      <c r="E107" s="31">
        <v>0</v>
      </c>
      <c r="F107" s="31"/>
      <c r="G107" s="31"/>
      <c r="H107" s="31"/>
      <c r="J107">
        <v>15</v>
      </c>
    </row>
    <row r="108" spans="3:10" x14ac:dyDescent="0.25">
      <c r="C108" s="32" t="s">
        <v>45</v>
      </c>
      <c r="D108" s="31">
        <v>15</v>
      </c>
      <c r="E108" s="35" t="s">
        <v>190</v>
      </c>
      <c r="F108" s="31"/>
      <c r="G108" s="31"/>
      <c r="H108" s="31"/>
      <c r="J108">
        <f>SUM(J101:J107)</f>
        <v>182</v>
      </c>
    </row>
    <row r="109" spans="3:10" x14ac:dyDescent="0.25">
      <c r="C109" s="32" t="s">
        <v>48</v>
      </c>
      <c r="D109" s="31">
        <f>SUM(D102:D108)</f>
        <v>174</v>
      </c>
      <c r="E109" s="31">
        <f>SUM(E102:E108)</f>
        <v>0</v>
      </c>
      <c r="F109" s="31">
        <f>SUM(F102:F108)</f>
        <v>0</v>
      </c>
      <c r="G109" s="31">
        <f>SUM(G102:G108)</f>
        <v>0</v>
      </c>
      <c r="H109" s="31">
        <f>SUM(H102:H108)</f>
        <v>0</v>
      </c>
    </row>
  </sheetData>
  <mergeCells count="2">
    <mergeCell ref="B2:H2"/>
    <mergeCell ref="B13:H13"/>
  </mergeCells>
  <pageMargins left="0" right="0" top="0" bottom="0" header="0" footer="0"/>
  <pageSetup paperSize="9"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28"/>
  <sheetViews>
    <sheetView topLeftCell="A23" workbookViewId="0">
      <selection activeCell="E29" sqref="E29"/>
    </sheetView>
  </sheetViews>
  <sheetFormatPr defaultColWidth="9" defaultRowHeight="15" x14ac:dyDescent="0.25"/>
  <cols>
    <col min="4" max="4" width="26" customWidth="1"/>
    <col min="5" max="5" width="31.140625" customWidth="1"/>
    <col min="6" max="6" width="35.7109375" customWidth="1"/>
    <col min="7" max="7" width="30.28515625" customWidth="1"/>
    <col min="8" max="8" width="29.85546875" customWidth="1"/>
  </cols>
  <sheetData>
    <row r="2" spans="1:15" ht="51" customHeight="1" x14ac:dyDescent="0.25">
      <c r="A2" s="7"/>
      <c r="B2" s="133" t="s">
        <v>49</v>
      </c>
      <c r="C2" s="133"/>
      <c r="D2" s="133"/>
      <c r="E2" s="133"/>
      <c r="F2" s="133"/>
      <c r="G2" s="133"/>
      <c r="H2" s="133"/>
      <c r="I2" s="7"/>
      <c r="J2" s="7"/>
      <c r="K2" s="7"/>
      <c r="L2" s="7"/>
      <c r="M2" s="7"/>
      <c r="N2" s="7"/>
      <c r="O2" s="7"/>
    </row>
    <row r="3" spans="1:15" ht="50.1" customHeight="1" x14ac:dyDescent="0.25">
      <c r="C3" s="5" t="s">
        <v>26</v>
      </c>
      <c r="D3" s="5"/>
      <c r="E3" s="5" t="s">
        <v>50</v>
      </c>
      <c r="F3" s="5" t="s">
        <v>51</v>
      </c>
      <c r="G3" s="5" t="s">
        <v>52</v>
      </c>
      <c r="H3" s="5" t="s">
        <v>53</v>
      </c>
    </row>
    <row r="4" spans="1:15" ht="50.1" customHeight="1" x14ac:dyDescent="0.25">
      <c r="C4" s="136" t="s">
        <v>54</v>
      </c>
      <c r="D4" s="1" t="s">
        <v>55</v>
      </c>
      <c r="E4" s="1"/>
      <c r="F4" s="1"/>
      <c r="G4" s="8">
        <v>0.95</v>
      </c>
      <c r="H4" s="134"/>
    </row>
    <row r="5" spans="1:15" ht="50.1" customHeight="1" x14ac:dyDescent="0.25">
      <c r="C5" s="137"/>
      <c r="D5" s="1" t="s">
        <v>56</v>
      </c>
      <c r="E5" s="1"/>
      <c r="F5" s="1"/>
      <c r="G5" s="8">
        <v>0.99</v>
      </c>
      <c r="H5" s="135"/>
    </row>
    <row r="6" spans="1:15" ht="50.1" customHeight="1" x14ac:dyDescent="0.25">
      <c r="C6" s="6"/>
      <c r="D6" s="1"/>
      <c r="E6" s="1"/>
      <c r="F6" s="1"/>
      <c r="G6" s="1"/>
      <c r="H6" s="1"/>
    </row>
    <row r="7" spans="1:15" ht="50.1" customHeight="1" x14ac:dyDescent="0.25">
      <c r="C7" s="136" t="s">
        <v>57</v>
      </c>
      <c r="D7" s="1" t="s">
        <v>55</v>
      </c>
      <c r="E7" s="8">
        <v>1</v>
      </c>
      <c r="F7" s="8">
        <v>0.95</v>
      </c>
      <c r="G7" s="8">
        <v>0.96</v>
      </c>
      <c r="H7" s="134"/>
    </row>
    <row r="8" spans="1:15" ht="50.1" customHeight="1" x14ac:dyDescent="0.25">
      <c r="C8" s="137"/>
      <c r="D8" s="1" t="s">
        <v>56</v>
      </c>
      <c r="E8" s="8">
        <v>1</v>
      </c>
      <c r="F8" s="8">
        <v>0.99</v>
      </c>
      <c r="G8" s="8">
        <v>1</v>
      </c>
      <c r="H8" s="135"/>
    </row>
    <row r="9" spans="1:15" ht="50.1" customHeight="1" x14ac:dyDescent="0.25">
      <c r="C9" s="6"/>
      <c r="D9" s="1"/>
      <c r="E9" s="1"/>
      <c r="F9" s="1"/>
      <c r="G9" s="1"/>
      <c r="H9" s="1"/>
    </row>
    <row r="10" spans="1:15" ht="50.1" customHeight="1" x14ac:dyDescent="0.25">
      <c r="C10" s="136" t="s">
        <v>58</v>
      </c>
      <c r="D10" s="1" t="s">
        <v>55</v>
      </c>
      <c r="E10" s="8">
        <v>1</v>
      </c>
      <c r="F10" s="8">
        <v>0.96</v>
      </c>
      <c r="G10" s="8">
        <v>0.97</v>
      </c>
      <c r="H10" s="134"/>
    </row>
    <row r="11" spans="1:15" ht="50.1" customHeight="1" x14ac:dyDescent="0.25">
      <c r="C11" s="137"/>
      <c r="D11" s="1" t="s">
        <v>56</v>
      </c>
      <c r="E11" s="8">
        <v>1</v>
      </c>
      <c r="F11" s="8">
        <v>1</v>
      </c>
      <c r="G11" s="8">
        <v>1</v>
      </c>
      <c r="H11" s="135"/>
    </row>
    <row r="12" spans="1:15" ht="50.1" customHeight="1" x14ac:dyDescent="0.25">
      <c r="C12" s="9"/>
      <c r="D12" s="1"/>
      <c r="E12" s="1"/>
      <c r="F12" s="1"/>
      <c r="G12" s="1"/>
      <c r="H12" s="10"/>
    </row>
    <row r="13" spans="1:15" ht="50.1" customHeight="1" x14ac:dyDescent="0.25">
      <c r="C13" s="136" t="s">
        <v>59</v>
      </c>
      <c r="D13" s="1" t="s">
        <v>55</v>
      </c>
      <c r="E13" s="8">
        <v>1</v>
      </c>
      <c r="F13" s="8">
        <v>0.96</v>
      </c>
      <c r="G13" s="8">
        <v>0.97</v>
      </c>
      <c r="H13" s="134"/>
    </row>
    <row r="14" spans="1:15" ht="50.1" customHeight="1" x14ac:dyDescent="0.25">
      <c r="C14" s="137"/>
      <c r="D14" s="1" t="s">
        <v>56</v>
      </c>
      <c r="E14" s="8">
        <v>1</v>
      </c>
      <c r="F14" s="8">
        <v>1</v>
      </c>
      <c r="G14" s="8">
        <v>1</v>
      </c>
      <c r="H14" s="135"/>
    </row>
    <row r="15" spans="1:15" ht="50.1" customHeight="1" x14ac:dyDescent="0.25">
      <c r="C15" s="6"/>
      <c r="D15" s="1"/>
      <c r="E15" s="1"/>
      <c r="F15" s="1"/>
      <c r="G15" s="1"/>
      <c r="H15" s="1"/>
    </row>
    <row r="16" spans="1:15" ht="50.1" customHeight="1" x14ac:dyDescent="0.25">
      <c r="C16" s="136" t="s">
        <v>60</v>
      </c>
      <c r="D16" s="1" t="s">
        <v>55</v>
      </c>
      <c r="E16" s="8">
        <v>1</v>
      </c>
      <c r="F16" s="8">
        <v>0.97</v>
      </c>
      <c r="G16" s="8">
        <v>0.96</v>
      </c>
      <c r="H16" s="134"/>
    </row>
    <row r="17" spans="3:8" ht="50.1" customHeight="1" x14ac:dyDescent="0.25">
      <c r="C17" s="137"/>
      <c r="D17" s="1" t="s">
        <v>56</v>
      </c>
      <c r="E17" s="8">
        <v>1</v>
      </c>
      <c r="F17" s="8">
        <v>1</v>
      </c>
      <c r="G17" s="8">
        <v>1</v>
      </c>
      <c r="H17" s="135"/>
    </row>
    <row r="18" spans="3:8" ht="50.1" customHeight="1" x14ac:dyDescent="0.25">
      <c r="C18" s="6"/>
      <c r="D18" s="1"/>
      <c r="E18" s="1"/>
      <c r="F18" s="1"/>
      <c r="G18" s="1"/>
      <c r="H18" s="1"/>
    </row>
    <row r="19" spans="3:8" ht="50.1" customHeight="1" x14ac:dyDescent="0.25">
      <c r="C19" s="136" t="s">
        <v>61</v>
      </c>
      <c r="D19" s="1" t="s">
        <v>55</v>
      </c>
      <c r="E19" s="8">
        <v>1</v>
      </c>
      <c r="F19" s="8">
        <v>0.96</v>
      </c>
      <c r="G19" s="8">
        <v>0.97</v>
      </c>
      <c r="H19" s="134"/>
    </row>
    <row r="20" spans="3:8" ht="50.1" customHeight="1" x14ac:dyDescent="0.25">
      <c r="C20" s="137"/>
      <c r="D20" s="1" t="s">
        <v>56</v>
      </c>
      <c r="E20" s="8">
        <v>1</v>
      </c>
      <c r="F20" s="43" t="s">
        <v>212</v>
      </c>
      <c r="G20" s="8"/>
      <c r="H20" s="135"/>
    </row>
    <row r="21" spans="3:8" ht="50.1" customHeight="1" x14ac:dyDescent="0.25">
      <c r="C21" s="6"/>
      <c r="D21" s="1"/>
      <c r="E21" s="1"/>
      <c r="F21" s="1"/>
      <c r="G21" s="1"/>
      <c r="H21" s="1"/>
    </row>
    <row r="22" spans="3:8" ht="50.1" customHeight="1" x14ac:dyDescent="0.25">
      <c r="C22" s="136" t="s">
        <v>62</v>
      </c>
      <c r="D22" s="1" t="s">
        <v>55</v>
      </c>
      <c r="E22" s="8">
        <v>1</v>
      </c>
      <c r="F22" s="8">
        <v>0.97</v>
      </c>
      <c r="G22" s="8">
        <v>0.98</v>
      </c>
      <c r="H22" s="134"/>
    </row>
    <row r="23" spans="3:8" ht="50.1" customHeight="1" x14ac:dyDescent="0.25">
      <c r="C23" s="137"/>
      <c r="D23" s="1" t="s">
        <v>56</v>
      </c>
      <c r="E23" s="8">
        <v>1</v>
      </c>
      <c r="F23" s="43" t="s">
        <v>212</v>
      </c>
      <c r="G23" s="8"/>
      <c r="H23" s="135"/>
    </row>
    <row r="24" spans="3:8" ht="50.1" customHeight="1" x14ac:dyDescent="0.25">
      <c r="C24" s="6"/>
      <c r="D24" s="1"/>
      <c r="E24" s="8"/>
      <c r="F24" s="1"/>
      <c r="G24" s="1"/>
      <c r="H24" s="1"/>
    </row>
    <row r="25" spans="3:8" ht="50.1" customHeight="1" x14ac:dyDescent="0.25">
      <c r="C25" s="136" t="s">
        <v>63</v>
      </c>
      <c r="D25" s="1" t="s">
        <v>55</v>
      </c>
      <c r="E25" s="8">
        <v>1</v>
      </c>
      <c r="F25" s="8">
        <v>0.99</v>
      </c>
      <c r="G25" s="8">
        <v>0.98</v>
      </c>
      <c r="H25" s="134"/>
    </row>
    <row r="26" spans="3:8" ht="50.1" customHeight="1" x14ac:dyDescent="0.25">
      <c r="C26" s="137"/>
      <c r="D26" s="1" t="s">
        <v>56</v>
      </c>
      <c r="E26" s="8"/>
      <c r="F26" s="43" t="s">
        <v>212</v>
      </c>
      <c r="G26" s="8"/>
      <c r="H26" s="135"/>
    </row>
    <row r="27" spans="3:8" ht="49.5" customHeight="1" x14ac:dyDescent="0.25">
      <c r="C27" s="136" t="s">
        <v>89</v>
      </c>
      <c r="D27" s="1" t="s">
        <v>55</v>
      </c>
      <c r="E27" s="8">
        <v>0.98</v>
      </c>
      <c r="F27" s="8">
        <v>0.99</v>
      </c>
      <c r="G27" s="8">
        <v>0.98</v>
      </c>
      <c r="H27" s="134"/>
    </row>
    <row r="28" spans="3:8" ht="69.75" customHeight="1" x14ac:dyDescent="0.25">
      <c r="C28" s="137"/>
      <c r="D28" s="1" t="s">
        <v>56</v>
      </c>
      <c r="E28" s="8"/>
      <c r="F28" s="43" t="s">
        <v>212</v>
      </c>
      <c r="G28" s="8"/>
      <c r="H28" s="135"/>
    </row>
  </sheetData>
  <mergeCells count="19">
    <mergeCell ref="C27:C28"/>
    <mergeCell ref="H27:H28"/>
    <mergeCell ref="C25:C26"/>
    <mergeCell ref="B2:H2"/>
    <mergeCell ref="H25:H26"/>
    <mergeCell ref="H4:H5"/>
    <mergeCell ref="H19:H20"/>
    <mergeCell ref="H16:H17"/>
    <mergeCell ref="H13:H14"/>
    <mergeCell ref="H10:H11"/>
    <mergeCell ref="H7:H8"/>
    <mergeCell ref="C4:C5"/>
    <mergeCell ref="H22:H23"/>
    <mergeCell ref="C7:C8"/>
    <mergeCell ref="C10:C11"/>
    <mergeCell ref="C13:C14"/>
    <mergeCell ref="C16:C17"/>
    <mergeCell ref="C19:C20"/>
    <mergeCell ref="C22:C23"/>
  </mergeCells>
  <pageMargins left="0" right="0" top="0" bottom="0" header="0" footer="0"/>
  <pageSetup paperSize="9" scale="5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3"/>
  <sheetViews>
    <sheetView topLeftCell="A5" workbookViewId="0">
      <selection activeCell="D11" sqref="D11"/>
    </sheetView>
  </sheetViews>
  <sheetFormatPr defaultColWidth="9" defaultRowHeight="15" x14ac:dyDescent="0.25"/>
  <cols>
    <col min="4" max="4" width="26" customWidth="1"/>
    <col min="5" max="5" width="31.140625" customWidth="1"/>
    <col min="6" max="6" width="26.85546875" customWidth="1"/>
    <col min="7" max="7" width="31.85546875" customWidth="1"/>
  </cols>
  <sheetData>
    <row r="2" spans="1:14" ht="51" customHeight="1" x14ac:dyDescent="0.25">
      <c r="A2" s="7"/>
      <c r="B2" s="138" t="s">
        <v>155</v>
      </c>
      <c r="C2" s="133"/>
      <c r="D2" s="133"/>
      <c r="E2" s="133"/>
      <c r="F2" s="133"/>
      <c r="G2" s="133"/>
      <c r="H2" s="7"/>
      <c r="I2" s="7"/>
      <c r="J2" s="7"/>
      <c r="K2" s="7"/>
      <c r="L2" s="7"/>
      <c r="M2" s="7"/>
      <c r="N2" s="7"/>
    </row>
    <row r="3" spans="1:14" ht="50.1" customHeight="1" x14ac:dyDescent="0.25">
      <c r="C3" s="5" t="s">
        <v>35</v>
      </c>
      <c r="D3" s="5" t="s">
        <v>95</v>
      </c>
      <c r="E3" s="5" t="s">
        <v>96</v>
      </c>
      <c r="F3" s="5" t="s">
        <v>48</v>
      </c>
      <c r="G3" s="5" t="s">
        <v>97</v>
      </c>
    </row>
    <row r="4" spans="1:14" ht="50.1" customHeight="1" x14ac:dyDescent="0.25">
      <c r="C4" s="6" t="s">
        <v>40</v>
      </c>
      <c r="D4" s="1">
        <v>24</v>
      </c>
      <c r="E4" s="1">
        <v>11</v>
      </c>
      <c r="F4" s="1">
        <f>SUM(D4:E4)</f>
        <v>35</v>
      </c>
      <c r="G4" s="2">
        <f>SUM(F4)</f>
        <v>35</v>
      </c>
      <c r="J4" s="60"/>
    </row>
    <row r="5" spans="1:14" ht="50.1" customHeight="1" x14ac:dyDescent="0.25">
      <c r="C5" s="6" t="s">
        <v>213</v>
      </c>
      <c r="D5" s="1">
        <v>20</v>
      </c>
      <c r="E5" s="1">
        <v>8</v>
      </c>
      <c r="F5" s="1">
        <f>SUM(D5:E5)</f>
        <v>28</v>
      </c>
      <c r="G5" s="36">
        <f>SUM(F5)</f>
        <v>28</v>
      </c>
    </row>
    <row r="6" spans="1:14" ht="50.1" customHeight="1" x14ac:dyDescent="0.25">
      <c r="C6" s="6" t="s">
        <v>41</v>
      </c>
      <c r="D6" s="1">
        <v>25</v>
      </c>
      <c r="E6" s="1">
        <v>12</v>
      </c>
      <c r="F6" s="1">
        <f t="shared" ref="F6:F10" si="0">SUM(D6:E6)</f>
        <v>37</v>
      </c>
      <c r="G6" s="139">
        <f>(F6+F7+F8+F9+F10)</f>
        <v>111</v>
      </c>
    </row>
    <row r="7" spans="1:14" ht="50.1" customHeight="1" x14ac:dyDescent="0.25">
      <c r="C7" s="6" t="s">
        <v>42</v>
      </c>
      <c r="D7" s="1">
        <v>15</v>
      </c>
      <c r="E7" s="1">
        <v>6</v>
      </c>
      <c r="F7" s="1">
        <f t="shared" si="0"/>
        <v>21</v>
      </c>
      <c r="G7" s="140"/>
    </row>
    <row r="8" spans="1:14" ht="50.1" customHeight="1" x14ac:dyDescent="0.25">
      <c r="C8" s="6" t="s">
        <v>43</v>
      </c>
      <c r="D8" s="1">
        <v>14</v>
      </c>
      <c r="E8" s="1">
        <v>11</v>
      </c>
      <c r="F8" s="1">
        <f t="shared" si="0"/>
        <v>25</v>
      </c>
      <c r="G8" s="140"/>
    </row>
    <row r="9" spans="1:14" ht="50.1" customHeight="1" x14ac:dyDescent="0.25">
      <c r="C9" s="6" t="s">
        <v>44</v>
      </c>
      <c r="D9" s="1">
        <v>7</v>
      </c>
      <c r="E9" s="1">
        <v>6</v>
      </c>
      <c r="F9" s="1">
        <f t="shared" si="0"/>
        <v>13</v>
      </c>
      <c r="G9" s="140"/>
    </row>
    <row r="10" spans="1:14" ht="50.1" customHeight="1" x14ac:dyDescent="0.25">
      <c r="C10" s="6" t="s">
        <v>45</v>
      </c>
      <c r="D10" s="1">
        <v>10</v>
      </c>
      <c r="E10" s="1">
        <v>5</v>
      </c>
      <c r="F10" s="1">
        <f t="shared" si="0"/>
        <v>15</v>
      </c>
      <c r="G10" s="141"/>
    </row>
    <row r="11" spans="1:14" ht="50.1" customHeight="1" x14ac:dyDescent="0.25">
      <c r="C11" s="11" t="s">
        <v>48</v>
      </c>
      <c r="D11" s="12">
        <f>SUM(D4:D10)</f>
        <v>115</v>
      </c>
      <c r="E11" s="12">
        <f>SUM(E4:E10)</f>
        <v>59</v>
      </c>
      <c r="F11" s="12">
        <f>SUM(D11:E11)</f>
        <v>174</v>
      </c>
      <c r="G11" s="1"/>
    </row>
    <row r="13" spans="1:14" x14ac:dyDescent="0.25">
      <c r="F13" s="7"/>
    </row>
  </sheetData>
  <mergeCells count="2">
    <mergeCell ref="B2:G2"/>
    <mergeCell ref="G6:G10"/>
  </mergeCells>
  <pageMargins left="0" right="0" top="0" bottom="0" header="0" footer="0"/>
  <pageSetup paperSize="9" scale="5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N40"/>
  <sheetViews>
    <sheetView workbookViewId="0">
      <selection activeCell="F3" sqref="F3"/>
    </sheetView>
  </sheetViews>
  <sheetFormatPr defaultColWidth="9" defaultRowHeight="15" x14ac:dyDescent="0.25"/>
  <cols>
    <col min="4" max="4" width="27.5703125" customWidth="1"/>
    <col min="5" max="5" width="31.140625" customWidth="1"/>
    <col min="6" max="6" width="35.7109375" customWidth="1"/>
    <col min="7" max="7" width="27" customWidth="1"/>
  </cols>
  <sheetData>
    <row r="2" spans="1:14" ht="51" customHeight="1" x14ac:dyDescent="0.25">
      <c r="A2" s="7"/>
      <c r="B2" s="133" t="s">
        <v>64</v>
      </c>
      <c r="C2" s="133"/>
      <c r="D2" s="133"/>
      <c r="E2" s="133"/>
      <c r="F2" s="133"/>
      <c r="G2" s="133"/>
      <c r="H2" s="7"/>
      <c r="I2" s="7"/>
      <c r="J2" s="7"/>
      <c r="K2" s="7"/>
      <c r="L2" s="7"/>
      <c r="M2" s="7"/>
      <c r="N2" s="7"/>
    </row>
    <row r="3" spans="1:14" ht="50.1" customHeight="1" x14ac:dyDescent="0.25">
      <c r="C3" s="5" t="s">
        <v>26</v>
      </c>
      <c r="D3" s="5" t="s">
        <v>65</v>
      </c>
      <c r="E3" s="5" t="s">
        <v>66</v>
      </c>
      <c r="F3" s="5" t="s">
        <v>67</v>
      </c>
      <c r="G3" s="5" t="s">
        <v>68</v>
      </c>
    </row>
    <row r="4" spans="1:14" ht="50.1" customHeight="1" x14ac:dyDescent="0.25">
      <c r="C4" s="142" t="s">
        <v>54</v>
      </c>
      <c r="D4" s="5" t="s">
        <v>69</v>
      </c>
      <c r="E4" s="5" t="s">
        <v>151</v>
      </c>
      <c r="F4" s="5"/>
      <c r="G4" s="13">
        <v>45144</v>
      </c>
    </row>
    <row r="5" spans="1:14" ht="50.1" customHeight="1" x14ac:dyDescent="0.25">
      <c r="C5" s="143"/>
      <c r="D5" s="14" t="s">
        <v>70</v>
      </c>
      <c r="E5" s="5" t="s">
        <v>149</v>
      </c>
      <c r="F5" s="5"/>
      <c r="G5" s="13">
        <v>45152</v>
      </c>
    </row>
    <row r="6" spans="1:14" ht="50.1" customHeight="1" x14ac:dyDescent="0.25">
      <c r="C6" s="143"/>
      <c r="D6" s="5" t="s">
        <v>71</v>
      </c>
      <c r="E6" s="5" t="s">
        <v>149</v>
      </c>
      <c r="F6" s="5"/>
      <c r="G6" s="13">
        <v>45163</v>
      </c>
    </row>
    <row r="7" spans="1:14" ht="50.1" customHeight="1" x14ac:dyDescent="0.25">
      <c r="C7" s="143"/>
      <c r="D7" s="5" t="s">
        <v>72</v>
      </c>
      <c r="E7" s="15" t="s">
        <v>151</v>
      </c>
      <c r="F7" s="5"/>
      <c r="G7" s="5"/>
    </row>
    <row r="8" spans="1:14" ht="50.1" customHeight="1" x14ac:dyDescent="0.25">
      <c r="C8" s="143"/>
      <c r="D8" s="5" t="s">
        <v>73</v>
      </c>
      <c r="E8" s="5"/>
      <c r="F8" s="5"/>
      <c r="G8" s="5"/>
    </row>
    <row r="9" spans="1:14" ht="50.1" customHeight="1" x14ac:dyDescent="0.25">
      <c r="C9" s="142" t="s">
        <v>57</v>
      </c>
      <c r="D9" s="14" t="s">
        <v>74</v>
      </c>
      <c r="E9" s="5"/>
      <c r="F9" s="5"/>
      <c r="G9" s="5"/>
    </row>
    <row r="10" spans="1:14" ht="50.1" customHeight="1" x14ac:dyDescent="0.25">
      <c r="C10" s="143"/>
      <c r="D10" s="5" t="s">
        <v>75</v>
      </c>
      <c r="E10" s="5" t="s">
        <v>149</v>
      </c>
      <c r="F10" s="5"/>
      <c r="G10" s="13">
        <v>45174</v>
      </c>
    </row>
    <row r="11" spans="1:14" ht="50.1" customHeight="1" x14ac:dyDescent="0.25">
      <c r="C11" s="143"/>
      <c r="D11" s="5" t="s">
        <v>72</v>
      </c>
      <c r="E11" s="15" t="s">
        <v>151</v>
      </c>
      <c r="F11" s="5"/>
      <c r="G11" s="5"/>
    </row>
    <row r="12" spans="1:14" ht="50.1" customHeight="1" x14ac:dyDescent="0.25">
      <c r="C12" s="143"/>
      <c r="D12" s="5" t="s">
        <v>76</v>
      </c>
      <c r="E12" s="5" t="s">
        <v>149</v>
      </c>
      <c r="F12" s="5"/>
      <c r="G12" s="13">
        <v>45199</v>
      </c>
    </row>
    <row r="13" spans="1:14" ht="50.1" customHeight="1" x14ac:dyDescent="0.25">
      <c r="C13" s="142" t="s">
        <v>58</v>
      </c>
      <c r="D13" s="14" t="s">
        <v>74</v>
      </c>
      <c r="E13" s="5"/>
      <c r="F13" s="5"/>
      <c r="G13" s="5"/>
    </row>
    <row r="14" spans="1:14" ht="50.1" customHeight="1" x14ac:dyDescent="0.25">
      <c r="C14" s="143"/>
      <c r="D14" s="5" t="s">
        <v>77</v>
      </c>
      <c r="E14" s="5" t="s">
        <v>150</v>
      </c>
      <c r="F14" s="5"/>
      <c r="G14" s="13">
        <v>45204</v>
      </c>
    </row>
    <row r="15" spans="1:14" ht="50.1" customHeight="1" x14ac:dyDescent="0.25">
      <c r="C15" s="143"/>
      <c r="D15" s="5" t="s">
        <v>78</v>
      </c>
      <c r="E15" s="5" t="s">
        <v>149</v>
      </c>
      <c r="F15" s="5"/>
      <c r="G15" s="13">
        <v>45212</v>
      </c>
    </row>
    <row r="16" spans="1:14" ht="50.1" customHeight="1" x14ac:dyDescent="0.25">
      <c r="C16" s="143"/>
      <c r="D16" s="5" t="s">
        <v>72</v>
      </c>
      <c r="E16" s="15" t="s">
        <v>151</v>
      </c>
      <c r="F16" s="5"/>
      <c r="G16" s="5"/>
    </row>
    <row r="17" spans="3:7" ht="50.1" customHeight="1" x14ac:dyDescent="0.25">
      <c r="C17" s="142" t="s">
        <v>59</v>
      </c>
      <c r="D17" s="14" t="s">
        <v>74</v>
      </c>
      <c r="E17" s="5"/>
      <c r="F17" s="5"/>
      <c r="G17" s="5"/>
    </row>
    <row r="18" spans="3:7" ht="50.1" customHeight="1" x14ac:dyDescent="0.25">
      <c r="C18" s="143"/>
      <c r="D18" s="5" t="s">
        <v>79</v>
      </c>
      <c r="E18" s="5" t="s">
        <v>149</v>
      </c>
      <c r="F18" s="5"/>
      <c r="G18" s="13">
        <v>45180</v>
      </c>
    </row>
    <row r="19" spans="3:7" ht="50.1" customHeight="1" x14ac:dyDescent="0.25">
      <c r="C19" s="143"/>
      <c r="D19" s="5" t="s">
        <v>80</v>
      </c>
      <c r="E19" s="5"/>
      <c r="F19" s="5"/>
      <c r="G19" s="5"/>
    </row>
    <row r="20" spans="3:7" ht="50.1" customHeight="1" x14ac:dyDescent="0.25">
      <c r="C20" s="143"/>
      <c r="D20" s="5" t="s">
        <v>72</v>
      </c>
      <c r="E20" s="15" t="s">
        <v>151</v>
      </c>
      <c r="F20" s="5"/>
      <c r="G20" s="5"/>
    </row>
    <row r="21" spans="3:7" ht="50.1" customHeight="1" x14ac:dyDescent="0.25">
      <c r="C21" s="142" t="s">
        <v>60</v>
      </c>
      <c r="D21" s="14" t="s">
        <v>74</v>
      </c>
      <c r="E21" s="5"/>
      <c r="F21" s="5"/>
      <c r="G21" s="5"/>
    </row>
    <row r="22" spans="3:7" ht="50.1" customHeight="1" x14ac:dyDescent="0.25">
      <c r="C22" s="143"/>
      <c r="D22" s="5" t="s">
        <v>81</v>
      </c>
      <c r="E22" s="5" t="s">
        <v>149</v>
      </c>
      <c r="F22" s="5"/>
      <c r="G22" s="13">
        <v>45279</v>
      </c>
    </row>
    <row r="23" spans="3:7" ht="50.1" customHeight="1" x14ac:dyDescent="0.25">
      <c r="C23" s="143"/>
      <c r="D23" s="5" t="s">
        <v>82</v>
      </c>
      <c r="E23" s="5" t="s">
        <v>151</v>
      </c>
      <c r="F23" s="5"/>
      <c r="G23" s="5"/>
    </row>
    <row r="24" spans="3:7" ht="50.1" customHeight="1" x14ac:dyDescent="0.25">
      <c r="C24" s="143"/>
      <c r="D24" s="5" t="s">
        <v>83</v>
      </c>
      <c r="E24" s="5" t="s">
        <v>151</v>
      </c>
      <c r="F24" s="5"/>
      <c r="G24" s="5" t="s">
        <v>161</v>
      </c>
    </row>
    <row r="25" spans="3:7" ht="50.1" customHeight="1" x14ac:dyDescent="0.25">
      <c r="C25" s="143"/>
      <c r="D25" s="5" t="s">
        <v>84</v>
      </c>
      <c r="E25" s="5"/>
      <c r="F25" s="5"/>
      <c r="G25" s="5"/>
    </row>
    <row r="26" spans="3:7" ht="50.1" customHeight="1" x14ac:dyDescent="0.25">
      <c r="C26" s="142" t="s">
        <v>61</v>
      </c>
      <c r="D26" s="5" t="s">
        <v>85</v>
      </c>
      <c r="E26" s="5"/>
      <c r="F26" s="5"/>
      <c r="G26" s="13">
        <v>45275</v>
      </c>
    </row>
    <row r="27" spans="3:7" ht="50.1" customHeight="1" x14ac:dyDescent="0.25">
      <c r="C27" s="143"/>
      <c r="D27" s="14" t="s">
        <v>86</v>
      </c>
      <c r="E27" s="14" t="s">
        <v>159</v>
      </c>
      <c r="F27" s="5"/>
      <c r="G27" s="5"/>
    </row>
    <row r="28" spans="3:7" ht="50.1" customHeight="1" x14ac:dyDescent="0.25">
      <c r="C28" s="143"/>
      <c r="D28" s="14" t="s">
        <v>87</v>
      </c>
      <c r="E28" s="5" t="s">
        <v>149</v>
      </c>
      <c r="F28" s="5"/>
      <c r="G28" s="13">
        <v>45292</v>
      </c>
    </row>
    <row r="29" spans="3:7" ht="50.1" customHeight="1" x14ac:dyDescent="0.25">
      <c r="C29" s="143"/>
      <c r="D29" s="14" t="s">
        <v>72</v>
      </c>
      <c r="E29" s="5" t="s">
        <v>151</v>
      </c>
      <c r="F29" s="5"/>
      <c r="G29" s="5"/>
    </row>
    <row r="30" spans="3:7" ht="50.1" customHeight="1" x14ac:dyDescent="0.25">
      <c r="C30" s="142" t="s">
        <v>62</v>
      </c>
      <c r="D30" s="14" t="s">
        <v>74</v>
      </c>
      <c r="E30" s="16" t="s">
        <v>152</v>
      </c>
      <c r="F30" s="5"/>
      <c r="G30" s="5"/>
    </row>
    <row r="31" spans="3:7" ht="50.1" customHeight="1" x14ac:dyDescent="0.25">
      <c r="C31" s="143"/>
      <c r="D31" s="5" t="s">
        <v>84</v>
      </c>
      <c r="E31" s="16" t="s">
        <v>149</v>
      </c>
      <c r="F31" s="5"/>
      <c r="G31" s="13">
        <v>45341</v>
      </c>
    </row>
    <row r="32" spans="3:7" ht="50.1" customHeight="1" x14ac:dyDescent="0.25">
      <c r="C32" s="143"/>
      <c r="D32" s="5" t="s">
        <v>88</v>
      </c>
      <c r="E32" s="5" t="s">
        <v>160</v>
      </c>
      <c r="F32" s="5"/>
      <c r="G32" s="13">
        <v>45344</v>
      </c>
    </row>
    <row r="33" spans="3:7" ht="50.1" customHeight="1" x14ac:dyDescent="0.25">
      <c r="C33" s="144"/>
      <c r="D33" s="5" t="s">
        <v>72</v>
      </c>
      <c r="E33" s="5" t="s">
        <v>151</v>
      </c>
      <c r="F33" s="5"/>
      <c r="G33" s="5"/>
    </row>
    <row r="34" spans="3:7" ht="50.1" customHeight="1" x14ac:dyDescent="0.25">
      <c r="C34" s="142" t="s">
        <v>63</v>
      </c>
      <c r="D34" s="14" t="s">
        <v>74</v>
      </c>
      <c r="E34" s="5" t="s">
        <v>151</v>
      </c>
      <c r="F34" s="5"/>
      <c r="G34" s="13">
        <v>45372</v>
      </c>
    </row>
    <row r="35" spans="3:7" ht="50.1" customHeight="1" x14ac:dyDescent="0.25">
      <c r="C35" s="143"/>
      <c r="D35" s="5" t="s">
        <v>72</v>
      </c>
      <c r="E35" s="5" t="s">
        <v>151</v>
      </c>
      <c r="F35" s="5"/>
      <c r="G35" s="5"/>
    </row>
    <row r="36" spans="3:7" ht="50.1" customHeight="1" x14ac:dyDescent="0.25">
      <c r="C36" s="17" t="s">
        <v>89</v>
      </c>
      <c r="D36" s="14" t="s">
        <v>74</v>
      </c>
      <c r="E36" s="5" t="s">
        <v>308</v>
      </c>
      <c r="F36" s="5"/>
      <c r="G36" s="5" t="s">
        <v>309</v>
      </c>
    </row>
    <row r="37" spans="3:7" ht="50.1" customHeight="1" x14ac:dyDescent="0.25">
      <c r="C37" s="142" t="s">
        <v>90</v>
      </c>
      <c r="D37" s="14" t="s">
        <v>91</v>
      </c>
      <c r="E37" s="5"/>
      <c r="F37" s="5"/>
      <c r="G37" s="5"/>
    </row>
    <row r="38" spans="3:7" ht="50.1" customHeight="1" x14ac:dyDescent="0.25">
      <c r="C38" s="143"/>
      <c r="D38" s="5" t="s">
        <v>92</v>
      </c>
      <c r="E38" s="5"/>
      <c r="F38" s="5"/>
      <c r="G38" s="5"/>
    </row>
    <row r="39" spans="3:7" ht="50.1" customHeight="1" x14ac:dyDescent="0.25">
      <c r="C39" s="143"/>
      <c r="D39" s="5" t="s">
        <v>93</v>
      </c>
      <c r="E39" s="4"/>
      <c r="F39" s="4"/>
      <c r="G39" s="4"/>
    </row>
    <row r="40" spans="3:7" ht="50.1" customHeight="1" x14ac:dyDescent="0.25">
      <c r="C40" s="143"/>
      <c r="D40" s="14" t="s">
        <v>94</v>
      </c>
      <c r="E40" s="4"/>
      <c r="F40" s="4"/>
      <c r="G40" s="4"/>
    </row>
  </sheetData>
  <mergeCells count="10">
    <mergeCell ref="C37:C40"/>
    <mergeCell ref="C9:C12"/>
    <mergeCell ref="C13:C16"/>
    <mergeCell ref="C26:C29"/>
    <mergeCell ref="B2:G2"/>
    <mergeCell ref="C4:C8"/>
    <mergeCell ref="C34:C35"/>
    <mergeCell ref="C17:C20"/>
    <mergeCell ref="C30:C33"/>
    <mergeCell ref="C21:C25"/>
  </mergeCells>
  <pageMargins left="0" right="0" top="0" bottom="0" header="0" footer="0"/>
  <pageSetup paperSize="9" scale="5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O39"/>
  <sheetViews>
    <sheetView topLeftCell="A27" zoomScale="89" zoomScaleNormal="89" workbookViewId="0">
      <selection activeCell="J33" sqref="J33"/>
    </sheetView>
  </sheetViews>
  <sheetFormatPr defaultColWidth="9" defaultRowHeight="15" x14ac:dyDescent="0.25"/>
  <cols>
    <col min="4" max="12" width="15.7109375" customWidth="1"/>
  </cols>
  <sheetData>
    <row r="2" spans="1:15" ht="51" customHeight="1" x14ac:dyDescent="0.25">
      <c r="A2" s="7"/>
      <c r="B2" s="145" t="s">
        <v>310</v>
      </c>
      <c r="C2" s="133"/>
      <c r="D2" s="133"/>
      <c r="E2" s="133"/>
      <c r="F2" s="133"/>
      <c r="G2" s="133"/>
      <c r="H2" s="133"/>
      <c r="I2" s="133"/>
      <c r="J2" s="133"/>
      <c r="K2" s="133"/>
      <c r="L2" s="18"/>
      <c r="M2" s="7"/>
      <c r="N2" s="7"/>
      <c r="O2" s="7"/>
    </row>
    <row r="3" spans="1:15" ht="30.95" customHeight="1" x14ac:dyDescent="0.25">
      <c r="A3" s="7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7"/>
      <c r="N3" s="7"/>
      <c r="O3" s="7"/>
    </row>
    <row r="4" spans="1:15" ht="51" customHeight="1" x14ac:dyDescent="0.25">
      <c r="A4" s="7"/>
      <c r="B4" s="18"/>
      <c r="C4" s="19" t="s">
        <v>98</v>
      </c>
      <c r="D4" s="146" t="s">
        <v>54</v>
      </c>
      <c r="E4" s="147"/>
      <c r="F4" s="148"/>
      <c r="G4" s="146" t="s">
        <v>57</v>
      </c>
      <c r="H4" s="147"/>
      <c r="I4" s="148"/>
      <c r="J4" s="149" t="s">
        <v>58</v>
      </c>
      <c r="K4" s="150"/>
      <c r="L4" s="151"/>
      <c r="M4" s="7"/>
      <c r="N4" s="7"/>
      <c r="O4" s="7"/>
    </row>
    <row r="5" spans="1:15" ht="50.1" customHeight="1" x14ac:dyDescent="0.25">
      <c r="C5" s="20"/>
      <c r="D5" s="20" t="s">
        <v>95</v>
      </c>
      <c r="E5" s="20" t="s">
        <v>96</v>
      </c>
      <c r="F5" s="20" t="s">
        <v>99</v>
      </c>
      <c r="G5" s="20" t="s">
        <v>95</v>
      </c>
      <c r="H5" s="20" t="s">
        <v>96</v>
      </c>
      <c r="I5" s="20" t="s">
        <v>99</v>
      </c>
      <c r="J5" s="20" t="s">
        <v>95</v>
      </c>
      <c r="K5" s="20" t="s">
        <v>96</v>
      </c>
      <c r="L5" s="61" t="s">
        <v>99</v>
      </c>
    </row>
    <row r="6" spans="1:15" ht="50.1" customHeight="1" thickBot="1" x14ac:dyDescent="0.3">
      <c r="C6" s="21" t="s">
        <v>40</v>
      </c>
      <c r="D6" s="22">
        <v>0.81</v>
      </c>
      <c r="E6" s="22">
        <v>0.83</v>
      </c>
      <c r="F6" s="22">
        <f>AVERAGE(D6:E6)</f>
        <v>0.82000000000000006</v>
      </c>
      <c r="G6" s="22">
        <f>50/59</f>
        <v>0.84745762711864403</v>
      </c>
      <c r="H6" s="22">
        <f>(39/46)</f>
        <v>0.84782608695652173</v>
      </c>
      <c r="I6" s="22">
        <f>AVERAGE(G6:H6)</f>
        <v>0.84764185703758288</v>
      </c>
      <c r="J6" s="22">
        <v>0.77</v>
      </c>
      <c r="K6" s="22">
        <v>0.87</v>
      </c>
      <c r="L6" s="22">
        <f>AVERAGE(J6:K6)</f>
        <v>0.82000000000000006</v>
      </c>
    </row>
    <row r="7" spans="1:15" ht="50.1" customHeight="1" thickBot="1" x14ac:dyDescent="0.3">
      <c r="C7" s="21" t="s">
        <v>213</v>
      </c>
      <c r="D7" s="22">
        <v>0.7</v>
      </c>
      <c r="E7" s="22">
        <v>0.65</v>
      </c>
      <c r="F7" s="22">
        <f t="shared" ref="F7:F12" si="0">AVERAGE(D7:E7)</f>
        <v>0.67500000000000004</v>
      </c>
      <c r="G7" s="22">
        <v>0.82</v>
      </c>
      <c r="H7" s="22">
        <v>0.84</v>
      </c>
      <c r="I7" s="22">
        <f t="shared" ref="I7:I12" si="1">AVERAGE(G7:H7)</f>
        <v>0.83</v>
      </c>
      <c r="J7" s="22">
        <v>0.79</v>
      </c>
      <c r="K7" s="22">
        <v>0.85</v>
      </c>
      <c r="L7" s="22">
        <f t="shared" ref="L7:L12" si="2">AVERAGE(J7:K7)</f>
        <v>0.82000000000000006</v>
      </c>
    </row>
    <row r="8" spans="1:15" ht="50.1" customHeight="1" thickBot="1" x14ac:dyDescent="0.3">
      <c r="C8" s="21" t="s">
        <v>41</v>
      </c>
      <c r="D8" s="22">
        <v>0.66</v>
      </c>
      <c r="E8" s="22">
        <v>0.69</v>
      </c>
      <c r="F8" s="22">
        <f t="shared" si="0"/>
        <v>0.67500000000000004</v>
      </c>
      <c r="G8" s="22">
        <v>0.82</v>
      </c>
      <c r="H8" s="22">
        <f>17/21</f>
        <v>0.80952380952380953</v>
      </c>
      <c r="I8" s="22">
        <f t="shared" si="1"/>
        <v>0.8147619047619048</v>
      </c>
      <c r="J8" s="22">
        <v>0.91</v>
      </c>
      <c r="K8" s="22">
        <v>0.86</v>
      </c>
      <c r="L8" s="22">
        <f t="shared" si="2"/>
        <v>0.88500000000000001</v>
      </c>
    </row>
    <row r="9" spans="1:15" ht="50.1" customHeight="1" x14ac:dyDescent="0.25">
      <c r="C9" s="21" t="s">
        <v>42</v>
      </c>
      <c r="D9" s="22">
        <v>0.69</v>
      </c>
      <c r="E9" s="22">
        <f>16/20</f>
        <v>0.8</v>
      </c>
      <c r="F9" s="22">
        <f t="shared" si="0"/>
        <v>0.745</v>
      </c>
      <c r="G9" s="22">
        <v>0.76</v>
      </c>
      <c r="H9" s="22">
        <v>0.77</v>
      </c>
      <c r="I9" s="22">
        <f t="shared" si="1"/>
        <v>0.76500000000000001</v>
      </c>
      <c r="J9" s="22">
        <v>0.84</v>
      </c>
      <c r="K9" s="22">
        <v>0.77</v>
      </c>
      <c r="L9" s="22">
        <f t="shared" si="2"/>
        <v>0.80499999999999994</v>
      </c>
    </row>
    <row r="10" spans="1:15" ht="50.1" customHeight="1" x14ac:dyDescent="0.25">
      <c r="C10" s="21" t="s">
        <v>43</v>
      </c>
      <c r="D10" s="22">
        <v>0.7</v>
      </c>
      <c r="E10" s="22">
        <f>20/26</f>
        <v>0.76923076923076927</v>
      </c>
      <c r="F10" s="22">
        <f t="shared" si="0"/>
        <v>0.73461538461538467</v>
      </c>
      <c r="G10" s="22">
        <v>0.72</v>
      </c>
      <c r="H10" s="22">
        <f>20/26</f>
        <v>0.76923076923076927</v>
      </c>
      <c r="I10" s="22">
        <f t="shared" si="1"/>
        <v>0.74461538461538468</v>
      </c>
      <c r="J10" s="22">
        <v>0.85</v>
      </c>
      <c r="K10" s="22">
        <v>0.85</v>
      </c>
      <c r="L10" s="22">
        <f t="shared" si="2"/>
        <v>0.85</v>
      </c>
    </row>
    <row r="11" spans="1:15" ht="50.1" customHeight="1" x14ac:dyDescent="0.25">
      <c r="C11" s="21" t="s">
        <v>44</v>
      </c>
      <c r="D11" s="22">
        <f>18/22</f>
        <v>0.81818181818181823</v>
      </c>
      <c r="E11" s="22">
        <f>20/25</f>
        <v>0.8</v>
      </c>
      <c r="F11" s="22">
        <f t="shared" si="0"/>
        <v>0.80909090909090908</v>
      </c>
      <c r="G11" s="22">
        <v>0.79</v>
      </c>
      <c r="H11" s="22">
        <f>20/25</f>
        <v>0.8</v>
      </c>
      <c r="I11" s="22">
        <f t="shared" si="1"/>
        <v>0.79500000000000004</v>
      </c>
      <c r="J11" s="22">
        <v>0.86</v>
      </c>
      <c r="K11" s="22">
        <v>0.86</v>
      </c>
      <c r="L11" s="22">
        <f t="shared" si="2"/>
        <v>0.86</v>
      </c>
    </row>
    <row r="12" spans="1:15" ht="50.1" customHeight="1" thickBot="1" x14ac:dyDescent="0.3">
      <c r="C12" s="21" t="s">
        <v>45</v>
      </c>
      <c r="D12" s="22">
        <v>0.75</v>
      </c>
      <c r="E12" s="22">
        <f>20/25</f>
        <v>0.8</v>
      </c>
      <c r="F12" s="22">
        <f t="shared" si="0"/>
        <v>0.77500000000000002</v>
      </c>
      <c r="G12" s="22">
        <v>0.86</v>
      </c>
      <c r="H12" s="22">
        <v>0.78</v>
      </c>
      <c r="I12" s="22">
        <f t="shared" si="1"/>
        <v>0.82000000000000006</v>
      </c>
      <c r="J12" s="22">
        <v>0.87</v>
      </c>
      <c r="K12" s="22">
        <v>0.77</v>
      </c>
      <c r="L12" s="22">
        <f t="shared" si="2"/>
        <v>0.82000000000000006</v>
      </c>
    </row>
    <row r="15" spans="1:15" ht="15" customHeight="1" x14ac:dyDescent="0.25">
      <c r="B15" s="145" t="s">
        <v>311</v>
      </c>
      <c r="C15" s="133"/>
      <c r="D15" s="133"/>
      <c r="E15" s="133"/>
      <c r="F15" s="133"/>
      <c r="G15" s="133"/>
      <c r="H15" s="133"/>
      <c r="I15" s="133"/>
      <c r="J15" s="133"/>
      <c r="K15" s="133"/>
      <c r="L15" s="18"/>
    </row>
    <row r="16" spans="1:15" ht="15" customHeight="1" x14ac:dyDescent="0.25">
      <c r="B16" s="62"/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spans="2:12" ht="15.75" customHeight="1" thickBot="1" x14ac:dyDescent="0.3"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</row>
    <row r="18" spans="2:12" ht="50.1" customHeight="1" thickBot="1" x14ac:dyDescent="0.3">
      <c r="B18" s="18"/>
      <c r="C18" s="19" t="s">
        <v>98</v>
      </c>
      <c r="D18" s="146" t="s">
        <v>59</v>
      </c>
      <c r="E18" s="147"/>
      <c r="F18" s="148"/>
      <c r="G18" s="146" t="s">
        <v>60</v>
      </c>
      <c r="H18" s="147"/>
      <c r="I18" s="148"/>
      <c r="J18" s="149" t="s">
        <v>61</v>
      </c>
      <c r="K18" s="150"/>
      <c r="L18" s="151"/>
    </row>
    <row r="19" spans="2:12" ht="50.1" customHeight="1" thickBot="1" x14ac:dyDescent="0.3">
      <c r="C19" s="20"/>
      <c r="D19" s="20" t="s">
        <v>95</v>
      </c>
      <c r="E19" s="20" t="s">
        <v>96</v>
      </c>
      <c r="F19" s="20" t="s">
        <v>99</v>
      </c>
      <c r="G19" s="20" t="s">
        <v>95</v>
      </c>
      <c r="H19" s="20" t="s">
        <v>96</v>
      </c>
      <c r="I19" s="20" t="s">
        <v>99</v>
      </c>
      <c r="J19" s="20" t="s">
        <v>95</v>
      </c>
      <c r="K19" s="20" t="s">
        <v>96</v>
      </c>
      <c r="L19" s="61" t="s">
        <v>99</v>
      </c>
    </row>
    <row r="20" spans="2:12" ht="50.1" customHeight="1" thickBot="1" x14ac:dyDescent="0.3">
      <c r="C20" s="21" t="s">
        <v>40</v>
      </c>
      <c r="D20" s="67">
        <v>0.81</v>
      </c>
      <c r="E20" s="22">
        <v>0.75049999999999994</v>
      </c>
      <c r="F20" s="22">
        <f>AVERAGE(D20:E20)</f>
        <v>0.78025</v>
      </c>
      <c r="G20" s="22">
        <v>0.76029999999999998</v>
      </c>
      <c r="H20" s="22">
        <v>0.75</v>
      </c>
      <c r="I20" s="22">
        <f t="shared" ref="I20:I26" si="3">AVERAGE(G20:H20)</f>
        <v>0.75514999999999999</v>
      </c>
      <c r="J20" s="22">
        <v>0.7</v>
      </c>
      <c r="K20" s="22">
        <v>0.86</v>
      </c>
      <c r="L20" s="22">
        <f>AVERAGE(J20:K20)</f>
        <v>0.78</v>
      </c>
    </row>
    <row r="21" spans="2:12" ht="50.1" customHeight="1" thickBot="1" x14ac:dyDescent="0.3">
      <c r="C21" s="21" t="s">
        <v>213</v>
      </c>
      <c r="D21" s="22">
        <v>0.7</v>
      </c>
      <c r="E21" s="22">
        <v>0.65</v>
      </c>
      <c r="F21" s="22">
        <f t="shared" ref="F21:F26" si="4">AVERAGE(D21:E21)</f>
        <v>0.67500000000000004</v>
      </c>
      <c r="G21" s="22">
        <v>0.87029999999999996</v>
      </c>
      <c r="H21" s="22">
        <v>0.74</v>
      </c>
      <c r="I21" s="22">
        <f t="shared" si="3"/>
        <v>0.80515000000000003</v>
      </c>
      <c r="J21" s="22">
        <v>0.82</v>
      </c>
      <c r="K21" s="22">
        <v>0.87</v>
      </c>
      <c r="L21" s="22">
        <f t="shared" ref="L21:L26" si="5">AVERAGE(J21:K21)</f>
        <v>0.84499999999999997</v>
      </c>
    </row>
    <row r="22" spans="2:12" ht="50.1" customHeight="1" thickBot="1" x14ac:dyDescent="0.3">
      <c r="C22" s="21" t="s">
        <v>41</v>
      </c>
      <c r="D22" s="22">
        <v>0.68</v>
      </c>
      <c r="E22" s="22">
        <v>0.69</v>
      </c>
      <c r="F22" s="22">
        <f t="shared" si="4"/>
        <v>0.68500000000000005</v>
      </c>
      <c r="G22" s="22">
        <v>0.86009999999999998</v>
      </c>
      <c r="H22" s="22">
        <v>0.78</v>
      </c>
      <c r="I22" s="22">
        <f t="shared" si="3"/>
        <v>0.82004999999999995</v>
      </c>
      <c r="J22" s="22">
        <v>0.9</v>
      </c>
      <c r="K22" s="22">
        <v>0.85</v>
      </c>
      <c r="L22" s="22">
        <f t="shared" si="5"/>
        <v>0.875</v>
      </c>
    </row>
    <row r="23" spans="2:12" ht="50.1" customHeight="1" thickBot="1" x14ac:dyDescent="0.3">
      <c r="C23" s="21" t="s">
        <v>42</v>
      </c>
      <c r="D23" s="22">
        <v>0.68</v>
      </c>
      <c r="E23" s="22">
        <v>0.67030000000000001</v>
      </c>
      <c r="F23" s="22">
        <f t="shared" si="4"/>
        <v>0.67515000000000003</v>
      </c>
      <c r="G23" s="22">
        <v>0.86009999999999998</v>
      </c>
      <c r="H23" s="22">
        <v>0.82</v>
      </c>
      <c r="I23" s="22">
        <f t="shared" si="3"/>
        <v>0.84004999999999996</v>
      </c>
      <c r="J23" s="22">
        <v>0.83</v>
      </c>
      <c r="K23" s="22">
        <v>0.79</v>
      </c>
      <c r="L23" s="22">
        <f t="shared" si="5"/>
        <v>0.81</v>
      </c>
    </row>
    <row r="24" spans="2:12" ht="50.1" customHeight="1" thickBot="1" x14ac:dyDescent="0.3">
      <c r="C24" s="21" t="s">
        <v>43</v>
      </c>
      <c r="D24" s="22">
        <v>0.73</v>
      </c>
      <c r="E24" s="22">
        <v>0.65090000000000003</v>
      </c>
      <c r="F24" s="22">
        <f t="shared" si="4"/>
        <v>0.69045000000000001</v>
      </c>
      <c r="G24" s="22">
        <v>0.72009999999999996</v>
      </c>
      <c r="H24" s="22">
        <v>0.7</v>
      </c>
      <c r="I24" s="22">
        <f t="shared" si="3"/>
        <v>0.71004999999999996</v>
      </c>
      <c r="J24" s="22">
        <v>0.82</v>
      </c>
      <c r="K24" s="22">
        <v>0.85</v>
      </c>
      <c r="L24" s="22">
        <f t="shared" si="5"/>
        <v>0.83499999999999996</v>
      </c>
    </row>
    <row r="25" spans="2:12" ht="50.1" customHeight="1" thickBot="1" x14ac:dyDescent="0.3">
      <c r="C25" s="21" t="s">
        <v>44</v>
      </c>
      <c r="D25" s="22">
        <v>0.87060000000000004</v>
      </c>
      <c r="E25" s="22">
        <v>0.81040000000000001</v>
      </c>
      <c r="F25" s="22">
        <f t="shared" si="4"/>
        <v>0.84050000000000002</v>
      </c>
      <c r="G25" s="22">
        <v>0.87019999999999997</v>
      </c>
      <c r="H25" s="22">
        <v>0.79</v>
      </c>
      <c r="I25" s="22">
        <f t="shared" si="3"/>
        <v>0.83010000000000006</v>
      </c>
      <c r="J25" s="22">
        <v>0.83</v>
      </c>
      <c r="K25" s="22">
        <v>0.8</v>
      </c>
      <c r="L25" s="22">
        <f t="shared" si="5"/>
        <v>0.81499999999999995</v>
      </c>
    </row>
    <row r="26" spans="2:12" ht="50.1" customHeight="1" thickBot="1" x14ac:dyDescent="0.3">
      <c r="C26" s="21" t="s">
        <v>45</v>
      </c>
      <c r="D26" s="22">
        <v>0.75</v>
      </c>
      <c r="E26" s="22">
        <v>0.59019999999999995</v>
      </c>
      <c r="F26" s="22">
        <f t="shared" si="4"/>
        <v>0.67009999999999992</v>
      </c>
      <c r="G26" s="22">
        <v>0.89</v>
      </c>
      <c r="H26" s="22">
        <v>0.8</v>
      </c>
      <c r="I26" s="22">
        <f t="shared" si="3"/>
        <v>0.84499999999999997</v>
      </c>
      <c r="J26" s="22">
        <v>0.89</v>
      </c>
      <c r="K26" s="22">
        <v>0.91</v>
      </c>
      <c r="L26" s="22">
        <f t="shared" si="5"/>
        <v>0.9</v>
      </c>
    </row>
    <row r="28" spans="2:12" x14ac:dyDescent="0.25">
      <c r="B28" s="145" t="s">
        <v>311</v>
      </c>
      <c r="C28" s="133"/>
      <c r="D28" s="133"/>
      <c r="E28" s="133"/>
      <c r="F28" s="133"/>
      <c r="G28" s="133"/>
      <c r="H28" s="133"/>
      <c r="I28" s="133"/>
      <c r="J28" s="133"/>
      <c r="K28" s="133"/>
      <c r="L28" s="18"/>
    </row>
    <row r="29" spans="2:12" x14ac:dyDescent="0.25">
      <c r="B29" s="62"/>
      <c r="C29" s="18"/>
      <c r="D29" s="18"/>
      <c r="E29" s="18"/>
      <c r="F29" s="18"/>
      <c r="G29" s="18"/>
      <c r="H29" s="18"/>
      <c r="I29" s="18"/>
      <c r="J29" s="18"/>
      <c r="K29" s="18"/>
      <c r="L29" s="18"/>
    </row>
    <row r="30" spans="2:12" ht="15.75" thickBot="1" x14ac:dyDescent="0.3"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</row>
    <row r="31" spans="2:12" ht="48.75" customHeight="1" thickBot="1" x14ac:dyDescent="0.3">
      <c r="B31" s="18"/>
      <c r="C31" s="19" t="s">
        <v>98</v>
      </c>
      <c r="D31" s="146" t="s">
        <v>62</v>
      </c>
      <c r="E31" s="147"/>
      <c r="F31" s="148"/>
      <c r="G31" s="146" t="s">
        <v>63</v>
      </c>
      <c r="H31" s="147"/>
      <c r="I31" s="148"/>
      <c r="J31" s="149" t="s">
        <v>89</v>
      </c>
      <c r="K31" s="150"/>
      <c r="L31" s="151"/>
    </row>
    <row r="32" spans="2:12" ht="15.75" thickBot="1" x14ac:dyDescent="0.3">
      <c r="C32" s="20"/>
      <c r="D32" s="20" t="s">
        <v>95</v>
      </c>
      <c r="E32" s="20" t="s">
        <v>96</v>
      </c>
      <c r="F32" s="20" t="s">
        <v>99</v>
      </c>
      <c r="G32" s="20" t="s">
        <v>95</v>
      </c>
      <c r="H32" s="20" t="s">
        <v>96</v>
      </c>
      <c r="I32" s="20" t="s">
        <v>99</v>
      </c>
      <c r="J32" s="20" t="s">
        <v>95</v>
      </c>
      <c r="K32" s="20" t="s">
        <v>96</v>
      </c>
      <c r="L32" s="61" t="s">
        <v>99</v>
      </c>
    </row>
    <row r="33" spans="3:12" ht="15.75" thickBot="1" x14ac:dyDescent="0.3">
      <c r="C33" s="21" t="s">
        <v>40</v>
      </c>
      <c r="D33" s="67">
        <v>0.81</v>
      </c>
      <c r="E33" s="22">
        <v>0.74050000000000005</v>
      </c>
      <c r="F33" s="22">
        <f>AVERAGE(D33:E33)</f>
        <v>0.77524999999999999</v>
      </c>
      <c r="G33" s="22">
        <v>0.78029999999999999</v>
      </c>
      <c r="H33" s="22">
        <v>0.79</v>
      </c>
      <c r="I33" s="22">
        <f t="shared" ref="I33:I39" si="6">AVERAGE(G33:H33)</f>
        <v>0.78515000000000001</v>
      </c>
      <c r="J33" s="22">
        <v>0.71</v>
      </c>
      <c r="K33" s="22">
        <v>0.86</v>
      </c>
      <c r="L33" s="22">
        <f>AVERAGE(J33:K33)</f>
        <v>0.78499999999999992</v>
      </c>
    </row>
    <row r="34" spans="3:12" ht="15.75" thickBot="1" x14ac:dyDescent="0.3">
      <c r="C34" s="21" t="s">
        <v>213</v>
      </c>
      <c r="D34" s="22">
        <v>0.72</v>
      </c>
      <c r="E34" s="22">
        <v>0.61</v>
      </c>
      <c r="F34" s="22">
        <f t="shared" ref="F34:F39" si="7">AVERAGE(D34:E34)</f>
        <v>0.66500000000000004</v>
      </c>
      <c r="G34" s="22">
        <v>0.88029999999999997</v>
      </c>
      <c r="H34" s="22">
        <v>0.73</v>
      </c>
      <c r="I34" s="22">
        <f t="shared" si="6"/>
        <v>0.80515000000000003</v>
      </c>
      <c r="J34" s="22">
        <v>0.84</v>
      </c>
      <c r="K34" s="22">
        <v>0.87</v>
      </c>
      <c r="L34" s="22">
        <f t="shared" ref="L34:L39" si="8">AVERAGE(J34:K34)</f>
        <v>0.85499999999999998</v>
      </c>
    </row>
    <row r="35" spans="3:12" ht="15.75" thickBot="1" x14ac:dyDescent="0.3">
      <c r="C35" s="21" t="s">
        <v>41</v>
      </c>
      <c r="D35" s="22">
        <v>0.69</v>
      </c>
      <c r="E35" s="22">
        <v>0.64</v>
      </c>
      <c r="F35" s="22">
        <f t="shared" si="7"/>
        <v>0.66500000000000004</v>
      </c>
      <c r="G35" s="22">
        <v>0.87009999999999998</v>
      </c>
      <c r="H35" s="22">
        <v>0.78</v>
      </c>
      <c r="I35" s="22">
        <f t="shared" si="6"/>
        <v>0.82505000000000006</v>
      </c>
      <c r="J35" s="22">
        <v>0.91</v>
      </c>
      <c r="K35" s="22">
        <v>0.85</v>
      </c>
      <c r="L35" s="22">
        <f t="shared" si="8"/>
        <v>0.88</v>
      </c>
    </row>
    <row r="36" spans="3:12" ht="15.75" thickBot="1" x14ac:dyDescent="0.3">
      <c r="C36" s="21" t="s">
        <v>42</v>
      </c>
      <c r="D36" s="22">
        <v>0.68</v>
      </c>
      <c r="E36" s="22">
        <v>0.62029999999999996</v>
      </c>
      <c r="F36" s="22">
        <f t="shared" si="7"/>
        <v>0.65015000000000001</v>
      </c>
      <c r="G36" s="22">
        <v>0.81010000000000004</v>
      </c>
      <c r="H36" s="22">
        <v>0.82</v>
      </c>
      <c r="I36" s="22">
        <f t="shared" si="6"/>
        <v>0.81505000000000005</v>
      </c>
      <c r="J36" s="22">
        <v>0.85</v>
      </c>
      <c r="K36" s="22">
        <v>0.79</v>
      </c>
      <c r="L36" s="22">
        <f t="shared" si="8"/>
        <v>0.82000000000000006</v>
      </c>
    </row>
    <row r="37" spans="3:12" ht="15.75" thickBot="1" x14ac:dyDescent="0.3">
      <c r="C37" s="21" t="s">
        <v>43</v>
      </c>
      <c r="D37" s="22">
        <v>0.74</v>
      </c>
      <c r="E37" s="22">
        <v>0.6109</v>
      </c>
      <c r="F37" s="22">
        <f t="shared" si="7"/>
        <v>0.67544999999999999</v>
      </c>
      <c r="G37" s="22">
        <v>0.74009999999999998</v>
      </c>
      <c r="H37" s="22">
        <v>0.7</v>
      </c>
      <c r="I37" s="22">
        <f t="shared" si="6"/>
        <v>0.72004999999999997</v>
      </c>
      <c r="J37" s="22">
        <v>0.84</v>
      </c>
      <c r="K37" s="22">
        <v>0.85</v>
      </c>
      <c r="L37" s="22">
        <f t="shared" si="8"/>
        <v>0.84499999999999997</v>
      </c>
    </row>
    <row r="38" spans="3:12" ht="15.75" thickBot="1" x14ac:dyDescent="0.3">
      <c r="C38" s="21" t="s">
        <v>44</v>
      </c>
      <c r="D38" s="22">
        <v>0.88060000000000005</v>
      </c>
      <c r="E38" s="22">
        <v>0.8004</v>
      </c>
      <c r="F38" s="22">
        <f t="shared" si="7"/>
        <v>0.84050000000000002</v>
      </c>
      <c r="G38" s="22">
        <v>0.88019999999999998</v>
      </c>
      <c r="H38" s="22">
        <v>0.79</v>
      </c>
      <c r="I38" s="22">
        <f t="shared" si="6"/>
        <v>0.83509999999999995</v>
      </c>
      <c r="J38" s="22">
        <v>0.85</v>
      </c>
      <c r="K38" s="22">
        <v>0.8</v>
      </c>
      <c r="L38" s="22">
        <f t="shared" si="8"/>
        <v>0.82499999999999996</v>
      </c>
    </row>
    <row r="39" spans="3:12" ht="15.75" thickBot="1" x14ac:dyDescent="0.3">
      <c r="C39" s="21" t="s">
        <v>45</v>
      </c>
      <c r="D39" s="22">
        <v>0.77</v>
      </c>
      <c r="E39" s="22">
        <v>0.59019999999999995</v>
      </c>
      <c r="F39" s="22">
        <f t="shared" si="7"/>
        <v>0.68009999999999993</v>
      </c>
      <c r="G39" s="22">
        <v>0.88</v>
      </c>
      <c r="H39" s="22">
        <v>0.8</v>
      </c>
      <c r="I39" s="22">
        <f t="shared" si="6"/>
        <v>0.84000000000000008</v>
      </c>
      <c r="J39" s="22">
        <v>0.89</v>
      </c>
      <c r="K39" s="22">
        <v>0.91</v>
      </c>
      <c r="L39" s="22">
        <f t="shared" si="8"/>
        <v>0.9</v>
      </c>
    </row>
  </sheetData>
  <mergeCells count="12">
    <mergeCell ref="B28:K28"/>
    <mergeCell ref="D31:F31"/>
    <mergeCell ref="G31:I31"/>
    <mergeCell ref="J31:L31"/>
    <mergeCell ref="D18:F18"/>
    <mergeCell ref="G18:I18"/>
    <mergeCell ref="J18:L18"/>
    <mergeCell ref="B2:K2"/>
    <mergeCell ref="D4:F4"/>
    <mergeCell ref="G4:I4"/>
    <mergeCell ref="J4:L4"/>
    <mergeCell ref="B15:K15"/>
  </mergeCells>
  <pageMargins left="0" right="0" top="0" bottom="0" header="0" footer="0"/>
  <pageSetup paperSize="9" scale="5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O32"/>
  <sheetViews>
    <sheetView topLeftCell="B1" workbookViewId="0">
      <selection activeCell="H1" sqref="H1"/>
    </sheetView>
  </sheetViews>
  <sheetFormatPr defaultColWidth="9" defaultRowHeight="15" x14ac:dyDescent="0.25"/>
  <cols>
    <col min="2" max="2" width="14.5703125" customWidth="1"/>
    <col min="3" max="3" width="17.140625" customWidth="1"/>
    <col min="4" max="4" width="11" customWidth="1"/>
    <col min="5" max="12" width="15.7109375" customWidth="1"/>
  </cols>
  <sheetData>
    <row r="2" spans="1:15" ht="51" customHeight="1" x14ac:dyDescent="0.25">
      <c r="A2" s="7"/>
      <c r="B2" s="133" t="s">
        <v>100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7"/>
      <c r="N2" s="7"/>
      <c r="O2" s="7"/>
    </row>
    <row r="3" spans="1:15" ht="30.95" customHeight="1" x14ac:dyDescent="0.25">
      <c r="A3" s="7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7"/>
      <c r="N3" s="7"/>
      <c r="O3" s="7"/>
    </row>
    <row r="4" spans="1:15" ht="50.1" customHeight="1" x14ac:dyDescent="0.25">
      <c r="C4" s="24"/>
      <c r="D4" s="24" t="s">
        <v>101</v>
      </c>
      <c r="E4" s="24" t="s">
        <v>102</v>
      </c>
      <c r="F4" s="24" t="s">
        <v>103</v>
      </c>
      <c r="G4" s="24" t="s">
        <v>104</v>
      </c>
      <c r="H4" s="24" t="s">
        <v>105</v>
      </c>
      <c r="I4" s="24" t="s">
        <v>106</v>
      </c>
      <c r="J4" s="24" t="s">
        <v>107</v>
      </c>
      <c r="K4" s="24" t="s">
        <v>108</v>
      </c>
      <c r="L4" s="24" t="s">
        <v>109</v>
      </c>
    </row>
    <row r="5" spans="1:15" ht="50.1" customHeight="1" x14ac:dyDescent="0.25">
      <c r="B5" s="152" t="s">
        <v>110</v>
      </c>
      <c r="C5" s="20" t="s">
        <v>46</v>
      </c>
      <c r="D5" s="20"/>
      <c r="E5" s="20"/>
      <c r="F5" s="20"/>
      <c r="G5" s="20"/>
      <c r="H5" s="20"/>
      <c r="I5" s="20"/>
      <c r="J5" s="20"/>
      <c r="K5" s="20"/>
      <c r="L5" s="20"/>
    </row>
    <row r="6" spans="1:15" ht="50.1" customHeight="1" x14ac:dyDescent="0.25">
      <c r="B6" s="152"/>
      <c r="C6" s="20" t="s">
        <v>47</v>
      </c>
      <c r="D6" s="20"/>
      <c r="E6" s="20"/>
      <c r="F6" s="20"/>
      <c r="G6" s="20"/>
      <c r="H6" s="20"/>
      <c r="I6" s="20"/>
      <c r="J6" s="20"/>
      <c r="K6" s="20"/>
      <c r="L6" s="20"/>
    </row>
    <row r="7" spans="1:15" ht="50.1" customHeight="1" x14ac:dyDescent="0.25">
      <c r="B7" s="152" t="s">
        <v>111</v>
      </c>
      <c r="C7" s="21" t="s">
        <v>46</v>
      </c>
      <c r="D7" s="21"/>
      <c r="E7" s="23"/>
      <c r="F7" s="23"/>
      <c r="G7" s="23"/>
      <c r="H7" s="23"/>
      <c r="I7" s="23"/>
      <c r="J7" s="23"/>
      <c r="K7" s="23"/>
      <c r="L7" s="23"/>
    </row>
    <row r="8" spans="1:15" ht="50.1" customHeight="1" x14ac:dyDescent="0.25">
      <c r="B8" s="152"/>
      <c r="C8" s="21" t="s">
        <v>47</v>
      </c>
      <c r="D8" s="21"/>
      <c r="E8" s="23"/>
      <c r="F8" s="23"/>
      <c r="G8" s="23"/>
      <c r="H8" s="23"/>
      <c r="I8" s="23"/>
      <c r="J8" s="23"/>
      <c r="K8" s="23"/>
      <c r="L8" s="23"/>
    </row>
    <row r="9" spans="1:15" ht="50.1" customHeight="1" x14ac:dyDescent="0.25">
      <c r="B9" s="152" t="s">
        <v>112</v>
      </c>
      <c r="C9" s="21" t="s">
        <v>46</v>
      </c>
      <c r="D9" s="21"/>
      <c r="E9" s="23"/>
      <c r="F9" s="23"/>
      <c r="G9" s="23"/>
      <c r="H9" s="23"/>
      <c r="I9" s="23"/>
      <c r="J9" s="23"/>
      <c r="K9" s="23"/>
      <c r="L9" s="23"/>
    </row>
    <row r="10" spans="1:15" ht="50.1" customHeight="1" x14ac:dyDescent="0.25">
      <c r="B10" s="152"/>
      <c r="C10" s="21" t="s">
        <v>47</v>
      </c>
      <c r="D10" s="21"/>
      <c r="E10" s="23"/>
      <c r="F10" s="23"/>
      <c r="G10" s="23"/>
      <c r="H10" s="23"/>
      <c r="I10" s="23"/>
      <c r="J10" s="23"/>
      <c r="K10" s="23"/>
      <c r="L10" s="23"/>
    </row>
    <row r="11" spans="1:15" ht="50.1" customHeight="1" x14ac:dyDescent="0.25">
      <c r="B11" s="152" t="s">
        <v>113</v>
      </c>
      <c r="C11" s="21" t="s">
        <v>46</v>
      </c>
      <c r="D11" s="21"/>
      <c r="E11" s="23"/>
      <c r="F11" s="23"/>
      <c r="G11" s="23"/>
      <c r="H11" s="23"/>
      <c r="I11" s="23"/>
      <c r="J11" s="23"/>
      <c r="K11" s="23"/>
      <c r="L11" s="23"/>
    </row>
    <row r="12" spans="1:15" ht="50.1" customHeight="1" x14ac:dyDescent="0.25">
      <c r="B12" s="152"/>
      <c r="C12" s="21" t="s">
        <v>47</v>
      </c>
      <c r="D12" s="21"/>
      <c r="E12" s="23"/>
      <c r="F12" s="23"/>
      <c r="G12" s="23"/>
      <c r="H12" s="23"/>
      <c r="I12" s="23"/>
      <c r="J12" s="23"/>
      <c r="K12" s="23"/>
      <c r="L12" s="23"/>
    </row>
    <row r="13" spans="1:15" ht="50.1" customHeight="1" x14ac:dyDescent="0.25">
      <c r="B13" s="152" t="s">
        <v>114</v>
      </c>
      <c r="C13" s="21" t="s">
        <v>46</v>
      </c>
      <c r="D13" s="21"/>
      <c r="E13" s="23"/>
      <c r="F13" s="23"/>
      <c r="G13" s="23"/>
      <c r="H13" s="23"/>
      <c r="I13" s="23"/>
      <c r="J13" s="23"/>
      <c r="K13" s="23"/>
      <c r="L13" s="23"/>
    </row>
    <row r="14" spans="1:15" ht="50.1" customHeight="1" x14ac:dyDescent="0.25">
      <c r="B14" s="152"/>
      <c r="C14" s="21" t="s">
        <v>47</v>
      </c>
      <c r="D14" s="21"/>
      <c r="E14" s="23"/>
      <c r="F14" s="23"/>
      <c r="G14" s="23"/>
      <c r="H14" s="23"/>
      <c r="I14" s="23"/>
      <c r="J14" s="23"/>
      <c r="K14" s="23"/>
      <c r="L14" s="23"/>
    </row>
    <row r="15" spans="1:15" ht="50.1" customHeight="1" x14ac:dyDescent="0.25">
      <c r="B15" s="152" t="s">
        <v>115</v>
      </c>
      <c r="C15" s="21" t="s">
        <v>46</v>
      </c>
      <c r="D15" s="21"/>
      <c r="E15" s="23"/>
      <c r="F15" s="23"/>
      <c r="G15" s="23"/>
      <c r="H15" s="23"/>
      <c r="I15" s="23"/>
      <c r="J15" s="23"/>
      <c r="K15" s="23"/>
      <c r="L15" s="23"/>
    </row>
    <row r="16" spans="1:15" ht="50.1" customHeight="1" x14ac:dyDescent="0.25">
      <c r="B16" s="152"/>
      <c r="C16" s="21" t="s">
        <v>47</v>
      </c>
      <c r="D16" s="21"/>
      <c r="E16" s="23"/>
      <c r="F16" s="23"/>
      <c r="G16" s="23"/>
      <c r="H16" s="23"/>
      <c r="I16" s="23"/>
      <c r="J16" s="23"/>
      <c r="K16" s="23"/>
      <c r="L16" s="23"/>
    </row>
    <row r="17" spans="2:12" ht="50.1" customHeight="1" x14ac:dyDescent="0.25">
      <c r="B17" s="152" t="s">
        <v>116</v>
      </c>
      <c r="C17" s="21" t="s">
        <v>46</v>
      </c>
      <c r="D17" s="21"/>
      <c r="E17" s="23"/>
      <c r="F17" s="23"/>
      <c r="G17" s="23"/>
      <c r="H17" s="23"/>
      <c r="I17" s="23"/>
      <c r="J17" s="23"/>
      <c r="K17" s="23"/>
      <c r="L17" s="23"/>
    </row>
    <row r="18" spans="2:12" ht="50.1" customHeight="1" x14ac:dyDescent="0.25">
      <c r="B18" s="152"/>
      <c r="C18" s="21" t="s">
        <v>47</v>
      </c>
      <c r="D18" s="21"/>
      <c r="E18" s="23"/>
      <c r="F18" s="23"/>
      <c r="G18" s="23"/>
      <c r="H18" s="23"/>
      <c r="I18" s="23"/>
      <c r="J18" s="23"/>
      <c r="K18" s="23"/>
      <c r="L18" s="23"/>
    </row>
    <row r="19" spans="2:12" ht="50.1" customHeight="1" x14ac:dyDescent="0.25">
      <c r="B19" s="152" t="s">
        <v>117</v>
      </c>
      <c r="C19" s="21" t="s">
        <v>46</v>
      </c>
      <c r="D19" s="21"/>
      <c r="E19" s="23"/>
      <c r="F19" s="23"/>
      <c r="G19" s="23"/>
      <c r="H19" s="23"/>
      <c r="I19" s="23"/>
      <c r="J19" s="23"/>
      <c r="K19" s="23"/>
      <c r="L19" s="23"/>
    </row>
    <row r="20" spans="2:12" ht="50.1" customHeight="1" x14ac:dyDescent="0.25">
      <c r="B20" s="152"/>
      <c r="C20" s="21" t="s">
        <v>47</v>
      </c>
      <c r="D20" s="21"/>
      <c r="E20" s="23"/>
      <c r="F20" s="23"/>
      <c r="G20" s="23"/>
      <c r="H20" s="23"/>
      <c r="I20" s="23"/>
      <c r="J20" s="23"/>
      <c r="K20" s="23"/>
      <c r="L20" s="23"/>
    </row>
    <row r="21" spans="2:12" ht="50.1" customHeight="1" x14ac:dyDescent="0.25">
      <c r="B21" s="152" t="s">
        <v>118</v>
      </c>
      <c r="C21" s="21" t="s">
        <v>46</v>
      </c>
      <c r="D21" s="21"/>
      <c r="E21" s="23"/>
      <c r="F21" s="23"/>
      <c r="G21" s="23"/>
      <c r="H21" s="23"/>
      <c r="I21" s="23"/>
      <c r="J21" s="23"/>
      <c r="K21" s="23"/>
      <c r="L21" s="23"/>
    </row>
    <row r="22" spans="2:12" ht="50.1" customHeight="1" x14ac:dyDescent="0.25">
      <c r="B22" s="152"/>
      <c r="C22" s="21" t="s">
        <v>47</v>
      </c>
      <c r="D22" s="21"/>
      <c r="E22" s="23"/>
      <c r="F22" s="23"/>
      <c r="G22" s="23"/>
      <c r="H22" s="23"/>
      <c r="I22" s="23"/>
      <c r="J22" s="23"/>
      <c r="K22" s="23"/>
      <c r="L22" s="23"/>
    </row>
    <row r="23" spans="2:12" ht="50.1" customHeight="1" x14ac:dyDescent="0.25">
      <c r="B23" s="152" t="s">
        <v>119</v>
      </c>
      <c r="C23" s="21" t="s">
        <v>46</v>
      </c>
      <c r="D23" s="21"/>
      <c r="E23" s="23"/>
      <c r="F23" s="23"/>
      <c r="G23" s="23"/>
      <c r="H23" s="23"/>
      <c r="I23" s="23"/>
      <c r="J23" s="23"/>
      <c r="K23" s="23"/>
      <c r="L23" s="23"/>
    </row>
    <row r="24" spans="2:12" ht="50.1" customHeight="1" x14ac:dyDescent="0.25">
      <c r="B24" s="152"/>
      <c r="C24" s="21" t="s">
        <v>47</v>
      </c>
      <c r="D24" s="21"/>
      <c r="E24" s="23"/>
      <c r="F24" s="23"/>
      <c r="G24" s="23"/>
      <c r="H24" s="23"/>
      <c r="I24" s="23"/>
      <c r="J24" s="23"/>
      <c r="K24" s="23"/>
      <c r="L24" s="23"/>
    </row>
    <row r="25" spans="2:12" ht="50.1" customHeight="1" x14ac:dyDescent="0.25">
      <c r="B25" s="152" t="s">
        <v>120</v>
      </c>
      <c r="C25" s="21" t="s">
        <v>46</v>
      </c>
      <c r="D25" s="21"/>
      <c r="E25" s="23"/>
      <c r="F25" s="23"/>
      <c r="G25" s="23"/>
      <c r="H25" s="23"/>
      <c r="I25" s="23"/>
      <c r="J25" s="23"/>
      <c r="K25" s="23"/>
      <c r="L25" s="23"/>
    </row>
    <row r="26" spans="2:12" ht="50.1" customHeight="1" x14ac:dyDescent="0.25">
      <c r="B26" s="152"/>
      <c r="C26" s="21" t="s">
        <v>47</v>
      </c>
      <c r="D26" s="21"/>
      <c r="E26" s="23"/>
      <c r="F26" s="23"/>
      <c r="G26" s="23"/>
      <c r="H26" s="23"/>
      <c r="I26" s="23"/>
      <c r="J26" s="23"/>
      <c r="K26" s="23"/>
      <c r="L26" s="23"/>
    </row>
    <row r="27" spans="2:12" ht="50.1" customHeight="1" x14ac:dyDescent="0.25">
      <c r="B27" s="3"/>
      <c r="C27" s="3"/>
      <c r="D27" s="3"/>
    </row>
    <row r="28" spans="2:12" ht="50.1" customHeight="1" x14ac:dyDescent="0.25">
      <c r="B28" s="3"/>
      <c r="C28" s="3"/>
      <c r="D28" s="3"/>
    </row>
    <row r="29" spans="2:12" ht="50.1" customHeight="1" x14ac:dyDescent="0.25">
      <c r="B29" s="3"/>
      <c r="C29" s="3"/>
      <c r="D29" s="3"/>
    </row>
    <row r="30" spans="2:12" ht="50.1" customHeight="1" x14ac:dyDescent="0.25">
      <c r="B30" s="3"/>
      <c r="C30" s="3"/>
      <c r="D30" s="3"/>
    </row>
    <row r="31" spans="2:12" ht="50.1" customHeight="1" x14ac:dyDescent="0.25">
      <c r="B31" s="3"/>
      <c r="C31" s="3"/>
      <c r="D31" s="3"/>
    </row>
    <row r="32" spans="2:12" ht="50.1" customHeight="1" x14ac:dyDescent="0.25">
      <c r="B32" s="3"/>
      <c r="C32" s="3"/>
      <c r="D32" s="3"/>
    </row>
  </sheetData>
  <mergeCells count="12">
    <mergeCell ref="B2:L2"/>
    <mergeCell ref="B5:B6"/>
    <mergeCell ref="B23:B24"/>
    <mergeCell ref="B21:B22"/>
    <mergeCell ref="B17:B18"/>
    <mergeCell ref="B13:B14"/>
    <mergeCell ref="B25:B26"/>
    <mergeCell ref="B7:B8"/>
    <mergeCell ref="B19:B20"/>
    <mergeCell ref="B15:B16"/>
    <mergeCell ref="B9:B10"/>
    <mergeCell ref="B11:B12"/>
  </mergeCells>
  <pageMargins left="0" right="0" top="0" bottom="0" header="0" footer="0"/>
  <pageSetup paperSize="9" scale="5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2"/>
  <sheetViews>
    <sheetView workbookViewId="0">
      <selection activeCell="F9" sqref="F9"/>
    </sheetView>
  </sheetViews>
  <sheetFormatPr defaultColWidth="9" defaultRowHeight="15" x14ac:dyDescent="0.25"/>
  <cols>
    <col min="2" max="2" width="33.5703125" customWidth="1"/>
    <col min="3" max="3" width="25" customWidth="1"/>
    <col min="4" max="4" width="29.7109375" customWidth="1"/>
    <col min="5" max="5" width="24.5703125" customWidth="1"/>
  </cols>
  <sheetData>
    <row r="1" spans="1:8" x14ac:dyDescent="0.25">
      <c r="B1" s="152" t="s">
        <v>121</v>
      </c>
      <c r="C1" s="152"/>
      <c r="D1" s="152"/>
      <c r="E1" s="152"/>
    </row>
    <row r="2" spans="1:8" x14ac:dyDescent="0.25">
      <c r="B2" s="152" t="s">
        <v>122</v>
      </c>
      <c r="C2" s="152"/>
      <c r="D2" s="152"/>
      <c r="E2" s="152"/>
    </row>
    <row r="3" spans="1:8" ht="21" customHeight="1" x14ac:dyDescent="0.25">
      <c r="A3" s="7"/>
      <c r="B3" s="18"/>
      <c r="C3" s="18"/>
      <c r="D3" s="18"/>
      <c r="E3" s="18"/>
      <c r="F3" s="7"/>
      <c r="G3" s="7"/>
      <c r="H3" s="7"/>
    </row>
    <row r="4" spans="1:8" ht="50.1" customHeight="1" x14ac:dyDescent="0.25">
      <c r="B4" s="24" t="s">
        <v>123</v>
      </c>
      <c r="C4" s="24" t="s">
        <v>124</v>
      </c>
      <c r="D4" s="19" t="s">
        <v>125</v>
      </c>
      <c r="E4" s="19" t="s">
        <v>126</v>
      </c>
    </row>
    <row r="5" spans="1:8" ht="50.1" customHeight="1" x14ac:dyDescent="0.25">
      <c r="B5" s="20"/>
      <c r="C5" s="20"/>
      <c r="D5" s="20"/>
      <c r="E5" s="20"/>
    </row>
    <row r="6" spans="1:8" ht="50.1" customHeight="1" x14ac:dyDescent="0.25">
      <c r="B6" s="20"/>
      <c r="C6" s="20"/>
      <c r="D6" s="20"/>
      <c r="E6" s="20"/>
    </row>
    <row r="7" spans="1:8" ht="50.1" customHeight="1" x14ac:dyDescent="0.25">
      <c r="B7" s="21"/>
      <c r="C7" s="21"/>
      <c r="D7" s="23"/>
      <c r="E7" s="23"/>
    </row>
    <row r="8" spans="1:8" ht="50.1" customHeight="1" x14ac:dyDescent="0.25">
      <c r="B8" s="21"/>
      <c r="C8" s="21"/>
      <c r="D8" s="23"/>
      <c r="E8" s="23"/>
    </row>
    <row r="9" spans="1:8" ht="50.1" customHeight="1" x14ac:dyDescent="0.25">
      <c r="B9" s="21"/>
      <c r="C9" s="21"/>
      <c r="D9" s="23"/>
      <c r="E9" s="23"/>
    </row>
    <row r="10" spans="1:8" ht="50.1" customHeight="1" x14ac:dyDescent="0.25">
      <c r="B10" s="21"/>
      <c r="C10" s="21"/>
      <c r="D10" s="23"/>
      <c r="E10" s="23"/>
    </row>
    <row r="11" spans="1:8" ht="50.1" customHeight="1" x14ac:dyDescent="0.25">
      <c r="B11" s="21"/>
      <c r="C11" s="21"/>
      <c r="D11" s="23"/>
      <c r="E11" s="23"/>
    </row>
    <row r="12" spans="1:8" ht="50.1" customHeight="1" x14ac:dyDescent="0.25">
      <c r="B12" s="21"/>
      <c r="C12" s="21"/>
      <c r="D12" s="23"/>
      <c r="E12" s="23"/>
    </row>
    <row r="13" spans="1:8" ht="50.1" customHeight="1" x14ac:dyDescent="0.25">
      <c r="B13" s="21"/>
      <c r="C13" s="21"/>
      <c r="D13" s="23"/>
      <c r="E13" s="23"/>
    </row>
    <row r="14" spans="1:8" ht="50.1" customHeight="1" x14ac:dyDescent="0.25">
      <c r="B14" s="21"/>
      <c r="C14" s="21"/>
      <c r="D14" s="23"/>
      <c r="E14" s="23"/>
    </row>
    <row r="15" spans="1:8" ht="50.1" customHeight="1" x14ac:dyDescent="0.25">
      <c r="B15" s="21"/>
      <c r="C15" s="21"/>
      <c r="D15" s="23"/>
      <c r="E15" s="23"/>
    </row>
    <row r="16" spans="1:8" ht="50.1" customHeight="1" x14ac:dyDescent="0.25">
      <c r="B16" s="21"/>
      <c r="C16" s="21"/>
      <c r="D16" s="23"/>
      <c r="E16" s="23"/>
    </row>
    <row r="17" spans="2:5" ht="50.1" customHeight="1" x14ac:dyDescent="0.25">
      <c r="B17" s="21"/>
      <c r="C17" s="21"/>
      <c r="D17" s="23"/>
      <c r="E17" s="23"/>
    </row>
    <row r="18" spans="2:5" ht="50.1" customHeight="1" x14ac:dyDescent="0.25">
      <c r="B18" s="21"/>
      <c r="C18" s="21"/>
      <c r="D18" s="23"/>
      <c r="E18" s="23"/>
    </row>
    <row r="19" spans="2:5" ht="50.1" customHeight="1" x14ac:dyDescent="0.25">
      <c r="B19" s="21"/>
      <c r="C19" s="21"/>
      <c r="D19" s="23"/>
      <c r="E19" s="23"/>
    </row>
    <row r="20" spans="2:5" ht="50.1" customHeight="1" x14ac:dyDescent="0.25">
      <c r="B20" s="21"/>
      <c r="C20" s="21"/>
      <c r="D20" s="23"/>
      <c r="E20" s="23"/>
    </row>
    <row r="21" spans="2:5" ht="50.1" customHeight="1" x14ac:dyDescent="0.25">
      <c r="B21" s="21"/>
      <c r="C21" s="21"/>
      <c r="D21" s="23"/>
      <c r="E21" s="23"/>
    </row>
    <row r="22" spans="2:5" ht="50.1" customHeight="1" x14ac:dyDescent="0.25">
      <c r="B22" s="21"/>
      <c r="C22" s="21"/>
      <c r="D22" s="23"/>
      <c r="E22" s="23"/>
    </row>
    <row r="23" spans="2:5" ht="50.1" customHeight="1" x14ac:dyDescent="0.25">
      <c r="B23" s="21"/>
      <c r="C23" s="21"/>
      <c r="D23" s="23"/>
      <c r="E23" s="23"/>
    </row>
    <row r="24" spans="2:5" ht="50.1" customHeight="1" x14ac:dyDescent="0.25">
      <c r="B24" s="21"/>
      <c r="C24" s="21"/>
      <c r="D24" s="23"/>
      <c r="E24" s="23"/>
    </row>
    <row r="25" spans="2:5" ht="50.1" customHeight="1" x14ac:dyDescent="0.25">
      <c r="B25" s="21"/>
      <c r="C25" s="21"/>
      <c r="D25" s="23"/>
      <c r="E25" s="23"/>
    </row>
    <row r="26" spans="2:5" ht="50.1" customHeight="1" x14ac:dyDescent="0.25">
      <c r="B26" s="21"/>
      <c r="C26" s="21"/>
      <c r="D26" s="23"/>
      <c r="E26" s="23"/>
    </row>
    <row r="27" spans="2:5" ht="50.1" customHeight="1" x14ac:dyDescent="0.25">
      <c r="B27" s="3"/>
      <c r="C27" s="3"/>
    </row>
    <row r="28" spans="2:5" ht="50.1" customHeight="1" x14ac:dyDescent="0.25">
      <c r="B28" s="3"/>
      <c r="C28" s="3"/>
    </row>
    <row r="29" spans="2:5" ht="50.1" customHeight="1" x14ac:dyDescent="0.25">
      <c r="B29" s="3"/>
      <c r="C29" s="3"/>
    </row>
    <row r="30" spans="2:5" ht="50.1" customHeight="1" x14ac:dyDescent="0.25">
      <c r="B30" s="3"/>
      <c r="C30" s="3"/>
    </row>
    <row r="31" spans="2:5" ht="50.1" customHeight="1" x14ac:dyDescent="0.25">
      <c r="B31" s="3"/>
      <c r="C31" s="3"/>
    </row>
    <row r="32" spans="2:5" ht="50.1" customHeight="1" x14ac:dyDescent="0.25">
      <c r="B32" s="3"/>
      <c r="C32" s="3"/>
    </row>
  </sheetData>
  <mergeCells count="2">
    <mergeCell ref="B1:E1"/>
    <mergeCell ref="B2:E2"/>
  </mergeCells>
  <pageMargins left="0" right="0" top="0" bottom="0" header="0" footer="0"/>
  <pageSetup paperSize="9" scale="5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2"/>
  <sheetViews>
    <sheetView workbookViewId="0">
      <selection activeCell="D8" sqref="D8"/>
    </sheetView>
  </sheetViews>
  <sheetFormatPr defaultColWidth="9" defaultRowHeight="15" x14ac:dyDescent="0.25"/>
  <cols>
    <col min="2" max="2" width="14.7109375" customWidth="1"/>
    <col min="3" max="3" width="52.85546875" customWidth="1"/>
    <col min="4" max="4" width="47.7109375" customWidth="1"/>
    <col min="5" max="5" width="35.7109375" customWidth="1"/>
  </cols>
  <sheetData>
    <row r="1" spans="1:8" x14ac:dyDescent="0.25">
      <c r="B1" s="152" t="s">
        <v>121</v>
      </c>
      <c r="C1" s="152"/>
      <c r="D1" s="152"/>
      <c r="E1" s="152"/>
    </row>
    <row r="2" spans="1:8" x14ac:dyDescent="0.25">
      <c r="B2" s="152" t="s">
        <v>122</v>
      </c>
      <c r="C2" s="152"/>
      <c r="D2" s="152"/>
      <c r="E2" s="152"/>
    </row>
    <row r="3" spans="1:8" ht="21" customHeight="1" x14ac:dyDescent="0.25">
      <c r="A3" s="7"/>
      <c r="B3" s="18"/>
      <c r="C3" s="18"/>
      <c r="D3" s="18"/>
      <c r="E3" s="18"/>
      <c r="F3" s="7"/>
      <c r="G3" s="7"/>
      <c r="H3" s="7"/>
    </row>
    <row r="4" spans="1:8" ht="50.1" customHeight="1" x14ac:dyDescent="0.25">
      <c r="B4" s="24" t="s">
        <v>127</v>
      </c>
      <c r="C4" s="24" t="s">
        <v>128</v>
      </c>
      <c r="D4" s="25" t="s">
        <v>129</v>
      </c>
      <c r="E4" s="26" t="s">
        <v>130</v>
      </c>
    </row>
    <row r="5" spans="1:8" ht="50.1" customHeight="1" x14ac:dyDescent="0.25">
      <c r="B5" s="20"/>
      <c r="C5" s="20"/>
      <c r="D5" s="20"/>
      <c r="E5" s="20"/>
    </row>
    <row r="6" spans="1:8" ht="50.1" customHeight="1" x14ac:dyDescent="0.25">
      <c r="B6" s="20"/>
      <c r="C6" s="20"/>
      <c r="D6" s="20"/>
      <c r="E6" s="20"/>
    </row>
    <row r="7" spans="1:8" ht="50.1" customHeight="1" x14ac:dyDescent="0.25">
      <c r="B7" s="21"/>
      <c r="C7" s="21"/>
      <c r="D7" s="23"/>
      <c r="E7" s="23"/>
    </row>
    <row r="8" spans="1:8" ht="50.1" customHeight="1" x14ac:dyDescent="0.25">
      <c r="B8" s="21"/>
      <c r="C8" s="21"/>
      <c r="D8" s="23"/>
      <c r="E8" s="23"/>
    </row>
    <row r="9" spans="1:8" ht="50.1" customHeight="1" x14ac:dyDescent="0.25">
      <c r="B9" s="21"/>
      <c r="C9" s="21"/>
      <c r="D9" s="23"/>
      <c r="E9" s="23"/>
    </row>
    <row r="10" spans="1:8" ht="50.1" customHeight="1" x14ac:dyDescent="0.25">
      <c r="B10" s="21"/>
      <c r="C10" s="21"/>
      <c r="D10" s="23"/>
      <c r="E10" s="23"/>
    </row>
    <row r="11" spans="1:8" ht="50.1" customHeight="1" x14ac:dyDescent="0.25">
      <c r="B11" s="21"/>
      <c r="C11" s="21"/>
      <c r="D11" s="23"/>
      <c r="E11" s="23"/>
    </row>
    <row r="12" spans="1:8" ht="50.1" customHeight="1" x14ac:dyDescent="0.25">
      <c r="B12" s="21"/>
      <c r="C12" s="21"/>
      <c r="D12" s="23"/>
      <c r="E12" s="23"/>
    </row>
    <row r="13" spans="1:8" ht="50.1" customHeight="1" x14ac:dyDescent="0.25">
      <c r="B13" s="21"/>
      <c r="C13" s="21"/>
      <c r="D13" s="23"/>
      <c r="E13" s="23"/>
    </row>
    <row r="14" spans="1:8" ht="50.1" customHeight="1" x14ac:dyDescent="0.25">
      <c r="B14" s="21"/>
      <c r="C14" s="21"/>
      <c r="D14" s="23"/>
      <c r="E14" s="23"/>
    </row>
    <row r="15" spans="1:8" ht="50.1" customHeight="1" x14ac:dyDescent="0.25">
      <c r="B15" s="21"/>
      <c r="C15" s="21"/>
      <c r="D15" s="23"/>
      <c r="E15" s="23"/>
    </row>
    <row r="16" spans="1:8" ht="50.1" customHeight="1" x14ac:dyDescent="0.25">
      <c r="B16" s="21"/>
      <c r="C16" s="21"/>
      <c r="D16" s="23"/>
      <c r="E16" s="23"/>
    </row>
    <row r="17" spans="2:5" ht="50.1" customHeight="1" x14ac:dyDescent="0.25">
      <c r="B17" s="21"/>
      <c r="C17" s="21"/>
      <c r="D17" s="23"/>
      <c r="E17" s="23"/>
    </row>
    <row r="18" spans="2:5" ht="50.1" customHeight="1" x14ac:dyDescent="0.25">
      <c r="B18" s="21"/>
      <c r="C18" s="21"/>
      <c r="D18" s="23"/>
      <c r="E18" s="23"/>
    </row>
    <row r="19" spans="2:5" ht="50.1" customHeight="1" x14ac:dyDescent="0.25">
      <c r="B19" s="21"/>
      <c r="C19" s="21"/>
      <c r="D19" s="23"/>
      <c r="E19" s="23"/>
    </row>
    <row r="20" spans="2:5" ht="50.1" customHeight="1" x14ac:dyDescent="0.25">
      <c r="B20" s="21"/>
      <c r="C20" s="21"/>
      <c r="D20" s="23"/>
      <c r="E20" s="23"/>
    </row>
    <row r="21" spans="2:5" ht="50.1" customHeight="1" x14ac:dyDescent="0.25">
      <c r="B21" s="21"/>
      <c r="C21" s="21"/>
      <c r="D21" s="23"/>
      <c r="E21" s="23"/>
    </row>
    <row r="22" spans="2:5" ht="50.1" customHeight="1" x14ac:dyDescent="0.25">
      <c r="B22" s="21"/>
      <c r="C22" s="21"/>
      <c r="D22" s="23"/>
      <c r="E22" s="23"/>
    </row>
    <row r="23" spans="2:5" ht="50.1" customHeight="1" x14ac:dyDescent="0.25">
      <c r="B23" s="21"/>
      <c r="C23" s="21"/>
      <c r="D23" s="23"/>
      <c r="E23" s="23"/>
    </row>
    <row r="24" spans="2:5" ht="50.1" customHeight="1" x14ac:dyDescent="0.25">
      <c r="B24" s="21"/>
      <c r="C24" s="21"/>
      <c r="D24" s="23"/>
      <c r="E24" s="23"/>
    </row>
    <row r="25" spans="2:5" ht="50.1" customHeight="1" x14ac:dyDescent="0.25">
      <c r="B25" s="21"/>
      <c r="C25" s="21"/>
      <c r="D25" s="23"/>
      <c r="E25" s="23"/>
    </row>
    <row r="26" spans="2:5" ht="50.1" customHeight="1" x14ac:dyDescent="0.25">
      <c r="B26" s="21"/>
      <c r="C26" s="21"/>
      <c r="D26" s="23"/>
      <c r="E26" s="23"/>
    </row>
    <row r="27" spans="2:5" ht="50.1" customHeight="1" x14ac:dyDescent="0.25">
      <c r="B27" s="3"/>
      <c r="C27" s="3"/>
    </row>
    <row r="28" spans="2:5" ht="50.1" customHeight="1" x14ac:dyDescent="0.25">
      <c r="B28" s="3"/>
      <c r="C28" s="3"/>
    </row>
    <row r="29" spans="2:5" ht="50.1" customHeight="1" x14ac:dyDescent="0.25">
      <c r="B29" s="3"/>
      <c r="C29" s="3"/>
    </row>
    <row r="30" spans="2:5" ht="50.1" customHeight="1" x14ac:dyDescent="0.25">
      <c r="B30" s="3"/>
      <c r="C30" s="3"/>
    </row>
    <row r="31" spans="2:5" ht="50.1" customHeight="1" x14ac:dyDescent="0.25">
      <c r="B31" s="3"/>
      <c r="C31" s="3"/>
    </row>
    <row r="32" spans="2:5" ht="50.1" customHeight="1" x14ac:dyDescent="0.25">
      <c r="B32" s="3"/>
      <c r="C32" s="3"/>
    </row>
  </sheetData>
  <mergeCells count="2">
    <mergeCell ref="B1:E1"/>
    <mergeCell ref="B2:E2"/>
  </mergeCells>
  <pageMargins left="0" right="0" top="0" bottom="0" header="0" footer="0"/>
  <pageSetup paperSize="9" scale="5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9"/>
  <sheetViews>
    <sheetView workbookViewId="0">
      <selection activeCell="D11" sqref="D11"/>
    </sheetView>
  </sheetViews>
  <sheetFormatPr defaultColWidth="9" defaultRowHeight="15" x14ac:dyDescent="0.25"/>
  <cols>
    <col min="2" max="2" width="33.5703125" customWidth="1"/>
    <col min="3" max="3" width="28.5703125" customWidth="1"/>
    <col min="4" max="4" width="52.5703125" customWidth="1"/>
  </cols>
  <sheetData>
    <row r="1" spans="1:7" x14ac:dyDescent="0.25">
      <c r="B1" s="152" t="s">
        <v>121</v>
      </c>
      <c r="C1" s="152"/>
      <c r="D1" s="152"/>
    </row>
    <row r="2" spans="1:7" x14ac:dyDescent="0.25">
      <c r="B2" s="152" t="s">
        <v>131</v>
      </c>
      <c r="C2" s="152"/>
      <c r="D2" s="152"/>
    </row>
    <row r="3" spans="1:7" ht="21" customHeight="1" x14ac:dyDescent="0.25">
      <c r="A3" s="7"/>
      <c r="B3" s="18"/>
      <c r="C3" s="18"/>
      <c r="D3" s="18"/>
      <c r="E3" s="7"/>
      <c r="F3" s="7"/>
      <c r="G3" s="7"/>
    </row>
    <row r="4" spans="1:7" ht="50.1" customHeight="1" thickBot="1" x14ac:dyDescent="0.3">
      <c r="B4" s="24" t="s">
        <v>132</v>
      </c>
      <c r="C4" s="24" t="s">
        <v>133</v>
      </c>
      <c r="D4" s="19" t="s">
        <v>134</v>
      </c>
    </row>
    <row r="5" spans="1:7" ht="50.1" customHeight="1" thickBot="1" x14ac:dyDescent="0.3">
      <c r="B5" s="68">
        <v>45238</v>
      </c>
      <c r="C5" s="20">
        <v>10</v>
      </c>
      <c r="D5" s="23" t="s">
        <v>162</v>
      </c>
    </row>
    <row r="6" spans="1:7" ht="50.1" customHeight="1" thickBot="1" x14ac:dyDescent="0.3">
      <c r="B6" s="69" t="s">
        <v>302</v>
      </c>
      <c r="C6" s="20">
        <v>15</v>
      </c>
      <c r="D6" s="29" t="s">
        <v>153</v>
      </c>
    </row>
    <row r="7" spans="1:7" ht="50.1" customHeight="1" thickBot="1" x14ac:dyDescent="0.3">
      <c r="B7" s="28">
        <v>45237</v>
      </c>
      <c r="C7" s="21">
        <v>10</v>
      </c>
      <c r="D7" s="23" t="s">
        <v>163</v>
      </c>
    </row>
    <row r="8" spans="1:7" ht="50.1" customHeight="1" thickBot="1" x14ac:dyDescent="0.3">
      <c r="B8" s="70" t="s">
        <v>304</v>
      </c>
      <c r="C8" s="21">
        <v>20</v>
      </c>
      <c r="D8" s="23" t="s">
        <v>164</v>
      </c>
    </row>
    <row r="9" spans="1:7" ht="50.1" customHeight="1" thickBot="1" x14ac:dyDescent="0.3">
      <c r="B9" s="71" t="s">
        <v>303</v>
      </c>
      <c r="C9" s="21">
        <v>17</v>
      </c>
      <c r="D9" s="27" t="s">
        <v>154</v>
      </c>
    </row>
  </sheetData>
  <mergeCells count="2">
    <mergeCell ref="B1:D1"/>
    <mergeCell ref="B2:D2"/>
  </mergeCells>
  <pageMargins left="0" right="0" top="0" bottom="0" header="0" footer="0"/>
  <pageSetup paperSize="9" scale="5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D7:N256"/>
  <sheetViews>
    <sheetView workbookViewId="0">
      <selection activeCell="J21" sqref="J21"/>
    </sheetView>
  </sheetViews>
  <sheetFormatPr defaultColWidth="9" defaultRowHeight="15" x14ac:dyDescent="0.25"/>
  <cols>
    <col min="6" max="6" width="20" bestFit="1" customWidth="1"/>
    <col min="7" max="7" width="16.5703125" customWidth="1"/>
    <col min="8" max="8" width="22.140625" customWidth="1"/>
    <col min="9" max="9" width="25.42578125" customWidth="1"/>
    <col min="10" max="10" width="19.7109375" customWidth="1"/>
    <col min="11" max="12" width="20" customWidth="1"/>
    <col min="13" max="13" width="28.7109375" customWidth="1"/>
    <col min="14" max="14" width="16.5703125" customWidth="1"/>
  </cols>
  <sheetData>
    <row r="7" spans="6:14" ht="17.25" x14ac:dyDescent="0.25">
      <c r="F7" s="153" t="s">
        <v>0</v>
      </c>
      <c r="G7" s="153"/>
      <c r="H7" s="153"/>
      <c r="I7" s="153"/>
      <c r="J7" s="153"/>
      <c r="K7" s="153"/>
      <c r="L7" s="153"/>
      <c r="M7" s="153"/>
      <c r="N7" s="153"/>
    </row>
    <row r="8" spans="6:14" ht="17.25" x14ac:dyDescent="0.25">
      <c r="F8" s="154" t="s">
        <v>320</v>
      </c>
      <c r="G8" s="153"/>
      <c r="H8" s="153"/>
      <c r="I8" s="153"/>
      <c r="J8" s="153"/>
      <c r="K8" s="153"/>
      <c r="L8" s="153"/>
      <c r="M8" s="153"/>
      <c r="N8" s="153"/>
    </row>
    <row r="9" spans="6:14" ht="17.25" x14ac:dyDescent="0.25">
      <c r="F9" s="154" t="s">
        <v>321</v>
      </c>
      <c r="G9" s="153"/>
      <c r="H9" s="153"/>
      <c r="I9" s="153"/>
      <c r="J9" s="153"/>
      <c r="K9" s="153"/>
      <c r="L9" s="153"/>
      <c r="M9" s="153"/>
      <c r="N9" s="153"/>
    </row>
    <row r="10" spans="6:14" ht="17.25" x14ac:dyDescent="0.25">
      <c r="F10" s="154" t="s">
        <v>325</v>
      </c>
      <c r="G10" s="153"/>
      <c r="H10" s="153"/>
      <c r="I10" s="153"/>
      <c r="J10" s="153"/>
      <c r="K10" s="153"/>
      <c r="L10" s="153"/>
      <c r="M10" s="153"/>
      <c r="N10" s="153"/>
    </row>
    <row r="11" spans="6:14" ht="17.25" x14ac:dyDescent="0.25">
      <c r="F11" s="154" t="s">
        <v>598</v>
      </c>
      <c r="G11" s="153"/>
      <c r="H11" s="153"/>
      <c r="I11" s="153"/>
      <c r="J11" s="153"/>
      <c r="K11" s="153"/>
      <c r="L11" s="153"/>
      <c r="M11" s="153"/>
      <c r="N11" s="153"/>
    </row>
    <row r="12" spans="6:14" ht="17.25" x14ac:dyDescent="0.25">
      <c r="F12" s="72" t="s">
        <v>1</v>
      </c>
      <c r="G12" s="72" t="s">
        <v>2</v>
      </c>
      <c r="H12" s="72" t="s">
        <v>3</v>
      </c>
      <c r="I12" s="72" t="s">
        <v>4</v>
      </c>
      <c r="J12" s="72" t="s">
        <v>331</v>
      </c>
      <c r="K12" s="73" t="s">
        <v>326</v>
      </c>
      <c r="L12" s="73" t="s">
        <v>327</v>
      </c>
      <c r="M12" s="73" t="s">
        <v>328</v>
      </c>
      <c r="N12" s="73" t="s">
        <v>333</v>
      </c>
    </row>
    <row r="13" spans="6:14" ht="17.25" x14ac:dyDescent="0.25">
      <c r="F13" s="74"/>
      <c r="H13" s="74"/>
      <c r="I13" s="74"/>
      <c r="J13" s="74"/>
      <c r="K13" s="75"/>
      <c r="L13" s="75"/>
      <c r="M13" s="75"/>
      <c r="N13" s="75"/>
    </row>
    <row r="14" spans="6:14" ht="17.25" x14ac:dyDescent="0.25">
      <c r="F14" s="74">
        <v>1</v>
      </c>
      <c r="G14" s="31"/>
      <c r="H14" s="74" t="s">
        <v>599</v>
      </c>
      <c r="I14" s="76" t="s">
        <v>181</v>
      </c>
      <c r="J14" s="76" t="s">
        <v>379</v>
      </c>
      <c r="K14" s="75" t="s">
        <v>329</v>
      </c>
      <c r="L14" s="83">
        <v>42377</v>
      </c>
      <c r="M14" s="83"/>
      <c r="N14" s="75" t="s">
        <v>600</v>
      </c>
    </row>
    <row r="15" spans="6:14" ht="17.25" x14ac:dyDescent="0.25">
      <c r="F15" s="74">
        <v>2</v>
      </c>
      <c r="G15" s="74"/>
      <c r="H15" s="76" t="s">
        <v>601</v>
      </c>
      <c r="I15" s="76" t="s">
        <v>186</v>
      </c>
      <c r="J15" s="76" t="s">
        <v>341</v>
      </c>
      <c r="K15" s="75" t="s">
        <v>329</v>
      </c>
      <c r="L15" s="83">
        <v>42370</v>
      </c>
      <c r="M15" s="83"/>
      <c r="N15" s="75" t="s">
        <v>602</v>
      </c>
    </row>
    <row r="16" spans="6:14" ht="17.25" x14ac:dyDescent="0.25">
      <c r="F16" s="74">
        <v>3</v>
      </c>
      <c r="G16" s="74"/>
      <c r="H16" s="76" t="s">
        <v>603</v>
      </c>
      <c r="I16" s="76" t="s">
        <v>186</v>
      </c>
      <c r="J16" s="76" t="s">
        <v>341</v>
      </c>
      <c r="K16" s="75" t="s">
        <v>329</v>
      </c>
      <c r="L16" s="83" t="s">
        <v>604</v>
      </c>
      <c r="M16" s="83"/>
      <c r="N16" s="75" t="s">
        <v>602</v>
      </c>
    </row>
    <row r="17" spans="6:14" ht="17.25" x14ac:dyDescent="0.25">
      <c r="F17" s="74">
        <v>4</v>
      </c>
      <c r="G17" s="74"/>
      <c r="H17" s="76" t="s">
        <v>605</v>
      </c>
      <c r="I17" s="76" t="s">
        <v>620</v>
      </c>
      <c r="J17" s="76"/>
      <c r="K17" s="75" t="s">
        <v>329</v>
      </c>
      <c r="L17" s="83"/>
      <c r="M17" s="75"/>
      <c r="N17" s="75"/>
    </row>
    <row r="18" spans="6:14" ht="17.25" x14ac:dyDescent="0.25">
      <c r="F18" s="74">
        <v>5</v>
      </c>
      <c r="G18" s="74"/>
      <c r="H18" s="76" t="s">
        <v>606</v>
      </c>
      <c r="I18" s="76" t="s">
        <v>503</v>
      </c>
      <c r="J18" s="76"/>
      <c r="K18" s="75" t="s">
        <v>329</v>
      </c>
      <c r="L18" s="83"/>
      <c r="M18" s="83"/>
      <c r="N18" s="75"/>
    </row>
    <row r="19" spans="6:14" ht="17.25" x14ac:dyDescent="0.25">
      <c r="F19" s="74">
        <v>6</v>
      </c>
      <c r="G19" s="74"/>
      <c r="H19" s="76" t="s">
        <v>402</v>
      </c>
      <c r="I19" s="76" t="s">
        <v>621</v>
      </c>
      <c r="J19" s="76"/>
      <c r="K19" s="75" t="s">
        <v>329</v>
      </c>
      <c r="L19" s="83"/>
      <c r="M19" s="75"/>
      <c r="N19" s="75"/>
    </row>
    <row r="20" spans="6:14" ht="17.25" x14ac:dyDescent="0.25">
      <c r="F20" s="74">
        <v>7</v>
      </c>
      <c r="G20" s="74"/>
      <c r="H20" s="76" t="s">
        <v>622</v>
      </c>
      <c r="I20" s="76" t="s">
        <v>252</v>
      </c>
      <c r="J20" s="76"/>
      <c r="K20" s="75" t="s">
        <v>329</v>
      </c>
      <c r="L20" s="83"/>
      <c r="M20" s="83"/>
      <c r="N20" s="75"/>
    </row>
    <row r="21" spans="6:14" ht="17.25" x14ac:dyDescent="0.25">
      <c r="F21" s="74">
        <v>8</v>
      </c>
      <c r="G21" s="74"/>
      <c r="H21" s="76" t="s">
        <v>607</v>
      </c>
      <c r="I21" s="76" t="s">
        <v>623</v>
      </c>
      <c r="J21" s="76"/>
      <c r="K21" s="75" t="s">
        <v>329</v>
      </c>
      <c r="L21" s="75"/>
      <c r="M21" s="83"/>
      <c r="N21" s="75"/>
    </row>
    <row r="22" spans="6:14" ht="17.25" x14ac:dyDescent="0.25">
      <c r="F22" s="74">
        <v>9</v>
      </c>
      <c r="G22" s="74"/>
      <c r="H22" s="76" t="s">
        <v>608</v>
      </c>
      <c r="I22" s="76" t="s">
        <v>623</v>
      </c>
      <c r="J22" s="76"/>
      <c r="K22" s="75" t="s">
        <v>329</v>
      </c>
      <c r="L22" s="83"/>
      <c r="M22" s="84"/>
      <c r="N22" s="75"/>
    </row>
    <row r="23" spans="6:14" ht="17.25" x14ac:dyDescent="0.25">
      <c r="F23" s="74">
        <v>10</v>
      </c>
      <c r="G23" s="74"/>
      <c r="H23" s="76" t="s">
        <v>609</v>
      </c>
      <c r="I23" s="76" t="s">
        <v>624</v>
      </c>
      <c r="J23" s="76"/>
      <c r="K23" s="75" t="s">
        <v>329</v>
      </c>
      <c r="L23" s="83"/>
      <c r="M23" s="84"/>
      <c r="N23" s="77"/>
    </row>
    <row r="24" spans="6:14" ht="17.25" x14ac:dyDescent="0.25">
      <c r="F24" s="74">
        <v>11</v>
      </c>
      <c r="G24" s="74"/>
      <c r="H24" s="76" t="s">
        <v>610</v>
      </c>
      <c r="I24" s="76" t="s">
        <v>625</v>
      </c>
      <c r="J24" s="76"/>
      <c r="K24" s="75" t="s">
        <v>329</v>
      </c>
      <c r="L24" s="75"/>
      <c r="M24" s="83"/>
      <c r="N24" s="77"/>
    </row>
    <row r="25" spans="6:14" ht="17.25" x14ac:dyDescent="0.25">
      <c r="F25" s="74">
        <v>12</v>
      </c>
      <c r="G25" s="74"/>
      <c r="H25" s="76" t="s">
        <v>611</v>
      </c>
      <c r="I25" s="76" t="s">
        <v>626</v>
      </c>
      <c r="J25" s="76"/>
      <c r="K25" s="75" t="s">
        <v>329</v>
      </c>
      <c r="L25" s="75"/>
      <c r="M25" s="77"/>
      <c r="N25" s="75"/>
    </row>
    <row r="26" spans="6:14" ht="17.25" x14ac:dyDescent="0.25">
      <c r="F26" s="74">
        <v>13</v>
      </c>
      <c r="G26" s="74"/>
      <c r="H26" s="76" t="s">
        <v>612</v>
      </c>
      <c r="I26" s="76" t="s">
        <v>627</v>
      </c>
      <c r="J26" s="76"/>
      <c r="K26" s="75" t="s">
        <v>329</v>
      </c>
      <c r="L26" s="85"/>
      <c r="M26" s="83"/>
      <c r="N26" s="75"/>
    </row>
    <row r="27" spans="6:14" ht="17.25" x14ac:dyDescent="0.25">
      <c r="F27" s="74">
        <v>14</v>
      </c>
      <c r="G27" s="76"/>
      <c r="H27" s="76" t="s">
        <v>613</v>
      </c>
      <c r="I27" s="76" t="s">
        <v>628</v>
      </c>
      <c r="J27" s="76"/>
      <c r="K27" s="75" t="s">
        <v>329</v>
      </c>
      <c r="L27" s="75"/>
      <c r="M27" s="83"/>
      <c r="N27" s="75"/>
    </row>
    <row r="28" spans="6:14" ht="17.25" x14ac:dyDescent="0.25">
      <c r="F28" s="74">
        <v>15</v>
      </c>
      <c r="G28" s="76"/>
      <c r="H28" s="76" t="s">
        <v>614</v>
      </c>
      <c r="I28" s="76" t="s">
        <v>283</v>
      </c>
      <c r="J28" s="76"/>
      <c r="K28" s="75" t="s">
        <v>329</v>
      </c>
      <c r="L28" s="83"/>
      <c r="M28" s="83"/>
      <c r="N28" s="75"/>
    </row>
    <row r="29" spans="6:14" ht="17.25" x14ac:dyDescent="0.25">
      <c r="F29" s="74">
        <v>16</v>
      </c>
      <c r="G29" s="76"/>
      <c r="H29" s="76" t="s">
        <v>197</v>
      </c>
      <c r="I29" s="76" t="s">
        <v>629</v>
      </c>
      <c r="J29" s="76"/>
      <c r="K29" s="75" t="s">
        <v>329</v>
      </c>
      <c r="L29" s="75"/>
      <c r="M29" s="75"/>
      <c r="N29" s="75"/>
    </row>
    <row r="30" spans="6:14" ht="17.25" x14ac:dyDescent="0.25">
      <c r="F30" s="74">
        <v>17</v>
      </c>
      <c r="G30" s="76"/>
      <c r="H30" s="76" t="s">
        <v>615</v>
      </c>
      <c r="I30" s="76" t="s">
        <v>630</v>
      </c>
      <c r="J30" s="76"/>
      <c r="K30" s="75" t="s">
        <v>329</v>
      </c>
      <c r="L30" s="83"/>
      <c r="M30" s="83"/>
      <c r="N30" s="75"/>
    </row>
    <row r="31" spans="6:14" ht="17.25" x14ac:dyDescent="0.25">
      <c r="F31" s="74">
        <v>18</v>
      </c>
      <c r="G31" s="76"/>
      <c r="H31" s="76" t="s">
        <v>616</v>
      </c>
      <c r="I31" s="94" t="s">
        <v>632</v>
      </c>
      <c r="J31" s="76"/>
      <c r="K31" s="75" t="s">
        <v>329</v>
      </c>
      <c r="L31" s="75"/>
      <c r="M31" s="75"/>
      <c r="N31" s="75"/>
    </row>
    <row r="32" spans="6:14" ht="17.25" x14ac:dyDescent="0.25">
      <c r="F32" s="74">
        <v>19</v>
      </c>
      <c r="G32" s="76"/>
      <c r="H32" s="76" t="s">
        <v>617</v>
      </c>
      <c r="I32" s="76" t="s">
        <v>631</v>
      </c>
      <c r="J32" s="76"/>
      <c r="K32" s="75" t="s">
        <v>329</v>
      </c>
      <c r="L32" s="75"/>
      <c r="M32" s="75"/>
      <c r="N32" s="75"/>
    </row>
    <row r="33" spans="6:14" ht="17.25" x14ac:dyDescent="0.25">
      <c r="F33" s="74">
        <v>20</v>
      </c>
      <c r="G33" s="76"/>
      <c r="H33" s="76" t="s">
        <v>618</v>
      </c>
      <c r="I33" s="76" t="s">
        <v>633</v>
      </c>
      <c r="J33" s="76"/>
      <c r="K33" s="75" t="s">
        <v>329</v>
      </c>
      <c r="L33" s="75"/>
      <c r="M33" s="75"/>
      <c r="N33" s="75"/>
    </row>
    <row r="34" spans="6:14" ht="17.25" x14ac:dyDescent="0.25">
      <c r="F34" s="74">
        <v>21</v>
      </c>
      <c r="G34" s="76"/>
      <c r="H34" s="76" t="s">
        <v>617</v>
      </c>
      <c r="I34" s="76" t="s">
        <v>634</v>
      </c>
      <c r="J34" s="76"/>
      <c r="K34" s="75" t="s">
        <v>329</v>
      </c>
      <c r="L34" s="75"/>
      <c r="M34" s="75"/>
      <c r="N34" s="75"/>
    </row>
    <row r="35" spans="6:14" ht="17.25" x14ac:dyDescent="0.25">
      <c r="F35" s="74">
        <v>22</v>
      </c>
      <c r="G35" s="76"/>
      <c r="H35" s="76" t="s">
        <v>268</v>
      </c>
      <c r="I35" s="92" t="s">
        <v>635</v>
      </c>
      <c r="J35" s="76"/>
      <c r="K35" s="75" t="s">
        <v>329</v>
      </c>
      <c r="L35" s="75"/>
      <c r="M35" s="75"/>
      <c r="N35" s="75"/>
    </row>
    <row r="36" spans="6:14" ht="17.25" x14ac:dyDescent="0.25">
      <c r="F36" s="74">
        <v>23</v>
      </c>
      <c r="G36" s="76"/>
      <c r="H36" s="76" t="s">
        <v>619</v>
      </c>
      <c r="I36" s="93" t="s">
        <v>636</v>
      </c>
      <c r="J36" s="76"/>
      <c r="K36" s="75" t="s">
        <v>329</v>
      </c>
      <c r="L36" s="75"/>
      <c r="M36" s="75"/>
      <c r="N36" s="75"/>
    </row>
    <row r="37" spans="6:14" ht="17.25" x14ac:dyDescent="0.25">
      <c r="F37" s="74">
        <v>24</v>
      </c>
      <c r="G37" s="76"/>
      <c r="H37" s="76" t="s">
        <v>427</v>
      </c>
      <c r="I37" s="76" t="s">
        <v>637</v>
      </c>
      <c r="J37" s="76"/>
      <c r="K37" s="75" t="s">
        <v>329</v>
      </c>
      <c r="L37" s="75"/>
      <c r="M37" s="75"/>
      <c r="N37" s="75"/>
    </row>
    <row r="38" spans="6:14" ht="17.25" x14ac:dyDescent="0.25">
      <c r="F38" s="74">
        <v>25</v>
      </c>
      <c r="G38" s="76"/>
      <c r="H38" s="76" t="s">
        <v>638</v>
      </c>
      <c r="I38" s="76" t="s">
        <v>424</v>
      </c>
      <c r="J38" s="76"/>
      <c r="K38" s="75" t="s">
        <v>329</v>
      </c>
      <c r="L38" s="75"/>
      <c r="M38" s="84"/>
      <c r="N38" s="77"/>
    </row>
    <row r="39" spans="6:14" ht="17.25" x14ac:dyDescent="0.25">
      <c r="F39" s="74">
        <v>26</v>
      </c>
      <c r="G39" s="76"/>
      <c r="H39" s="76" t="s">
        <v>639</v>
      </c>
      <c r="I39" s="76" t="s">
        <v>647</v>
      </c>
      <c r="J39" s="76"/>
      <c r="K39" s="75" t="s">
        <v>330</v>
      </c>
      <c r="L39" s="75"/>
      <c r="M39" s="75"/>
      <c r="N39" s="75"/>
    </row>
    <row r="40" spans="6:14" ht="17.25" x14ac:dyDescent="0.25">
      <c r="F40" s="74">
        <v>27</v>
      </c>
      <c r="G40" s="76"/>
      <c r="H40" s="94" t="s">
        <v>640</v>
      </c>
      <c r="I40" s="76" t="s">
        <v>648</v>
      </c>
      <c r="J40" s="76"/>
      <c r="K40" s="75" t="s">
        <v>330</v>
      </c>
      <c r="L40" s="75"/>
      <c r="M40" s="75"/>
      <c r="N40" s="75"/>
    </row>
    <row r="41" spans="6:14" ht="17.25" x14ac:dyDescent="0.25">
      <c r="F41" s="74">
        <v>28</v>
      </c>
      <c r="G41" s="76"/>
      <c r="H41" s="76" t="s">
        <v>641</v>
      </c>
      <c r="I41" s="76" t="s">
        <v>649</v>
      </c>
      <c r="J41" s="76"/>
      <c r="K41" s="75" t="s">
        <v>330</v>
      </c>
      <c r="L41" s="75"/>
      <c r="M41" s="75"/>
      <c r="N41" s="75"/>
    </row>
    <row r="42" spans="6:14" ht="17.25" x14ac:dyDescent="0.25">
      <c r="F42" s="74">
        <v>29</v>
      </c>
      <c r="G42" s="76"/>
      <c r="H42" s="94" t="s">
        <v>287</v>
      </c>
      <c r="I42" s="76" t="s">
        <v>629</v>
      </c>
      <c r="J42" s="76"/>
      <c r="K42" s="75" t="s">
        <v>330</v>
      </c>
      <c r="L42" s="75" t="s">
        <v>395</v>
      </c>
      <c r="M42" s="75"/>
      <c r="N42" s="75"/>
    </row>
    <row r="43" spans="6:14" ht="17.25" x14ac:dyDescent="0.25">
      <c r="F43" s="74">
        <v>30</v>
      </c>
      <c r="G43" s="76"/>
      <c r="H43" s="94" t="s">
        <v>642</v>
      </c>
      <c r="I43" s="76" t="s">
        <v>252</v>
      </c>
      <c r="J43" s="76"/>
      <c r="K43" s="75" t="s">
        <v>330</v>
      </c>
      <c r="L43" s="75"/>
      <c r="M43" s="75"/>
      <c r="N43" s="75"/>
    </row>
    <row r="44" spans="6:14" ht="17.25" x14ac:dyDescent="0.25">
      <c r="F44" s="74">
        <v>31</v>
      </c>
      <c r="G44" s="76"/>
      <c r="H44" s="76" t="s">
        <v>643</v>
      </c>
      <c r="I44" s="76" t="s">
        <v>624</v>
      </c>
      <c r="J44" s="76"/>
      <c r="K44" s="75" t="s">
        <v>330</v>
      </c>
      <c r="L44" s="75"/>
      <c r="M44" s="75"/>
      <c r="N44" s="75"/>
    </row>
    <row r="45" spans="6:14" ht="17.25" x14ac:dyDescent="0.25">
      <c r="F45" s="74">
        <v>32</v>
      </c>
      <c r="G45" s="76"/>
      <c r="H45" s="76" t="s">
        <v>166</v>
      </c>
      <c r="I45" s="76" t="s">
        <v>650</v>
      </c>
      <c r="J45" s="76"/>
      <c r="K45" s="75" t="s">
        <v>330</v>
      </c>
      <c r="L45" s="75"/>
      <c r="M45" s="75"/>
      <c r="N45" s="75"/>
    </row>
    <row r="46" spans="6:14" ht="17.25" x14ac:dyDescent="0.25">
      <c r="F46" s="74">
        <v>33</v>
      </c>
      <c r="G46" s="76"/>
      <c r="H46" s="76" t="s">
        <v>644</v>
      </c>
      <c r="I46" s="76" t="s">
        <v>651</v>
      </c>
      <c r="J46" s="76"/>
      <c r="K46" s="75" t="s">
        <v>330</v>
      </c>
      <c r="L46" s="75"/>
      <c r="M46" s="75"/>
      <c r="N46" s="75"/>
    </row>
    <row r="47" spans="6:14" ht="17.25" x14ac:dyDescent="0.25">
      <c r="F47" s="74">
        <v>34</v>
      </c>
      <c r="G47" s="76"/>
      <c r="H47" s="76" t="s">
        <v>645</v>
      </c>
      <c r="I47" s="76" t="s">
        <v>652</v>
      </c>
      <c r="J47" s="76"/>
      <c r="K47" s="75" t="s">
        <v>330</v>
      </c>
      <c r="L47" s="75"/>
      <c r="M47" s="75"/>
      <c r="N47" s="75"/>
    </row>
    <row r="48" spans="6:14" ht="17.25" x14ac:dyDescent="0.25">
      <c r="F48" s="74">
        <v>35</v>
      </c>
      <c r="G48" s="76"/>
      <c r="H48" s="76" t="s">
        <v>646</v>
      </c>
      <c r="I48" s="76" t="s">
        <v>653</v>
      </c>
      <c r="J48" s="76"/>
      <c r="K48" s="75" t="s">
        <v>330</v>
      </c>
      <c r="L48" s="75"/>
      <c r="M48" s="75"/>
      <c r="N48" s="75"/>
    </row>
    <row r="49" spans="6:14" ht="17.25" x14ac:dyDescent="0.25">
      <c r="F49" s="87"/>
      <c r="G49" s="88"/>
      <c r="H49" s="88"/>
      <c r="I49" s="88"/>
      <c r="J49" s="88"/>
      <c r="K49" s="89"/>
      <c r="L49" s="89"/>
      <c r="M49" s="89"/>
      <c r="N49" s="89"/>
    </row>
    <row r="50" spans="6:14" ht="17.25" x14ac:dyDescent="0.25">
      <c r="F50" s="87"/>
      <c r="G50" s="88"/>
      <c r="H50" s="88"/>
      <c r="I50" s="88"/>
      <c r="J50" s="88"/>
      <c r="K50" s="89"/>
      <c r="L50" s="89"/>
      <c r="M50" s="89"/>
      <c r="N50" s="89"/>
    </row>
    <row r="51" spans="6:14" ht="17.25" x14ac:dyDescent="0.25">
      <c r="F51" s="153" t="s">
        <v>0</v>
      </c>
      <c r="G51" s="153"/>
      <c r="H51" s="153"/>
      <c r="I51" s="153"/>
      <c r="J51" s="153"/>
      <c r="K51" s="153"/>
      <c r="L51" s="153"/>
      <c r="M51" s="153"/>
      <c r="N51" s="153"/>
    </row>
    <row r="52" spans="6:14" ht="17.25" x14ac:dyDescent="0.25">
      <c r="F52" s="154" t="s">
        <v>320</v>
      </c>
      <c r="G52" s="153"/>
      <c r="H52" s="153"/>
      <c r="I52" s="153"/>
      <c r="J52" s="153"/>
      <c r="K52" s="153"/>
      <c r="L52" s="153"/>
      <c r="M52" s="153"/>
      <c r="N52" s="153"/>
    </row>
    <row r="53" spans="6:14" ht="17.25" x14ac:dyDescent="0.25">
      <c r="F53" s="154" t="s">
        <v>321</v>
      </c>
      <c r="G53" s="153"/>
      <c r="H53" s="153"/>
      <c r="I53" s="153"/>
      <c r="J53" s="153"/>
      <c r="K53" s="153"/>
      <c r="L53" s="153"/>
      <c r="M53" s="153"/>
      <c r="N53" s="153"/>
    </row>
    <row r="54" spans="6:14" ht="17.25" x14ac:dyDescent="0.25">
      <c r="F54" s="154" t="s">
        <v>325</v>
      </c>
      <c r="G54" s="153"/>
      <c r="H54" s="153"/>
      <c r="I54" s="153"/>
      <c r="J54" s="153"/>
      <c r="K54" s="153"/>
      <c r="L54" s="153"/>
      <c r="M54" s="153"/>
      <c r="N54" s="153"/>
    </row>
    <row r="55" spans="6:14" ht="17.25" x14ac:dyDescent="0.25">
      <c r="F55" s="154" t="s">
        <v>654</v>
      </c>
      <c r="G55" s="153"/>
      <c r="H55" s="153"/>
      <c r="I55" s="153"/>
      <c r="J55" s="153"/>
      <c r="K55" s="153"/>
      <c r="L55" s="153"/>
      <c r="M55" s="153"/>
      <c r="N55" s="153"/>
    </row>
    <row r="56" spans="6:14" ht="17.25" x14ac:dyDescent="0.25">
      <c r="F56" s="72" t="s">
        <v>1</v>
      </c>
      <c r="G56" s="72" t="s">
        <v>2</v>
      </c>
      <c r="H56" s="72" t="s">
        <v>3</v>
      </c>
      <c r="I56" s="72" t="s">
        <v>4</v>
      </c>
      <c r="J56" s="72" t="s">
        <v>331</v>
      </c>
      <c r="K56" s="73" t="s">
        <v>326</v>
      </c>
      <c r="L56" s="73" t="s">
        <v>327</v>
      </c>
      <c r="M56" s="73" t="s">
        <v>328</v>
      </c>
      <c r="N56" s="73" t="s">
        <v>333</v>
      </c>
    </row>
    <row r="57" spans="6:14" ht="17.25" x14ac:dyDescent="0.25">
      <c r="F57" s="74"/>
      <c r="H57" s="74"/>
      <c r="I57" s="74"/>
      <c r="J57" s="74"/>
      <c r="K57" s="75"/>
      <c r="L57" s="75"/>
      <c r="M57" s="75"/>
      <c r="N57" s="75"/>
    </row>
    <row r="58" spans="6:14" ht="17.25" x14ac:dyDescent="0.25">
      <c r="F58" s="74">
        <v>1</v>
      </c>
      <c r="G58" s="31"/>
      <c r="H58" s="74" t="s">
        <v>599</v>
      </c>
      <c r="I58" s="76" t="s">
        <v>181</v>
      </c>
      <c r="J58" s="76" t="s">
        <v>379</v>
      </c>
      <c r="K58" s="75" t="s">
        <v>329</v>
      </c>
      <c r="L58" s="83">
        <v>42377</v>
      </c>
      <c r="M58" s="83"/>
      <c r="N58" s="75" t="s">
        <v>600</v>
      </c>
    </row>
    <row r="59" spans="6:14" ht="17.25" x14ac:dyDescent="0.25">
      <c r="F59" s="74">
        <v>2</v>
      </c>
      <c r="G59" s="74"/>
      <c r="H59" s="76" t="s">
        <v>601</v>
      </c>
      <c r="I59" s="76" t="s">
        <v>186</v>
      </c>
      <c r="J59" s="76" t="s">
        <v>341</v>
      </c>
      <c r="K59" s="75" t="s">
        <v>329</v>
      </c>
      <c r="L59" s="83">
        <v>42370</v>
      </c>
      <c r="M59" s="83"/>
      <c r="N59" s="75" t="s">
        <v>602</v>
      </c>
    </row>
    <row r="60" spans="6:14" ht="17.25" x14ac:dyDescent="0.25">
      <c r="F60" s="74">
        <v>3</v>
      </c>
      <c r="G60" s="74"/>
      <c r="H60" s="76" t="s">
        <v>603</v>
      </c>
      <c r="I60" s="76" t="s">
        <v>186</v>
      </c>
      <c r="J60" s="76" t="s">
        <v>341</v>
      </c>
      <c r="K60" s="75" t="s">
        <v>329</v>
      </c>
      <c r="L60" s="83" t="s">
        <v>604</v>
      </c>
      <c r="M60" s="83"/>
      <c r="N60" s="75" t="s">
        <v>602</v>
      </c>
    </row>
    <row r="61" spans="6:14" ht="17.25" x14ac:dyDescent="0.25">
      <c r="F61" s="74">
        <v>4</v>
      </c>
      <c r="G61" s="74"/>
      <c r="H61" s="76" t="s">
        <v>605</v>
      </c>
      <c r="I61" s="76" t="s">
        <v>620</v>
      </c>
      <c r="J61" s="76"/>
      <c r="K61" s="75" t="s">
        <v>329</v>
      </c>
      <c r="L61" s="83"/>
      <c r="M61" s="75"/>
      <c r="N61" s="75"/>
    </row>
    <row r="62" spans="6:14" ht="17.25" x14ac:dyDescent="0.25">
      <c r="F62" s="74">
        <v>5</v>
      </c>
      <c r="G62" s="74"/>
      <c r="H62" s="76" t="s">
        <v>606</v>
      </c>
      <c r="I62" s="76" t="s">
        <v>503</v>
      </c>
      <c r="J62" s="76"/>
      <c r="K62" s="75" t="s">
        <v>329</v>
      </c>
      <c r="L62" s="83"/>
      <c r="M62" s="83"/>
      <c r="N62" s="75"/>
    </row>
    <row r="63" spans="6:14" ht="17.25" x14ac:dyDescent="0.25">
      <c r="F63" s="74">
        <v>6</v>
      </c>
      <c r="G63" s="74"/>
      <c r="H63" s="76" t="s">
        <v>402</v>
      </c>
      <c r="I63" s="76" t="s">
        <v>621</v>
      </c>
      <c r="J63" s="76"/>
      <c r="K63" s="75" t="s">
        <v>329</v>
      </c>
      <c r="L63" s="83"/>
      <c r="M63" s="75"/>
      <c r="N63" s="75"/>
    </row>
    <row r="64" spans="6:14" ht="17.25" x14ac:dyDescent="0.25">
      <c r="F64" s="74">
        <v>7</v>
      </c>
      <c r="G64" s="74"/>
      <c r="H64" s="76" t="s">
        <v>622</v>
      </c>
      <c r="I64" s="76" t="s">
        <v>252</v>
      </c>
      <c r="J64" s="76"/>
      <c r="K64" s="75" t="s">
        <v>329</v>
      </c>
      <c r="L64" s="83"/>
      <c r="M64" s="83"/>
      <c r="N64" s="75"/>
    </row>
    <row r="65" spans="6:14" ht="17.25" x14ac:dyDescent="0.25">
      <c r="F65" s="74">
        <v>8</v>
      </c>
      <c r="G65" s="74"/>
      <c r="H65" s="76" t="s">
        <v>607</v>
      </c>
      <c r="I65" s="76" t="s">
        <v>623</v>
      </c>
      <c r="J65" s="76"/>
      <c r="K65" s="75" t="s">
        <v>329</v>
      </c>
      <c r="L65" s="75"/>
      <c r="M65" s="83"/>
      <c r="N65" s="75"/>
    </row>
    <row r="66" spans="6:14" ht="17.25" x14ac:dyDescent="0.25">
      <c r="F66" s="74">
        <v>9</v>
      </c>
      <c r="G66" s="74"/>
      <c r="H66" s="76" t="s">
        <v>608</v>
      </c>
      <c r="I66" s="76" t="s">
        <v>623</v>
      </c>
      <c r="J66" s="76"/>
      <c r="K66" s="75" t="s">
        <v>329</v>
      </c>
      <c r="L66" s="83"/>
      <c r="M66" s="84"/>
      <c r="N66" s="75"/>
    </row>
    <row r="67" spans="6:14" ht="17.25" x14ac:dyDescent="0.25">
      <c r="F67" s="74">
        <v>10</v>
      </c>
      <c r="G67" s="74"/>
      <c r="H67" s="76" t="s">
        <v>609</v>
      </c>
      <c r="I67" s="76" t="s">
        <v>624</v>
      </c>
      <c r="J67" s="76"/>
      <c r="K67" s="75" t="s">
        <v>329</v>
      </c>
      <c r="L67" s="83"/>
      <c r="M67" s="84"/>
      <c r="N67" s="77"/>
    </row>
    <row r="68" spans="6:14" ht="17.25" x14ac:dyDescent="0.25">
      <c r="F68" s="74">
        <v>11</v>
      </c>
      <c r="G68" s="74"/>
      <c r="H68" s="76" t="s">
        <v>610</v>
      </c>
      <c r="I68" s="76" t="s">
        <v>625</v>
      </c>
      <c r="J68" s="76"/>
      <c r="K68" s="75" t="s">
        <v>329</v>
      </c>
      <c r="L68" s="75"/>
      <c r="M68" s="83"/>
      <c r="N68" s="77"/>
    </row>
    <row r="69" spans="6:14" ht="17.25" x14ac:dyDescent="0.25">
      <c r="F69" s="74">
        <v>12</v>
      </c>
      <c r="G69" s="74"/>
      <c r="H69" s="76" t="s">
        <v>611</v>
      </c>
      <c r="I69" s="76" t="s">
        <v>626</v>
      </c>
      <c r="J69" s="76"/>
      <c r="K69" s="75" t="s">
        <v>329</v>
      </c>
      <c r="L69" s="75"/>
      <c r="M69" s="77"/>
      <c r="N69" s="75"/>
    </row>
    <row r="70" spans="6:14" ht="17.25" x14ac:dyDescent="0.25">
      <c r="F70" s="74">
        <v>13</v>
      </c>
      <c r="G70" s="74"/>
      <c r="H70" s="76" t="s">
        <v>612</v>
      </c>
      <c r="I70" s="76" t="s">
        <v>627</v>
      </c>
      <c r="J70" s="76"/>
      <c r="K70" s="75" t="s">
        <v>329</v>
      </c>
      <c r="L70" s="85"/>
      <c r="M70" s="83"/>
      <c r="N70" s="75"/>
    </row>
    <row r="71" spans="6:14" ht="17.25" x14ac:dyDescent="0.25">
      <c r="F71" s="74">
        <v>14</v>
      </c>
      <c r="G71" s="76"/>
      <c r="H71" s="76" t="s">
        <v>613</v>
      </c>
      <c r="I71" s="76" t="s">
        <v>628</v>
      </c>
      <c r="J71" s="76"/>
      <c r="K71" s="75" t="s">
        <v>329</v>
      </c>
      <c r="L71" s="75"/>
      <c r="M71" s="83"/>
      <c r="N71" s="75"/>
    </row>
    <row r="72" spans="6:14" ht="17.25" x14ac:dyDescent="0.25">
      <c r="F72" s="74">
        <v>15</v>
      </c>
      <c r="G72" s="76"/>
      <c r="H72" s="76" t="s">
        <v>614</v>
      </c>
      <c r="I72" s="76" t="s">
        <v>283</v>
      </c>
      <c r="J72" s="76"/>
      <c r="K72" s="75" t="s">
        <v>329</v>
      </c>
      <c r="L72" s="83"/>
      <c r="M72" s="83"/>
      <c r="N72" s="75"/>
    </row>
    <row r="73" spans="6:14" ht="17.25" x14ac:dyDescent="0.25">
      <c r="F73" s="74">
        <v>16</v>
      </c>
      <c r="G73" s="76"/>
      <c r="H73" s="76" t="s">
        <v>197</v>
      </c>
      <c r="I73" s="76" t="s">
        <v>629</v>
      </c>
      <c r="J73" s="76"/>
      <c r="K73" s="75" t="s">
        <v>329</v>
      </c>
      <c r="L73" s="75"/>
      <c r="M73" s="75"/>
      <c r="N73" s="75"/>
    </row>
    <row r="74" spans="6:14" ht="17.25" x14ac:dyDescent="0.25">
      <c r="F74" s="74">
        <v>17</v>
      </c>
      <c r="G74" s="76"/>
      <c r="H74" s="76" t="s">
        <v>615</v>
      </c>
      <c r="I74" s="76" t="s">
        <v>630</v>
      </c>
      <c r="J74" s="76"/>
      <c r="K74" s="75" t="s">
        <v>329</v>
      </c>
      <c r="L74" s="83"/>
      <c r="M74" s="83"/>
      <c r="N74" s="75"/>
    </row>
    <row r="75" spans="6:14" ht="17.25" x14ac:dyDescent="0.25">
      <c r="F75" s="74">
        <v>18</v>
      </c>
      <c r="G75" s="76"/>
      <c r="H75" s="76" t="s">
        <v>616</v>
      </c>
      <c r="I75" s="94" t="s">
        <v>632</v>
      </c>
      <c r="J75" s="76"/>
      <c r="K75" s="75" t="s">
        <v>329</v>
      </c>
      <c r="L75" s="75"/>
      <c r="M75" s="75"/>
      <c r="N75" s="75"/>
    </row>
    <row r="76" spans="6:14" ht="17.25" x14ac:dyDescent="0.25">
      <c r="F76" s="74">
        <v>19</v>
      </c>
      <c r="G76" s="76"/>
      <c r="H76" s="76" t="s">
        <v>617</v>
      </c>
      <c r="I76" s="76" t="s">
        <v>631</v>
      </c>
      <c r="J76" s="76"/>
      <c r="K76" s="75" t="s">
        <v>329</v>
      </c>
      <c r="L76" s="75"/>
      <c r="M76" s="75"/>
      <c r="N76" s="75"/>
    </row>
    <row r="77" spans="6:14" ht="17.25" x14ac:dyDescent="0.25">
      <c r="F77" s="74">
        <v>20</v>
      </c>
      <c r="G77" s="76"/>
      <c r="H77" s="76" t="s">
        <v>618</v>
      </c>
      <c r="I77" s="76" t="s">
        <v>633</v>
      </c>
      <c r="J77" s="76"/>
      <c r="K77" s="75" t="s">
        <v>329</v>
      </c>
      <c r="L77" s="75"/>
      <c r="M77" s="75"/>
      <c r="N77" s="75"/>
    </row>
    <row r="78" spans="6:14" ht="17.25" x14ac:dyDescent="0.25">
      <c r="F78" s="74">
        <v>21</v>
      </c>
      <c r="G78" s="76"/>
      <c r="H78" s="76" t="s">
        <v>617</v>
      </c>
      <c r="I78" s="76" t="s">
        <v>634</v>
      </c>
      <c r="J78" s="76"/>
      <c r="K78" s="75" t="s">
        <v>329</v>
      </c>
      <c r="L78" s="75"/>
      <c r="M78" s="75"/>
      <c r="N78" s="75"/>
    </row>
    <row r="79" spans="6:14" ht="17.25" x14ac:dyDescent="0.25">
      <c r="F79" s="74">
        <v>22</v>
      </c>
      <c r="G79" s="76"/>
      <c r="H79" s="76" t="s">
        <v>268</v>
      </c>
      <c r="I79" s="92" t="s">
        <v>635</v>
      </c>
      <c r="J79" s="76"/>
      <c r="K79" s="75" t="s">
        <v>329</v>
      </c>
      <c r="L79" s="75"/>
      <c r="M79" s="75"/>
      <c r="N79" s="75"/>
    </row>
    <row r="80" spans="6:14" ht="17.25" x14ac:dyDescent="0.25">
      <c r="F80" s="74">
        <v>23</v>
      </c>
      <c r="G80" s="76"/>
      <c r="H80" s="76" t="s">
        <v>619</v>
      </c>
      <c r="I80" s="93" t="s">
        <v>636</v>
      </c>
      <c r="J80" s="76"/>
      <c r="K80" s="75" t="s">
        <v>329</v>
      </c>
      <c r="L80" s="75"/>
      <c r="M80" s="75"/>
      <c r="N80" s="75"/>
    </row>
    <row r="81" spans="4:14" ht="17.25" x14ac:dyDescent="0.25">
      <c r="F81" s="74">
        <v>24</v>
      </c>
      <c r="G81" s="76"/>
      <c r="H81" s="76" t="s">
        <v>427</v>
      </c>
      <c r="I81" s="76" t="s">
        <v>637</v>
      </c>
      <c r="J81" s="76"/>
      <c r="K81" s="75" t="s">
        <v>329</v>
      </c>
      <c r="L81" s="75"/>
      <c r="M81" s="75"/>
      <c r="N81" s="75"/>
    </row>
    <row r="82" spans="4:14" ht="17.25" x14ac:dyDescent="0.25">
      <c r="F82" s="74">
        <v>25</v>
      </c>
      <c r="G82" s="76"/>
      <c r="H82" s="76" t="s">
        <v>638</v>
      </c>
      <c r="I82" s="76" t="s">
        <v>424</v>
      </c>
      <c r="J82" s="76"/>
      <c r="K82" s="75" t="s">
        <v>329</v>
      </c>
      <c r="L82" s="75"/>
      <c r="M82" s="84"/>
      <c r="N82" s="77"/>
    </row>
    <row r="83" spans="4:14" ht="17.25" x14ac:dyDescent="0.25">
      <c r="F83" s="74">
        <v>26</v>
      </c>
      <c r="G83" s="76"/>
      <c r="H83" s="76" t="s">
        <v>639</v>
      </c>
      <c r="I83" s="76" t="s">
        <v>647</v>
      </c>
      <c r="J83" s="76"/>
      <c r="K83" s="75" t="s">
        <v>330</v>
      </c>
      <c r="L83" s="75"/>
      <c r="M83" s="75"/>
      <c r="N83" s="75"/>
    </row>
    <row r="84" spans="4:14" ht="17.25" x14ac:dyDescent="0.25">
      <c r="F84" s="74">
        <v>27</v>
      </c>
      <c r="G84" s="76"/>
      <c r="H84" s="94" t="s">
        <v>640</v>
      </c>
      <c r="I84" s="76" t="s">
        <v>648</v>
      </c>
      <c r="J84" s="76"/>
      <c r="K84" s="75" t="s">
        <v>330</v>
      </c>
      <c r="L84" s="75"/>
      <c r="M84" s="75"/>
      <c r="N84" s="75"/>
    </row>
    <row r="85" spans="4:14" ht="17.25" x14ac:dyDescent="0.25">
      <c r="F85" s="74">
        <v>28</v>
      </c>
      <c r="G85" s="76"/>
      <c r="H85" s="76" t="s">
        <v>641</v>
      </c>
      <c r="I85" s="76" t="s">
        <v>649</v>
      </c>
      <c r="J85" s="76"/>
      <c r="K85" s="75" t="s">
        <v>330</v>
      </c>
      <c r="L85" s="75"/>
      <c r="M85" s="75"/>
      <c r="N85" s="75"/>
    </row>
    <row r="86" spans="4:14" ht="17.25" x14ac:dyDescent="0.25">
      <c r="F86" s="74">
        <v>29</v>
      </c>
      <c r="G86" s="76"/>
      <c r="H86" s="94" t="s">
        <v>287</v>
      </c>
      <c r="I86" s="76" t="s">
        <v>629</v>
      </c>
      <c r="J86" s="76"/>
      <c r="K86" s="75" t="s">
        <v>330</v>
      </c>
      <c r="L86" s="75" t="s">
        <v>395</v>
      </c>
      <c r="M86" s="75"/>
      <c r="N86" s="75"/>
    </row>
    <row r="87" spans="4:14" ht="17.25" x14ac:dyDescent="0.25">
      <c r="F87" s="74">
        <v>30</v>
      </c>
      <c r="G87" s="76"/>
      <c r="H87" s="94" t="s">
        <v>642</v>
      </c>
      <c r="I87" s="76" t="s">
        <v>252</v>
      </c>
      <c r="J87" s="76"/>
      <c r="K87" s="75" t="s">
        <v>330</v>
      </c>
      <c r="L87" s="75"/>
      <c r="M87" s="75"/>
      <c r="N87" s="75"/>
    </row>
    <row r="88" spans="4:14" ht="17.25" x14ac:dyDescent="0.25">
      <c r="F88" s="74">
        <v>31</v>
      </c>
      <c r="G88" s="76"/>
      <c r="H88" s="76" t="s">
        <v>643</v>
      </c>
      <c r="I88" s="76" t="s">
        <v>624</v>
      </c>
      <c r="J88" s="76"/>
      <c r="K88" s="75" t="s">
        <v>330</v>
      </c>
      <c r="L88" s="75"/>
      <c r="M88" s="75"/>
      <c r="N88" s="75"/>
    </row>
    <row r="89" spans="4:14" ht="17.25" x14ac:dyDescent="0.25">
      <c r="F89" s="74">
        <v>32</v>
      </c>
      <c r="G89" s="76"/>
      <c r="H89" s="76" t="s">
        <v>166</v>
      </c>
      <c r="I89" s="76" t="s">
        <v>650</v>
      </c>
      <c r="J89" s="76"/>
      <c r="K89" s="75" t="s">
        <v>330</v>
      </c>
      <c r="L89" s="75"/>
      <c r="M89" s="75"/>
      <c r="N89" s="75"/>
    </row>
    <row r="90" spans="4:14" ht="17.25" x14ac:dyDescent="0.25">
      <c r="F90" s="74">
        <v>33</v>
      </c>
      <c r="G90" s="76"/>
      <c r="H90" s="76" t="s">
        <v>644</v>
      </c>
      <c r="I90" s="76" t="s">
        <v>651</v>
      </c>
      <c r="J90" s="76"/>
      <c r="K90" s="75" t="s">
        <v>330</v>
      </c>
      <c r="L90" s="75"/>
      <c r="M90" s="75"/>
      <c r="N90" s="75"/>
    </row>
    <row r="91" spans="4:14" ht="17.25" x14ac:dyDescent="0.25">
      <c r="F91" s="74">
        <v>34</v>
      </c>
      <c r="G91" s="76"/>
      <c r="H91" s="76" t="s">
        <v>645</v>
      </c>
      <c r="I91" s="76" t="s">
        <v>652</v>
      </c>
      <c r="J91" s="76"/>
      <c r="K91" s="75" t="s">
        <v>330</v>
      </c>
      <c r="L91" s="75"/>
      <c r="M91" s="75"/>
      <c r="N91" s="75"/>
    </row>
    <row r="92" spans="4:14" ht="17.25" x14ac:dyDescent="0.25">
      <c r="F92" s="74">
        <v>35</v>
      </c>
      <c r="G92" s="76"/>
      <c r="H92" s="76" t="s">
        <v>646</v>
      </c>
      <c r="I92" s="76" t="s">
        <v>653</v>
      </c>
      <c r="J92" s="76"/>
      <c r="K92" s="75" t="s">
        <v>330</v>
      </c>
      <c r="L92" s="75"/>
      <c r="M92" s="75"/>
      <c r="N92" s="75"/>
    </row>
    <row r="96" spans="4:14" ht="17.25" x14ac:dyDescent="0.25">
      <c r="D96" s="153" t="s">
        <v>0</v>
      </c>
      <c r="E96" s="153"/>
      <c r="F96" s="153"/>
      <c r="G96" s="153"/>
      <c r="H96" s="153"/>
      <c r="I96" s="153"/>
      <c r="J96" s="153"/>
      <c r="K96" s="153"/>
      <c r="L96" s="153"/>
      <c r="M96" s="153"/>
    </row>
    <row r="97" spans="4:13" ht="17.25" x14ac:dyDescent="0.25">
      <c r="D97" s="154" t="s">
        <v>320</v>
      </c>
      <c r="E97" s="153"/>
      <c r="F97" s="153"/>
      <c r="G97" s="153"/>
      <c r="H97" s="153"/>
      <c r="I97" s="153"/>
      <c r="J97" s="153"/>
      <c r="K97" s="153"/>
      <c r="L97" s="153"/>
      <c r="M97" s="153"/>
    </row>
    <row r="98" spans="4:13" ht="17.25" x14ac:dyDescent="0.25">
      <c r="D98" s="154" t="s">
        <v>321</v>
      </c>
      <c r="E98" s="153"/>
      <c r="F98" s="153"/>
      <c r="G98" s="153"/>
      <c r="H98" s="153"/>
      <c r="I98" s="153"/>
      <c r="J98" s="153"/>
      <c r="K98" s="153"/>
      <c r="L98" s="153"/>
      <c r="M98" s="153"/>
    </row>
    <row r="99" spans="4:13" ht="17.25" x14ac:dyDescent="0.25">
      <c r="D99" s="154" t="s">
        <v>325</v>
      </c>
      <c r="E99" s="153"/>
      <c r="F99" s="153"/>
      <c r="G99" s="153"/>
      <c r="H99" s="153"/>
      <c r="I99" s="153"/>
      <c r="J99" s="153"/>
      <c r="K99" s="153"/>
      <c r="L99" s="153"/>
      <c r="M99" s="153"/>
    </row>
    <row r="100" spans="4:13" ht="17.25" x14ac:dyDescent="0.25">
      <c r="D100" s="154" t="s">
        <v>397</v>
      </c>
      <c r="E100" s="153"/>
      <c r="F100" s="153"/>
      <c r="G100" s="153"/>
      <c r="H100" s="153"/>
      <c r="I100" s="153"/>
      <c r="J100" s="153"/>
      <c r="K100" s="153"/>
      <c r="L100" s="153"/>
      <c r="M100" s="153"/>
    </row>
    <row r="101" spans="4:13" ht="17.25" x14ac:dyDescent="0.25">
      <c r="D101" s="72" t="s">
        <v>1</v>
      </c>
      <c r="E101" s="72" t="s">
        <v>2</v>
      </c>
      <c r="F101" s="72" t="s">
        <v>3</v>
      </c>
      <c r="G101" s="72" t="s">
        <v>4</v>
      </c>
      <c r="H101" s="72" t="s">
        <v>331</v>
      </c>
      <c r="I101" s="73" t="s">
        <v>326</v>
      </c>
      <c r="J101" s="73" t="s">
        <v>327</v>
      </c>
      <c r="K101" s="73" t="s">
        <v>328</v>
      </c>
      <c r="L101" s="73" t="s">
        <v>13</v>
      </c>
      <c r="M101" s="73" t="s">
        <v>333</v>
      </c>
    </row>
    <row r="102" spans="4:13" ht="17.25" x14ac:dyDescent="0.25">
      <c r="D102" s="74"/>
      <c r="F102" s="74"/>
      <c r="G102" s="74"/>
      <c r="H102" s="74"/>
      <c r="I102" s="75"/>
      <c r="J102" s="75"/>
      <c r="K102" s="75"/>
      <c r="L102" s="75"/>
      <c r="M102" s="75"/>
    </row>
    <row r="103" spans="4:13" ht="17.25" x14ac:dyDescent="0.25">
      <c r="D103" s="74">
        <v>1</v>
      </c>
      <c r="E103" s="74">
        <v>1679</v>
      </c>
      <c r="F103" s="76" t="s">
        <v>398</v>
      </c>
      <c r="G103" t="s">
        <v>422</v>
      </c>
      <c r="H103" s="76" t="s">
        <v>429</v>
      </c>
      <c r="I103" s="75" t="s">
        <v>329</v>
      </c>
      <c r="J103" s="83"/>
      <c r="K103" s="83"/>
      <c r="L103" s="83"/>
      <c r="M103" s="75" t="s">
        <v>460</v>
      </c>
    </row>
    <row r="104" spans="4:13" ht="17.25" x14ac:dyDescent="0.25">
      <c r="D104" s="74">
        <v>2</v>
      </c>
      <c r="E104" s="74">
        <v>1680</v>
      </c>
      <c r="F104" s="76" t="s">
        <v>399</v>
      </c>
      <c r="G104" s="76" t="s">
        <v>263</v>
      </c>
      <c r="H104" s="76" t="s">
        <v>375</v>
      </c>
      <c r="I104" s="75" t="s">
        <v>329</v>
      </c>
      <c r="J104" s="83"/>
      <c r="K104" s="83"/>
      <c r="L104" s="83"/>
      <c r="M104" s="75" t="s">
        <v>461</v>
      </c>
    </row>
    <row r="105" spans="4:13" ht="17.25" x14ac:dyDescent="0.25">
      <c r="D105" s="74">
        <v>3</v>
      </c>
      <c r="E105" s="74">
        <v>1748</v>
      </c>
      <c r="F105" s="76" t="s">
        <v>400</v>
      </c>
      <c r="G105" s="76" t="s">
        <v>252</v>
      </c>
      <c r="H105" s="76" t="s">
        <v>340</v>
      </c>
      <c r="I105" s="75" t="s">
        <v>329</v>
      </c>
      <c r="J105" s="83"/>
      <c r="K105" s="83"/>
      <c r="L105" s="83"/>
      <c r="M105" s="75" t="s">
        <v>462</v>
      </c>
    </row>
    <row r="106" spans="4:13" ht="17.25" x14ac:dyDescent="0.25">
      <c r="D106" s="74">
        <v>4</v>
      </c>
      <c r="E106" s="74">
        <v>1771</v>
      </c>
      <c r="F106" s="76" t="s">
        <v>401</v>
      </c>
      <c r="G106" s="76" t="s">
        <v>416</v>
      </c>
      <c r="H106" s="76" t="s">
        <v>430</v>
      </c>
      <c r="I106" s="75" t="s">
        <v>329</v>
      </c>
      <c r="J106" s="83"/>
      <c r="K106" s="75"/>
      <c r="L106" s="75"/>
      <c r="M106" s="75" t="s">
        <v>463</v>
      </c>
    </row>
    <row r="107" spans="4:13" ht="17.25" x14ac:dyDescent="0.25">
      <c r="D107" s="74">
        <v>5</v>
      </c>
      <c r="E107" s="74">
        <v>1799</v>
      </c>
      <c r="F107" s="76" t="s">
        <v>402</v>
      </c>
      <c r="G107" s="76" t="s">
        <v>182</v>
      </c>
      <c r="H107" s="76" t="s">
        <v>431</v>
      </c>
      <c r="I107" s="75" t="s">
        <v>329</v>
      </c>
      <c r="J107" s="83"/>
      <c r="K107" s="83"/>
      <c r="L107" s="83"/>
      <c r="M107" s="75" t="s">
        <v>464</v>
      </c>
    </row>
    <row r="108" spans="4:13" ht="17.25" x14ac:dyDescent="0.25">
      <c r="D108" s="74">
        <v>6</v>
      </c>
      <c r="E108" s="74">
        <v>1800</v>
      </c>
      <c r="F108" s="76" t="s">
        <v>403</v>
      </c>
      <c r="G108" s="76" t="s">
        <v>417</v>
      </c>
      <c r="H108" s="76" t="s">
        <v>432</v>
      </c>
      <c r="I108" s="75" t="s">
        <v>329</v>
      </c>
      <c r="J108" s="83"/>
      <c r="K108" s="75"/>
      <c r="L108" s="75"/>
      <c r="M108" s="75" t="s">
        <v>465</v>
      </c>
    </row>
    <row r="109" spans="4:13" ht="17.25" x14ac:dyDescent="0.25">
      <c r="D109" s="74">
        <v>7</v>
      </c>
      <c r="E109" s="74">
        <v>1801</v>
      </c>
      <c r="F109" s="76" t="s">
        <v>404</v>
      </c>
      <c r="G109" s="76" t="s">
        <v>261</v>
      </c>
      <c r="H109" s="76" t="s">
        <v>433</v>
      </c>
      <c r="I109" s="75" t="s">
        <v>329</v>
      </c>
      <c r="J109" s="83"/>
      <c r="K109" s="83"/>
      <c r="L109" s="83"/>
      <c r="M109" s="75" t="s">
        <v>466</v>
      </c>
    </row>
    <row r="110" spans="4:13" ht="17.25" x14ac:dyDescent="0.25">
      <c r="D110" s="74">
        <v>8</v>
      </c>
      <c r="E110" s="74">
        <v>1802</v>
      </c>
      <c r="F110" s="76" t="s">
        <v>405</v>
      </c>
      <c r="G110" s="76" t="s">
        <v>418</v>
      </c>
      <c r="H110" s="76" t="s">
        <v>434</v>
      </c>
      <c r="I110" s="75" t="s">
        <v>329</v>
      </c>
      <c r="J110" s="75"/>
      <c r="K110" s="83"/>
      <c r="L110" s="83"/>
      <c r="M110" s="75" t="s">
        <v>467</v>
      </c>
    </row>
    <row r="111" spans="4:13" ht="17.25" x14ac:dyDescent="0.25">
      <c r="D111" s="74">
        <v>9</v>
      </c>
      <c r="E111" s="74">
        <v>1803</v>
      </c>
      <c r="F111" s="76" t="s">
        <v>406</v>
      </c>
      <c r="G111" s="76" t="s">
        <v>419</v>
      </c>
      <c r="H111" s="76" t="s">
        <v>435</v>
      </c>
      <c r="I111" s="75" t="s">
        <v>329</v>
      </c>
      <c r="J111" s="83"/>
      <c r="K111" s="84"/>
      <c r="L111" s="84"/>
      <c r="M111" s="75" t="s">
        <v>387</v>
      </c>
    </row>
    <row r="112" spans="4:13" ht="17.25" x14ac:dyDescent="0.25">
      <c r="D112" s="74">
        <v>10</v>
      </c>
      <c r="E112" s="74">
        <v>1804</v>
      </c>
      <c r="F112" s="76" t="s">
        <v>492</v>
      </c>
      <c r="G112" s="76" t="s">
        <v>420</v>
      </c>
      <c r="H112" s="76" t="s">
        <v>436</v>
      </c>
      <c r="I112" s="75" t="s">
        <v>329</v>
      </c>
      <c r="J112" s="83"/>
      <c r="K112" s="84"/>
      <c r="L112" s="84"/>
      <c r="M112" s="77" t="s">
        <v>468</v>
      </c>
    </row>
    <row r="113" spans="4:13" ht="17.25" x14ac:dyDescent="0.25">
      <c r="D113" s="74">
        <v>11</v>
      </c>
      <c r="E113" s="74">
        <v>1805</v>
      </c>
      <c r="F113" s="76" t="s">
        <v>407</v>
      </c>
      <c r="G113" s="76" t="s">
        <v>421</v>
      </c>
      <c r="H113" s="76" t="s">
        <v>437</v>
      </c>
      <c r="I113" s="75" t="s">
        <v>329</v>
      </c>
      <c r="J113" s="75"/>
      <c r="K113" s="83"/>
      <c r="L113" s="83"/>
      <c r="M113" s="77" t="s">
        <v>469</v>
      </c>
    </row>
    <row r="114" spans="4:13" ht="17.25" x14ac:dyDescent="0.25">
      <c r="D114" s="74">
        <v>12</v>
      </c>
      <c r="E114" s="74">
        <v>1806</v>
      </c>
      <c r="F114" s="76" t="s">
        <v>408</v>
      </c>
      <c r="G114" s="76" t="s">
        <v>423</v>
      </c>
      <c r="H114" s="76" t="s">
        <v>438</v>
      </c>
      <c r="I114" s="75" t="s">
        <v>329</v>
      </c>
      <c r="J114" s="75"/>
      <c r="K114" s="77"/>
      <c r="L114" s="77"/>
      <c r="M114" s="75" t="s">
        <v>470</v>
      </c>
    </row>
    <row r="115" spans="4:13" ht="17.25" x14ac:dyDescent="0.25">
      <c r="D115" s="74">
        <v>13</v>
      </c>
      <c r="E115" s="74">
        <v>1807</v>
      </c>
      <c r="F115" s="76" t="s">
        <v>409</v>
      </c>
      <c r="G115" s="76" t="s">
        <v>424</v>
      </c>
      <c r="H115" s="76" t="s">
        <v>439</v>
      </c>
      <c r="I115" s="75" t="s">
        <v>329</v>
      </c>
      <c r="J115" s="85"/>
      <c r="K115" s="83"/>
      <c r="L115" s="83"/>
      <c r="M115" s="75" t="s">
        <v>471</v>
      </c>
    </row>
    <row r="116" spans="4:13" ht="17.25" x14ac:dyDescent="0.25">
      <c r="D116" s="74">
        <v>14</v>
      </c>
      <c r="E116" s="76">
        <v>1812</v>
      </c>
      <c r="F116" s="76" t="s">
        <v>410</v>
      </c>
      <c r="G116" s="76" t="s">
        <v>169</v>
      </c>
      <c r="H116" s="76" t="s">
        <v>377</v>
      </c>
      <c r="I116" s="75" t="s">
        <v>330</v>
      </c>
      <c r="J116" s="75"/>
      <c r="K116" s="83"/>
      <c r="L116" s="83"/>
      <c r="M116" s="75" t="s">
        <v>388</v>
      </c>
    </row>
    <row r="117" spans="4:13" ht="17.25" x14ac:dyDescent="0.25">
      <c r="D117" s="74">
        <v>15</v>
      </c>
      <c r="E117" s="76">
        <v>1814</v>
      </c>
      <c r="F117" s="76" t="s">
        <v>411</v>
      </c>
      <c r="G117" s="76" t="s">
        <v>425</v>
      </c>
      <c r="H117" s="76" t="s">
        <v>440</v>
      </c>
      <c r="I117" s="75" t="s">
        <v>330</v>
      </c>
      <c r="J117" s="83"/>
      <c r="K117" s="83"/>
      <c r="L117" s="83"/>
      <c r="M117" s="75" t="s">
        <v>472</v>
      </c>
    </row>
    <row r="118" spans="4:13" ht="17.25" x14ac:dyDescent="0.25">
      <c r="D118" s="74">
        <v>16</v>
      </c>
      <c r="E118" s="76">
        <v>1816</v>
      </c>
      <c r="F118" s="76" t="s">
        <v>412</v>
      </c>
      <c r="G118" s="76" t="s">
        <v>426</v>
      </c>
      <c r="H118" s="76" t="s">
        <v>441</v>
      </c>
      <c r="I118" s="75" t="s">
        <v>330</v>
      </c>
      <c r="J118" s="75"/>
      <c r="K118" s="75"/>
      <c r="L118" s="75"/>
      <c r="M118" s="75" t="s">
        <v>473</v>
      </c>
    </row>
    <row r="119" spans="4:13" ht="17.25" x14ac:dyDescent="0.25">
      <c r="D119" s="74">
        <v>17</v>
      </c>
      <c r="E119" s="76">
        <v>1817</v>
      </c>
      <c r="F119" s="76" t="s">
        <v>413</v>
      </c>
      <c r="G119" s="76" t="s">
        <v>427</v>
      </c>
      <c r="H119" s="76" t="s">
        <v>442</v>
      </c>
      <c r="I119" s="75" t="s">
        <v>330</v>
      </c>
      <c r="J119" s="83"/>
      <c r="K119" s="83"/>
      <c r="L119" s="83"/>
      <c r="M119" s="75" t="s">
        <v>474</v>
      </c>
    </row>
    <row r="120" spans="4:13" ht="17.25" x14ac:dyDescent="0.25">
      <c r="D120" s="74">
        <v>18</v>
      </c>
      <c r="E120" s="76">
        <v>1818</v>
      </c>
      <c r="F120" s="76" t="s">
        <v>414</v>
      </c>
      <c r="G120" s="76" t="s">
        <v>427</v>
      </c>
      <c r="H120" s="76" t="s">
        <v>442</v>
      </c>
      <c r="I120" s="75" t="s">
        <v>330</v>
      </c>
      <c r="J120" s="75"/>
      <c r="K120" s="75"/>
      <c r="L120" s="75"/>
      <c r="M120" s="75" t="s">
        <v>474</v>
      </c>
    </row>
    <row r="121" spans="4:13" ht="17.25" x14ac:dyDescent="0.25">
      <c r="D121" s="74">
        <v>19</v>
      </c>
      <c r="E121" s="76">
        <v>1819</v>
      </c>
      <c r="F121" s="76" t="s">
        <v>415</v>
      </c>
      <c r="G121" s="76" t="s">
        <v>428</v>
      </c>
      <c r="H121" s="76" t="s">
        <v>443</v>
      </c>
      <c r="I121" s="75" t="s">
        <v>330</v>
      </c>
      <c r="J121" s="75"/>
      <c r="K121" s="75"/>
      <c r="L121" s="75"/>
      <c r="M121" s="75" t="s">
        <v>334</v>
      </c>
    </row>
    <row r="122" spans="4:13" ht="17.25" x14ac:dyDescent="0.25">
      <c r="D122" s="74">
        <v>20</v>
      </c>
      <c r="E122" s="76">
        <v>1822</v>
      </c>
      <c r="F122" s="76" t="s">
        <v>445</v>
      </c>
      <c r="G122" s="76" t="s">
        <v>428</v>
      </c>
      <c r="H122" s="76" t="s">
        <v>444</v>
      </c>
      <c r="I122" s="75" t="s">
        <v>330</v>
      </c>
      <c r="J122" s="75"/>
      <c r="K122" s="75"/>
      <c r="L122" s="75"/>
      <c r="M122" s="75" t="s">
        <v>334</v>
      </c>
    </row>
    <row r="123" spans="4:13" ht="17.25" x14ac:dyDescent="0.25">
      <c r="D123" s="74">
        <v>21</v>
      </c>
      <c r="E123" s="76">
        <v>1823</v>
      </c>
      <c r="F123" s="76" t="s">
        <v>446</v>
      </c>
      <c r="G123" s="76" t="s">
        <v>452</v>
      </c>
      <c r="H123" s="76" t="s">
        <v>455</v>
      </c>
      <c r="I123" s="75" t="s">
        <v>329</v>
      </c>
      <c r="J123" s="75"/>
      <c r="K123" s="75"/>
      <c r="L123" s="75"/>
      <c r="M123" s="75" t="s">
        <v>475</v>
      </c>
    </row>
    <row r="124" spans="4:13" ht="17.25" x14ac:dyDescent="0.25">
      <c r="D124" s="74">
        <v>22</v>
      </c>
      <c r="E124" s="76">
        <v>1826</v>
      </c>
      <c r="F124" s="76" t="s">
        <v>447</v>
      </c>
      <c r="G124" s="92" t="s">
        <v>453</v>
      </c>
      <c r="H124" s="76" t="s">
        <v>456</v>
      </c>
      <c r="I124" s="75" t="s">
        <v>329</v>
      </c>
      <c r="J124" s="75"/>
      <c r="K124" s="75"/>
      <c r="L124" s="75"/>
      <c r="M124" s="75" t="s">
        <v>476</v>
      </c>
    </row>
    <row r="125" spans="4:13" ht="17.25" x14ac:dyDescent="0.25">
      <c r="D125" s="74">
        <v>23</v>
      </c>
      <c r="E125" s="76">
        <v>1827</v>
      </c>
      <c r="F125" s="76" t="s">
        <v>239</v>
      </c>
      <c r="G125" s="93" t="s">
        <v>454</v>
      </c>
      <c r="H125" s="76" t="s">
        <v>457</v>
      </c>
      <c r="I125" s="75" t="s">
        <v>330</v>
      </c>
      <c r="J125" s="75"/>
      <c r="K125" s="75"/>
      <c r="L125" s="75"/>
      <c r="M125" s="75" t="s">
        <v>476</v>
      </c>
    </row>
    <row r="126" spans="4:13" ht="17.25" x14ac:dyDescent="0.25">
      <c r="D126" s="74">
        <v>24</v>
      </c>
      <c r="E126" s="76">
        <v>1828</v>
      </c>
      <c r="F126" s="76" t="s">
        <v>448</v>
      </c>
      <c r="G126" s="76" t="s">
        <v>450</v>
      </c>
      <c r="H126" s="76" t="s">
        <v>458</v>
      </c>
      <c r="I126" s="75" t="s">
        <v>330</v>
      </c>
      <c r="J126" s="75"/>
      <c r="K126" s="75"/>
      <c r="L126" s="75"/>
      <c r="M126" s="75" t="s">
        <v>477</v>
      </c>
    </row>
    <row r="127" spans="4:13" ht="17.25" x14ac:dyDescent="0.25">
      <c r="D127" s="74">
        <v>25</v>
      </c>
      <c r="E127" s="76">
        <v>1829</v>
      </c>
      <c r="F127" s="76" t="s">
        <v>449</v>
      </c>
      <c r="G127" s="76" t="s">
        <v>451</v>
      </c>
      <c r="H127" s="76" t="s">
        <v>459</v>
      </c>
      <c r="I127" s="75" t="s">
        <v>329</v>
      </c>
      <c r="J127" s="75"/>
      <c r="K127" s="84"/>
      <c r="L127" s="84"/>
      <c r="M127" s="77" t="s">
        <v>478</v>
      </c>
    </row>
    <row r="128" spans="4:13" ht="17.25" x14ac:dyDescent="0.25">
      <c r="D128" s="74">
        <v>26</v>
      </c>
      <c r="E128" s="76">
        <v>1840</v>
      </c>
      <c r="F128" s="76" t="s">
        <v>479</v>
      </c>
      <c r="G128" s="76" t="s">
        <v>480</v>
      </c>
      <c r="H128" s="76" t="s">
        <v>506</v>
      </c>
      <c r="I128" s="75" t="s">
        <v>329</v>
      </c>
      <c r="J128" s="75"/>
      <c r="K128" s="75"/>
      <c r="L128" s="75"/>
      <c r="M128" s="75" t="s">
        <v>517</v>
      </c>
    </row>
    <row r="129" spans="4:13" ht="17.25" x14ac:dyDescent="0.25">
      <c r="D129" s="74">
        <v>27</v>
      </c>
      <c r="E129" s="76">
        <v>1841</v>
      </c>
      <c r="F129" s="94" t="s">
        <v>263</v>
      </c>
      <c r="G129" s="76" t="s">
        <v>288</v>
      </c>
      <c r="H129" s="76" t="s">
        <v>335</v>
      </c>
      <c r="I129" s="75" t="s">
        <v>329</v>
      </c>
      <c r="J129" s="75"/>
      <c r="K129" s="75"/>
      <c r="L129" s="75"/>
      <c r="M129" s="75" t="s">
        <v>518</v>
      </c>
    </row>
    <row r="130" spans="4:13" ht="17.25" x14ac:dyDescent="0.25">
      <c r="D130" s="74">
        <v>28</v>
      </c>
      <c r="E130" s="76">
        <v>1842</v>
      </c>
      <c r="F130" s="76" t="s">
        <v>481</v>
      </c>
      <c r="G130" s="76" t="s">
        <v>417</v>
      </c>
      <c r="H130" s="76" t="s">
        <v>432</v>
      </c>
      <c r="I130" s="75" t="s">
        <v>330</v>
      </c>
      <c r="J130" s="75"/>
      <c r="K130" s="75"/>
      <c r="L130" s="75"/>
      <c r="M130" s="75" t="s">
        <v>469</v>
      </c>
    </row>
    <row r="131" spans="4:13" ht="17.25" x14ac:dyDescent="0.25">
      <c r="D131" s="74">
        <v>29</v>
      </c>
      <c r="E131" s="76">
        <v>1843</v>
      </c>
      <c r="F131" s="94" t="s">
        <v>493</v>
      </c>
      <c r="G131" s="76" t="s">
        <v>496</v>
      </c>
      <c r="H131" s="76" t="s">
        <v>507</v>
      </c>
      <c r="I131" s="75" t="s">
        <v>330</v>
      </c>
      <c r="J131" s="75" t="s">
        <v>395</v>
      </c>
      <c r="K131" s="75"/>
      <c r="L131" s="75"/>
      <c r="M131" s="75" t="s">
        <v>519</v>
      </c>
    </row>
    <row r="132" spans="4:13" ht="17.25" x14ac:dyDescent="0.25">
      <c r="D132" s="74">
        <v>30</v>
      </c>
      <c r="E132" s="76">
        <v>1844</v>
      </c>
      <c r="F132" s="94" t="s">
        <v>482</v>
      </c>
      <c r="G132" s="76" t="s">
        <v>497</v>
      </c>
      <c r="H132" s="76" t="s">
        <v>508</v>
      </c>
      <c r="I132" s="75" t="s">
        <v>330</v>
      </c>
      <c r="J132" s="75"/>
      <c r="K132" s="75"/>
      <c r="L132" s="75"/>
      <c r="M132" s="75" t="s">
        <v>520</v>
      </c>
    </row>
    <row r="133" spans="4:13" ht="17.25" x14ac:dyDescent="0.25">
      <c r="D133" s="74">
        <v>31</v>
      </c>
      <c r="E133" s="76">
        <v>1850</v>
      </c>
      <c r="F133" s="76" t="s">
        <v>483</v>
      </c>
      <c r="G133" s="76" t="s">
        <v>498</v>
      </c>
      <c r="H133" s="76" t="s">
        <v>509</v>
      </c>
      <c r="I133" s="75" t="s">
        <v>330</v>
      </c>
      <c r="J133" s="75"/>
      <c r="K133" s="75"/>
      <c r="L133" s="75"/>
      <c r="M133" s="75" t="s">
        <v>521</v>
      </c>
    </row>
    <row r="134" spans="4:13" ht="17.25" x14ac:dyDescent="0.25">
      <c r="D134" s="74">
        <v>32</v>
      </c>
      <c r="E134" s="76">
        <v>1851</v>
      </c>
      <c r="F134" s="76" t="s">
        <v>484</v>
      </c>
      <c r="G134" s="76" t="s">
        <v>499</v>
      </c>
      <c r="H134" s="76" t="s">
        <v>510</v>
      </c>
      <c r="I134" s="75" t="s">
        <v>329</v>
      </c>
      <c r="J134" s="75"/>
      <c r="K134" s="75"/>
      <c r="L134" s="75"/>
      <c r="M134" s="75" t="s">
        <v>522</v>
      </c>
    </row>
    <row r="135" spans="4:13" ht="17.25" x14ac:dyDescent="0.25">
      <c r="D135" s="74">
        <v>33</v>
      </c>
      <c r="E135" s="76">
        <v>1852</v>
      </c>
      <c r="F135" s="76" t="s">
        <v>485</v>
      </c>
      <c r="G135" s="76" t="s">
        <v>500</v>
      </c>
      <c r="H135" s="76" t="s">
        <v>511</v>
      </c>
      <c r="I135" s="75" t="s">
        <v>330</v>
      </c>
      <c r="J135" s="75"/>
      <c r="K135" s="75"/>
      <c r="L135" s="75"/>
      <c r="M135" s="75" t="s">
        <v>523</v>
      </c>
    </row>
    <row r="136" spans="4:13" ht="17.25" x14ac:dyDescent="0.25">
      <c r="D136" s="74">
        <v>34</v>
      </c>
      <c r="E136" s="76">
        <v>1857</v>
      </c>
      <c r="F136" s="76" t="s">
        <v>486</v>
      </c>
      <c r="G136" s="76" t="s">
        <v>501</v>
      </c>
      <c r="H136" s="76" t="s">
        <v>512</v>
      </c>
      <c r="I136" s="75" t="s">
        <v>329</v>
      </c>
      <c r="J136" s="75"/>
      <c r="K136" s="75"/>
      <c r="L136" s="75"/>
      <c r="M136" s="75" t="s">
        <v>524</v>
      </c>
    </row>
    <row r="137" spans="4:13" ht="17.25" x14ac:dyDescent="0.25">
      <c r="D137" s="74">
        <v>35</v>
      </c>
      <c r="E137" s="76">
        <v>1859</v>
      </c>
      <c r="F137" s="76" t="s">
        <v>487</v>
      </c>
      <c r="G137" s="76" t="s">
        <v>502</v>
      </c>
      <c r="H137" s="76" t="s">
        <v>513</v>
      </c>
      <c r="I137" s="75" t="s">
        <v>329</v>
      </c>
      <c r="J137" s="75"/>
      <c r="K137" s="75"/>
      <c r="L137" s="75"/>
      <c r="M137" s="75" t="s">
        <v>525</v>
      </c>
    </row>
    <row r="138" spans="4:13" ht="17.25" x14ac:dyDescent="0.25">
      <c r="D138" s="74">
        <v>36</v>
      </c>
      <c r="E138" s="76">
        <v>1860</v>
      </c>
      <c r="F138" s="76" t="s">
        <v>488</v>
      </c>
      <c r="G138" s="76" t="s">
        <v>182</v>
      </c>
      <c r="H138" s="76" t="s">
        <v>336</v>
      </c>
      <c r="I138" s="75" t="s">
        <v>330</v>
      </c>
      <c r="J138" s="75"/>
      <c r="K138" s="75"/>
      <c r="L138" s="75"/>
      <c r="M138" s="75" t="s">
        <v>526</v>
      </c>
    </row>
    <row r="139" spans="4:13" ht="17.25" x14ac:dyDescent="0.25">
      <c r="D139" s="74">
        <v>37</v>
      </c>
      <c r="E139" s="76">
        <v>1809</v>
      </c>
      <c r="F139" s="76" t="s">
        <v>489</v>
      </c>
      <c r="G139" s="76" t="s">
        <v>503</v>
      </c>
      <c r="H139" s="76" t="s">
        <v>514</v>
      </c>
      <c r="I139" s="75" t="s">
        <v>330</v>
      </c>
      <c r="J139" s="75"/>
      <c r="K139" s="75"/>
      <c r="L139" s="75"/>
      <c r="M139" s="75" t="s">
        <v>527</v>
      </c>
    </row>
    <row r="140" spans="4:13" ht="17.25" x14ac:dyDescent="0.25">
      <c r="D140" s="74">
        <v>38</v>
      </c>
      <c r="E140" s="76">
        <v>1869</v>
      </c>
      <c r="F140" s="76" t="s">
        <v>490</v>
      </c>
      <c r="G140" s="76" t="s">
        <v>502</v>
      </c>
      <c r="H140" s="76" t="s">
        <v>513</v>
      </c>
      <c r="I140" s="75" t="s">
        <v>329</v>
      </c>
      <c r="J140" s="75"/>
      <c r="K140" s="75"/>
      <c r="L140" s="75"/>
      <c r="M140" s="75" t="s">
        <v>528</v>
      </c>
    </row>
    <row r="141" spans="4:13" ht="17.25" x14ac:dyDescent="0.25">
      <c r="D141" s="74">
        <v>39</v>
      </c>
      <c r="E141" s="76">
        <v>1896</v>
      </c>
      <c r="F141" s="76" t="s">
        <v>491</v>
      </c>
      <c r="G141" s="94" t="s">
        <v>505</v>
      </c>
      <c r="H141" s="76" t="s">
        <v>515</v>
      </c>
      <c r="I141" s="75" t="s">
        <v>329</v>
      </c>
      <c r="J141" s="75"/>
      <c r="K141" s="75"/>
      <c r="L141" s="75"/>
      <c r="M141" s="75" t="s">
        <v>529</v>
      </c>
    </row>
    <row r="142" spans="4:13" ht="17.25" x14ac:dyDescent="0.25">
      <c r="D142" s="74">
        <v>40</v>
      </c>
      <c r="E142" s="76">
        <v>1899</v>
      </c>
      <c r="F142" s="76" t="s">
        <v>494</v>
      </c>
      <c r="G142" s="76" t="s">
        <v>504</v>
      </c>
      <c r="H142" s="76" t="s">
        <v>516</v>
      </c>
      <c r="I142" s="75" t="s">
        <v>329</v>
      </c>
      <c r="J142" s="75"/>
      <c r="K142" s="75"/>
      <c r="L142" s="75"/>
      <c r="M142" s="75" t="s">
        <v>530</v>
      </c>
    </row>
    <row r="143" spans="4:13" ht="17.25" x14ac:dyDescent="0.25">
      <c r="D143" s="74">
        <v>41</v>
      </c>
      <c r="E143" s="76">
        <v>1836</v>
      </c>
      <c r="F143" s="76" t="s">
        <v>495</v>
      </c>
      <c r="G143" s="76" t="s">
        <v>450</v>
      </c>
      <c r="H143" s="76" t="s">
        <v>458</v>
      </c>
      <c r="I143" s="75" t="s">
        <v>329</v>
      </c>
      <c r="J143" s="75"/>
      <c r="K143" s="75"/>
      <c r="L143" s="75"/>
      <c r="M143" s="75" t="s">
        <v>477</v>
      </c>
    </row>
    <row r="144" spans="4:13" ht="17.25" x14ac:dyDescent="0.25">
      <c r="D144" s="87"/>
      <c r="E144" s="88"/>
      <c r="F144" s="88"/>
      <c r="G144" s="88"/>
      <c r="H144" s="88"/>
      <c r="I144" s="89"/>
      <c r="J144" s="89"/>
      <c r="K144" s="90"/>
      <c r="L144" s="90"/>
      <c r="M144" s="91"/>
    </row>
    <row r="145" spans="4:13" ht="17.25" x14ac:dyDescent="0.25">
      <c r="D145" s="87"/>
      <c r="E145" s="88"/>
      <c r="F145" s="88"/>
      <c r="G145" s="88"/>
      <c r="H145" s="88"/>
      <c r="I145" s="89"/>
      <c r="J145" s="89"/>
      <c r="K145" s="90"/>
      <c r="L145" s="90"/>
      <c r="M145" s="91"/>
    </row>
    <row r="146" spans="4:13" ht="17.25" x14ac:dyDescent="0.25">
      <c r="D146" s="87"/>
      <c r="E146" s="88"/>
      <c r="F146" s="88"/>
      <c r="G146" s="88"/>
      <c r="H146" s="88"/>
      <c r="I146" s="89"/>
      <c r="J146" s="89"/>
      <c r="K146" s="90"/>
      <c r="L146" s="90"/>
      <c r="M146" s="91"/>
    </row>
    <row r="147" spans="4:13" ht="17.25" x14ac:dyDescent="0.25">
      <c r="D147" s="87"/>
      <c r="E147" s="88"/>
      <c r="F147" s="88"/>
      <c r="G147" s="88"/>
      <c r="H147" s="88"/>
      <c r="I147" s="89"/>
      <c r="J147" s="89" t="s">
        <v>395</v>
      </c>
      <c r="K147" s="90"/>
      <c r="L147" s="90"/>
      <c r="M147" s="91"/>
    </row>
    <row r="148" spans="4:13" ht="17.25" x14ac:dyDescent="0.25">
      <c r="D148" s="87"/>
      <c r="E148" s="88"/>
      <c r="F148" s="88"/>
      <c r="G148" s="88"/>
      <c r="H148" s="88"/>
      <c r="I148" s="89"/>
      <c r="J148" s="89"/>
      <c r="K148" s="90"/>
      <c r="L148" s="90"/>
      <c r="M148" s="91"/>
    </row>
    <row r="149" spans="4:13" ht="17.25" x14ac:dyDescent="0.25">
      <c r="D149" s="87"/>
      <c r="E149" s="88"/>
      <c r="F149" s="88"/>
      <c r="G149" s="88" t="s">
        <v>395</v>
      </c>
      <c r="H149" s="88"/>
      <c r="I149" s="89"/>
      <c r="J149" s="89"/>
      <c r="K149" s="90"/>
      <c r="L149" s="90"/>
      <c r="M149" s="91"/>
    </row>
    <row r="150" spans="4:13" ht="17.25" x14ac:dyDescent="0.25">
      <c r="D150" s="87"/>
      <c r="E150" s="88"/>
      <c r="F150" s="88"/>
      <c r="G150" s="88"/>
      <c r="H150" s="88"/>
      <c r="I150" s="89"/>
      <c r="J150" s="89"/>
      <c r="K150" s="90"/>
      <c r="L150" s="90"/>
      <c r="M150" s="91"/>
    </row>
    <row r="151" spans="4:13" ht="17.25" x14ac:dyDescent="0.25">
      <c r="D151" s="87"/>
      <c r="E151" s="88"/>
      <c r="F151" s="88"/>
      <c r="G151" s="88"/>
      <c r="H151" s="88"/>
      <c r="I151" s="89"/>
      <c r="J151" s="89"/>
      <c r="K151" s="90"/>
      <c r="L151" s="90"/>
      <c r="M151" s="91"/>
    </row>
    <row r="153" spans="4:13" x14ac:dyDescent="0.25">
      <c r="F153" t="s">
        <v>395</v>
      </c>
    </row>
    <row r="158" spans="4:13" x14ac:dyDescent="0.25">
      <c r="J158" t="s">
        <v>395</v>
      </c>
    </row>
    <row r="182" spans="4:13" x14ac:dyDescent="0.25">
      <c r="E182" t="s">
        <v>395</v>
      </c>
    </row>
    <row r="183" spans="4:13" ht="17.25" x14ac:dyDescent="0.25">
      <c r="D183" s="153" t="s">
        <v>0</v>
      </c>
      <c r="E183" s="153"/>
      <c r="F183" s="153"/>
      <c r="G183" s="153"/>
      <c r="H183" s="153"/>
      <c r="I183" s="153"/>
      <c r="J183" s="153"/>
      <c r="K183" s="153"/>
      <c r="L183" s="153"/>
      <c r="M183" s="153"/>
    </row>
    <row r="184" spans="4:13" ht="17.25" x14ac:dyDescent="0.25">
      <c r="D184" s="154" t="s">
        <v>320</v>
      </c>
      <c r="E184" s="153"/>
      <c r="F184" s="153"/>
      <c r="G184" s="153"/>
      <c r="H184" s="153"/>
      <c r="I184" s="153"/>
      <c r="J184" s="153"/>
      <c r="K184" s="153"/>
      <c r="L184" s="153"/>
      <c r="M184" s="153"/>
    </row>
    <row r="185" spans="4:13" ht="17.25" x14ac:dyDescent="0.25">
      <c r="D185" s="154" t="s">
        <v>321</v>
      </c>
      <c r="E185" s="153"/>
      <c r="F185" s="153"/>
      <c r="G185" s="153"/>
      <c r="H185" s="153"/>
      <c r="I185" s="153"/>
      <c r="J185" s="153"/>
      <c r="K185" s="153"/>
      <c r="L185" s="153"/>
      <c r="M185" s="153"/>
    </row>
    <row r="186" spans="4:13" ht="17.25" x14ac:dyDescent="0.25">
      <c r="D186" s="154" t="s">
        <v>325</v>
      </c>
      <c r="E186" s="153"/>
      <c r="F186" s="153"/>
      <c r="G186" s="153"/>
      <c r="H186" s="153"/>
      <c r="I186" s="153"/>
      <c r="J186" s="153"/>
      <c r="K186" s="153"/>
      <c r="L186" s="153"/>
      <c r="M186" s="153"/>
    </row>
    <row r="187" spans="4:13" ht="17.25" x14ac:dyDescent="0.25">
      <c r="D187" s="154" t="s">
        <v>322</v>
      </c>
      <c r="E187" s="153"/>
      <c r="F187" s="153"/>
      <c r="G187" s="153"/>
      <c r="H187" s="153"/>
      <c r="I187" s="153"/>
      <c r="J187" s="153"/>
      <c r="K187" s="153"/>
      <c r="L187" s="153"/>
      <c r="M187" s="153"/>
    </row>
    <row r="188" spans="4:13" ht="17.25" x14ac:dyDescent="0.25">
      <c r="D188" s="72" t="s">
        <v>1</v>
      </c>
      <c r="E188" s="72" t="s">
        <v>2</v>
      </c>
      <c r="F188" s="72" t="s">
        <v>3</v>
      </c>
      <c r="G188" s="72" t="s">
        <v>4</v>
      </c>
      <c r="H188" s="72" t="s">
        <v>331</v>
      </c>
      <c r="I188" s="73" t="s">
        <v>326</v>
      </c>
      <c r="J188" s="73" t="s">
        <v>327</v>
      </c>
      <c r="K188" s="73" t="s">
        <v>328</v>
      </c>
      <c r="L188" s="73" t="s">
        <v>13</v>
      </c>
      <c r="M188" s="73" t="s">
        <v>333</v>
      </c>
    </row>
    <row r="189" spans="4:13" ht="17.25" x14ac:dyDescent="0.25">
      <c r="D189" s="74"/>
      <c r="E189" s="74"/>
      <c r="F189" s="74"/>
      <c r="G189" s="74"/>
      <c r="H189" s="74"/>
      <c r="I189" s="75"/>
      <c r="J189" s="75"/>
      <c r="K189" s="75"/>
      <c r="L189" s="75"/>
      <c r="M189" s="75"/>
    </row>
    <row r="190" spans="4:13" ht="17.25" x14ac:dyDescent="0.25">
      <c r="D190" s="74">
        <v>1</v>
      </c>
      <c r="E190" s="74">
        <v>1645</v>
      </c>
      <c r="F190" s="76" t="s">
        <v>216</v>
      </c>
      <c r="G190" s="76" t="s">
        <v>217</v>
      </c>
      <c r="H190" s="76" t="s">
        <v>337</v>
      </c>
      <c r="I190" s="75" t="s">
        <v>329</v>
      </c>
      <c r="J190" s="75" t="s">
        <v>338</v>
      </c>
      <c r="K190" s="83">
        <v>44263</v>
      </c>
      <c r="L190" s="83"/>
      <c r="M190" s="75" t="s">
        <v>339</v>
      </c>
    </row>
    <row r="191" spans="4:13" ht="17.25" x14ac:dyDescent="0.25">
      <c r="D191" s="74">
        <v>2</v>
      </c>
      <c r="E191" s="74">
        <v>1648</v>
      </c>
      <c r="F191" s="76" t="s">
        <v>218</v>
      </c>
      <c r="G191" s="76" t="s">
        <v>219</v>
      </c>
      <c r="H191" s="76" t="s">
        <v>340</v>
      </c>
      <c r="I191" s="75" t="s">
        <v>329</v>
      </c>
      <c r="J191" s="75" t="s">
        <v>361</v>
      </c>
      <c r="K191" s="83">
        <v>44263</v>
      </c>
      <c r="L191" s="83"/>
      <c r="M191" s="31"/>
    </row>
    <row r="192" spans="4:13" ht="17.25" x14ac:dyDescent="0.25">
      <c r="D192" s="74">
        <v>3</v>
      </c>
      <c r="E192" s="74">
        <v>1641</v>
      </c>
      <c r="F192" s="76" t="s">
        <v>175</v>
      </c>
      <c r="G192" s="76" t="s">
        <v>300</v>
      </c>
      <c r="H192" s="76" t="s">
        <v>341</v>
      </c>
      <c r="I192" s="75" t="s">
        <v>329</v>
      </c>
      <c r="J192" s="83">
        <v>40913</v>
      </c>
      <c r="K192" s="83">
        <v>44263</v>
      </c>
      <c r="L192" s="83"/>
      <c r="M192" s="75" t="s">
        <v>352</v>
      </c>
    </row>
    <row r="193" spans="4:13" ht="17.25" x14ac:dyDescent="0.25">
      <c r="D193" s="74">
        <v>4</v>
      </c>
      <c r="E193" s="74">
        <v>1609</v>
      </c>
      <c r="F193" s="76" t="s">
        <v>178</v>
      </c>
      <c r="G193" s="76" t="s">
        <v>184</v>
      </c>
      <c r="H193" s="76" t="s">
        <v>342</v>
      </c>
      <c r="I193" s="75" t="s">
        <v>329</v>
      </c>
      <c r="J193" s="83">
        <v>41345</v>
      </c>
      <c r="K193" s="83">
        <v>43167</v>
      </c>
      <c r="L193" s="83"/>
      <c r="M193" s="75" t="s">
        <v>367</v>
      </c>
    </row>
    <row r="194" spans="4:13" ht="17.25" x14ac:dyDescent="0.25">
      <c r="D194" s="74">
        <v>5</v>
      </c>
      <c r="E194" s="74">
        <v>1712</v>
      </c>
      <c r="F194" s="76" t="s">
        <v>220</v>
      </c>
      <c r="G194" s="76" t="s">
        <v>221</v>
      </c>
      <c r="H194" s="76" t="s">
        <v>343</v>
      </c>
      <c r="I194" s="75" t="s">
        <v>329</v>
      </c>
      <c r="J194" s="83">
        <v>40852</v>
      </c>
      <c r="K194" s="83">
        <v>44659</v>
      </c>
      <c r="L194" s="83"/>
      <c r="M194" s="75" t="s">
        <v>368</v>
      </c>
    </row>
    <row r="195" spans="4:13" ht="17.25" x14ac:dyDescent="0.25">
      <c r="D195" s="74">
        <v>6</v>
      </c>
      <c r="E195" s="74">
        <v>1710</v>
      </c>
      <c r="F195" s="76" t="s">
        <v>222</v>
      </c>
      <c r="G195" s="76" t="s">
        <v>177</v>
      </c>
      <c r="H195" s="76" t="s">
        <v>344</v>
      </c>
      <c r="I195" s="75" t="s">
        <v>329</v>
      </c>
      <c r="J195" s="83">
        <v>42282</v>
      </c>
      <c r="K195" s="83">
        <v>44659</v>
      </c>
      <c r="L195" s="83"/>
      <c r="M195" s="75" t="s">
        <v>369</v>
      </c>
    </row>
    <row r="196" spans="4:13" ht="17.25" x14ac:dyDescent="0.25">
      <c r="D196" s="74">
        <v>7</v>
      </c>
      <c r="E196" s="74">
        <v>1790</v>
      </c>
      <c r="F196" s="76" t="s">
        <v>223</v>
      </c>
      <c r="G196" s="76" t="s">
        <v>224</v>
      </c>
      <c r="H196" s="76" t="s">
        <v>345</v>
      </c>
      <c r="I196" s="75" t="s">
        <v>329</v>
      </c>
      <c r="J196" s="83" t="s">
        <v>362</v>
      </c>
      <c r="K196" s="75" t="s">
        <v>372</v>
      </c>
      <c r="L196" s="75"/>
      <c r="M196" s="75" t="s">
        <v>370</v>
      </c>
    </row>
    <row r="197" spans="4:13" ht="17.25" x14ac:dyDescent="0.25">
      <c r="D197" s="74">
        <v>8</v>
      </c>
      <c r="E197" s="74">
        <v>1791</v>
      </c>
      <c r="F197" s="76" t="s">
        <v>225</v>
      </c>
      <c r="G197" s="76" t="s">
        <v>226</v>
      </c>
      <c r="H197" s="76" t="s">
        <v>371</v>
      </c>
      <c r="I197" s="75" t="s">
        <v>329</v>
      </c>
      <c r="J197" s="83">
        <v>40061</v>
      </c>
      <c r="K197" s="83">
        <v>45209</v>
      </c>
      <c r="L197" s="83"/>
      <c r="M197" s="75" t="s">
        <v>353</v>
      </c>
    </row>
    <row r="198" spans="4:13" ht="17.25" x14ac:dyDescent="0.25">
      <c r="D198" s="74">
        <v>9</v>
      </c>
      <c r="E198" s="74">
        <v>1792</v>
      </c>
      <c r="F198" s="76" t="s">
        <v>182</v>
      </c>
      <c r="G198" s="76" t="s">
        <v>227</v>
      </c>
      <c r="H198" s="76" t="s">
        <v>346</v>
      </c>
      <c r="I198" s="75" t="s">
        <v>329</v>
      </c>
      <c r="J198" s="83" t="s">
        <v>363</v>
      </c>
      <c r="K198" s="83" t="s">
        <v>373</v>
      </c>
      <c r="L198" s="75"/>
      <c r="M198" s="75" t="s">
        <v>354</v>
      </c>
    </row>
    <row r="199" spans="4:13" ht="17.25" x14ac:dyDescent="0.25">
      <c r="D199" s="74">
        <v>10</v>
      </c>
      <c r="E199" s="74">
        <v>1793</v>
      </c>
      <c r="F199" s="76" t="s">
        <v>228</v>
      </c>
      <c r="G199" s="76" t="s">
        <v>229</v>
      </c>
      <c r="H199" s="76" t="s">
        <v>347</v>
      </c>
      <c r="I199" s="75" t="s">
        <v>329</v>
      </c>
      <c r="J199" s="83">
        <v>40763</v>
      </c>
      <c r="K199" s="83">
        <v>45352</v>
      </c>
      <c r="L199" s="83"/>
      <c r="M199" s="75" t="s">
        <v>355</v>
      </c>
    </row>
    <row r="200" spans="4:13" ht="17.25" x14ac:dyDescent="0.25">
      <c r="D200" s="74">
        <v>11</v>
      </c>
      <c r="E200" s="74">
        <v>1794</v>
      </c>
      <c r="F200" s="76" t="s">
        <v>230</v>
      </c>
      <c r="G200" s="76" t="s">
        <v>185</v>
      </c>
      <c r="H200" s="76" t="s">
        <v>348</v>
      </c>
      <c r="I200" s="75" t="s">
        <v>329</v>
      </c>
      <c r="J200" s="75" t="s">
        <v>364</v>
      </c>
      <c r="K200" s="83">
        <v>45352</v>
      </c>
      <c r="L200" s="83"/>
      <c r="M200" s="75" t="s">
        <v>356</v>
      </c>
    </row>
    <row r="201" spans="4:13" ht="17.25" x14ac:dyDescent="0.25">
      <c r="D201" s="74">
        <v>12</v>
      </c>
      <c r="E201" s="74">
        <v>1795</v>
      </c>
      <c r="F201" s="76" t="s">
        <v>231</v>
      </c>
      <c r="G201" s="76" t="s">
        <v>232</v>
      </c>
      <c r="H201" s="76" t="s">
        <v>349</v>
      </c>
      <c r="I201" s="75" t="s">
        <v>329</v>
      </c>
      <c r="J201" s="83">
        <v>42131</v>
      </c>
      <c r="K201" s="84">
        <v>45383</v>
      </c>
      <c r="L201" s="84"/>
      <c r="M201" s="75" t="s">
        <v>357</v>
      </c>
    </row>
    <row r="202" spans="4:13" ht="17.25" x14ac:dyDescent="0.25">
      <c r="D202" s="74">
        <v>13</v>
      </c>
      <c r="E202" s="74">
        <v>1796</v>
      </c>
      <c r="F202" s="76" t="s">
        <v>233</v>
      </c>
      <c r="G202" s="76" t="s">
        <v>232</v>
      </c>
      <c r="H202" s="76" t="s">
        <v>350</v>
      </c>
      <c r="I202" s="75" t="s">
        <v>329</v>
      </c>
      <c r="J202" s="83">
        <v>41732</v>
      </c>
      <c r="K202" s="84">
        <v>45383</v>
      </c>
      <c r="L202" s="84"/>
      <c r="M202" s="77" t="s">
        <v>358</v>
      </c>
    </row>
    <row r="203" spans="4:13" ht="17.25" x14ac:dyDescent="0.25">
      <c r="D203" s="74">
        <v>14</v>
      </c>
      <c r="E203" s="74">
        <v>1654</v>
      </c>
      <c r="F203" s="76" t="s">
        <v>234</v>
      </c>
      <c r="G203" s="76" t="s">
        <v>235</v>
      </c>
      <c r="H203" s="76" t="s">
        <v>351</v>
      </c>
      <c r="I203" s="75" t="s">
        <v>330</v>
      </c>
      <c r="J203" s="75" t="s">
        <v>365</v>
      </c>
      <c r="K203" s="83">
        <v>44263</v>
      </c>
      <c r="L203" s="83"/>
      <c r="M203" s="77" t="s">
        <v>359</v>
      </c>
    </row>
    <row r="204" spans="4:13" ht="17.25" x14ac:dyDescent="0.25">
      <c r="D204" s="74">
        <v>15</v>
      </c>
      <c r="E204" s="74">
        <v>1603</v>
      </c>
      <c r="F204" s="76" t="s">
        <v>236</v>
      </c>
      <c r="G204" s="76" t="s">
        <v>172</v>
      </c>
      <c r="H204" s="76" t="s">
        <v>375</v>
      </c>
      <c r="I204" s="75" t="s">
        <v>330</v>
      </c>
      <c r="J204" s="75" t="s">
        <v>366</v>
      </c>
      <c r="K204" s="84" t="s">
        <v>374</v>
      </c>
      <c r="L204" s="77"/>
      <c r="M204" s="75" t="s">
        <v>360</v>
      </c>
    </row>
    <row r="205" spans="4:13" ht="17.25" x14ac:dyDescent="0.25">
      <c r="D205" s="74">
        <v>16</v>
      </c>
      <c r="E205" s="76">
        <v>1655</v>
      </c>
      <c r="F205" s="76" t="s">
        <v>532</v>
      </c>
      <c r="G205" s="76" t="s">
        <v>168</v>
      </c>
      <c r="H205" s="76"/>
      <c r="I205" s="75" t="s">
        <v>330</v>
      </c>
      <c r="J205" s="95">
        <v>41558</v>
      </c>
      <c r="K205" s="83">
        <v>44263</v>
      </c>
      <c r="L205" s="83"/>
      <c r="M205" s="75"/>
    </row>
    <row r="206" spans="4:13" ht="17.25" x14ac:dyDescent="0.25">
      <c r="D206" s="74">
        <v>17</v>
      </c>
      <c r="E206" s="76">
        <v>1656</v>
      </c>
      <c r="F206" s="76" t="s">
        <v>237</v>
      </c>
      <c r="G206" s="76" t="s">
        <v>238</v>
      </c>
      <c r="H206" s="76" t="s">
        <v>376</v>
      </c>
      <c r="I206" s="75" t="s">
        <v>330</v>
      </c>
      <c r="J206" s="75" t="s">
        <v>382</v>
      </c>
      <c r="K206" s="83">
        <v>44263</v>
      </c>
      <c r="L206" s="83"/>
      <c r="M206" s="75" t="s">
        <v>538</v>
      </c>
    </row>
    <row r="207" spans="4:13" ht="17.25" x14ac:dyDescent="0.25">
      <c r="D207" s="74">
        <v>18</v>
      </c>
      <c r="E207" s="76">
        <v>1657</v>
      </c>
      <c r="F207" s="76" t="s">
        <v>239</v>
      </c>
      <c r="G207" s="76" t="s">
        <v>169</v>
      </c>
      <c r="H207" s="76" t="s">
        <v>377</v>
      </c>
      <c r="I207" s="75" t="s">
        <v>330</v>
      </c>
      <c r="J207" s="83" t="s">
        <v>383</v>
      </c>
      <c r="K207" s="83">
        <v>44263</v>
      </c>
      <c r="L207" s="83"/>
      <c r="M207" s="75" t="s">
        <v>388</v>
      </c>
    </row>
    <row r="208" spans="4:13" ht="17.25" x14ac:dyDescent="0.25">
      <c r="D208" s="74">
        <v>19</v>
      </c>
      <c r="E208" s="76">
        <v>1722</v>
      </c>
      <c r="F208" s="76" t="s">
        <v>533</v>
      </c>
      <c r="G208" s="76" t="s">
        <v>241</v>
      </c>
      <c r="H208" s="76" t="s">
        <v>378</v>
      </c>
      <c r="I208" s="75" t="s">
        <v>330</v>
      </c>
      <c r="J208" s="83">
        <v>40909</v>
      </c>
      <c r="K208" s="83">
        <v>44263</v>
      </c>
      <c r="L208" s="75"/>
      <c r="M208" s="75" t="s">
        <v>389</v>
      </c>
    </row>
    <row r="209" spans="4:13" ht="17.25" x14ac:dyDescent="0.25">
      <c r="D209" s="74">
        <v>20</v>
      </c>
      <c r="E209" s="76">
        <v>1788</v>
      </c>
      <c r="F209" s="76" t="s">
        <v>534</v>
      </c>
      <c r="G209" s="76" t="s">
        <v>181</v>
      </c>
      <c r="H209" s="76" t="s">
        <v>379</v>
      </c>
      <c r="I209" s="75" t="s">
        <v>330</v>
      </c>
      <c r="J209" s="83" t="s">
        <v>384</v>
      </c>
      <c r="K209" s="83" t="s">
        <v>385</v>
      </c>
      <c r="L209" s="83"/>
      <c r="M209" s="75"/>
    </row>
    <row r="210" spans="4:13" ht="17.25" x14ac:dyDescent="0.25">
      <c r="D210" s="74">
        <v>21</v>
      </c>
      <c r="E210" s="76">
        <v>1789</v>
      </c>
      <c r="F210" s="76" t="s">
        <v>244</v>
      </c>
      <c r="G210" s="76" t="s">
        <v>535</v>
      </c>
      <c r="H210" s="76" t="s">
        <v>380</v>
      </c>
      <c r="I210" s="75" t="s">
        <v>330</v>
      </c>
      <c r="J210" s="75" t="s">
        <v>536</v>
      </c>
      <c r="K210" s="75" t="s">
        <v>386</v>
      </c>
      <c r="L210" s="75"/>
      <c r="M210" s="75" t="s">
        <v>390</v>
      </c>
    </row>
    <row r="211" spans="4:13" ht="17.25" x14ac:dyDescent="0.25">
      <c r="D211" s="74">
        <v>22</v>
      </c>
      <c r="E211" s="76">
        <v>1858</v>
      </c>
      <c r="F211" s="76" t="s">
        <v>246</v>
      </c>
      <c r="G211" s="76" t="s">
        <v>247</v>
      </c>
      <c r="H211" s="76" t="s">
        <v>381</v>
      </c>
      <c r="I211" s="77" t="s">
        <v>329</v>
      </c>
      <c r="J211" s="75" t="s">
        <v>537</v>
      </c>
      <c r="K211" s="84">
        <v>44928</v>
      </c>
      <c r="L211" s="84"/>
      <c r="M211" s="77" t="s">
        <v>391</v>
      </c>
    </row>
    <row r="212" spans="4:13" ht="17.25" x14ac:dyDescent="0.25">
      <c r="D212" s="157" t="s">
        <v>332</v>
      </c>
      <c r="E212" s="155"/>
      <c r="F212" s="155"/>
      <c r="G212" s="155"/>
      <c r="H212" s="155"/>
      <c r="I212" s="155"/>
      <c r="J212" s="155"/>
      <c r="K212" s="155"/>
      <c r="L212" s="155"/>
      <c r="M212" s="155"/>
    </row>
    <row r="213" spans="4:13" ht="17.25" x14ac:dyDescent="0.25">
      <c r="D213" s="155" t="s">
        <v>323</v>
      </c>
      <c r="E213" s="156"/>
      <c r="F213" s="156"/>
      <c r="G213" s="156"/>
      <c r="H213" s="156"/>
      <c r="I213" s="156"/>
      <c r="J213" s="156"/>
      <c r="K213" s="156"/>
      <c r="L213" s="156"/>
      <c r="M213" s="156"/>
    </row>
    <row r="214" spans="4:13" ht="17.25" x14ac:dyDescent="0.25">
      <c r="D214" s="72" t="s">
        <v>1</v>
      </c>
      <c r="E214" s="72" t="s">
        <v>2</v>
      </c>
      <c r="F214" s="72" t="s">
        <v>3</v>
      </c>
      <c r="G214" s="72" t="s">
        <v>4</v>
      </c>
      <c r="H214" s="72" t="s">
        <v>331</v>
      </c>
      <c r="I214" s="73" t="s">
        <v>326</v>
      </c>
      <c r="J214" s="73" t="s">
        <v>327</v>
      </c>
      <c r="K214" s="73" t="s">
        <v>328</v>
      </c>
      <c r="L214" s="73" t="s">
        <v>13</v>
      </c>
      <c r="M214" s="86" t="s">
        <v>396</v>
      </c>
    </row>
    <row r="215" spans="4:13" ht="17.25" x14ac:dyDescent="0.25">
      <c r="D215" s="74"/>
      <c r="E215" s="74"/>
      <c r="F215" s="74"/>
      <c r="G215" s="74"/>
      <c r="H215" s="74"/>
      <c r="I215" s="75"/>
      <c r="J215" s="75"/>
      <c r="K215" s="75" t="s">
        <v>531</v>
      </c>
      <c r="L215" s="75"/>
      <c r="M215" s="75"/>
    </row>
    <row r="216" spans="4:13" ht="17.25" x14ac:dyDescent="0.25">
      <c r="D216" s="74">
        <v>1</v>
      </c>
      <c r="E216" s="74">
        <v>1516</v>
      </c>
      <c r="F216" s="76" t="s">
        <v>249</v>
      </c>
      <c r="G216" s="76" t="s">
        <v>172</v>
      </c>
      <c r="H216" s="76"/>
      <c r="I216" s="75" t="s">
        <v>329</v>
      </c>
      <c r="J216" s="75"/>
      <c r="K216" s="75"/>
      <c r="L216" s="75"/>
      <c r="M216" s="75" t="s">
        <v>395</v>
      </c>
    </row>
    <row r="217" spans="4:13" ht="17.25" x14ac:dyDescent="0.25">
      <c r="D217" s="74">
        <v>2</v>
      </c>
      <c r="E217" s="74">
        <v>1025</v>
      </c>
      <c r="F217" s="76" t="s">
        <v>250</v>
      </c>
      <c r="G217" s="76" t="s">
        <v>165</v>
      </c>
      <c r="H217" s="76"/>
      <c r="I217" s="75" t="s">
        <v>329</v>
      </c>
      <c r="J217" s="75"/>
      <c r="K217" s="75"/>
      <c r="L217" s="75"/>
      <c r="M217" s="75"/>
    </row>
    <row r="218" spans="4:13" ht="17.25" x14ac:dyDescent="0.25">
      <c r="D218" s="74">
        <v>3</v>
      </c>
      <c r="E218" s="74">
        <v>1626</v>
      </c>
      <c r="F218" s="76" t="s">
        <v>251</v>
      </c>
      <c r="G218" s="76" t="s">
        <v>252</v>
      </c>
      <c r="H218" s="76"/>
      <c r="I218" s="75" t="s">
        <v>329</v>
      </c>
      <c r="J218" s="75"/>
      <c r="K218" s="75"/>
      <c r="L218" s="75"/>
      <c r="M218" s="75"/>
    </row>
    <row r="219" spans="4:13" ht="17.25" x14ac:dyDescent="0.25">
      <c r="D219" s="74">
        <v>4</v>
      </c>
      <c r="E219" s="74">
        <v>1676</v>
      </c>
      <c r="F219" s="76" t="s">
        <v>183</v>
      </c>
      <c r="G219" s="76" t="s">
        <v>253</v>
      </c>
      <c r="H219" s="76"/>
      <c r="I219" s="75" t="s">
        <v>329</v>
      </c>
      <c r="J219" s="75"/>
      <c r="K219" s="75"/>
      <c r="L219" s="75"/>
      <c r="M219" s="75"/>
    </row>
    <row r="220" spans="4:13" ht="17.25" x14ac:dyDescent="0.25">
      <c r="D220" s="74">
        <v>5</v>
      </c>
      <c r="E220" s="74">
        <v>1781</v>
      </c>
      <c r="F220" s="76" t="s">
        <v>254</v>
      </c>
      <c r="G220" s="76" t="s">
        <v>255</v>
      </c>
      <c r="H220" s="76"/>
      <c r="I220" s="75" t="s">
        <v>329</v>
      </c>
      <c r="J220" s="75"/>
      <c r="K220" s="75"/>
      <c r="L220" s="75"/>
      <c r="M220" s="75"/>
    </row>
    <row r="221" spans="4:13" ht="17.25" x14ac:dyDescent="0.25">
      <c r="D221" s="74">
        <v>6</v>
      </c>
      <c r="E221" s="74">
        <v>1782</v>
      </c>
      <c r="F221" s="76" t="s">
        <v>173</v>
      </c>
      <c r="G221" s="76" t="s">
        <v>174</v>
      </c>
      <c r="H221" s="76"/>
      <c r="I221" s="75" t="s">
        <v>329</v>
      </c>
      <c r="J221" s="75"/>
      <c r="K221" s="75"/>
      <c r="L221" s="75"/>
      <c r="M221" s="75"/>
    </row>
    <row r="222" spans="4:13" ht="17.25" x14ac:dyDescent="0.25">
      <c r="D222" s="74">
        <v>7</v>
      </c>
      <c r="E222" s="74">
        <v>1629</v>
      </c>
      <c r="F222" s="76" t="s">
        <v>166</v>
      </c>
      <c r="G222" s="76" t="s">
        <v>256</v>
      </c>
      <c r="H222" s="76"/>
      <c r="I222" s="75" t="s">
        <v>330</v>
      </c>
      <c r="J222" s="75"/>
      <c r="K222" s="75"/>
      <c r="L222" s="75"/>
      <c r="M222" s="75"/>
    </row>
    <row r="223" spans="4:13" ht="17.25" x14ac:dyDescent="0.25">
      <c r="D223" s="74">
        <v>8</v>
      </c>
      <c r="E223" s="74">
        <v>1630</v>
      </c>
      <c r="F223" s="76" t="s">
        <v>257</v>
      </c>
      <c r="G223" s="76" t="s">
        <v>217</v>
      </c>
      <c r="H223" s="76"/>
      <c r="I223" s="75" t="s">
        <v>330</v>
      </c>
      <c r="J223" s="75"/>
      <c r="K223" s="75"/>
      <c r="L223" s="75"/>
      <c r="M223" s="75"/>
    </row>
    <row r="224" spans="4:13" ht="17.25" x14ac:dyDescent="0.25">
      <c r="D224" s="74">
        <v>9</v>
      </c>
      <c r="E224" s="74">
        <v>1631</v>
      </c>
      <c r="F224" s="76" t="s">
        <v>258</v>
      </c>
      <c r="G224" s="76" t="s">
        <v>186</v>
      </c>
      <c r="H224" s="76"/>
      <c r="I224" s="75" t="s">
        <v>330</v>
      </c>
      <c r="J224" s="75"/>
      <c r="K224" s="75"/>
      <c r="L224" s="75"/>
      <c r="M224" s="75"/>
    </row>
    <row r="225" spans="4:13" ht="17.25" x14ac:dyDescent="0.25">
      <c r="D225" s="74">
        <v>10</v>
      </c>
      <c r="E225" s="74">
        <v>1632</v>
      </c>
      <c r="F225" s="76" t="s">
        <v>259</v>
      </c>
      <c r="G225" s="76" t="s">
        <v>260</v>
      </c>
      <c r="H225" s="76"/>
      <c r="I225" s="75" t="s">
        <v>330</v>
      </c>
      <c r="J225" s="75"/>
      <c r="K225" s="75"/>
      <c r="L225" s="75"/>
      <c r="M225" s="75"/>
    </row>
    <row r="226" spans="4:13" ht="17.25" x14ac:dyDescent="0.25">
      <c r="D226" s="74">
        <v>11</v>
      </c>
      <c r="E226" s="74">
        <v>1637</v>
      </c>
      <c r="F226" s="76" t="s">
        <v>167</v>
      </c>
      <c r="G226" s="76" t="s">
        <v>261</v>
      </c>
      <c r="H226" s="76"/>
      <c r="I226" s="75" t="s">
        <v>330</v>
      </c>
      <c r="J226" s="75"/>
      <c r="K226" s="75"/>
      <c r="L226" s="75"/>
      <c r="M226" s="75"/>
    </row>
    <row r="227" spans="4:13" ht="17.25" x14ac:dyDescent="0.25">
      <c r="D227" s="74">
        <v>12</v>
      </c>
      <c r="E227" s="74">
        <v>1743</v>
      </c>
      <c r="F227" s="76" t="s">
        <v>187</v>
      </c>
      <c r="G227" s="76" t="s">
        <v>261</v>
      </c>
      <c r="H227" s="76"/>
      <c r="I227" s="75" t="s">
        <v>330</v>
      </c>
      <c r="J227" s="75"/>
      <c r="K227" s="75"/>
      <c r="L227" s="75"/>
      <c r="M227" s="75"/>
    </row>
    <row r="228" spans="4:13" ht="17.25" x14ac:dyDescent="0.25">
      <c r="D228" s="157" t="s">
        <v>332</v>
      </c>
      <c r="E228" s="156"/>
      <c r="F228" s="156"/>
      <c r="G228" s="156"/>
      <c r="H228" s="156"/>
      <c r="I228" s="156"/>
      <c r="J228" s="156"/>
      <c r="K228" s="156"/>
      <c r="L228" s="156"/>
      <c r="M228" s="156"/>
    </row>
    <row r="229" spans="4:13" ht="17.25" x14ac:dyDescent="0.25">
      <c r="D229" s="157" t="s">
        <v>324</v>
      </c>
      <c r="E229" s="156"/>
      <c r="F229" s="156"/>
      <c r="G229" s="156"/>
      <c r="H229" s="156"/>
      <c r="I229" s="156"/>
      <c r="J229" s="156"/>
      <c r="K229" s="156"/>
      <c r="L229" s="156"/>
      <c r="M229" s="156"/>
    </row>
    <row r="230" spans="4:13" ht="17.25" x14ac:dyDescent="0.25">
      <c r="D230" s="72" t="s">
        <v>1</v>
      </c>
      <c r="E230" s="72" t="s">
        <v>2</v>
      </c>
      <c r="F230" s="72" t="s">
        <v>3</v>
      </c>
      <c r="G230" s="72" t="s">
        <v>4</v>
      </c>
      <c r="H230" s="72" t="s">
        <v>331</v>
      </c>
      <c r="I230" s="73" t="s">
        <v>326</v>
      </c>
      <c r="J230" s="82" t="s">
        <v>327</v>
      </c>
      <c r="K230" s="73" t="s">
        <v>328</v>
      </c>
      <c r="L230" s="73" t="s">
        <v>13</v>
      </c>
      <c r="M230" s="73" t="s">
        <v>333</v>
      </c>
    </row>
    <row r="231" spans="4:13" ht="17.25" x14ac:dyDescent="0.25">
      <c r="D231" s="74"/>
      <c r="E231" s="74"/>
      <c r="F231" s="74"/>
      <c r="G231" s="78"/>
      <c r="H231" s="78"/>
      <c r="I231" s="75"/>
      <c r="J231" s="75"/>
      <c r="K231" s="75"/>
      <c r="L231" s="75"/>
      <c r="M231" s="31"/>
    </row>
    <row r="232" spans="4:13" ht="17.25" x14ac:dyDescent="0.25">
      <c r="D232" s="74">
        <v>1</v>
      </c>
      <c r="E232" s="74">
        <v>1787</v>
      </c>
      <c r="F232" s="76" t="s">
        <v>268</v>
      </c>
      <c r="G232" s="79" t="s">
        <v>269</v>
      </c>
      <c r="H232" s="79" t="s">
        <v>563</v>
      </c>
      <c r="I232" s="75" t="s">
        <v>329</v>
      </c>
      <c r="J232" s="83">
        <v>40555</v>
      </c>
      <c r="K232" s="83" t="s">
        <v>558</v>
      </c>
      <c r="L232" s="83"/>
      <c r="M232" s="97" t="s">
        <v>560</v>
      </c>
    </row>
    <row r="233" spans="4:13" ht="17.25" x14ac:dyDescent="0.25">
      <c r="D233" s="74">
        <v>2</v>
      </c>
      <c r="E233" s="74">
        <v>1513</v>
      </c>
      <c r="F233" s="76" t="s">
        <v>539</v>
      </c>
      <c r="G233" s="79" t="s">
        <v>567</v>
      </c>
      <c r="H233" s="79"/>
      <c r="I233" s="75" t="s">
        <v>330</v>
      </c>
      <c r="J233" s="83">
        <v>39571</v>
      </c>
      <c r="K233" s="83">
        <v>43381</v>
      </c>
      <c r="L233" s="83"/>
      <c r="M233" s="97"/>
    </row>
    <row r="234" spans="4:13" ht="17.25" x14ac:dyDescent="0.25">
      <c r="D234" s="74">
        <v>3</v>
      </c>
      <c r="E234" s="74">
        <v>1568</v>
      </c>
      <c r="F234" s="76" t="s">
        <v>540</v>
      </c>
      <c r="G234" s="79" t="s">
        <v>567</v>
      </c>
      <c r="H234" s="79"/>
      <c r="I234" s="75" t="s">
        <v>330</v>
      </c>
      <c r="J234" s="83">
        <v>39973</v>
      </c>
      <c r="K234" s="83">
        <v>43198</v>
      </c>
      <c r="L234" s="83"/>
      <c r="M234" s="97"/>
    </row>
    <row r="235" spans="4:13" ht="17.25" x14ac:dyDescent="0.25">
      <c r="D235" s="74">
        <v>4</v>
      </c>
      <c r="E235" s="74">
        <v>1567</v>
      </c>
      <c r="F235" s="76" t="s">
        <v>541</v>
      </c>
      <c r="G235" s="79" t="s">
        <v>568</v>
      </c>
      <c r="H235" s="79"/>
      <c r="I235" s="75" t="s">
        <v>330</v>
      </c>
      <c r="J235" s="83">
        <v>40338</v>
      </c>
      <c r="K235" s="83">
        <v>43198</v>
      </c>
      <c r="L235" s="75"/>
      <c r="M235" s="97"/>
    </row>
    <row r="236" spans="4:13" ht="17.25" x14ac:dyDescent="0.25">
      <c r="D236" s="74">
        <v>5</v>
      </c>
      <c r="E236" s="74">
        <v>1602</v>
      </c>
      <c r="F236" s="76" t="s">
        <v>542</v>
      </c>
      <c r="G236" s="79" t="s">
        <v>569</v>
      </c>
      <c r="H236" s="79"/>
      <c r="I236" s="75" t="s">
        <v>330</v>
      </c>
      <c r="J236" s="84">
        <v>40398</v>
      </c>
      <c r="K236" s="77" t="s">
        <v>559</v>
      </c>
      <c r="L236" s="77"/>
      <c r="M236" s="97"/>
    </row>
    <row r="237" spans="4:13" ht="17.25" x14ac:dyDescent="0.3">
      <c r="D237" s="74">
        <v>6</v>
      </c>
      <c r="E237" s="74">
        <v>1783</v>
      </c>
      <c r="F237" s="80" t="s">
        <v>543</v>
      </c>
      <c r="G237" s="81" t="s">
        <v>283</v>
      </c>
      <c r="H237" s="81" t="s">
        <v>564</v>
      </c>
      <c r="I237" s="75" t="s">
        <v>330</v>
      </c>
      <c r="J237" s="75" t="s">
        <v>552</v>
      </c>
      <c r="K237" s="75" t="s">
        <v>385</v>
      </c>
      <c r="L237" s="75"/>
      <c r="M237" s="97" t="s">
        <v>387</v>
      </c>
    </row>
    <row r="238" spans="4:13" ht="17.25" x14ac:dyDescent="0.25">
      <c r="D238" s="74">
        <v>7</v>
      </c>
      <c r="E238" s="74">
        <v>1784</v>
      </c>
      <c r="F238" s="76" t="s">
        <v>544</v>
      </c>
      <c r="G238" s="79" t="s">
        <v>285</v>
      </c>
      <c r="H238" s="79" t="s">
        <v>443</v>
      </c>
      <c r="I238" s="75" t="s">
        <v>330</v>
      </c>
      <c r="J238" s="75" t="s">
        <v>553</v>
      </c>
      <c r="K238" s="75" t="s">
        <v>394</v>
      </c>
      <c r="L238" s="75"/>
      <c r="M238" s="97" t="s">
        <v>334</v>
      </c>
    </row>
    <row r="239" spans="4:13" ht="17.25" x14ac:dyDescent="0.25">
      <c r="D239" s="74">
        <v>8</v>
      </c>
      <c r="E239" s="74">
        <v>1785</v>
      </c>
      <c r="F239" s="76" t="s">
        <v>545</v>
      </c>
      <c r="G239" s="79" t="s">
        <v>285</v>
      </c>
      <c r="H239" s="79" t="s">
        <v>443</v>
      </c>
      <c r="I239" s="75" t="s">
        <v>330</v>
      </c>
      <c r="J239" s="83">
        <v>41037</v>
      </c>
      <c r="K239" s="75" t="s">
        <v>394</v>
      </c>
      <c r="L239" s="75"/>
      <c r="M239" s="97" t="s">
        <v>334</v>
      </c>
    </row>
    <row r="240" spans="4:13" ht="17.25" x14ac:dyDescent="0.25">
      <c r="D240" s="74">
        <v>9</v>
      </c>
      <c r="E240" s="74">
        <v>1786</v>
      </c>
      <c r="F240" s="76" t="s">
        <v>287</v>
      </c>
      <c r="G240" s="79" t="s">
        <v>570</v>
      </c>
      <c r="H240" s="79" t="s">
        <v>335</v>
      </c>
      <c r="I240" s="75" t="s">
        <v>330</v>
      </c>
      <c r="J240" s="83">
        <v>41275</v>
      </c>
      <c r="K240" s="83">
        <v>45200</v>
      </c>
      <c r="L240" s="75" t="s">
        <v>395</v>
      </c>
      <c r="M240" s="97" t="s">
        <v>518</v>
      </c>
    </row>
    <row r="241" spans="4:13" ht="17.25" x14ac:dyDescent="0.25">
      <c r="D241" s="74">
        <v>10</v>
      </c>
      <c r="E241" s="74">
        <v>1560</v>
      </c>
      <c r="F241" s="76" t="s">
        <v>546</v>
      </c>
      <c r="G241" s="79" t="s">
        <v>571</v>
      </c>
      <c r="H241" s="79"/>
      <c r="I241" s="75" t="s">
        <v>330</v>
      </c>
      <c r="J241" s="83">
        <v>39939</v>
      </c>
      <c r="K241" s="83">
        <v>43108</v>
      </c>
      <c r="L241" s="75"/>
      <c r="M241" s="97"/>
    </row>
    <row r="242" spans="4:13" ht="17.25" x14ac:dyDescent="0.25">
      <c r="D242" s="74">
        <v>11</v>
      </c>
      <c r="E242" s="74">
        <v>1667</v>
      </c>
      <c r="F242" s="76" t="s">
        <v>258</v>
      </c>
      <c r="G242" s="79" t="s">
        <v>572</v>
      </c>
      <c r="H242" s="79"/>
      <c r="I242" s="75" t="s">
        <v>330</v>
      </c>
      <c r="J242" s="75" t="s">
        <v>554</v>
      </c>
      <c r="K242" s="83">
        <v>44263</v>
      </c>
      <c r="L242" s="75"/>
      <c r="M242" s="97"/>
    </row>
    <row r="243" spans="4:13" ht="17.25" x14ac:dyDescent="0.25">
      <c r="D243" s="74">
        <v>12</v>
      </c>
      <c r="E243" s="74">
        <v>1668</v>
      </c>
      <c r="F243" s="76" t="s">
        <v>547</v>
      </c>
      <c r="G243" s="79" t="s">
        <v>573</v>
      </c>
      <c r="H243" s="79"/>
      <c r="I243" s="75" t="s">
        <v>330</v>
      </c>
      <c r="J243" s="83">
        <v>41556</v>
      </c>
      <c r="K243" s="83">
        <v>44263</v>
      </c>
      <c r="L243" s="75"/>
      <c r="M243" s="97"/>
    </row>
    <row r="244" spans="4:13" ht="17.25" x14ac:dyDescent="0.25">
      <c r="D244" s="74">
        <v>13</v>
      </c>
      <c r="E244" s="74">
        <v>1864</v>
      </c>
      <c r="F244" s="76" t="s">
        <v>548</v>
      </c>
      <c r="G244" s="79" t="s">
        <v>574</v>
      </c>
      <c r="H244" s="79" t="s">
        <v>336</v>
      </c>
      <c r="I244" s="75" t="s">
        <v>330</v>
      </c>
      <c r="J244" s="83" t="s">
        <v>555</v>
      </c>
      <c r="K244" s="75" t="s">
        <v>372</v>
      </c>
      <c r="L244" s="75"/>
      <c r="M244" s="97" t="s">
        <v>561</v>
      </c>
    </row>
    <row r="245" spans="4:13" ht="17.25" x14ac:dyDescent="0.25">
      <c r="D245" s="74">
        <v>14</v>
      </c>
      <c r="E245" s="74">
        <v>1863</v>
      </c>
      <c r="F245" s="76" t="s">
        <v>551</v>
      </c>
      <c r="G245" s="79" t="s">
        <v>574</v>
      </c>
      <c r="H245" s="79" t="s">
        <v>336</v>
      </c>
      <c r="I245" s="75" t="s">
        <v>330</v>
      </c>
      <c r="J245" s="83" t="s">
        <v>556</v>
      </c>
      <c r="K245" s="75" t="s">
        <v>372</v>
      </c>
      <c r="L245" s="83"/>
      <c r="M245" s="97" t="s">
        <v>561</v>
      </c>
    </row>
    <row r="246" spans="4:13" ht="17.25" x14ac:dyDescent="0.25">
      <c r="D246" s="74">
        <v>15</v>
      </c>
      <c r="E246" s="74">
        <v>1865</v>
      </c>
      <c r="F246" s="76" t="s">
        <v>549</v>
      </c>
      <c r="G246" s="79" t="s">
        <v>575</v>
      </c>
      <c r="H246" s="79" t="s">
        <v>565</v>
      </c>
      <c r="I246" s="75" t="s">
        <v>329</v>
      </c>
      <c r="J246" s="75" t="s">
        <v>557</v>
      </c>
      <c r="K246" s="75" t="s">
        <v>392</v>
      </c>
      <c r="L246" s="75" t="s">
        <v>395</v>
      </c>
      <c r="M246" s="92"/>
    </row>
    <row r="247" spans="4:13" ht="17.25" x14ac:dyDescent="0.25">
      <c r="D247" s="92">
        <v>16</v>
      </c>
      <c r="E247" s="74">
        <v>1867</v>
      </c>
      <c r="F247" s="92" t="s">
        <v>550</v>
      </c>
      <c r="G247" s="92" t="s">
        <v>576</v>
      </c>
      <c r="H247" s="92" t="s">
        <v>566</v>
      </c>
      <c r="I247" s="75" t="s">
        <v>329</v>
      </c>
      <c r="J247" s="96">
        <v>40824</v>
      </c>
      <c r="K247" s="97" t="s">
        <v>393</v>
      </c>
      <c r="L247" s="31"/>
      <c r="M247" s="97" t="s">
        <v>562</v>
      </c>
    </row>
    <row r="248" spans="4:13" ht="17.25" x14ac:dyDescent="0.25">
      <c r="D248" s="92">
        <v>17</v>
      </c>
      <c r="E248" s="74">
        <v>1685</v>
      </c>
      <c r="F248" s="76" t="s">
        <v>577</v>
      </c>
      <c r="G248" s="79" t="s">
        <v>582</v>
      </c>
      <c r="H248" s="79" t="s">
        <v>587</v>
      </c>
      <c r="I248" s="75" t="s">
        <v>329</v>
      </c>
      <c r="J248" s="83">
        <v>38393</v>
      </c>
      <c r="K248" s="83">
        <v>44628</v>
      </c>
      <c r="L248" s="75"/>
      <c r="M248" s="92"/>
    </row>
    <row r="249" spans="4:13" ht="17.25" x14ac:dyDescent="0.25">
      <c r="D249" s="92">
        <v>18</v>
      </c>
      <c r="E249" s="74">
        <v>1686</v>
      </c>
      <c r="F249" s="76" t="s">
        <v>578</v>
      </c>
      <c r="G249" s="79" t="s">
        <v>267</v>
      </c>
      <c r="H249" s="79" t="s">
        <v>588</v>
      </c>
      <c r="I249" s="75" t="s">
        <v>329</v>
      </c>
      <c r="J249" s="75" t="s">
        <v>592</v>
      </c>
      <c r="K249" s="83">
        <v>44628</v>
      </c>
      <c r="L249" s="75"/>
      <c r="M249" s="92"/>
    </row>
    <row r="250" spans="4:13" ht="17.25" x14ac:dyDescent="0.25">
      <c r="D250" s="92">
        <v>19</v>
      </c>
      <c r="E250" s="74">
        <v>1687</v>
      </c>
      <c r="F250" s="76" t="s">
        <v>175</v>
      </c>
      <c r="G250" s="79" t="s">
        <v>583</v>
      </c>
      <c r="H250" s="79"/>
      <c r="I250" s="75" t="s">
        <v>329</v>
      </c>
      <c r="J250" s="75" t="s">
        <v>593</v>
      </c>
      <c r="K250" s="83">
        <v>44628</v>
      </c>
      <c r="L250" s="75"/>
      <c r="M250" s="92"/>
    </row>
    <row r="251" spans="4:13" ht="17.25" x14ac:dyDescent="0.25">
      <c r="D251" s="92">
        <v>20</v>
      </c>
      <c r="E251" s="74">
        <v>1537</v>
      </c>
      <c r="F251" s="76" t="s">
        <v>262</v>
      </c>
      <c r="G251" s="79" t="s">
        <v>263</v>
      </c>
      <c r="H251" s="79" t="s">
        <v>375</v>
      </c>
      <c r="I251" s="75" t="s">
        <v>329</v>
      </c>
      <c r="J251" s="75" t="s">
        <v>594</v>
      </c>
      <c r="K251" s="83">
        <v>43381</v>
      </c>
      <c r="L251" s="75"/>
      <c r="M251" s="92"/>
    </row>
    <row r="252" spans="4:13" ht="17.25" x14ac:dyDescent="0.25">
      <c r="D252" s="92">
        <v>21</v>
      </c>
      <c r="E252" s="74">
        <v>1689</v>
      </c>
      <c r="F252" s="76" t="s">
        <v>578</v>
      </c>
      <c r="G252" s="79" t="s">
        <v>584</v>
      </c>
      <c r="H252" s="79" t="s">
        <v>589</v>
      </c>
      <c r="I252" s="75" t="s">
        <v>329</v>
      </c>
      <c r="J252" s="83">
        <v>41036</v>
      </c>
      <c r="K252" s="83">
        <v>44628</v>
      </c>
      <c r="L252" s="75"/>
      <c r="M252" s="92"/>
    </row>
    <row r="253" spans="4:13" ht="17.25" x14ac:dyDescent="0.25">
      <c r="D253" s="92">
        <v>22</v>
      </c>
      <c r="E253" s="74">
        <v>1528</v>
      </c>
      <c r="F253" s="76" t="s">
        <v>579</v>
      </c>
      <c r="G253" s="79" t="s">
        <v>585</v>
      </c>
      <c r="H253" s="92" t="s">
        <v>455</v>
      </c>
      <c r="I253" s="75" t="s">
        <v>329</v>
      </c>
      <c r="J253" s="75" t="s">
        <v>595</v>
      </c>
      <c r="K253" s="83">
        <v>43384</v>
      </c>
      <c r="L253" s="75"/>
      <c r="M253" s="92"/>
    </row>
    <row r="254" spans="4:13" ht="17.25" x14ac:dyDescent="0.25">
      <c r="D254" s="92">
        <v>23</v>
      </c>
      <c r="E254" s="74">
        <v>1666</v>
      </c>
      <c r="F254" s="76" t="s">
        <v>264</v>
      </c>
      <c r="G254" s="79" t="s">
        <v>265</v>
      </c>
      <c r="H254" s="92" t="s">
        <v>590</v>
      </c>
      <c r="I254" s="75" t="s">
        <v>329</v>
      </c>
      <c r="J254" s="83">
        <v>41307</v>
      </c>
      <c r="K254" s="83">
        <v>44263</v>
      </c>
      <c r="L254" s="75"/>
      <c r="M254" s="92"/>
    </row>
    <row r="255" spans="4:13" ht="17.25" x14ac:dyDescent="0.25">
      <c r="D255" s="92">
        <v>24</v>
      </c>
      <c r="E255" s="74">
        <v>1536</v>
      </c>
      <c r="F255" s="76" t="s">
        <v>580</v>
      </c>
      <c r="G255" s="79" t="s">
        <v>586</v>
      </c>
      <c r="I255" s="75" t="s">
        <v>329</v>
      </c>
      <c r="J255" s="75" t="s">
        <v>596</v>
      </c>
      <c r="K255" s="83">
        <v>43381</v>
      </c>
      <c r="L255" s="75"/>
      <c r="M255" s="92"/>
    </row>
    <row r="256" spans="4:13" ht="17.25" x14ac:dyDescent="0.25">
      <c r="D256" s="92">
        <v>25</v>
      </c>
      <c r="E256" s="74">
        <v>1866</v>
      </c>
      <c r="F256" s="92" t="s">
        <v>581</v>
      </c>
      <c r="G256" s="92" t="s">
        <v>275</v>
      </c>
      <c r="H256" s="92" t="s">
        <v>591</v>
      </c>
      <c r="I256" s="75" t="s">
        <v>329</v>
      </c>
      <c r="J256" s="96" t="s">
        <v>597</v>
      </c>
      <c r="K256" s="97" t="s">
        <v>392</v>
      </c>
      <c r="L256" s="31"/>
      <c r="M256" s="97"/>
    </row>
  </sheetData>
  <mergeCells count="24">
    <mergeCell ref="F51:N51"/>
    <mergeCell ref="F52:N52"/>
    <mergeCell ref="F53:N53"/>
    <mergeCell ref="F54:N54"/>
    <mergeCell ref="F55:N55"/>
    <mergeCell ref="D213:M213"/>
    <mergeCell ref="D228:M228"/>
    <mergeCell ref="D229:M229"/>
    <mergeCell ref="D183:M183"/>
    <mergeCell ref="D184:M184"/>
    <mergeCell ref="D185:M185"/>
    <mergeCell ref="D186:M186"/>
    <mergeCell ref="D187:M187"/>
    <mergeCell ref="D212:M212"/>
    <mergeCell ref="D96:M96"/>
    <mergeCell ref="D97:M97"/>
    <mergeCell ref="D98:M98"/>
    <mergeCell ref="D99:M99"/>
    <mergeCell ref="D100:M100"/>
    <mergeCell ref="F7:N7"/>
    <mergeCell ref="F8:N8"/>
    <mergeCell ref="F9:N9"/>
    <mergeCell ref="F10:N10"/>
    <mergeCell ref="F11:N11"/>
  </mergeCells>
  <pageMargins left="0.75" right="0.75" top="1" bottom="1" header="0.5" footer="0.5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D4:E15"/>
  <sheetViews>
    <sheetView workbookViewId="0">
      <selection activeCell="D25" sqref="D25"/>
    </sheetView>
  </sheetViews>
  <sheetFormatPr defaultColWidth="9" defaultRowHeight="15" x14ac:dyDescent="0.25"/>
  <cols>
    <col min="4" max="4" width="19.5703125" customWidth="1"/>
    <col min="5" max="5" width="17.28515625" customWidth="1"/>
  </cols>
  <sheetData>
    <row r="4" spans="4:5" x14ac:dyDescent="0.25">
      <c r="D4" s="30" t="s">
        <v>131</v>
      </c>
      <c r="E4" s="30" t="s">
        <v>135</v>
      </c>
    </row>
    <row r="5" spans="4:5" x14ac:dyDescent="0.25">
      <c r="D5" s="30" t="s">
        <v>136</v>
      </c>
      <c r="E5" s="30" t="s">
        <v>137</v>
      </c>
    </row>
    <row r="6" spans="4:5" x14ac:dyDescent="0.25">
      <c r="D6" s="30" t="s">
        <v>138</v>
      </c>
      <c r="E6" s="30" t="s">
        <v>137</v>
      </c>
    </row>
    <row r="7" spans="4:5" x14ac:dyDescent="0.25">
      <c r="D7" s="30" t="s">
        <v>139</v>
      </c>
      <c r="E7" s="30" t="s">
        <v>140</v>
      </c>
    </row>
    <row r="8" spans="4:5" x14ac:dyDescent="0.25">
      <c r="D8" s="30" t="s">
        <v>141</v>
      </c>
      <c r="E8" s="30" t="s">
        <v>135</v>
      </c>
    </row>
    <row r="9" spans="4:5" x14ac:dyDescent="0.25">
      <c r="D9" s="30" t="s">
        <v>142</v>
      </c>
      <c r="E9" s="30" t="s">
        <v>135</v>
      </c>
    </row>
    <row r="10" spans="4:5" x14ac:dyDescent="0.25">
      <c r="D10" s="30" t="s">
        <v>143</v>
      </c>
      <c r="E10" s="30" t="s">
        <v>135</v>
      </c>
    </row>
    <row r="11" spans="4:5" x14ac:dyDescent="0.25">
      <c r="D11" s="30" t="s">
        <v>144</v>
      </c>
      <c r="E11" s="30" t="s">
        <v>135</v>
      </c>
    </row>
    <row r="12" spans="4:5" ht="30" x14ac:dyDescent="0.25">
      <c r="D12" s="30" t="s">
        <v>145</v>
      </c>
      <c r="E12" s="30" t="s">
        <v>140</v>
      </c>
    </row>
    <row r="13" spans="4:5" x14ac:dyDescent="0.25">
      <c r="D13" s="30" t="s">
        <v>146</v>
      </c>
      <c r="E13" s="30" t="s">
        <v>135</v>
      </c>
    </row>
    <row r="14" spans="4:5" x14ac:dyDescent="0.25">
      <c r="D14" s="30" t="s">
        <v>147</v>
      </c>
      <c r="E14" s="30" t="s">
        <v>135</v>
      </c>
    </row>
    <row r="15" spans="4:5" x14ac:dyDescent="0.25">
      <c r="D15" s="30" t="s">
        <v>148</v>
      </c>
      <c r="E15" s="30" t="s">
        <v>135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D7:O263"/>
  <sheetViews>
    <sheetView tabSelected="1" topLeftCell="C28" zoomScale="73" zoomScaleNormal="73" workbookViewId="0">
      <selection activeCell="G52" sqref="G52"/>
    </sheetView>
  </sheetViews>
  <sheetFormatPr defaultColWidth="9" defaultRowHeight="15" x14ac:dyDescent="0.25"/>
  <cols>
    <col min="6" max="6" width="24.42578125" customWidth="1"/>
    <col min="7" max="7" width="22.85546875" bestFit="1" customWidth="1"/>
    <col min="8" max="8" width="28.5703125" customWidth="1"/>
    <col min="9" max="9" width="25.42578125" customWidth="1"/>
    <col min="10" max="10" width="19.7109375" customWidth="1"/>
    <col min="11" max="13" width="20" customWidth="1"/>
    <col min="14" max="14" width="28.7109375" customWidth="1"/>
    <col min="15" max="15" width="16.5703125" customWidth="1"/>
  </cols>
  <sheetData>
    <row r="7" spans="6:15" ht="17.25" x14ac:dyDescent="0.25">
      <c r="F7" s="153" t="s">
        <v>0</v>
      </c>
      <c r="G7" s="153"/>
      <c r="H7" s="153"/>
      <c r="I7" s="153"/>
      <c r="J7" s="153"/>
      <c r="K7" s="153"/>
      <c r="L7" s="153"/>
      <c r="M7" s="153"/>
      <c r="N7" s="153"/>
      <c r="O7" s="153"/>
    </row>
    <row r="8" spans="6:15" ht="17.25" x14ac:dyDescent="0.25">
      <c r="F8" s="154" t="s">
        <v>320</v>
      </c>
      <c r="G8" s="153"/>
      <c r="H8" s="153"/>
      <c r="I8" s="153"/>
      <c r="J8" s="153"/>
      <c r="K8" s="153"/>
      <c r="L8" s="153"/>
      <c r="M8" s="153"/>
      <c r="N8" s="153"/>
      <c r="O8" s="153"/>
    </row>
    <row r="9" spans="6:15" ht="17.25" x14ac:dyDescent="0.25">
      <c r="F9" s="154" t="s">
        <v>321</v>
      </c>
      <c r="G9" s="153"/>
      <c r="H9" s="153"/>
      <c r="I9" s="153"/>
      <c r="J9" s="153"/>
      <c r="K9" s="153"/>
      <c r="L9" s="153"/>
      <c r="M9" s="153"/>
      <c r="N9" s="153"/>
      <c r="O9" s="153"/>
    </row>
    <row r="10" spans="6:15" ht="17.25" x14ac:dyDescent="0.25">
      <c r="F10" s="154" t="s">
        <v>655</v>
      </c>
      <c r="G10" s="153"/>
      <c r="H10" s="153"/>
      <c r="I10" s="153"/>
      <c r="J10" s="153"/>
      <c r="K10" s="153"/>
      <c r="L10" s="153"/>
      <c r="M10" s="153"/>
      <c r="N10" s="153"/>
      <c r="O10" s="153"/>
    </row>
    <row r="11" spans="6:15" ht="17.25" x14ac:dyDescent="0.25">
      <c r="F11" s="154" t="s">
        <v>598</v>
      </c>
      <c r="G11" s="153"/>
      <c r="H11" s="153"/>
      <c r="I11" s="153"/>
      <c r="J11" s="153"/>
      <c r="K11" s="153"/>
      <c r="L11" s="153"/>
      <c r="M11" s="153"/>
      <c r="N11" s="153"/>
      <c r="O11" s="153"/>
    </row>
    <row r="12" spans="6:15" ht="17.25" x14ac:dyDescent="0.25">
      <c r="F12" s="72" t="s">
        <v>1</v>
      </c>
      <c r="G12" s="72" t="s">
        <v>2</v>
      </c>
      <c r="H12" s="72" t="s">
        <v>3</v>
      </c>
      <c r="I12" s="72" t="s">
        <v>4</v>
      </c>
      <c r="J12" s="72" t="s">
        <v>331</v>
      </c>
      <c r="K12" s="73" t="s">
        <v>326</v>
      </c>
      <c r="L12" s="73" t="s">
        <v>809</v>
      </c>
      <c r="M12" s="73" t="s">
        <v>327</v>
      </c>
      <c r="N12" s="73" t="s">
        <v>328</v>
      </c>
      <c r="O12" s="73" t="s">
        <v>333</v>
      </c>
    </row>
    <row r="13" spans="6:15" ht="17.25" x14ac:dyDescent="0.25">
      <c r="F13" s="74"/>
      <c r="H13" s="74"/>
      <c r="I13" s="74"/>
      <c r="J13" s="74"/>
      <c r="K13" s="75"/>
      <c r="L13" s="75"/>
      <c r="M13" s="75"/>
      <c r="N13" s="75"/>
      <c r="O13" s="75"/>
    </row>
    <row r="14" spans="6:15" ht="17.25" x14ac:dyDescent="0.25">
      <c r="F14" s="74">
        <v>1</v>
      </c>
      <c r="G14" s="31"/>
      <c r="H14" s="74" t="s">
        <v>656</v>
      </c>
      <c r="I14" s="76" t="s">
        <v>173</v>
      </c>
      <c r="J14" s="76"/>
      <c r="K14" s="75" t="s">
        <v>329</v>
      </c>
      <c r="L14" s="75"/>
      <c r="M14" s="83"/>
      <c r="N14" s="83"/>
      <c r="O14" s="75"/>
    </row>
    <row r="15" spans="6:15" ht="17.25" x14ac:dyDescent="0.25">
      <c r="F15" s="74">
        <v>2</v>
      </c>
      <c r="G15" s="74"/>
      <c r="H15" s="76" t="s">
        <v>657</v>
      </c>
      <c r="I15" s="76" t="s">
        <v>658</v>
      </c>
      <c r="J15" s="76" t="s">
        <v>696</v>
      </c>
      <c r="K15" s="75" t="s">
        <v>329</v>
      </c>
      <c r="L15" s="75" t="s">
        <v>810</v>
      </c>
      <c r="M15" s="83">
        <v>43466</v>
      </c>
      <c r="N15" s="83"/>
      <c r="O15" s="75" t="s">
        <v>695</v>
      </c>
    </row>
    <row r="16" spans="6:15" ht="17.25" x14ac:dyDescent="0.25">
      <c r="F16" s="74">
        <v>3</v>
      </c>
      <c r="G16" s="74"/>
      <c r="H16" s="76" t="s">
        <v>659</v>
      </c>
      <c r="I16" s="76" t="s">
        <v>252</v>
      </c>
      <c r="J16" s="76"/>
      <c r="K16" s="75" t="s">
        <v>329</v>
      </c>
      <c r="L16" s="75"/>
      <c r="M16" s="83"/>
      <c r="N16" s="83"/>
      <c r="O16" s="75"/>
    </row>
    <row r="17" spans="6:15" ht="17.25" x14ac:dyDescent="0.25">
      <c r="F17" s="74">
        <v>4</v>
      </c>
      <c r="G17" s="74"/>
      <c r="H17" s="76" t="s">
        <v>605</v>
      </c>
      <c r="I17" s="76" t="s">
        <v>620</v>
      </c>
      <c r="J17" s="76"/>
      <c r="K17" s="75" t="s">
        <v>329</v>
      </c>
      <c r="L17" s="75"/>
      <c r="M17" s="83"/>
      <c r="N17" s="75"/>
      <c r="O17" s="75"/>
    </row>
    <row r="18" spans="6:15" ht="17.25" x14ac:dyDescent="0.25">
      <c r="F18" s="74">
        <v>5</v>
      </c>
      <c r="G18" s="74"/>
      <c r="H18" s="76" t="s">
        <v>197</v>
      </c>
      <c r="I18" s="76" t="s">
        <v>660</v>
      </c>
      <c r="J18" s="76"/>
      <c r="K18" s="75" t="s">
        <v>329</v>
      </c>
      <c r="L18" s="75" t="s">
        <v>441</v>
      </c>
      <c r="M18" s="83">
        <v>42923</v>
      </c>
      <c r="N18" s="83"/>
      <c r="O18" s="75" t="s">
        <v>699</v>
      </c>
    </row>
    <row r="19" spans="6:15" ht="17.25" x14ac:dyDescent="0.25">
      <c r="F19" s="74">
        <v>6</v>
      </c>
      <c r="G19" s="74"/>
      <c r="H19" s="76" t="s">
        <v>567</v>
      </c>
      <c r="I19" s="76" t="s">
        <v>632</v>
      </c>
      <c r="J19" s="76"/>
      <c r="K19" s="75" t="s">
        <v>329</v>
      </c>
      <c r="L19" s="75"/>
      <c r="M19" s="83"/>
      <c r="N19" s="75"/>
      <c r="O19" s="75"/>
    </row>
    <row r="20" spans="6:15" ht="17.25" x14ac:dyDescent="0.25">
      <c r="F20" s="74">
        <v>7</v>
      </c>
      <c r="G20" s="74"/>
      <c r="H20" s="76" t="s">
        <v>617</v>
      </c>
      <c r="I20" s="76" t="s">
        <v>661</v>
      </c>
      <c r="J20" s="76"/>
      <c r="K20" s="75" t="s">
        <v>329</v>
      </c>
      <c r="L20" s="75" t="s">
        <v>837</v>
      </c>
      <c r="M20" s="83"/>
      <c r="N20" s="83"/>
      <c r="O20" s="75"/>
    </row>
    <row r="21" spans="6:15" ht="17.25" x14ac:dyDescent="0.25">
      <c r="F21" s="74">
        <v>8</v>
      </c>
      <c r="G21" s="74"/>
      <c r="H21" s="76" t="s">
        <v>617</v>
      </c>
      <c r="I21" s="76" t="s">
        <v>631</v>
      </c>
      <c r="J21" s="76"/>
      <c r="K21" s="75" t="s">
        <v>329</v>
      </c>
      <c r="L21" s="75" t="s">
        <v>836</v>
      </c>
      <c r="M21" s="75"/>
      <c r="N21" s="83"/>
      <c r="O21" s="75"/>
    </row>
    <row r="22" spans="6:15" ht="17.25" x14ac:dyDescent="0.25">
      <c r="F22" s="74">
        <v>9</v>
      </c>
      <c r="G22" s="74"/>
      <c r="H22" s="76" t="s">
        <v>268</v>
      </c>
      <c r="I22" s="76" t="s">
        <v>662</v>
      </c>
      <c r="J22" s="76"/>
      <c r="K22" s="75" t="s">
        <v>329</v>
      </c>
      <c r="L22" s="75" t="s">
        <v>838</v>
      </c>
      <c r="M22" s="83"/>
      <c r="N22" s="84"/>
      <c r="O22" s="75" t="s">
        <v>703</v>
      </c>
    </row>
    <row r="23" spans="6:15" ht="17.25" x14ac:dyDescent="0.25">
      <c r="F23" s="74">
        <v>10</v>
      </c>
      <c r="G23" s="74"/>
      <c r="H23" s="76" t="s">
        <v>663</v>
      </c>
      <c r="I23" s="76" t="s">
        <v>637</v>
      </c>
      <c r="J23" s="76"/>
      <c r="K23" s="75" t="s">
        <v>329</v>
      </c>
      <c r="L23" s="75"/>
      <c r="M23" s="83"/>
      <c r="N23" s="84"/>
      <c r="O23" s="77"/>
    </row>
    <row r="24" spans="6:15" ht="17.25" x14ac:dyDescent="0.25">
      <c r="F24" s="74">
        <v>11</v>
      </c>
      <c r="G24" s="74"/>
      <c r="H24" s="76" t="s">
        <v>610</v>
      </c>
      <c r="I24" s="76" t="s">
        <v>625</v>
      </c>
      <c r="J24" s="76"/>
      <c r="K24" s="75" t="s">
        <v>329</v>
      </c>
      <c r="L24" s="75"/>
      <c r="M24" s="75"/>
      <c r="N24" s="83"/>
      <c r="O24" s="77"/>
    </row>
    <row r="25" spans="6:15" ht="17.25" x14ac:dyDescent="0.25">
      <c r="F25" s="74">
        <v>12</v>
      </c>
      <c r="G25" s="74"/>
      <c r="H25" s="76" t="s">
        <v>606</v>
      </c>
      <c r="I25" s="76" t="s">
        <v>503</v>
      </c>
      <c r="J25" s="76"/>
      <c r="K25" s="75" t="s">
        <v>329</v>
      </c>
      <c r="L25" s="75"/>
      <c r="M25" s="75"/>
      <c r="N25" s="77"/>
      <c r="O25" s="75"/>
    </row>
    <row r="26" spans="6:15" ht="17.25" x14ac:dyDescent="0.25">
      <c r="F26" s="74">
        <v>13</v>
      </c>
      <c r="G26" s="74"/>
      <c r="H26" s="76" t="s">
        <v>175</v>
      </c>
      <c r="I26" s="76" t="s">
        <v>664</v>
      </c>
      <c r="J26" s="76"/>
      <c r="K26" s="75" t="s">
        <v>329</v>
      </c>
      <c r="L26" s="85"/>
      <c r="M26" s="85"/>
      <c r="N26" s="83"/>
      <c r="O26" s="75"/>
    </row>
    <row r="27" spans="6:15" ht="17.25" x14ac:dyDescent="0.25">
      <c r="F27" s="74">
        <v>14</v>
      </c>
      <c r="G27" s="76"/>
      <c r="H27" s="76" t="s">
        <v>665</v>
      </c>
      <c r="I27" s="76" t="s">
        <v>666</v>
      </c>
      <c r="J27" s="76"/>
      <c r="K27" s="75" t="s">
        <v>329</v>
      </c>
      <c r="L27" s="75"/>
      <c r="M27" s="75"/>
      <c r="N27" s="83"/>
      <c r="O27" s="75"/>
    </row>
    <row r="28" spans="6:15" ht="17.25" x14ac:dyDescent="0.25">
      <c r="F28" s="74">
        <v>15</v>
      </c>
      <c r="G28" s="76"/>
      <c r="H28" s="76" t="s">
        <v>667</v>
      </c>
      <c r="I28" s="76" t="s">
        <v>668</v>
      </c>
      <c r="J28" s="76"/>
      <c r="K28" s="75" t="s">
        <v>329</v>
      </c>
      <c r="L28" s="75"/>
      <c r="M28" s="83"/>
      <c r="N28" s="83"/>
      <c r="O28" s="75"/>
    </row>
    <row r="29" spans="6:15" ht="17.25" x14ac:dyDescent="0.25">
      <c r="F29" s="74">
        <v>16</v>
      </c>
      <c r="G29" s="76"/>
      <c r="H29" s="76" t="s">
        <v>669</v>
      </c>
      <c r="I29" s="76" t="s">
        <v>670</v>
      </c>
      <c r="J29" s="76" t="s">
        <v>700</v>
      </c>
      <c r="K29" s="75" t="s">
        <v>329</v>
      </c>
      <c r="L29" s="75" t="s">
        <v>816</v>
      </c>
      <c r="M29" s="75" t="s">
        <v>701</v>
      </c>
      <c r="N29" s="75"/>
      <c r="O29" s="75"/>
    </row>
    <row r="30" spans="6:15" ht="17.25" x14ac:dyDescent="0.25">
      <c r="F30" s="74">
        <v>17</v>
      </c>
      <c r="G30" s="76"/>
      <c r="H30" s="76" t="s">
        <v>671</v>
      </c>
      <c r="I30" s="76" t="s">
        <v>672</v>
      </c>
      <c r="J30" s="76" t="s">
        <v>702</v>
      </c>
      <c r="K30" s="75" t="s">
        <v>329</v>
      </c>
      <c r="L30" s="75"/>
      <c r="M30" s="83">
        <v>42862</v>
      </c>
      <c r="N30" s="83"/>
      <c r="O30" s="75"/>
    </row>
    <row r="31" spans="6:15" ht="17.25" x14ac:dyDescent="0.25">
      <c r="F31" s="74">
        <v>18</v>
      </c>
      <c r="G31" s="76"/>
      <c r="H31" s="76" t="s">
        <v>667</v>
      </c>
      <c r="I31" s="94" t="s">
        <v>673</v>
      </c>
      <c r="J31" s="76"/>
      <c r="K31" s="75" t="s">
        <v>329</v>
      </c>
      <c r="L31" s="75"/>
      <c r="M31" s="75"/>
      <c r="N31" s="75"/>
      <c r="O31" s="75"/>
    </row>
    <row r="32" spans="6:15" ht="17.25" x14ac:dyDescent="0.25">
      <c r="F32" s="74">
        <v>19</v>
      </c>
      <c r="G32" s="76"/>
      <c r="H32" s="76" t="s">
        <v>674</v>
      </c>
      <c r="I32" s="76" t="s">
        <v>675</v>
      </c>
      <c r="J32" s="76"/>
      <c r="K32" s="75" t="s">
        <v>329</v>
      </c>
      <c r="L32" s="75"/>
      <c r="M32" s="75"/>
      <c r="N32" s="75"/>
      <c r="O32" s="75"/>
    </row>
    <row r="33" spans="6:15" ht="17.25" x14ac:dyDescent="0.25">
      <c r="F33" s="74">
        <v>20</v>
      </c>
      <c r="G33" s="76"/>
      <c r="H33" s="76" t="s">
        <v>711</v>
      </c>
      <c r="I33" s="94" t="s">
        <v>197</v>
      </c>
      <c r="J33" s="76" t="s">
        <v>713</v>
      </c>
      <c r="K33" s="75" t="s">
        <v>329</v>
      </c>
      <c r="L33" s="75" t="s">
        <v>815</v>
      </c>
      <c r="M33" s="75"/>
      <c r="N33" s="75"/>
      <c r="O33" s="75"/>
    </row>
    <row r="34" spans="6:15" ht="17.25" x14ac:dyDescent="0.25">
      <c r="F34" s="74">
        <v>21</v>
      </c>
      <c r="G34" s="76"/>
      <c r="H34" s="76" t="s">
        <v>712</v>
      </c>
      <c r="I34" s="76"/>
      <c r="J34" s="76" t="s">
        <v>714</v>
      </c>
      <c r="K34" s="75" t="s">
        <v>329</v>
      </c>
      <c r="L34" s="75" t="s">
        <v>814</v>
      </c>
      <c r="M34" s="75"/>
      <c r="N34" s="75"/>
      <c r="O34" s="75"/>
    </row>
    <row r="35" spans="6:15" ht="17.25" x14ac:dyDescent="0.25">
      <c r="F35" s="74">
        <v>22</v>
      </c>
      <c r="G35" s="76"/>
      <c r="H35" s="76" t="s">
        <v>676</v>
      </c>
      <c r="I35" s="76" t="s">
        <v>677</v>
      </c>
      <c r="J35" s="76"/>
      <c r="K35" s="75" t="s">
        <v>329</v>
      </c>
      <c r="L35" s="75"/>
      <c r="M35" s="75"/>
      <c r="N35" s="75"/>
      <c r="O35" s="75"/>
    </row>
    <row r="36" spans="6:15" ht="17.25" x14ac:dyDescent="0.25">
      <c r="F36" s="74">
        <v>23</v>
      </c>
      <c r="G36" s="76"/>
      <c r="H36" s="76" t="s">
        <v>678</v>
      </c>
      <c r="I36" s="76" t="s">
        <v>679</v>
      </c>
      <c r="J36" s="76" t="s">
        <v>697</v>
      </c>
      <c r="K36" s="75" t="s">
        <v>329</v>
      </c>
      <c r="L36" s="75" t="s">
        <v>835</v>
      </c>
      <c r="M36" s="75" t="s">
        <v>698</v>
      </c>
      <c r="N36" s="75"/>
      <c r="O36" s="75"/>
    </row>
    <row r="37" spans="6:15" ht="17.25" x14ac:dyDescent="0.25">
      <c r="F37" s="74">
        <v>24</v>
      </c>
      <c r="G37" s="76"/>
      <c r="H37" s="76" t="s">
        <v>680</v>
      </c>
      <c r="I37" s="92" t="s">
        <v>681</v>
      </c>
      <c r="J37" s="76" t="s">
        <v>704</v>
      </c>
      <c r="K37" s="75" t="s">
        <v>330</v>
      </c>
      <c r="L37" s="75" t="s">
        <v>813</v>
      </c>
      <c r="M37" s="75" t="s">
        <v>705</v>
      </c>
      <c r="N37" s="75"/>
      <c r="O37" s="75"/>
    </row>
    <row r="38" spans="6:15" ht="17.25" x14ac:dyDescent="0.25">
      <c r="F38" s="74">
        <v>25</v>
      </c>
      <c r="G38" s="76"/>
      <c r="H38" s="76" t="s">
        <v>644</v>
      </c>
      <c r="I38" s="93" t="s">
        <v>682</v>
      </c>
      <c r="J38" s="76"/>
      <c r="K38" s="75" t="s">
        <v>330</v>
      </c>
      <c r="L38" s="75"/>
      <c r="M38" s="75"/>
      <c r="N38" s="75"/>
      <c r="O38" s="75"/>
    </row>
    <row r="39" spans="6:15" ht="17.25" x14ac:dyDescent="0.25">
      <c r="F39" s="74">
        <v>26</v>
      </c>
      <c r="G39" s="76"/>
      <c r="H39" s="76" t="s">
        <v>286</v>
      </c>
      <c r="I39" s="76" t="s">
        <v>683</v>
      </c>
      <c r="J39" s="76"/>
      <c r="K39" s="75" t="s">
        <v>330</v>
      </c>
      <c r="L39" s="75"/>
      <c r="M39" s="75"/>
      <c r="N39" s="75"/>
      <c r="O39" s="75"/>
    </row>
    <row r="40" spans="6:15" ht="17.25" x14ac:dyDescent="0.25">
      <c r="F40" s="74">
        <v>27</v>
      </c>
      <c r="G40" s="76"/>
      <c r="H40" s="76" t="s">
        <v>684</v>
      </c>
      <c r="I40" s="76" t="s">
        <v>685</v>
      </c>
      <c r="J40" s="76"/>
      <c r="K40" s="75" t="s">
        <v>330</v>
      </c>
      <c r="L40" s="75"/>
      <c r="M40" s="75"/>
      <c r="N40" s="84"/>
      <c r="O40" s="77"/>
    </row>
    <row r="41" spans="6:15" ht="17.25" x14ac:dyDescent="0.25">
      <c r="F41" s="74">
        <v>28</v>
      </c>
      <c r="G41" s="76"/>
      <c r="H41" s="76" t="s">
        <v>686</v>
      </c>
      <c r="I41" s="76" t="s">
        <v>687</v>
      </c>
      <c r="J41" s="76"/>
      <c r="K41" s="75" t="s">
        <v>330</v>
      </c>
      <c r="L41" s="75"/>
      <c r="M41" s="75"/>
      <c r="N41" s="75"/>
      <c r="O41" s="75"/>
    </row>
    <row r="42" spans="6:15" ht="17.25" x14ac:dyDescent="0.25">
      <c r="F42" s="74">
        <v>29</v>
      </c>
      <c r="G42" s="76"/>
      <c r="H42" s="94" t="s">
        <v>688</v>
      </c>
      <c r="I42" s="76" t="s">
        <v>647</v>
      </c>
      <c r="J42" s="76" t="s">
        <v>706</v>
      </c>
      <c r="K42" s="75" t="s">
        <v>330</v>
      </c>
      <c r="L42" s="75" t="s">
        <v>812</v>
      </c>
      <c r="M42" s="83">
        <v>43102</v>
      </c>
      <c r="N42" s="75"/>
      <c r="O42" s="75"/>
    </row>
    <row r="43" spans="6:15" ht="17.25" x14ac:dyDescent="0.25">
      <c r="F43" s="74">
        <v>30</v>
      </c>
      <c r="G43" s="76"/>
      <c r="H43" s="76" t="s">
        <v>689</v>
      </c>
      <c r="I43" s="76" t="s">
        <v>269</v>
      </c>
      <c r="J43" s="76"/>
      <c r="K43" s="75" t="s">
        <v>330</v>
      </c>
      <c r="L43" s="75"/>
      <c r="M43" s="75"/>
      <c r="N43" s="75"/>
      <c r="O43" s="75"/>
    </row>
    <row r="44" spans="6:15" ht="17.25" x14ac:dyDescent="0.25">
      <c r="F44" s="74">
        <v>31</v>
      </c>
      <c r="G44" s="76"/>
      <c r="H44" s="94" t="s">
        <v>166</v>
      </c>
      <c r="I44" s="76" t="s">
        <v>690</v>
      </c>
      <c r="J44" s="76"/>
      <c r="K44" s="75" t="s">
        <v>330</v>
      </c>
      <c r="L44" s="75"/>
      <c r="M44" s="75" t="s">
        <v>395</v>
      </c>
      <c r="N44" s="75"/>
      <c r="O44" s="75"/>
    </row>
    <row r="45" spans="6:15" ht="17.25" x14ac:dyDescent="0.25">
      <c r="F45" s="74">
        <v>32</v>
      </c>
      <c r="G45" s="76"/>
      <c r="H45" s="94" t="s">
        <v>645</v>
      </c>
      <c r="I45" s="76" t="s">
        <v>691</v>
      </c>
      <c r="J45" s="76"/>
      <c r="K45" s="75" t="s">
        <v>330</v>
      </c>
      <c r="L45" s="75"/>
      <c r="M45" s="75"/>
      <c r="N45" s="75"/>
      <c r="O45" s="75"/>
    </row>
    <row r="46" spans="6:15" ht="17.25" x14ac:dyDescent="0.25">
      <c r="F46" s="74">
        <v>33</v>
      </c>
      <c r="G46" s="76"/>
      <c r="H46" s="76" t="s">
        <v>645</v>
      </c>
      <c r="I46" s="76" t="s">
        <v>692</v>
      </c>
      <c r="J46" s="76"/>
      <c r="K46" s="75" t="s">
        <v>330</v>
      </c>
      <c r="L46" s="75"/>
      <c r="M46" s="75"/>
      <c r="N46" s="75"/>
      <c r="O46" s="75"/>
    </row>
    <row r="47" spans="6:15" ht="17.25" x14ac:dyDescent="0.25">
      <c r="F47" s="74">
        <v>34</v>
      </c>
      <c r="G47" s="76"/>
      <c r="H47" s="76" t="s">
        <v>693</v>
      </c>
      <c r="I47" s="76" t="s">
        <v>424</v>
      </c>
      <c r="J47" s="76"/>
      <c r="K47" s="75" t="s">
        <v>330</v>
      </c>
      <c r="L47" s="75"/>
      <c r="M47" s="75"/>
      <c r="N47" s="75"/>
      <c r="O47" s="75"/>
    </row>
    <row r="48" spans="6:15" ht="17.25" x14ac:dyDescent="0.25">
      <c r="F48" s="74">
        <v>35</v>
      </c>
      <c r="G48" s="76"/>
      <c r="H48" s="76" t="s">
        <v>694</v>
      </c>
      <c r="I48" s="76" t="s">
        <v>675</v>
      </c>
      <c r="J48" s="76"/>
      <c r="K48" s="75" t="s">
        <v>330</v>
      </c>
      <c r="L48" s="75"/>
      <c r="M48" s="75"/>
      <c r="N48" s="75"/>
      <c r="O48" s="75"/>
    </row>
    <row r="49" spans="6:15" ht="17.25" x14ac:dyDescent="0.25">
      <c r="F49" s="74">
        <v>36</v>
      </c>
      <c r="G49" s="76"/>
      <c r="H49" s="76" t="s">
        <v>707</v>
      </c>
      <c r="I49" s="76" t="s">
        <v>197</v>
      </c>
      <c r="J49" s="76" t="s">
        <v>708</v>
      </c>
      <c r="K49" s="75" t="s">
        <v>330</v>
      </c>
      <c r="L49" s="75" t="s">
        <v>811</v>
      </c>
      <c r="M49" s="83">
        <v>42434</v>
      </c>
      <c r="N49" s="75"/>
      <c r="O49" s="75"/>
    </row>
    <row r="50" spans="6:15" ht="17.25" x14ac:dyDescent="0.25">
      <c r="F50" s="74">
        <v>37</v>
      </c>
      <c r="G50" s="76"/>
      <c r="H50" s="76" t="s">
        <v>709</v>
      </c>
      <c r="I50" s="76" t="s">
        <v>647</v>
      </c>
      <c r="J50" s="76" t="s">
        <v>710</v>
      </c>
      <c r="K50" s="75" t="s">
        <v>330</v>
      </c>
      <c r="L50" s="75" t="s">
        <v>812</v>
      </c>
      <c r="M50" s="83">
        <v>43922</v>
      </c>
      <c r="N50" s="75"/>
      <c r="O50" s="75"/>
    </row>
    <row r="51" spans="6:15" ht="17.25" x14ac:dyDescent="0.25">
      <c r="F51" s="87"/>
      <c r="G51" s="88"/>
      <c r="H51" s="88"/>
      <c r="I51" s="88"/>
      <c r="J51" s="88"/>
      <c r="K51" s="89"/>
      <c r="L51" s="89"/>
      <c r="M51" s="89"/>
      <c r="N51" s="89"/>
      <c r="O51" s="89"/>
    </row>
    <row r="52" spans="6:15" ht="17.25" x14ac:dyDescent="0.25">
      <c r="F52" s="87"/>
      <c r="G52" s="88" t="s">
        <v>866</v>
      </c>
      <c r="H52" s="88"/>
      <c r="I52" s="88"/>
      <c r="J52" s="88"/>
      <c r="K52" s="89"/>
      <c r="L52" s="89"/>
      <c r="M52" s="89"/>
      <c r="N52" s="89"/>
      <c r="O52" s="89"/>
    </row>
    <row r="53" spans="6:15" ht="17.25" x14ac:dyDescent="0.25">
      <c r="F53" s="153" t="s">
        <v>0</v>
      </c>
      <c r="G53" s="153"/>
      <c r="H53" s="153"/>
      <c r="I53" s="153"/>
      <c r="J53" s="153"/>
      <c r="K53" s="153"/>
      <c r="L53" s="153"/>
      <c r="M53" s="153"/>
      <c r="N53" s="153"/>
      <c r="O53" s="153"/>
    </row>
    <row r="54" spans="6:15" ht="17.25" x14ac:dyDescent="0.25">
      <c r="F54" s="154" t="s">
        <v>320</v>
      </c>
      <c r="G54" s="153"/>
      <c r="H54" s="153"/>
      <c r="I54" s="153"/>
      <c r="J54" s="153"/>
      <c r="K54" s="153"/>
      <c r="L54" s="153"/>
      <c r="M54" s="153"/>
      <c r="N54" s="153"/>
      <c r="O54" s="153"/>
    </row>
    <row r="55" spans="6:15" ht="17.25" x14ac:dyDescent="0.25">
      <c r="F55" s="154" t="s">
        <v>321</v>
      </c>
      <c r="G55" s="153"/>
      <c r="H55" s="153"/>
      <c r="I55" s="153"/>
      <c r="J55" s="153"/>
      <c r="K55" s="153"/>
      <c r="L55" s="153"/>
      <c r="M55" s="153"/>
      <c r="N55" s="153"/>
      <c r="O55" s="153"/>
    </row>
    <row r="56" spans="6:15" ht="17.25" x14ac:dyDescent="0.25">
      <c r="F56" s="154" t="s">
        <v>655</v>
      </c>
      <c r="G56" s="153"/>
      <c r="H56" s="153"/>
      <c r="I56" s="153"/>
      <c r="J56" s="153"/>
      <c r="K56" s="153"/>
      <c r="L56" s="153"/>
      <c r="M56" s="153"/>
      <c r="N56" s="153"/>
      <c r="O56" s="153"/>
    </row>
    <row r="57" spans="6:15" ht="17.25" x14ac:dyDescent="0.25">
      <c r="F57" s="154" t="s">
        <v>654</v>
      </c>
      <c r="G57" s="153"/>
      <c r="H57" s="153"/>
      <c r="I57" s="153"/>
      <c r="J57" s="153"/>
      <c r="K57" s="153"/>
      <c r="L57" s="153"/>
      <c r="M57" s="153"/>
      <c r="N57" s="153"/>
      <c r="O57" s="153"/>
    </row>
    <row r="58" spans="6:15" ht="17.25" x14ac:dyDescent="0.25">
      <c r="F58" s="72" t="s">
        <v>1</v>
      </c>
      <c r="G58" s="72" t="s">
        <v>2</v>
      </c>
      <c r="H58" s="72" t="s">
        <v>3</v>
      </c>
      <c r="I58" s="72" t="s">
        <v>4</v>
      </c>
      <c r="J58" s="72" t="s">
        <v>331</v>
      </c>
      <c r="K58" s="73" t="s">
        <v>326</v>
      </c>
      <c r="L58" s="73" t="s">
        <v>808</v>
      </c>
      <c r="M58" s="73" t="s">
        <v>327</v>
      </c>
      <c r="N58" s="73" t="s">
        <v>328</v>
      </c>
      <c r="O58" s="73" t="s">
        <v>333</v>
      </c>
    </row>
    <row r="59" spans="6:15" ht="17.25" x14ac:dyDescent="0.3">
      <c r="F59" s="74"/>
      <c r="H59" s="74"/>
      <c r="I59" s="74"/>
      <c r="J59" s="74"/>
      <c r="K59" s="75"/>
      <c r="L59" s="75"/>
      <c r="M59" s="98"/>
      <c r="N59" s="75"/>
      <c r="O59" s="75"/>
    </row>
    <row r="60" spans="6:15" ht="17.25" x14ac:dyDescent="0.3">
      <c r="F60" s="74">
        <v>1</v>
      </c>
      <c r="G60" s="31">
        <v>1871</v>
      </c>
      <c r="H60" s="74" t="s">
        <v>622</v>
      </c>
      <c r="I60" s="76" t="s">
        <v>422</v>
      </c>
      <c r="J60" s="76"/>
      <c r="K60" s="75" t="s">
        <v>329</v>
      </c>
      <c r="L60" s="75" t="s">
        <v>429</v>
      </c>
      <c r="M60" s="99">
        <v>42926</v>
      </c>
      <c r="N60" s="83"/>
      <c r="O60" s="75" t="s">
        <v>716</v>
      </c>
    </row>
    <row r="61" spans="6:15" ht="17.25" x14ac:dyDescent="0.3">
      <c r="F61" s="74">
        <v>2</v>
      </c>
      <c r="G61" s="74"/>
      <c r="H61" s="76" t="s">
        <v>615</v>
      </c>
      <c r="I61" s="76" t="s">
        <v>425</v>
      </c>
      <c r="J61" s="76" t="s">
        <v>715</v>
      </c>
      <c r="K61" s="75" t="s">
        <v>329</v>
      </c>
      <c r="L61" s="75" t="s">
        <v>440</v>
      </c>
      <c r="M61" s="99">
        <v>43107</v>
      </c>
      <c r="N61" s="83"/>
      <c r="O61" s="75" t="s">
        <v>717</v>
      </c>
    </row>
    <row r="62" spans="6:15" ht="17.25" x14ac:dyDescent="0.3">
      <c r="F62" s="74">
        <v>3</v>
      </c>
      <c r="G62" s="74"/>
      <c r="H62" s="76" t="s">
        <v>613</v>
      </c>
      <c r="I62" s="76" t="s">
        <v>743</v>
      </c>
      <c r="J62" s="76"/>
      <c r="K62" s="75" t="s">
        <v>329</v>
      </c>
      <c r="L62" s="75" t="s">
        <v>817</v>
      </c>
      <c r="M62" s="99" t="s">
        <v>786</v>
      </c>
      <c r="N62" s="83"/>
      <c r="O62" s="75" t="s">
        <v>769</v>
      </c>
    </row>
    <row r="63" spans="6:15" ht="17.25" x14ac:dyDescent="0.3">
      <c r="F63" s="74">
        <v>4</v>
      </c>
      <c r="G63" s="74"/>
      <c r="H63" s="76" t="s">
        <v>718</v>
      </c>
      <c r="I63" s="76" t="s">
        <v>744</v>
      </c>
      <c r="J63" s="76" t="s">
        <v>797</v>
      </c>
      <c r="K63" s="75" t="s">
        <v>329</v>
      </c>
      <c r="L63" s="75" t="s">
        <v>818</v>
      </c>
      <c r="M63" s="99">
        <v>42381</v>
      </c>
      <c r="N63" s="75"/>
      <c r="O63" s="75" t="s">
        <v>770</v>
      </c>
    </row>
    <row r="64" spans="6:15" ht="17.25" x14ac:dyDescent="0.3">
      <c r="F64" s="74">
        <v>5</v>
      </c>
      <c r="G64" s="74"/>
      <c r="H64" s="76" t="s">
        <v>719</v>
      </c>
      <c r="I64" s="76" t="s">
        <v>252</v>
      </c>
      <c r="J64" s="76" t="s">
        <v>798</v>
      </c>
      <c r="K64" s="75" t="s">
        <v>329</v>
      </c>
      <c r="L64" s="75" t="s">
        <v>340</v>
      </c>
      <c r="M64" s="99">
        <v>43232</v>
      </c>
      <c r="N64" s="83"/>
      <c r="O64" s="75" t="s">
        <v>462</v>
      </c>
    </row>
    <row r="65" spans="6:15" ht="17.25" x14ac:dyDescent="0.3">
      <c r="F65" s="74">
        <v>6</v>
      </c>
      <c r="G65" s="74"/>
      <c r="H65" s="76" t="s">
        <v>720</v>
      </c>
      <c r="I65" s="76" t="s">
        <v>745</v>
      </c>
      <c r="J65" s="76" t="s">
        <v>799</v>
      </c>
      <c r="K65" s="75" t="s">
        <v>329</v>
      </c>
      <c r="L65" s="75" t="s">
        <v>814</v>
      </c>
      <c r="M65" s="99">
        <v>43229</v>
      </c>
      <c r="N65" s="75"/>
      <c r="O65" s="75" t="s">
        <v>771</v>
      </c>
    </row>
    <row r="66" spans="6:15" ht="17.25" x14ac:dyDescent="0.3">
      <c r="F66" s="74">
        <v>7</v>
      </c>
      <c r="G66" s="74"/>
      <c r="H66" s="76" t="s">
        <v>721</v>
      </c>
      <c r="I66" s="76" t="s">
        <v>746</v>
      </c>
      <c r="J66" s="76" t="s">
        <v>800</v>
      </c>
      <c r="K66" s="75" t="s">
        <v>329</v>
      </c>
      <c r="L66" s="75" t="s">
        <v>819</v>
      </c>
      <c r="M66" s="99">
        <v>43317</v>
      </c>
      <c r="N66" s="83"/>
      <c r="O66" s="75" t="s">
        <v>772</v>
      </c>
    </row>
    <row r="67" spans="6:15" ht="17.25" x14ac:dyDescent="0.3">
      <c r="F67" s="74">
        <v>8</v>
      </c>
      <c r="G67" s="74"/>
      <c r="H67" s="76" t="s">
        <v>722</v>
      </c>
      <c r="I67" s="76" t="s">
        <v>747</v>
      </c>
      <c r="J67" s="76" t="s">
        <v>801</v>
      </c>
      <c r="K67" s="75" t="s">
        <v>329</v>
      </c>
      <c r="L67" s="75" t="s">
        <v>820</v>
      </c>
      <c r="M67" s="99">
        <v>42952</v>
      </c>
      <c r="N67" s="83"/>
      <c r="O67" s="75" t="s">
        <v>773</v>
      </c>
    </row>
    <row r="68" spans="6:15" ht="17.25" x14ac:dyDescent="0.3">
      <c r="F68" s="74">
        <v>9</v>
      </c>
      <c r="G68" s="74"/>
      <c r="H68" s="76" t="s">
        <v>601</v>
      </c>
      <c r="I68" s="76" t="s">
        <v>748</v>
      </c>
      <c r="J68" s="76"/>
      <c r="K68" s="75" t="s">
        <v>329</v>
      </c>
      <c r="L68" s="75" t="s">
        <v>341</v>
      </c>
      <c r="M68" s="99">
        <v>42986</v>
      </c>
      <c r="N68" s="84"/>
      <c r="O68" s="75" t="s">
        <v>602</v>
      </c>
    </row>
    <row r="69" spans="6:15" ht="17.25" x14ac:dyDescent="0.3">
      <c r="F69" s="74">
        <v>10</v>
      </c>
      <c r="G69" s="74"/>
      <c r="H69" s="76" t="s">
        <v>723</v>
      </c>
      <c r="I69" s="76" t="s">
        <v>748</v>
      </c>
      <c r="J69" s="76"/>
      <c r="K69" s="75" t="s">
        <v>329</v>
      </c>
      <c r="L69" s="75" t="s">
        <v>341</v>
      </c>
      <c r="M69" s="99">
        <v>42370</v>
      </c>
      <c r="N69" s="84"/>
      <c r="O69" s="77" t="s">
        <v>602</v>
      </c>
    </row>
    <row r="70" spans="6:15" ht="17.25" x14ac:dyDescent="0.3">
      <c r="F70" s="74">
        <v>11</v>
      </c>
      <c r="G70" s="74"/>
      <c r="H70" s="76" t="s">
        <v>614</v>
      </c>
      <c r="I70" s="76" t="s">
        <v>283</v>
      </c>
      <c r="J70" s="76"/>
      <c r="K70" s="75" t="s">
        <v>329</v>
      </c>
      <c r="L70" s="75" t="s">
        <v>436</v>
      </c>
      <c r="M70" s="98" t="s">
        <v>787</v>
      </c>
      <c r="N70" s="83"/>
      <c r="O70" s="77" t="s">
        <v>387</v>
      </c>
    </row>
    <row r="71" spans="6:15" ht="17.25" x14ac:dyDescent="0.3">
      <c r="F71" s="74">
        <v>12</v>
      </c>
      <c r="G71" s="74"/>
      <c r="H71" s="76" t="s">
        <v>610</v>
      </c>
      <c r="I71" s="76" t="s">
        <v>625</v>
      </c>
      <c r="J71" s="76"/>
      <c r="K71" s="75" t="s">
        <v>329</v>
      </c>
      <c r="L71" s="75" t="s">
        <v>821</v>
      </c>
      <c r="M71" s="98" t="s">
        <v>788</v>
      </c>
      <c r="N71" s="77"/>
      <c r="O71" s="75"/>
    </row>
    <row r="72" spans="6:15" ht="17.25" x14ac:dyDescent="0.3">
      <c r="F72" s="74">
        <v>13</v>
      </c>
      <c r="G72" s="74">
        <v>1910</v>
      </c>
      <c r="H72" s="76" t="s">
        <v>724</v>
      </c>
      <c r="I72" s="76" t="s">
        <v>749</v>
      </c>
      <c r="J72" s="76" t="s">
        <v>802</v>
      </c>
      <c r="K72" s="75" t="s">
        <v>329</v>
      </c>
      <c r="L72" s="85" t="s">
        <v>822</v>
      </c>
      <c r="M72" s="100" t="s">
        <v>789</v>
      </c>
      <c r="N72" s="83"/>
      <c r="O72" s="75" t="s">
        <v>774</v>
      </c>
    </row>
    <row r="73" spans="6:15" ht="17.25" x14ac:dyDescent="0.3">
      <c r="F73" s="74">
        <v>14</v>
      </c>
      <c r="G73" s="76">
        <v>1881</v>
      </c>
      <c r="H73" s="76" t="s">
        <v>725</v>
      </c>
      <c r="I73" s="76" t="s">
        <v>241</v>
      </c>
      <c r="J73" s="76"/>
      <c r="K73" s="75" t="s">
        <v>329</v>
      </c>
      <c r="L73" s="75" t="s">
        <v>378</v>
      </c>
      <c r="M73" s="99">
        <v>43466</v>
      </c>
      <c r="N73" s="83"/>
      <c r="O73" s="75" t="s">
        <v>775</v>
      </c>
    </row>
    <row r="74" spans="6:15" ht="17.25" x14ac:dyDescent="0.3">
      <c r="F74" s="74">
        <v>15</v>
      </c>
      <c r="G74" s="76"/>
      <c r="H74" s="76" t="s">
        <v>402</v>
      </c>
      <c r="I74" s="76" t="s">
        <v>621</v>
      </c>
      <c r="J74" s="76" t="s">
        <v>803</v>
      </c>
      <c r="K74" s="75" t="s">
        <v>329</v>
      </c>
      <c r="L74" s="75" t="s">
        <v>823</v>
      </c>
      <c r="M74" s="99">
        <v>43831</v>
      </c>
      <c r="N74" s="83"/>
      <c r="O74" s="75" t="s">
        <v>776</v>
      </c>
    </row>
    <row r="75" spans="6:15" ht="17.25" x14ac:dyDescent="0.3">
      <c r="F75" s="74">
        <v>16</v>
      </c>
      <c r="G75" s="76"/>
      <c r="H75" s="76" t="s">
        <v>726</v>
      </c>
      <c r="I75" s="76" t="s">
        <v>750</v>
      </c>
      <c r="K75" s="75" t="s">
        <v>329</v>
      </c>
      <c r="L75" s="75"/>
      <c r="M75" s="98" t="s">
        <v>790</v>
      </c>
      <c r="N75" s="75"/>
      <c r="O75" s="75"/>
    </row>
    <row r="76" spans="6:15" ht="17.25" x14ac:dyDescent="0.3">
      <c r="F76" s="74">
        <v>17</v>
      </c>
      <c r="G76" s="76"/>
      <c r="H76" s="76" t="s">
        <v>727</v>
      </c>
      <c r="I76" s="76" t="s">
        <v>751</v>
      </c>
      <c r="J76" s="76" t="s">
        <v>804</v>
      </c>
      <c r="K76" s="75" t="s">
        <v>329</v>
      </c>
      <c r="L76" s="75" t="s">
        <v>816</v>
      </c>
      <c r="M76" s="99"/>
      <c r="N76" s="83"/>
      <c r="O76" s="75"/>
    </row>
    <row r="77" spans="6:15" ht="17.25" x14ac:dyDescent="0.3">
      <c r="F77" s="74">
        <v>18</v>
      </c>
      <c r="G77" s="76"/>
      <c r="H77" s="76" t="s">
        <v>610</v>
      </c>
      <c r="I77" s="94" t="s">
        <v>752</v>
      </c>
      <c r="J77" s="76" t="s">
        <v>805</v>
      </c>
      <c r="K77" s="75" t="s">
        <v>329</v>
      </c>
      <c r="L77" s="75" t="s">
        <v>824</v>
      </c>
      <c r="M77" s="98" t="s">
        <v>791</v>
      </c>
      <c r="N77" s="75"/>
      <c r="O77" s="75"/>
    </row>
    <row r="78" spans="6:15" ht="17.25" x14ac:dyDescent="0.3">
      <c r="F78" s="74">
        <v>19</v>
      </c>
      <c r="G78" s="76"/>
      <c r="H78" s="76" t="s">
        <v>728</v>
      </c>
      <c r="I78" s="76" t="s">
        <v>753</v>
      </c>
      <c r="J78" s="76" t="s">
        <v>806</v>
      </c>
      <c r="K78" s="75" t="s">
        <v>329</v>
      </c>
      <c r="L78" s="85" t="s">
        <v>827</v>
      </c>
      <c r="M78" s="99">
        <v>43135</v>
      </c>
      <c r="N78" s="75"/>
      <c r="O78" s="75" t="s">
        <v>777</v>
      </c>
    </row>
    <row r="79" spans="6:15" ht="17.25" x14ac:dyDescent="0.25">
      <c r="F79" s="74">
        <v>20</v>
      </c>
      <c r="G79" s="76"/>
      <c r="H79" s="76" t="s">
        <v>608</v>
      </c>
      <c r="I79" s="76" t="s">
        <v>623</v>
      </c>
      <c r="J79" s="76"/>
      <c r="K79" s="75" t="s">
        <v>329</v>
      </c>
      <c r="L79" s="75" t="s">
        <v>825</v>
      </c>
      <c r="M79" s="105">
        <v>42649</v>
      </c>
      <c r="N79" s="75"/>
      <c r="O79" s="75" t="s">
        <v>778</v>
      </c>
    </row>
    <row r="80" spans="6:15" ht="17.25" x14ac:dyDescent="0.3">
      <c r="F80" s="74">
        <v>21</v>
      </c>
      <c r="G80" s="76"/>
      <c r="H80" s="76" t="s">
        <v>573</v>
      </c>
      <c r="I80" s="76" t="s">
        <v>754</v>
      </c>
      <c r="J80" s="76"/>
      <c r="K80" s="75" t="s">
        <v>329</v>
      </c>
      <c r="L80" s="75"/>
      <c r="M80" s="99"/>
      <c r="N80" s="75"/>
      <c r="O80" s="75"/>
    </row>
    <row r="81" spans="6:15" ht="17.25" x14ac:dyDescent="0.3">
      <c r="F81" s="74">
        <v>22</v>
      </c>
      <c r="G81" s="76"/>
      <c r="H81" s="76" t="s">
        <v>729</v>
      </c>
      <c r="I81" s="92" t="s">
        <v>755</v>
      </c>
      <c r="J81" s="76"/>
      <c r="K81" s="75" t="s">
        <v>329</v>
      </c>
      <c r="L81" s="75"/>
      <c r="M81" s="98"/>
      <c r="N81" s="75"/>
      <c r="O81" s="75"/>
    </row>
    <row r="82" spans="6:15" ht="17.25" x14ac:dyDescent="0.3">
      <c r="F82" s="74">
        <v>23</v>
      </c>
      <c r="G82" s="76"/>
      <c r="H82" s="76" t="s">
        <v>730</v>
      </c>
      <c r="I82" s="93" t="s">
        <v>620</v>
      </c>
      <c r="J82" s="76" t="s">
        <v>807</v>
      </c>
      <c r="K82" s="75" t="s">
        <v>329</v>
      </c>
      <c r="L82" s="75" t="s">
        <v>344</v>
      </c>
      <c r="M82" s="98" t="s">
        <v>792</v>
      </c>
      <c r="N82" s="75"/>
      <c r="O82" s="75" t="s">
        <v>779</v>
      </c>
    </row>
    <row r="83" spans="6:15" ht="17.25" x14ac:dyDescent="0.3">
      <c r="F83" s="74">
        <v>24</v>
      </c>
      <c r="G83" s="76"/>
      <c r="H83" s="76" t="s">
        <v>182</v>
      </c>
      <c r="I83" s="76" t="s">
        <v>756</v>
      </c>
      <c r="J83" s="76"/>
      <c r="K83" s="75" t="s">
        <v>329</v>
      </c>
      <c r="L83" s="75"/>
      <c r="M83" s="98"/>
      <c r="N83" s="75"/>
      <c r="O83" s="75"/>
    </row>
    <row r="84" spans="6:15" ht="17.25" x14ac:dyDescent="0.3">
      <c r="F84" s="74">
        <v>25</v>
      </c>
      <c r="G84" s="76"/>
      <c r="H84" s="76" t="s">
        <v>731</v>
      </c>
      <c r="I84" s="76" t="s">
        <v>677</v>
      </c>
      <c r="J84" s="76"/>
      <c r="K84" s="75" t="s">
        <v>329</v>
      </c>
      <c r="L84" s="75" t="s">
        <v>826</v>
      </c>
      <c r="M84" s="101">
        <v>42744</v>
      </c>
      <c r="N84" s="84"/>
      <c r="O84" s="77"/>
    </row>
    <row r="85" spans="6:15" ht="17.25" x14ac:dyDescent="0.3">
      <c r="F85" s="74">
        <v>26</v>
      </c>
      <c r="G85" s="76">
        <v>1895</v>
      </c>
      <c r="H85" s="76" t="s">
        <v>732</v>
      </c>
      <c r="I85" s="76" t="s">
        <v>757</v>
      </c>
      <c r="J85" s="76" t="s">
        <v>765</v>
      </c>
      <c r="K85" s="75" t="s">
        <v>330</v>
      </c>
      <c r="L85" s="75" t="s">
        <v>828</v>
      </c>
      <c r="M85" s="98" t="s">
        <v>793</v>
      </c>
      <c r="N85" s="75"/>
      <c r="O85" s="75" t="s">
        <v>562</v>
      </c>
    </row>
    <row r="86" spans="6:15" ht="17.25" x14ac:dyDescent="0.3">
      <c r="F86" s="74">
        <v>27</v>
      </c>
      <c r="G86" s="76"/>
      <c r="H86" s="94" t="s">
        <v>638</v>
      </c>
      <c r="I86" s="76" t="s">
        <v>424</v>
      </c>
      <c r="J86" s="76"/>
      <c r="K86" s="75" t="s">
        <v>330</v>
      </c>
      <c r="L86" s="75" t="s">
        <v>439</v>
      </c>
      <c r="M86" s="99">
        <v>43772</v>
      </c>
      <c r="N86" s="75"/>
      <c r="O86" s="75" t="s">
        <v>471</v>
      </c>
    </row>
    <row r="87" spans="6:15" ht="17.25" x14ac:dyDescent="0.3">
      <c r="F87" s="74">
        <v>28</v>
      </c>
      <c r="G87" s="76"/>
      <c r="H87" s="76" t="s">
        <v>642</v>
      </c>
      <c r="I87" s="76" t="s">
        <v>252</v>
      </c>
      <c r="J87" s="76" t="s">
        <v>766</v>
      </c>
      <c r="K87" s="75" t="s">
        <v>330</v>
      </c>
      <c r="L87" s="75" t="s">
        <v>340</v>
      </c>
      <c r="M87" s="99">
        <v>43019</v>
      </c>
      <c r="N87" s="75"/>
      <c r="O87" s="75" t="s">
        <v>462</v>
      </c>
    </row>
    <row r="88" spans="6:15" ht="17.25" x14ac:dyDescent="0.3">
      <c r="F88" s="74">
        <v>29</v>
      </c>
      <c r="G88" s="76"/>
      <c r="H88" s="76" t="s">
        <v>733</v>
      </c>
      <c r="I88" s="76" t="s">
        <v>687</v>
      </c>
      <c r="J88" s="76" t="s">
        <v>767</v>
      </c>
      <c r="K88" s="75" t="s">
        <v>330</v>
      </c>
      <c r="L88" s="75" t="s">
        <v>818</v>
      </c>
      <c r="M88" s="98" t="s">
        <v>794</v>
      </c>
      <c r="N88" s="75"/>
      <c r="O88" s="75" t="s">
        <v>770</v>
      </c>
    </row>
    <row r="89" spans="6:15" ht="17.25" x14ac:dyDescent="0.3">
      <c r="F89" s="74">
        <v>30</v>
      </c>
      <c r="G89" s="76"/>
      <c r="H89" s="76" t="s">
        <v>734</v>
      </c>
      <c r="I89" s="76" t="s">
        <v>658</v>
      </c>
      <c r="J89" s="76" t="s">
        <v>768</v>
      </c>
      <c r="K89" s="75" t="s">
        <v>330</v>
      </c>
      <c r="L89" s="75" t="s">
        <v>810</v>
      </c>
      <c r="M89" s="99">
        <v>42736</v>
      </c>
      <c r="N89" s="75"/>
      <c r="O89" s="75" t="s">
        <v>780</v>
      </c>
    </row>
    <row r="90" spans="6:15" ht="17.25" x14ac:dyDescent="0.3">
      <c r="F90" s="74">
        <v>31</v>
      </c>
      <c r="G90" s="76"/>
      <c r="H90" s="76" t="s">
        <v>735</v>
      </c>
      <c r="I90" s="76" t="s">
        <v>269</v>
      </c>
      <c r="J90" s="76" t="s">
        <v>763</v>
      </c>
      <c r="K90" s="75" t="s">
        <v>330</v>
      </c>
      <c r="L90" s="75" t="s">
        <v>829</v>
      </c>
      <c r="M90" s="98" t="s">
        <v>795</v>
      </c>
      <c r="N90" s="75"/>
      <c r="O90" s="75" t="s">
        <v>780</v>
      </c>
    </row>
    <row r="91" spans="6:15" ht="17.25" x14ac:dyDescent="0.3">
      <c r="F91" s="74">
        <v>32</v>
      </c>
      <c r="G91" s="76"/>
      <c r="H91" s="76" t="s">
        <v>736</v>
      </c>
      <c r="I91" s="76" t="s">
        <v>269</v>
      </c>
      <c r="J91" s="76" t="s">
        <v>764</v>
      </c>
      <c r="K91" s="75" t="s">
        <v>330</v>
      </c>
      <c r="L91" s="75" t="s">
        <v>829</v>
      </c>
      <c r="M91" s="98" t="s">
        <v>796</v>
      </c>
      <c r="N91" s="75"/>
      <c r="O91" s="75" t="s">
        <v>781</v>
      </c>
    </row>
    <row r="92" spans="6:15" ht="17.25" x14ac:dyDescent="0.3">
      <c r="F92" s="74">
        <v>33</v>
      </c>
      <c r="G92" s="76"/>
      <c r="H92" s="76" t="s">
        <v>737</v>
      </c>
      <c r="I92" s="76" t="s">
        <v>758</v>
      </c>
      <c r="J92" s="76"/>
      <c r="K92" s="75" t="s">
        <v>330</v>
      </c>
      <c r="L92" s="75" t="s">
        <v>830</v>
      </c>
      <c r="M92" s="99">
        <v>43475</v>
      </c>
      <c r="N92" s="75"/>
      <c r="O92" s="75" t="s">
        <v>782</v>
      </c>
    </row>
    <row r="93" spans="6:15" ht="17.25" x14ac:dyDescent="0.3">
      <c r="F93" s="74">
        <v>34</v>
      </c>
      <c r="G93" s="76"/>
      <c r="H93" s="76" t="s">
        <v>738</v>
      </c>
      <c r="I93" s="76" t="s">
        <v>759</v>
      </c>
      <c r="J93" s="76"/>
      <c r="K93" s="75" t="s">
        <v>330</v>
      </c>
      <c r="L93" s="75" t="s">
        <v>831</v>
      </c>
      <c r="M93" s="98">
        <v>2018</v>
      </c>
      <c r="N93" s="75"/>
      <c r="O93" s="75" t="s">
        <v>778</v>
      </c>
    </row>
    <row r="94" spans="6:15" ht="17.25" x14ac:dyDescent="0.3">
      <c r="F94" s="74">
        <v>35</v>
      </c>
      <c r="G94" s="76"/>
      <c r="H94" s="76" t="s">
        <v>739</v>
      </c>
      <c r="I94" s="76" t="s">
        <v>197</v>
      </c>
      <c r="J94" s="76" t="s">
        <v>762</v>
      </c>
      <c r="K94" s="75" t="s">
        <v>330</v>
      </c>
      <c r="L94" s="75" t="s">
        <v>832</v>
      </c>
      <c r="M94" s="99">
        <v>41640</v>
      </c>
      <c r="N94" s="75"/>
      <c r="O94" s="75" t="s">
        <v>783</v>
      </c>
    </row>
    <row r="95" spans="6:15" ht="17.25" x14ac:dyDescent="0.3">
      <c r="F95" s="74">
        <v>36</v>
      </c>
      <c r="G95" s="76"/>
      <c r="H95" s="76" t="s">
        <v>740</v>
      </c>
      <c r="I95" s="76" t="s">
        <v>690</v>
      </c>
      <c r="J95" s="76" t="s">
        <v>761</v>
      </c>
      <c r="K95" s="75" t="s">
        <v>330</v>
      </c>
      <c r="L95" s="75" t="s">
        <v>833</v>
      </c>
      <c r="M95" s="99">
        <v>43136</v>
      </c>
      <c r="N95" s="75"/>
      <c r="O95" s="75" t="s">
        <v>784</v>
      </c>
    </row>
    <row r="96" spans="6:15" ht="17.25" x14ac:dyDescent="0.3">
      <c r="F96" s="74">
        <v>37</v>
      </c>
      <c r="G96" s="76">
        <v>1894</v>
      </c>
      <c r="H96" s="76" t="s">
        <v>742</v>
      </c>
      <c r="I96" s="76" t="s">
        <v>269</v>
      </c>
      <c r="J96" s="76"/>
      <c r="K96" s="75" t="s">
        <v>330</v>
      </c>
      <c r="L96" s="75" t="s">
        <v>834</v>
      </c>
      <c r="M96" s="99">
        <v>42747</v>
      </c>
      <c r="N96" s="75"/>
      <c r="O96" s="75" t="s">
        <v>785</v>
      </c>
    </row>
    <row r="97" spans="4:15" ht="18.75" x14ac:dyDescent="0.3">
      <c r="F97" s="74">
        <v>38</v>
      </c>
      <c r="G97" s="106">
        <v>1938</v>
      </c>
      <c r="H97" s="31" t="s">
        <v>741</v>
      </c>
      <c r="I97" s="31" t="s">
        <v>682</v>
      </c>
      <c r="J97" s="31"/>
      <c r="K97" s="75" t="s">
        <v>330</v>
      </c>
      <c r="L97" s="89" t="s">
        <v>458</v>
      </c>
      <c r="M97" s="102">
        <v>43135</v>
      </c>
      <c r="N97" s="31"/>
      <c r="O97" s="31" t="s">
        <v>477</v>
      </c>
    </row>
    <row r="98" spans="4:15" ht="18.75" x14ac:dyDescent="0.3">
      <c r="F98" s="74">
        <v>39</v>
      </c>
      <c r="G98" s="31"/>
      <c r="H98" s="31" t="s">
        <v>707</v>
      </c>
      <c r="I98" s="31" t="s">
        <v>719</v>
      </c>
      <c r="J98" s="31" t="s">
        <v>708</v>
      </c>
      <c r="K98" s="75" t="s">
        <v>330</v>
      </c>
      <c r="L98" s="75" t="s">
        <v>811</v>
      </c>
      <c r="M98" s="103">
        <v>42434</v>
      </c>
      <c r="N98" s="31"/>
      <c r="O98" s="31" t="s">
        <v>783</v>
      </c>
    </row>
    <row r="99" spans="4:15" ht="17.25" x14ac:dyDescent="0.25">
      <c r="F99" s="74">
        <v>40</v>
      </c>
      <c r="G99" s="31"/>
      <c r="H99" s="31" t="s">
        <v>533</v>
      </c>
      <c r="I99" s="31" t="s">
        <v>760</v>
      </c>
      <c r="J99" s="31"/>
      <c r="K99" s="75" t="s">
        <v>330</v>
      </c>
      <c r="L99" s="75"/>
      <c r="M99" s="104"/>
      <c r="N99" s="31"/>
      <c r="O99" s="31"/>
    </row>
    <row r="100" spans="4:15" ht="17.25" x14ac:dyDescent="0.25">
      <c r="F100" s="87"/>
    </row>
    <row r="101" spans="4:15" ht="17.25" x14ac:dyDescent="0.25">
      <c r="F101" s="87"/>
    </row>
    <row r="102" spans="4:15" ht="17.25" x14ac:dyDescent="0.25">
      <c r="F102" s="87"/>
    </row>
    <row r="103" spans="4:15" ht="17.25" x14ac:dyDescent="0.25">
      <c r="D103" s="153" t="s">
        <v>0</v>
      </c>
      <c r="E103" s="153"/>
      <c r="F103" s="153"/>
      <c r="G103" s="153"/>
      <c r="H103" s="153"/>
      <c r="I103" s="153"/>
      <c r="J103" s="153"/>
      <c r="K103" s="153"/>
      <c r="L103" s="153"/>
      <c r="M103" s="153"/>
      <c r="N103" s="153"/>
    </row>
    <row r="104" spans="4:15" ht="17.25" x14ac:dyDescent="0.25">
      <c r="D104" s="154" t="s">
        <v>320</v>
      </c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</row>
    <row r="105" spans="4:15" ht="17.25" x14ac:dyDescent="0.25">
      <c r="D105" s="154" t="s">
        <v>321</v>
      </c>
      <c r="E105" s="153"/>
      <c r="F105" s="153"/>
      <c r="G105" s="153"/>
      <c r="H105" s="153"/>
      <c r="I105" s="153"/>
      <c r="J105" s="153"/>
      <c r="K105" s="153"/>
      <c r="L105" s="153"/>
      <c r="M105" s="153"/>
      <c r="N105" s="153"/>
    </row>
    <row r="106" spans="4:15" ht="17.25" x14ac:dyDescent="0.25">
      <c r="D106" s="154" t="s">
        <v>655</v>
      </c>
      <c r="E106" s="153"/>
      <c r="F106" s="153"/>
      <c r="G106" s="153"/>
      <c r="H106" s="153"/>
      <c r="I106" s="153"/>
      <c r="J106" s="153"/>
      <c r="K106" s="153"/>
      <c r="L106" s="153"/>
      <c r="M106" s="153"/>
      <c r="N106" s="153"/>
    </row>
    <row r="107" spans="4:15" ht="17.25" x14ac:dyDescent="0.25">
      <c r="D107" s="154" t="s">
        <v>397</v>
      </c>
      <c r="E107" s="153"/>
      <c r="F107" s="153"/>
      <c r="G107" s="153"/>
      <c r="H107" s="153"/>
      <c r="I107" s="153"/>
      <c r="J107" s="153"/>
      <c r="K107" s="153"/>
      <c r="L107" s="153"/>
      <c r="M107" s="153"/>
      <c r="N107" s="153"/>
    </row>
    <row r="108" spans="4:15" ht="17.25" x14ac:dyDescent="0.25">
      <c r="D108" s="72" t="s">
        <v>1</v>
      </c>
      <c r="E108" s="72" t="s">
        <v>2</v>
      </c>
      <c r="F108" s="72" t="s">
        <v>3</v>
      </c>
      <c r="G108" s="72" t="s">
        <v>4</v>
      </c>
      <c r="H108" s="72" t="s">
        <v>331</v>
      </c>
      <c r="I108" s="73" t="s">
        <v>326</v>
      </c>
      <c r="J108" s="73" t="s">
        <v>327</v>
      </c>
      <c r="K108" s="73" t="s">
        <v>328</v>
      </c>
      <c r="L108" s="73"/>
      <c r="M108" s="73" t="s">
        <v>13</v>
      </c>
      <c r="N108" s="73" t="s">
        <v>333</v>
      </c>
    </row>
    <row r="109" spans="4:15" ht="17.25" x14ac:dyDescent="0.25">
      <c r="D109" s="74"/>
      <c r="F109" s="74"/>
      <c r="G109" s="74"/>
      <c r="H109" s="74"/>
      <c r="I109" s="75"/>
      <c r="J109" s="75"/>
      <c r="K109" s="75" t="s">
        <v>839</v>
      </c>
      <c r="L109" s="75"/>
      <c r="M109" s="75"/>
      <c r="N109" s="75"/>
    </row>
    <row r="110" spans="4:15" ht="17.25" x14ac:dyDescent="0.25">
      <c r="D110" s="74">
        <v>1</v>
      </c>
      <c r="E110" s="74"/>
      <c r="F110" s="76" t="s">
        <v>641</v>
      </c>
      <c r="G110" s="107" t="s">
        <v>864</v>
      </c>
      <c r="H110" s="76" t="s">
        <v>429</v>
      </c>
      <c r="I110" s="75" t="s">
        <v>329</v>
      </c>
      <c r="J110" s="83"/>
      <c r="K110" s="83"/>
      <c r="L110" s="83"/>
      <c r="M110" s="83"/>
      <c r="N110" s="75" t="s">
        <v>460</v>
      </c>
    </row>
    <row r="111" spans="4:15" ht="17.25" x14ac:dyDescent="0.25">
      <c r="D111" s="74">
        <v>2</v>
      </c>
      <c r="E111" s="74"/>
      <c r="F111" s="76" t="s">
        <v>840</v>
      </c>
      <c r="G111" s="76" t="s">
        <v>865</v>
      </c>
      <c r="H111" s="76" t="s">
        <v>375</v>
      </c>
      <c r="I111" s="75" t="s">
        <v>329</v>
      </c>
      <c r="J111" s="83"/>
      <c r="K111" s="83"/>
      <c r="L111" s="83"/>
      <c r="M111" s="83"/>
      <c r="N111" s="75" t="s">
        <v>461</v>
      </c>
    </row>
    <row r="112" spans="4:15" ht="17.25" x14ac:dyDescent="0.25">
      <c r="D112" s="74">
        <v>3</v>
      </c>
      <c r="E112" s="74"/>
      <c r="F112" s="76" t="s">
        <v>841</v>
      </c>
      <c r="G112" s="76" t="s">
        <v>628</v>
      </c>
      <c r="H112" s="76" t="s">
        <v>340</v>
      </c>
      <c r="I112" s="75" t="s">
        <v>329</v>
      </c>
      <c r="J112" s="83"/>
      <c r="K112" s="83"/>
      <c r="L112" s="83"/>
      <c r="M112" s="83"/>
      <c r="N112" s="75" t="s">
        <v>462</v>
      </c>
    </row>
    <row r="113" spans="4:14" ht="17.25" x14ac:dyDescent="0.25">
      <c r="D113" s="74">
        <v>4</v>
      </c>
      <c r="E113" s="74"/>
      <c r="F113" s="76" t="s">
        <v>842</v>
      </c>
      <c r="G113" s="76" t="s">
        <v>416</v>
      </c>
      <c r="H113" s="76" t="s">
        <v>430</v>
      </c>
      <c r="I113" s="75" t="s">
        <v>329</v>
      </c>
      <c r="J113" s="83"/>
      <c r="K113" s="75"/>
      <c r="L113" s="75"/>
      <c r="M113" s="75"/>
      <c r="N113" s="75" t="s">
        <v>463</v>
      </c>
    </row>
    <row r="114" spans="4:14" ht="17.25" x14ac:dyDescent="0.25">
      <c r="D114" s="74">
        <v>5</v>
      </c>
      <c r="E114" s="74"/>
      <c r="F114" s="76" t="s">
        <v>843</v>
      </c>
      <c r="G114" s="76" t="s">
        <v>182</v>
      </c>
      <c r="H114" s="76" t="s">
        <v>431</v>
      </c>
      <c r="I114" s="75" t="s">
        <v>329</v>
      </c>
      <c r="J114" s="83"/>
      <c r="K114" s="83"/>
      <c r="L114" s="83"/>
      <c r="M114" s="83"/>
      <c r="N114" s="75" t="s">
        <v>464</v>
      </c>
    </row>
    <row r="115" spans="4:14" ht="17.25" x14ac:dyDescent="0.25">
      <c r="D115" s="74">
        <v>6</v>
      </c>
      <c r="E115" s="74"/>
      <c r="F115" s="76" t="s">
        <v>685</v>
      </c>
      <c r="G115" s="76" t="s">
        <v>417</v>
      </c>
      <c r="H115" s="76" t="s">
        <v>432</v>
      </c>
      <c r="I115" s="75" t="s">
        <v>329</v>
      </c>
      <c r="J115" s="83"/>
      <c r="K115" s="75"/>
      <c r="L115" s="75"/>
      <c r="M115" s="75"/>
      <c r="N115" s="75" t="s">
        <v>465</v>
      </c>
    </row>
    <row r="116" spans="4:14" ht="17.25" x14ac:dyDescent="0.25">
      <c r="D116" s="74">
        <v>7</v>
      </c>
      <c r="E116" s="74"/>
      <c r="F116" s="76" t="s">
        <v>844</v>
      </c>
      <c r="G116" s="76" t="s">
        <v>261</v>
      </c>
      <c r="H116" s="76" t="s">
        <v>433</v>
      </c>
      <c r="I116" s="75" t="s">
        <v>329</v>
      </c>
      <c r="J116" s="83"/>
      <c r="K116" s="83"/>
      <c r="L116" s="83"/>
      <c r="M116" s="83"/>
      <c r="N116" s="75" t="s">
        <v>466</v>
      </c>
    </row>
    <row r="117" spans="4:14" ht="17.25" x14ac:dyDescent="0.25">
      <c r="D117" s="74">
        <v>8</v>
      </c>
      <c r="E117" s="74"/>
      <c r="F117" s="76" t="s">
        <v>622</v>
      </c>
      <c r="G117" s="76" t="s">
        <v>418</v>
      </c>
      <c r="H117" s="76" t="s">
        <v>434</v>
      </c>
      <c r="I117" s="75" t="s">
        <v>329</v>
      </c>
      <c r="J117" s="75"/>
      <c r="K117" s="83"/>
      <c r="L117" s="83"/>
      <c r="M117" s="83"/>
      <c r="N117" s="75" t="s">
        <v>467</v>
      </c>
    </row>
    <row r="118" spans="4:14" ht="17.25" x14ac:dyDescent="0.25">
      <c r="D118" s="74">
        <v>9</v>
      </c>
      <c r="E118" s="74"/>
      <c r="F118" s="76" t="s">
        <v>845</v>
      </c>
      <c r="G118" s="76" t="s">
        <v>419</v>
      </c>
      <c r="H118" s="76" t="s">
        <v>435</v>
      </c>
      <c r="I118" s="75" t="s">
        <v>329</v>
      </c>
      <c r="J118" s="83"/>
      <c r="K118" s="84"/>
      <c r="L118" s="84"/>
      <c r="M118" s="84"/>
      <c r="N118" s="75" t="s">
        <v>387</v>
      </c>
    </row>
    <row r="119" spans="4:14" ht="17.25" x14ac:dyDescent="0.25">
      <c r="D119" s="74">
        <v>10</v>
      </c>
      <c r="E119" s="74"/>
      <c r="F119" s="76" t="s">
        <v>846</v>
      </c>
      <c r="G119" s="76" t="s">
        <v>420</v>
      </c>
      <c r="H119" s="76" t="s">
        <v>436</v>
      </c>
      <c r="I119" s="75" t="s">
        <v>329</v>
      </c>
      <c r="J119" s="83"/>
      <c r="K119" s="84"/>
      <c r="L119" s="84"/>
      <c r="M119" s="84"/>
      <c r="N119" s="77" t="s">
        <v>468</v>
      </c>
    </row>
    <row r="120" spans="4:14" ht="17.25" x14ac:dyDescent="0.25">
      <c r="D120" s="74">
        <v>11</v>
      </c>
      <c r="E120" s="74"/>
      <c r="F120" s="76" t="s">
        <v>847</v>
      </c>
      <c r="G120" s="76" t="s">
        <v>421</v>
      </c>
      <c r="H120" s="76" t="s">
        <v>437</v>
      </c>
      <c r="I120" s="75" t="s">
        <v>329</v>
      </c>
      <c r="J120" s="75"/>
      <c r="K120" s="83"/>
      <c r="L120" s="83"/>
      <c r="M120" s="83"/>
      <c r="N120" s="77" t="s">
        <v>469</v>
      </c>
    </row>
    <row r="121" spans="4:14" ht="17.25" x14ac:dyDescent="0.25">
      <c r="D121" s="74">
        <v>12</v>
      </c>
      <c r="E121" s="74"/>
      <c r="F121" s="76" t="s">
        <v>848</v>
      </c>
      <c r="G121" s="76" t="s">
        <v>423</v>
      </c>
      <c r="H121" s="76" t="s">
        <v>438</v>
      </c>
      <c r="I121" s="75" t="s">
        <v>329</v>
      </c>
      <c r="J121" s="75"/>
      <c r="K121" s="77"/>
      <c r="L121" s="77"/>
      <c r="M121" s="77"/>
      <c r="N121" s="75" t="s">
        <v>470</v>
      </c>
    </row>
    <row r="122" spans="4:14" ht="17.25" x14ac:dyDescent="0.25">
      <c r="D122" s="74">
        <v>13</v>
      </c>
      <c r="E122" s="74"/>
      <c r="F122" s="76" t="s">
        <v>849</v>
      </c>
      <c r="G122" s="76" t="s">
        <v>424</v>
      </c>
      <c r="H122" s="76" t="s">
        <v>439</v>
      </c>
      <c r="I122" s="75" t="s">
        <v>329</v>
      </c>
      <c r="J122" s="85"/>
      <c r="K122" s="83"/>
      <c r="L122" s="83"/>
      <c r="M122" s="83"/>
      <c r="N122" s="75" t="s">
        <v>471</v>
      </c>
    </row>
    <row r="123" spans="4:14" ht="17.25" x14ac:dyDescent="0.25">
      <c r="D123" s="74">
        <v>14</v>
      </c>
      <c r="E123" s="76"/>
      <c r="F123" s="76" t="s">
        <v>850</v>
      </c>
      <c r="G123" s="76" t="s">
        <v>169</v>
      </c>
      <c r="H123" s="76" t="s">
        <v>377</v>
      </c>
      <c r="I123" s="75" t="s">
        <v>330</v>
      </c>
      <c r="J123" s="75"/>
      <c r="K123" s="83"/>
      <c r="L123" s="83"/>
      <c r="M123" s="83"/>
      <c r="N123" s="75" t="s">
        <v>388</v>
      </c>
    </row>
    <row r="124" spans="4:14" ht="17.25" x14ac:dyDescent="0.25">
      <c r="D124" s="74">
        <v>15</v>
      </c>
      <c r="E124" s="76"/>
      <c r="F124" s="76" t="s">
        <v>619</v>
      </c>
      <c r="G124" s="76" t="s">
        <v>425</v>
      </c>
      <c r="H124" s="76" t="s">
        <v>440</v>
      </c>
      <c r="I124" s="75" t="s">
        <v>330</v>
      </c>
      <c r="J124" s="83"/>
      <c r="K124" s="83"/>
      <c r="L124" s="83"/>
      <c r="M124" s="83"/>
      <c r="N124" s="75" t="s">
        <v>472</v>
      </c>
    </row>
    <row r="125" spans="4:14" ht="17.25" x14ac:dyDescent="0.25">
      <c r="D125" s="74">
        <v>16</v>
      </c>
      <c r="E125" s="76"/>
      <c r="F125" s="76" t="s">
        <v>605</v>
      </c>
      <c r="G125" s="76" t="s">
        <v>426</v>
      </c>
      <c r="H125" s="76" t="s">
        <v>441</v>
      </c>
      <c r="I125" s="75" t="s">
        <v>330</v>
      </c>
      <c r="J125" s="75"/>
      <c r="K125" s="75"/>
      <c r="L125" s="75"/>
      <c r="M125" s="75"/>
      <c r="N125" s="75" t="s">
        <v>473</v>
      </c>
    </row>
    <row r="126" spans="4:14" ht="17.25" x14ac:dyDescent="0.25">
      <c r="D126" s="74">
        <v>17</v>
      </c>
      <c r="E126" s="76"/>
      <c r="F126" s="76" t="s">
        <v>428</v>
      </c>
      <c r="G126" s="76" t="s">
        <v>427</v>
      </c>
      <c r="H126" s="76" t="s">
        <v>442</v>
      </c>
      <c r="I126" s="75" t="s">
        <v>330</v>
      </c>
      <c r="J126" s="83"/>
      <c r="K126" s="83"/>
      <c r="L126" s="83"/>
      <c r="M126" s="83"/>
      <c r="N126" s="75" t="s">
        <v>474</v>
      </c>
    </row>
    <row r="127" spans="4:14" ht="17.25" x14ac:dyDescent="0.25">
      <c r="D127" s="74">
        <v>18</v>
      </c>
      <c r="E127" s="76"/>
      <c r="F127" s="76" t="s">
        <v>851</v>
      </c>
      <c r="G127" s="76" t="s">
        <v>427</v>
      </c>
      <c r="H127" s="76" t="s">
        <v>442</v>
      </c>
      <c r="I127" s="75" t="s">
        <v>330</v>
      </c>
      <c r="J127" s="75"/>
      <c r="K127" s="75"/>
      <c r="L127" s="75"/>
      <c r="M127" s="75"/>
      <c r="N127" s="75" t="s">
        <v>474</v>
      </c>
    </row>
    <row r="128" spans="4:14" ht="17.25" x14ac:dyDescent="0.25">
      <c r="D128" s="74">
        <v>19</v>
      </c>
      <c r="E128" s="76"/>
      <c r="F128" s="76" t="s">
        <v>183</v>
      </c>
      <c r="G128" s="76" t="s">
        <v>428</v>
      </c>
      <c r="H128" s="76" t="s">
        <v>443</v>
      </c>
      <c r="I128" s="75" t="s">
        <v>330</v>
      </c>
      <c r="J128" s="75"/>
      <c r="K128" s="75"/>
      <c r="L128" s="75"/>
      <c r="M128" s="75"/>
      <c r="N128" s="75" t="s">
        <v>334</v>
      </c>
    </row>
    <row r="129" spans="4:14" ht="17.25" x14ac:dyDescent="0.25">
      <c r="D129" s="74">
        <v>20</v>
      </c>
      <c r="E129" s="76"/>
      <c r="F129" s="76" t="s">
        <v>269</v>
      </c>
      <c r="G129" s="76" t="s">
        <v>428</v>
      </c>
      <c r="H129" s="76" t="s">
        <v>444</v>
      </c>
      <c r="I129" s="75" t="s">
        <v>330</v>
      </c>
      <c r="J129" s="75"/>
      <c r="K129" s="75"/>
      <c r="L129" s="75"/>
      <c r="M129" s="75"/>
      <c r="N129" s="75" t="s">
        <v>334</v>
      </c>
    </row>
    <row r="130" spans="4:14" ht="17.25" x14ac:dyDescent="0.25">
      <c r="D130" s="74">
        <v>21</v>
      </c>
      <c r="E130" s="76"/>
      <c r="F130" s="76" t="s">
        <v>852</v>
      </c>
      <c r="G130" s="76" t="s">
        <v>452</v>
      </c>
      <c r="H130" s="76" t="s">
        <v>455</v>
      </c>
      <c r="I130" s="75" t="s">
        <v>329</v>
      </c>
      <c r="J130" s="75"/>
      <c r="K130" s="75"/>
      <c r="L130" s="75"/>
      <c r="M130" s="75"/>
      <c r="N130" s="75" t="s">
        <v>475</v>
      </c>
    </row>
    <row r="131" spans="4:14" ht="17.25" x14ac:dyDescent="0.25">
      <c r="D131" s="74">
        <v>22</v>
      </c>
      <c r="E131" s="76"/>
      <c r="F131" s="76" t="s">
        <v>197</v>
      </c>
      <c r="G131" s="92" t="s">
        <v>453</v>
      </c>
      <c r="H131" s="76" t="s">
        <v>456</v>
      </c>
      <c r="I131" s="75" t="s">
        <v>329</v>
      </c>
      <c r="J131" s="75"/>
      <c r="K131" s="75"/>
      <c r="L131" s="75"/>
      <c r="M131" s="75"/>
      <c r="N131" s="75" t="s">
        <v>476</v>
      </c>
    </row>
    <row r="132" spans="4:14" ht="17.25" x14ac:dyDescent="0.25">
      <c r="D132" s="74">
        <v>23</v>
      </c>
      <c r="E132" s="76"/>
      <c r="F132" s="76" t="s">
        <v>850</v>
      </c>
      <c r="G132" s="93" t="s">
        <v>454</v>
      </c>
      <c r="H132" s="76" t="s">
        <v>457</v>
      </c>
      <c r="I132" s="75" t="s">
        <v>330</v>
      </c>
      <c r="J132" s="75"/>
      <c r="K132" s="75"/>
      <c r="L132" s="75"/>
      <c r="M132" s="75"/>
      <c r="N132" s="75" t="s">
        <v>476</v>
      </c>
    </row>
    <row r="133" spans="4:14" ht="17.25" x14ac:dyDescent="0.25">
      <c r="D133" s="74">
        <v>24</v>
      </c>
      <c r="E133" s="76"/>
      <c r="F133" s="76" t="s">
        <v>853</v>
      </c>
      <c r="G133" s="76" t="s">
        <v>450</v>
      </c>
      <c r="H133" s="76" t="s">
        <v>458</v>
      </c>
      <c r="I133" s="75" t="s">
        <v>330</v>
      </c>
      <c r="J133" s="75"/>
      <c r="K133" s="75"/>
      <c r="L133" s="75"/>
      <c r="M133" s="75"/>
      <c r="N133" s="75" t="s">
        <v>477</v>
      </c>
    </row>
    <row r="134" spans="4:14" ht="17.25" x14ac:dyDescent="0.25">
      <c r="D134" s="74">
        <v>25</v>
      </c>
      <c r="E134" s="76"/>
      <c r="F134" s="76" t="s">
        <v>402</v>
      </c>
      <c r="G134" s="76" t="s">
        <v>451</v>
      </c>
      <c r="H134" s="76" t="s">
        <v>459</v>
      </c>
      <c r="I134" s="75" t="s">
        <v>329</v>
      </c>
      <c r="J134" s="75"/>
      <c r="K134" s="84"/>
      <c r="L134" s="84"/>
      <c r="M134" s="84"/>
      <c r="N134" s="77" t="s">
        <v>478</v>
      </c>
    </row>
    <row r="135" spans="4:14" ht="17.25" x14ac:dyDescent="0.25">
      <c r="D135" s="74">
        <v>26</v>
      </c>
      <c r="E135" s="76"/>
      <c r="F135" s="76" t="s">
        <v>854</v>
      </c>
      <c r="G135" s="76" t="s">
        <v>480</v>
      </c>
      <c r="H135" s="76" t="s">
        <v>506</v>
      </c>
      <c r="I135" s="75" t="s">
        <v>329</v>
      </c>
      <c r="J135" s="75"/>
      <c r="K135" s="75"/>
      <c r="L135" s="75"/>
      <c r="M135" s="75"/>
      <c r="N135" s="75" t="s">
        <v>517</v>
      </c>
    </row>
    <row r="136" spans="4:14" ht="17.25" x14ac:dyDescent="0.25">
      <c r="D136" s="74">
        <v>27</v>
      </c>
      <c r="E136" s="76"/>
      <c r="F136" s="94" t="s">
        <v>541</v>
      </c>
      <c r="G136" s="76" t="s">
        <v>288</v>
      </c>
      <c r="H136" s="76" t="s">
        <v>335</v>
      </c>
      <c r="I136" s="75" t="s">
        <v>329</v>
      </c>
      <c r="J136" s="75"/>
      <c r="K136" s="75"/>
      <c r="L136" s="75"/>
      <c r="M136" s="75"/>
      <c r="N136" s="75" t="s">
        <v>518</v>
      </c>
    </row>
    <row r="137" spans="4:14" ht="17.25" x14ac:dyDescent="0.25">
      <c r="D137" s="74">
        <v>28</v>
      </c>
      <c r="E137" s="76"/>
      <c r="F137" s="76" t="s">
        <v>855</v>
      </c>
      <c r="G137" s="76" t="s">
        <v>417</v>
      </c>
      <c r="H137" s="76" t="s">
        <v>432</v>
      </c>
      <c r="I137" s="75" t="s">
        <v>330</v>
      </c>
      <c r="J137" s="75"/>
      <c r="K137" s="75"/>
      <c r="L137" s="75"/>
      <c r="M137" s="75"/>
      <c r="N137" s="75" t="s">
        <v>469</v>
      </c>
    </row>
    <row r="138" spans="4:14" ht="17.25" x14ac:dyDescent="0.25">
      <c r="D138" s="74">
        <v>29</v>
      </c>
      <c r="E138" s="76"/>
      <c r="F138" s="76"/>
      <c r="G138" s="76" t="s">
        <v>496</v>
      </c>
      <c r="H138" s="76" t="s">
        <v>507</v>
      </c>
      <c r="I138" s="75" t="s">
        <v>330</v>
      </c>
      <c r="J138" s="75" t="s">
        <v>395</v>
      </c>
      <c r="K138" s="75"/>
      <c r="L138" s="75"/>
      <c r="M138" s="75"/>
      <c r="N138" s="75" t="s">
        <v>519</v>
      </c>
    </row>
    <row r="139" spans="4:14" ht="17.25" x14ac:dyDescent="0.25">
      <c r="D139" s="74">
        <v>30</v>
      </c>
      <c r="E139" s="76"/>
      <c r="F139" s="94" t="s">
        <v>856</v>
      </c>
      <c r="G139" s="76" t="s">
        <v>497</v>
      </c>
      <c r="H139" s="76" t="s">
        <v>508</v>
      </c>
      <c r="I139" s="75" t="s">
        <v>330</v>
      </c>
      <c r="J139" s="75"/>
      <c r="K139" s="75"/>
      <c r="L139" s="75"/>
      <c r="M139" s="75"/>
      <c r="N139" s="75" t="s">
        <v>520</v>
      </c>
    </row>
    <row r="140" spans="4:14" ht="17.25" x14ac:dyDescent="0.25">
      <c r="D140" s="74">
        <v>31</v>
      </c>
      <c r="E140" s="76"/>
      <c r="F140" s="76" t="s">
        <v>857</v>
      </c>
      <c r="G140" s="76" t="s">
        <v>498</v>
      </c>
      <c r="H140" s="76" t="s">
        <v>509</v>
      </c>
      <c r="I140" s="75" t="s">
        <v>330</v>
      </c>
      <c r="J140" s="75"/>
      <c r="K140" s="75"/>
      <c r="L140" s="75"/>
      <c r="M140" s="75"/>
      <c r="N140" s="75" t="s">
        <v>521</v>
      </c>
    </row>
    <row r="141" spans="4:14" ht="17.25" x14ac:dyDescent="0.25">
      <c r="D141" s="74">
        <v>32</v>
      </c>
      <c r="E141" s="76"/>
      <c r="F141" s="76" t="s">
        <v>541</v>
      </c>
      <c r="G141" s="76" t="s">
        <v>499</v>
      </c>
      <c r="H141" s="76" t="s">
        <v>510</v>
      </c>
      <c r="I141" s="75" t="s">
        <v>329</v>
      </c>
      <c r="J141" s="75"/>
      <c r="K141" s="75"/>
      <c r="L141" s="75"/>
      <c r="M141" s="75"/>
      <c r="N141" s="75" t="s">
        <v>522</v>
      </c>
    </row>
    <row r="142" spans="4:14" ht="17.25" x14ac:dyDescent="0.25">
      <c r="D142" s="74">
        <v>33</v>
      </c>
      <c r="E142" s="76"/>
      <c r="F142" s="76" t="s">
        <v>858</v>
      </c>
      <c r="G142" s="76" t="s">
        <v>500</v>
      </c>
      <c r="H142" s="76" t="s">
        <v>511</v>
      </c>
      <c r="I142" s="75" t="s">
        <v>330</v>
      </c>
      <c r="J142" s="75"/>
      <c r="K142" s="75"/>
      <c r="L142" s="75"/>
      <c r="M142" s="75"/>
      <c r="N142" s="75" t="s">
        <v>523</v>
      </c>
    </row>
    <row r="143" spans="4:14" ht="17.25" x14ac:dyDescent="0.25">
      <c r="D143" s="74">
        <v>34</v>
      </c>
      <c r="E143" s="76"/>
      <c r="F143" s="76" t="s">
        <v>859</v>
      </c>
      <c r="G143" s="76" t="s">
        <v>501</v>
      </c>
      <c r="H143" s="76" t="s">
        <v>512</v>
      </c>
      <c r="I143" s="75" t="s">
        <v>329</v>
      </c>
      <c r="J143" s="75"/>
      <c r="K143" s="75"/>
      <c r="L143" s="75"/>
      <c r="M143" s="75"/>
      <c r="N143" s="75" t="s">
        <v>524</v>
      </c>
    </row>
    <row r="144" spans="4:14" ht="17.25" x14ac:dyDescent="0.25">
      <c r="D144" s="74">
        <v>35</v>
      </c>
      <c r="E144" s="76"/>
      <c r="F144" s="76" t="s">
        <v>860</v>
      </c>
      <c r="G144" s="76" t="s">
        <v>502</v>
      </c>
      <c r="H144" s="76" t="s">
        <v>513</v>
      </c>
      <c r="I144" s="75" t="s">
        <v>329</v>
      </c>
      <c r="J144" s="75"/>
      <c r="K144" s="75"/>
      <c r="L144" s="75"/>
      <c r="M144" s="75"/>
      <c r="N144" s="75" t="s">
        <v>525</v>
      </c>
    </row>
    <row r="145" spans="4:14" ht="17.25" x14ac:dyDescent="0.25">
      <c r="D145" s="74">
        <v>36</v>
      </c>
      <c r="E145" s="76"/>
      <c r="F145" s="76" t="s">
        <v>861</v>
      </c>
      <c r="G145" s="76" t="s">
        <v>182</v>
      </c>
      <c r="H145" s="76" t="s">
        <v>336</v>
      </c>
      <c r="I145" s="75" t="s">
        <v>330</v>
      </c>
      <c r="J145" s="75"/>
      <c r="K145" s="75"/>
      <c r="L145" s="75"/>
      <c r="M145" s="75"/>
      <c r="N145" s="75" t="s">
        <v>526</v>
      </c>
    </row>
    <row r="146" spans="4:14" ht="17.25" x14ac:dyDescent="0.25">
      <c r="D146" s="74">
        <v>37</v>
      </c>
      <c r="E146" s="76"/>
      <c r="F146" s="76" t="s">
        <v>862</v>
      </c>
      <c r="G146" s="76" t="s">
        <v>503</v>
      </c>
      <c r="H146" s="76" t="s">
        <v>514</v>
      </c>
      <c r="I146" s="75" t="s">
        <v>330</v>
      </c>
      <c r="J146" s="75"/>
      <c r="K146" s="75"/>
      <c r="L146" s="75"/>
      <c r="M146" s="75"/>
      <c r="N146" s="75" t="s">
        <v>527</v>
      </c>
    </row>
    <row r="147" spans="4:14" ht="17.25" x14ac:dyDescent="0.25">
      <c r="D147" s="74">
        <v>38</v>
      </c>
      <c r="E147" s="76"/>
      <c r="F147" s="76" t="s">
        <v>244</v>
      </c>
      <c r="G147" s="76" t="s">
        <v>502</v>
      </c>
      <c r="H147" s="76" t="s">
        <v>513</v>
      </c>
      <c r="I147" s="75" t="s">
        <v>329</v>
      </c>
      <c r="J147" s="75"/>
      <c r="K147" s="75"/>
      <c r="L147" s="75"/>
      <c r="M147" s="75"/>
      <c r="N147" s="75" t="s">
        <v>528</v>
      </c>
    </row>
    <row r="148" spans="4:14" ht="17.25" x14ac:dyDescent="0.25">
      <c r="D148" s="74">
        <v>39</v>
      </c>
      <c r="E148" s="76"/>
      <c r="F148" s="76" t="s">
        <v>287</v>
      </c>
      <c r="G148" s="94" t="s">
        <v>505</v>
      </c>
      <c r="H148" s="76" t="s">
        <v>515</v>
      </c>
      <c r="I148" s="75" t="s">
        <v>329</v>
      </c>
      <c r="J148" s="75"/>
      <c r="K148" s="75"/>
      <c r="L148" s="75"/>
      <c r="M148" s="75"/>
      <c r="N148" s="75" t="s">
        <v>529</v>
      </c>
    </row>
    <row r="149" spans="4:14" ht="17.25" x14ac:dyDescent="0.25">
      <c r="D149" s="74">
        <v>40</v>
      </c>
      <c r="E149" s="76"/>
      <c r="F149" s="76" t="s">
        <v>863</v>
      </c>
      <c r="G149" s="76" t="s">
        <v>504</v>
      </c>
      <c r="H149" s="76" t="s">
        <v>516</v>
      </c>
      <c r="I149" s="75" t="s">
        <v>329</v>
      </c>
      <c r="J149" s="75"/>
      <c r="K149" s="75"/>
      <c r="L149" s="75"/>
      <c r="M149" s="75"/>
      <c r="N149" s="75" t="s">
        <v>530</v>
      </c>
    </row>
    <row r="150" spans="4:14" ht="17.25" x14ac:dyDescent="0.25">
      <c r="D150" s="74">
        <v>41</v>
      </c>
      <c r="E150" s="76"/>
      <c r="F150" s="76"/>
      <c r="G150" s="76" t="s">
        <v>450</v>
      </c>
      <c r="H150" s="76" t="s">
        <v>458</v>
      </c>
      <c r="I150" s="75" t="s">
        <v>329</v>
      </c>
      <c r="J150" s="75"/>
      <c r="K150" s="75"/>
      <c r="L150" s="75"/>
      <c r="M150" s="75"/>
      <c r="N150" s="75" t="s">
        <v>477</v>
      </c>
    </row>
    <row r="151" spans="4:14" ht="17.25" x14ac:dyDescent="0.25">
      <c r="D151" s="87"/>
      <c r="E151" s="88"/>
      <c r="F151" s="88"/>
      <c r="G151" s="88"/>
      <c r="H151" s="88"/>
      <c r="I151" s="89"/>
      <c r="J151" s="89"/>
      <c r="K151" s="90"/>
      <c r="L151" s="90"/>
      <c r="M151" s="90"/>
      <c r="N151" s="91"/>
    </row>
    <row r="152" spans="4:14" ht="17.25" x14ac:dyDescent="0.25">
      <c r="D152" s="87"/>
      <c r="E152" s="88"/>
      <c r="F152" s="88"/>
      <c r="G152" s="88"/>
      <c r="H152" s="88"/>
      <c r="I152" s="89"/>
      <c r="J152" s="89"/>
      <c r="K152" s="90"/>
      <c r="L152" s="90"/>
      <c r="M152" s="90"/>
      <c r="N152" s="91"/>
    </row>
    <row r="153" spans="4:14" ht="17.25" x14ac:dyDescent="0.25">
      <c r="D153" s="87"/>
      <c r="E153" s="88"/>
      <c r="F153" s="88"/>
      <c r="G153" s="88"/>
      <c r="H153" s="88"/>
      <c r="I153" s="89"/>
      <c r="J153" s="89"/>
      <c r="K153" s="90"/>
      <c r="L153" s="90"/>
      <c r="M153" s="90"/>
      <c r="N153" s="91"/>
    </row>
    <row r="154" spans="4:14" ht="17.25" x14ac:dyDescent="0.25">
      <c r="D154" s="87"/>
      <c r="E154" s="88"/>
      <c r="F154" s="88"/>
      <c r="G154" s="88"/>
      <c r="H154" s="88"/>
      <c r="I154" s="89"/>
      <c r="J154" s="89" t="s">
        <v>395</v>
      </c>
      <c r="K154" s="90"/>
      <c r="L154" s="90"/>
      <c r="M154" s="90"/>
      <c r="N154" s="91"/>
    </row>
    <row r="155" spans="4:14" ht="17.25" x14ac:dyDescent="0.25">
      <c r="D155" s="87"/>
      <c r="E155" s="88"/>
      <c r="F155" s="88"/>
      <c r="G155" s="88"/>
      <c r="H155" s="88"/>
      <c r="I155" s="89"/>
      <c r="J155" s="89"/>
      <c r="K155" s="90"/>
      <c r="L155" s="90"/>
      <c r="M155" s="90"/>
      <c r="N155" s="91"/>
    </row>
    <row r="156" spans="4:14" ht="17.25" x14ac:dyDescent="0.25">
      <c r="D156" s="87"/>
      <c r="E156" s="88"/>
      <c r="F156" s="88"/>
      <c r="G156" s="88" t="s">
        <v>395</v>
      </c>
      <c r="H156" s="88"/>
      <c r="I156" s="89"/>
      <c r="J156" s="89"/>
      <c r="K156" s="90"/>
      <c r="L156" s="90"/>
      <c r="M156" s="90"/>
      <c r="N156" s="91"/>
    </row>
    <row r="157" spans="4:14" ht="17.25" x14ac:dyDescent="0.25">
      <c r="D157" s="87"/>
      <c r="E157" s="88"/>
      <c r="F157" s="88"/>
      <c r="G157" s="88"/>
      <c r="H157" s="88"/>
      <c r="I157" s="89"/>
      <c r="J157" s="89"/>
      <c r="K157" s="90"/>
      <c r="L157" s="90"/>
      <c r="M157" s="90"/>
      <c r="N157" s="91"/>
    </row>
    <row r="158" spans="4:14" ht="17.25" x14ac:dyDescent="0.25">
      <c r="D158" s="87"/>
      <c r="E158" s="88"/>
      <c r="F158" s="88"/>
      <c r="G158" s="88"/>
      <c r="H158" s="88"/>
      <c r="I158" s="89"/>
      <c r="J158" s="89"/>
      <c r="K158" s="90"/>
      <c r="L158" s="90"/>
      <c r="M158" s="90"/>
      <c r="N158" s="91"/>
    </row>
    <row r="160" spans="4:14" x14ac:dyDescent="0.25">
      <c r="F160" t="s">
        <v>395</v>
      </c>
    </row>
    <row r="165" spans="10:10" x14ac:dyDescent="0.25">
      <c r="J165" t="s">
        <v>395</v>
      </c>
    </row>
    <row r="189" spans="4:14" x14ac:dyDescent="0.25">
      <c r="E189" t="s">
        <v>395</v>
      </c>
    </row>
    <row r="190" spans="4:14" ht="17.25" x14ac:dyDescent="0.25">
      <c r="D190" s="153" t="s">
        <v>0</v>
      </c>
      <c r="E190" s="153"/>
      <c r="F190" s="153"/>
      <c r="G190" s="153"/>
      <c r="H190" s="153"/>
      <c r="I190" s="153"/>
      <c r="J190" s="153"/>
      <c r="K190" s="153"/>
      <c r="L190" s="153"/>
      <c r="M190" s="153"/>
      <c r="N190" s="153"/>
    </row>
    <row r="191" spans="4:14" ht="17.25" x14ac:dyDescent="0.25">
      <c r="D191" s="154" t="s">
        <v>320</v>
      </c>
      <c r="E191" s="153"/>
      <c r="F191" s="153"/>
      <c r="G191" s="153"/>
      <c r="H191" s="153"/>
      <c r="I191" s="153"/>
      <c r="J191" s="153"/>
      <c r="K191" s="153"/>
      <c r="L191" s="153"/>
      <c r="M191" s="153"/>
      <c r="N191" s="153"/>
    </row>
    <row r="192" spans="4:14" ht="17.25" x14ac:dyDescent="0.25">
      <c r="D192" s="154" t="s">
        <v>321</v>
      </c>
      <c r="E192" s="153"/>
      <c r="F192" s="153"/>
      <c r="G192" s="153"/>
      <c r="H192" s="153"/>
      <c r="I192" s="153"/>
      <c r="J192" s="153"/>
      <c r="K192" s="153"/>
      <c r="L192" s="153"/>
      <c r="M192" s="153"/>
      <c r="N192" s="153"/>
    </row>
    <row r="193" spans="4:14" ht="17.25" x14ac:dyDescent="0.25">
      <c r="D193" s="154" t="s">
        <v>325</v>
      </c>
      <c r="E193" s="153"/>
      <c r="F193" s="153"/>
      <c r="G193" s="153"/>
      <c r="H193" s="153"/>
      <c r="I193" s="153"/>
      <c r="J193" s="153"/>
      <c r="K193" s="153"/>
      <c r="L193" s="153"/>
      <c r="M193" s="153"/>
      <c r="N193" s="153"/>
    </row>
    <row r="194" spans="4:14" ht="17.25" x14ac:dyDescent="0.25">
      <c r="D194" s="154" t="s">
        <v>322</v>
      </c>
      <c r="E194" s="153"/>
      <c r="F194" s="153"/>
      <c r="G194" s="153"/>
      <c r="H194" s="153"/>
      <c r="I194" s="153"/>
      <c r="J194" s="153"/>
      <c r="K194" s="153"/>
      <c r="L194" s="153"/>
      <c r="M194" s="153"/>
      <c r="N194" s="153"/>
    </row>
    <row r="195" spans="4:14" ht="17.25" x14ac:dyDescent="0.25">
      <c r="D195" s="72" t="s">
        <v>1</v>
      </c>
      <c r="E195" s="72" t="s">
        <v>2</v>
      </c>
      <c r="F195" s="72" t="s">
        <v>3</v>
      </c>
      <c r="G195" s="72" t="s">
        <v>4</v>
      </c>
      <c r="H195" s="72" t="s">
        <v>331</v>
      </c>
      <c r="I195" s="73" t="s">
        <v>326</v>
      </c>
      <c r="J195" s="73" t="s">
        <v>327</v>
      </c>
      <c r="K195" s="73" t="s">
        <v>328</v>
      </c>
      <c r="L195" s="73"/>
      <c r="M195" s="73" t="s">
        <v>13</v>
      </c>
      <c r="N195" s="73" t="s">
        <v>333</v>
      </c>
    </row>
    <row r="196" spans="4:14" ht="17.25" x14ac:dyDescent="0.25">
      <c r="D196" s="74"/>
      <c r="E196" s="74"/>
      <c r="F196" s="74"/>
      <c r="G196" s="74"/>
      <c r="H196" s="74"/>
      <c r="I196" s="75"/>
      <c r="J196" s="75"/>
      <c r="K196" s="75"/>
      <c r="L196" s="75"/>
      <c r="M196" s="75"/>
      <c r="N196" s="75"/>
    </row>
    <row r="197" spans="4:14" ht="17.25" x14ac:dyDescent="0.25">
      <c r="D197" s="74">
        <v>1</v>
      </c>
      <c r="E197" s="74">
        <v>1645</v>
      </c>
      <c r="F197" s="76" t="s">
        <v>216</v>
      </c>
      <c r="G197" s="76" t="s">
        <v>217</v>
      </c>
      <c r="H197" s="76" t="s">
        <v>337</v>
      </c>
      <c r="I197" s="75" t="s">
        <v>329</v>
      </c>
      <c r="J197" s="75" t="s">
        <v>338</v>
      </c>
      <c r="K197" s="83">
        <v>44263</v>
      </c>
      <c r="L197" s="83"/>
      <c r="M197" s="83"/>
      <c r="N197" s="75" t="s">
        <v>339</v>
      </c>
    </row>
    <row r="198" spans="4:14" ht="17.25" x14ac:dyDescent="0.25">
      <c r="D198" s="74">
        <v>2</v>
      </c>
      <c r="E198" s="74">
        <v>1648</v>
      </c>
      <c r="F198" s="76" t="s">
        <v>218</v>
      </c>
      <c r="G198" s="76" t="s">
        <v>219</v>
      </c>
      <c r="H198" s="76" t="s">
        <v>340</v>
      </c>
      <c r="I198" s="75" t="s">
        <v>329</v>
      </c>
      <c r="J198" s="75" t="s">
        <v>361</v>
      </c>
      <c r="K198" s="83">
        <v>44263</v>
      </c>
      <c r="L198" s="83"/>
      <c r="M198" s="83"/>
      <c r="N198" s="31"/>
    </row>
    <row r="199" spans="4:14" ht="17.25" x14ac:dyDescent="0.25">
      <c r="D199" s="74">
        <v>3</v>
      </c>
      <c r="E199" s="74">
        <v>1641</v>
      </c>
      <c r="F199" s="76" t="s">
        <v>175</v>
      </c>
      <c r="G199" s="76" t="s">
        <v>300</v>
      </c>
      <c r="H199" s="76" t="s">
        <v>341</v>
      </c>
      <c r="I199" s="75" t="s">
        <v>329</v>
      </c>
      <c r="J199" s="83">
        <v>40913</v>
      </c>
      <c r="K199" s="83">
        <v>44263</v>
      </c>
      <c r="L199" s="83"/>
      <c r="M199" s="83"/>
      <c r="N199" s="75" t="s">
        <v>352</v>
      </c>
    </row>
    <row r="200" spans="4:14" ht="17.25" x14ac:dyDescent="0.25">
      <c r="D200" s="74">
        <v>4</v>
      </c>
      <c r="E200" s="74">
        <v>1609</v>
      </c>
      <c r="F200" s="76" t="s">
        <v>178</v>
      </c>
      <c r="G200" s="76" t="s">
        <v>184</v>
      </c>
      <c r="H200" s="76" t="s">
        <v>342</v>
      </c>
      <c r="I200" s="75" t="s">
        <v>329</v>
      </c>
      <c r="J200" s="83">
        <v>41345</v>
      </c>
      <c r="K200" s="83">
        <v>43167</v>
      </c>
      <c r="L200" s="83"/>
      <c r="M200" s="83"/>
      <c r="N200" s="75" t="s">
        <v>367</v>
      </c>
    </row>
    <row r="201" spans="4:14" ht="17.25" x14ac:dyDescent="0.25">
      <c r="D201" s="74">
        <v>5</v>
      </c>
      <c r="E201" s="74">
        <v>1712</v>
      </c>
      <c r="F201" s="76" t="s">
        <v>220</v>
      </c>
      <c r="G201" s="76" t="s">
        <v>221</v>
      </c>
      <c r="H201" s="76" t="s">
        <v>343</v>
      </c>
      <c r="I201" s="75" t="s">
        <v>329</v>
      </c>
      <c r="J201" s="83">
        <v>40852</v>
      </c>
      <c r="K201" s="83">
        <v>44659</v>
      </c>
      <c r="L201" s="83"/>
      <c r="M201" s="83"/>
      <c r="N201" s="75" t="s">
        <v>368</v>
      </c>
    </row>
    <row r="202" spans="4:14" ht="17.25" x14ac:dyDescent="0.25">
      <c r="D202" s="74">
        <v>6</v>
      </c>
      <c r="E202" s="74">
        <v>1710</v>
      </c>
      <c r="F202" s="76" t="s">
        <v>222</v>
      </c>
      <c r="G202" s="76" t="s">
        <v>177</v>
      </c>
      <c r="H202" s="76" t="s">
        <v>344</v>
      </c>
      <c r="I202" s="75" t="s">
        <v>329</v>
      </c>
      <c r="J202" s="83">
        <v>42282</v>
      </c>
      <c r="K202" s="83">
        <v>44659</v>
      </c>
      <c r="L202" s="83"/>
      <c r="M202" s="83"/>
      <c r="N202" s="75" t="s">
        <v>369</v>
      </c>
    </row>
    <row r="203" spans="4:14" ht="17.25" x14ac:dyDescent="0.25">
      <c r="D203" s="74">
        <v>7</v>
      </c>
      <c r="E203" s="74">
        <v>1790</v>
      </c>
      <c r="F203" s="76" t="s">
        <v>223</v>
      </c>
      <c r="G203" s="76" t="s">
        <v>224</v>
      </c>
      <c r="H203" s="76" t="s">
        <v>345</v>
      </c>
      <c r="I203" s="75" t="s">
        <v>329</v>
      </c>
      <c r="J203" s="83" t="s">
        <v>362</v>
      </c>
      <c r="K203" s="75" t="s">
        <v>372</v>
      </c>
      <c r="L203" s="75"/>
      <c r="M203" s="75"/>
      <c r="N203" s="75" t="s">
        <v>370</v>
      </c>
    </row>
    <row r="204" spans="4:14" ht="17.25" x14ac:dyDescent="0.25">
      <c r="D204" s="74">
        <v>8</v>
      </c>
      <c r="E204" s="74">
        <v>1791</v>
      </c>
      <c r="F204" s="76" t="s">
        <v>225</v>
      </c>
      <c r="G204" s="76" t="s">
        <v>226</v>
      </c>
      <c r="H204" s="76" t="s">
        <v>371</v>
      </c>
      <c r="I204" s="75" t="s">
        <v>329</v>
      </c>
      <c r="J204" s="83">
        <v>40061</v>
      </c>
      <c r="K204" s="83">
        <v>45209</v>
      </c>
      <c r="L204" s="83"/>
      <c r="M204" s="83"/>
      <c r="N204" s="75" t="s">
        <v>353</v>
      </c>
    </row>
    <row r="205" spans="4:14" ht="17.25" x14ac:dyDescent="0.25">
      <c r="D205" s="74">
        <v>9</v>
      </c>
      <c r="E205" s="74">
        <v>1792</v>
      </c>
      <c r="F205" s="76" t="s">
        <v>182</v>
      </c>
      <c r="G205" s="76" t="s">
        <v>227</v>
      </c>
      <c r="H205" s="76" t="s">
        <v>346</v>
      </c>
      <c r="I205" s="75" t="s">
        <v>329</v>
      </c>
      <c r="J205" s="83" t="s">
        <v>363</v>
      </c>
      <c r="K205" s="83" t="s">
        <v>373</v>
      </c>
      <c r="L205" s="83"/>
      <c r="M205" s="75"/>
      <c r="N205" s="75" t="s">
        <v>354</v>
      </c>
    </row>
    <row r="206" spans="4:14" ht="17.25" x14ac:dyDescent="0.25">
      <c r="D206" s="74">
        <v>10</v>
      </c>
      <c r="E206" s="74">
        <v>1793</v>
      </c>
      <c r="F206" s="76" t="s">
        <v>228</v>
      </c>
      <c r="G206" s="76" t="s">
        <v>229</v>
      </c>
      <c r="H206" s="76" t="s">
        <v>347</v>
      </c>
      <c r="I206" s="75" t="s">
        <v>329</v>
      </c>
      <c r="J206" s="83">
        <v>40763</v>
      </c>
      <c r="K206" s="83">
        <v>45352</v>
      </c>
      <c r="L206" s="83"/>
      <c r="M206" s="83"/>
      <c r="N206" s="75" t="s">
        <v>355</v>
      </c>
    </row>
    <row r="207" spans="4:14" ht="17.25" x14ac:dyDescent="0.25">
      <c r="D207" s="74">
        <v>11</v>
      </c>
      <c r="E207" s="74">
        <v>1794</v>
      </c>
      <c r="F207" s="76" t="s">
        <v>230</v>
      </c>
      <c r="G207" s="76" t="s">
        <v>185</v>
      </c>
      <c r="H207" s="76" t="s">
        <v>348</v>
      </c>
      <c r="I207" s="75" t="s">
        <v>329</v>
      </c>
      <c r="J207" s="75" t="s">
        <v>364</v>
      </c>
      <c r="K207" s="83">
        <v>45352</v>
      </c>
      <c r="L207" s="83"/>
      <c r="M207" s="83"/>
      <c r="N207" s="75" t="s">
        <v>356</v>
      </c>
    </row>
    <row r="208" spans="4:14" ht="17.25" x14ac:dyDescent="0.25">
      <c r="D208" s="74">
        <v>12</v>
      </c>
      <c r="E208" s="74">
        <v>1795</v>
      </c>
      <c r="F208" s="76" t="s">
        <v>231</v>
      </c>
      <c r="G208" s="76" t="s">
        <v>232</v>
      </c>
      <c r="H208" s="76" t="s">
        <v>349</v>
      </c>
      <c r="I208" s="75" t="s">
        <v>329</v>
      </c>
      <c r="J208" s="83">
        <v>42131</v>
      </c>
      <c r="K208" s="84">
        <v>45383</v>
      </c>
      <c r="L208" s="84"/>
      <c r="M208" s="84"/>
      <c r="N208" s="75" t="s">
        <v>357</v>
      </c>
    </row>
    <row r="209" spans="4:14" ht="17.25" x14ac:dyDescent="0.25">
      <c r="D209" s="74">
        <v>13</v>
      </c>
      <c r="E209" s="74">
        <v>1796</v>
      </c>
      <c r="F209" s="76" t="s">
        <v>233</v>
      </c>
      <c r="G209" s="76" t="s">
        <v>232</v>
      </c>
      <c r="H209" s="76" t="s">
        <v>350</v>
      </c>
      <c r="I209" s="75" t="s">
        <v>329</v>
      </c>
      <c r="J209" s="83">
        <v>41732</v>
      </c>
      <c r="K209" s="84">
        <v>45383</v>
      </c>
      <c r="L209" s="84"/>
      <c r="M209" s="84"/>
      <c r="N209" s="77" t="s">
        <v>358</v>
      </c>
    </row>
    <row r="210" spans="4:14" ht="17.25" x14ac:dyDescent="0.25">
      <c r="D210" s="74">
        <v>14</v>
      </c>
      <c r="E210" s="74">
        <v>1654</v>
      </c>
      <c r="F210" s="76" t="s">
        <v>234</v>
      </c>
      <c r="G210" s="76" t="s">
        <v>235</v>
      </c>
      <c r="H210" s="76" t="s">
        <v>351</v>
      </c>
      <c r="I210" s="75" t="s">
        <v>330</v>
      </c>
      <c r="J210" s="75" t="s">
        <v>365</v>
      </c>
      <c r="K210" s="83">
        <v>44263</v>
      </c>
      <c r="L210" s="83"/>
      <c r="M210" s="83"/>
      <c r="N210" s="77" t="s">
        <v>359</v>
      </c>
    </row>
    <row r="211" spans="4:14" ht="17.25" x14ac:dyDescent="0.25">
      <c r="D211" s="74">
        <v>15</v>
      </c>
      <c r="E211" s="74">
        <v>1603</v>
      </c>
      <c r="F211" s="76" t="s">
        <v>236</v>
      </c>
      <c r="G211" s="76" t="s">
        <v>172</v>
      </c>
      <c r="H211" s="76" t="s">
        <v>375</v>
      </c>
      <c r="I211" s="75" t="s">
        <v>330</v>
      </c>
      <c r="J211" s="75" t="s">
        <v>366</v>
      </c>
      <c r="K211" s="84" t="s">
        <v>374</v>
      </c>
      <c r="L211" s="84"/>
      <c r="M211" s="77"/>
      <c r="N211" s="75" t="s">
        <v>360</v>
      </c>
    </row>
    <row r="212" spans="4:14" ht="17.25" x14ac:dyDescent="0.25">
      <c r="D212" s="74">
        <v>16</v>
      </c>
      <c r="E212" s="76">
        <v>1655</v>
      </c>
      <c r="F212" s="76" t="s">
        <v>532</v>
      </c>
      <c r="G212" s="76" t="s">
        <v>168</v>
      </c>
      <c r="H212" s="76"/>
      <c r="I212" s="75" t="s">
        <v>330</v>
      </c>
      <c r="J212" s="95">
        <v>41558</v>
      </c>
      <c r="K212" s="83">
        <v>44263</v>
      </c>
      <c r="L212" s="83"/>
      <c r="M212" s="83"/>
      <c r="N212" s="75"/>
    </row>
    <row r="213" spans="4:14" ht="17.25" x14ac:dyDescent="0.25">
      <c r="D213" s="74">
        <v>17</v>
      </c>
      <c r="E213" s="76">
        <v>1656</v>
      </c>
      <c r="F213" s="76" t="s">
        <v>237</v>
      </c>
      <c r="G213" s="76" t="s">
        <v>238</v>
      </c>
      <c r="H213" s="76" t="s">
        <v>376</v>
      </c>
      <c r="I213" s="75" t="s">
        <v>330</v>
      </c>
      <c r="J213" s="75" t="s">
        <v>382</v>
      </c>
      <c r="K213" s="83">
        <v>44263</v>
      </c>
      <c r="L213" s="83"/>
      <c r="M213" s="83"/>
      <c r="N213" s="75" t="s">
        <v>538</v>
      </c>
    </row>
    <row r="214" spans="4:14" ht="17.25" x14ac:dyDescent="0.25">
      <c r="D214" s="74">
        <v>18</v>
      </c>
      <c r="E214" s="76">
        <v>1657</v>
      </c>
      <c r="F214" s="76" t="s">
        <v>239</v>
      </c>
      <c r="G214" s="76" t="s">
        <v>169</v>
      </c>
      <c r="H214" s="76" t="s">
        <v>377</v>
      </c>
      <c r="I214" s="75" t="s">
        <v>330</v>
      </c>
      <c r="J214" s="83" t="s">
        <v>383</v>
      </c>
      <c r="K214" s="83">
        <v>44263</v>
      </c>
      <c r="L214" s="83"/>
      <c r="M214" s="83"/>
      <c r="N214" s="75" t="s">
        <v>388</v>
      </c>
    </row>
    <row r="215" spans="4:14" ht="17.25" x14ac:dyDescent="0.25">
      <c r="D215" s="74">
        <v>19</v>
      </c>
      <c r="E215" s="76">
        <v>1722</v>
      </c>
      <c r="F215" s="76" t="s">
        <v>533</v>
      </c>
      <c r="G215" s="76" t="s">
        <v>241</v>
      </c>
      <c r="H215" s="76" t="s">
        <v>378</v>
      </c>
      <c r="I215" s="75" t="s">
        <v>330</v>
      </c>
      <c r="J215" s="83">
        <v>40909</v>
      </c>
      <c r="K215" s="83">
        <v>44263</v>
      </c>
      <c r="L215" s="83"/>
      <c r="M215" s="75"/>
      <c r="N215" s="75" t="s">
        <v>389</v>
      </c>
    </row>
    <row r="216" spans="4:14" ht="17.25" x14ac:dyDescent="0.25">
      <c r="D216" s="74">
        <v>20</v>
      </c>
      <c r="E216" s="76">
        <v>1788</v>
      </c>
      <c r="F216" s="76" t="s">
        <v>534</v>
      </c>
      <c r="G216" s="76" t="s">
        <v>181</v>
      </c>
      <c r="H216" s="76" t="s">
        <v>379</v>
      </c>
      <c r="I216" s="75" t="s">
        <v>330</v>
      </c>
      <c r="J216" s="83" t="s">
        <v>384</v>
      </c>
      <c r="K216" s="83" t="s">
        <v>385</v>
      </c>
      <c r="L216" s="83"/>
      <c r="M216" s="83"/>
      <c r="N216" s="75"/>
    </row>
    <row r="217" spans="4:14" ht="17.25" x14ac:dyDescent="0.25">
      <c r="D217" s="74">
        <v>21</v>
      </c>
      <c r="E217" s="76">
        <v>1789</v>
      </c>
      <c r="F217" s="76" t="s">
        <v>244</v>
      </c>
      <c r="G217" s="76" t="s">
        <v>535</v>
      </c>
      <c r="H217" s="76" t="s">
        <v>380</v>
      </c>
      <c r="I217" s="75" t="s">
        <v>330</v>
      </c>
      <c r="J217" s="75" t="s">
        <v>536</v>
      </c>
      <c r="K217" s="75" t="s">
        <v>386</v>
      </c>
      <c r="L217" s="75"/>
      <c r="M217" s="75"/>
      <c r="N217" s="75" t="s">
        <v>390</v>
      </c>
    </row>
    <row r="218" spans="4:14" ht="17.25" x14ac:dyDescent="0.25">
      <c r="D218" s="74">
        <v>22</v>
      </c>
      <c r="E218" s="76">
        <v>1858</v>
      </c>
      <c r="F218" s="76" t="s">
        <v>246</v>
      </c>
      <c r="G218" s="76" t="s">
        <v>247</v>
      </c>
      <c r="H218" s="76" t="s">
        <v>381</v>
      </c>
      <c r="I218" s="77" t="s">
        <v>329</v>
      </c>
      <c r="J218" s="75" t="s">
        <v>537</v>
      </c>
      <c r="K218" s="84">
        <v>44928</v>
      </c>
      <c r="L218" s="84"/>
      <c r="M218" s="84"/>
      <c r="N218" s="77" t="s">
        <v>391</v>
      </c>
    </row>
    <row r="219" spans="4:14" ht="17.25" x14ac:dyDescent="0.25">
      <c r="D219" s="157" t="s">
        <v>332</v>
      </c>
      <c r="E219" s="155"/>
      <c r="F219" s="155"/>
      <c r="G219" s="155"/>
      <c r="H219" s="155"/>
      <c r="I219" s="155"/>
      <c r="J219" s="155"/>
      <c r="K219" s="155"/>
      <c r="L219" s="155"/>
      <c r="M219" s="155"/>
      <c r="N219" s="155"/>
    </row>
    <row r="220" spans="4:14" ht="17.25" x14ac:dyDescent="0.25">
      <c r="D220" s="155" t="s">
        <v>323</v>
      </c>
      <c r="E220" s="156"/>
      <c r="F220" s="156"/>
      <c r="G220" s="156"/>
      <c r="H220" s="156"/>
      <c r="I220" s="156"/>
      <c r="J220" s="156"/>
      <c r="K220" s="156"/>
      <c r="L220" s="156"/>
      <c r="M220" s="156"/>
      <c r="N220" s="156"/>
    </row>
    <row r="221" spans="4:14" ht="17.25" x14ac:dyDescent="0.25">
      <c r="D221" s="72" t="s">
        <v>1</v>
      </c>
      <c r="E221" s="72" t="s">
        <v>2</v>
      </c>
      <c r="F221" s="72" t="s">
        <v>3</v>
      </c>
      <c r="G221" s="72" t="s">
        <v>4</v>
      </c>
      <c r="H221" s="72" t="s">
        <v>331</v>
      </c>
      <c r="I221" s="73" t="s">
        <v>326</v>
      </c>
      <c r="J221" s="73" t="s">
        <v>327</v>
      </c>
      <c r="K221" s="73" t="s">
        <v>328</v>
      </c>
      <c r="L221" s="73"/>
      <c r="M221" s="73" t="s">
        <v>13</v>
      </c>
      <c r="N221" s="86" t="s">
        <v>396</v>
      </c>
    </row>
    <row r="222" spans="4:14" ht="17.25" x14ac:dyDescent="0.25">
      <c r="D222" s="74"/>
      <c r="E222" s="74"/>
      <c r="F222" s="74"/>
      <c r="G222" s="74"/>
      <c r="H222" s="74"/>
      <c r="I222" s="75"/>
      <c r="J222" s="75"/>
      <c r="K222" s="75" t="s">
        <v>531</v>
      </c>
      <c r="L222" s="75"/>
      <c r="M222" s="75"/>
      <c r="N222" s="75"/>
    </row>
    <row r="223" spans="4:14" ht="17.25" x14ac:dyDescent="0.25">
      <c r="D223" s="74">
        <v>1</v>
      </c>
      <c r="E223" s="74">
        <v>1516</v>
      </c>
      <c r="F223" s="76" t="s">
        <v>249</v>
      </c>
      <c r="G223" s="76" t="s">
        <v>172</v>
      </c>
      <c r="H223" s="76"/>
      <c r="I223" s="75" t="s">
        <v>329</v>
      </c>
      <c r="J223" s="75"/>
      <c r="K223" s="75"/>
      <c r="L223" s="75"/>
      <c r="M223" s="75"/>
      <c r="N223" s="75" t="s">
        <v>395</v>
      </c>
    </row>
    <row r="224" spans="4:14" ht="17.25" x14ac:dyDescent="0.25">
      <c r="D224" s="74">
        <v>2</v>
      </c>
      <c r="E224" s="74">
        <v>1025</v>
      </c>
      <c r="F224" s="76" t="s">
        <v>250</v>
      </c>
      <c r="G224" s="76" t="s">
        <v>165</v>
      </c>
      <c r="H224" s="76"/>
      <c r="I224" s="75" t="s">
        <v>329</v>
      </c>
      <c r="J224" s="75"/>
      <c r="K224" s="75"/>
      <c r="L224" s="75"/>
      <c r="M224" s="75"/>
      <c r="N224" s="75"/>
    </row>
    <row r="225" spans="4:14" ht="17.25" x14ac:dyDescent="0.25">
      <c r="D225" s="74">
        <v>3</v>
      </c>
      <c r="E225" s="74">
        <v>1626</v>
      </c>
      <c r="F225" s="76" t="s">
        <v>251</v>
      </c>
      <c r="G225" s="76" t="s">
        <v>252</v>
      </c>
      <c r="H225" s="76"/>
      <c r="I225" s="75" t="s">
        <v>329</v>
      </c>
      <c r="J225" s="75"/>
      <c r="K225" s="75"/>
      <c r="L225" s="75"/>
      <c r="M225" s="75"/>
      <c r="N225" s="75"/>
    </row>
    <row r="226" spans="4:14" ht="17.25" x14ac:dyDescent="0.25">
      <c r="D226" s="74">
        <v>4</v>
      </c>
      <c r="E226" s="74">
        <v>1676</v>
      </c>
      <c r="F226" s="76" t="s">
        <v>183</v>
      </c>
      <c r="G226" s="76" t="s">
        <v>253</v>
      </c>
      <c r="H226" s="76"/>
      <c r="I226" s="75" t="s">
        <v>329</v>
      </c>
      <c r="J226" s="75"/>
      <c r="K226" s="75"/>
      <c r="L226" s="75"/>
      <c r="M226" s="75"/>
      <c r="N226" s="75"/>
    </row>
    <row r="227" spans="4:14" ht="17.25" x14ac:dyDescent="0.25">
      <c r="D227" s="74">
        <v>5</v>
      </c>
      <c r="E227" s="74">
        <v>1781</v>
      </c>
      <c r="F227" s="76" t="s">
        <v>254</v>
      </c>
      <c r="G227" s="76" t="s">
        <v>255</v>
      </c>
      <c r="H227" s="76"/>
      <c r="I227" s="75" t="s">
        <v>329</v>
      </c>
      <c r="J227" s="75"/>
      <c r="K227" s="75"/>
      <c r="L227" s="75"/>
      <c r="M227" s="75"/>
      <c r="N227" s="75"/>
    </row>
    <row r="228" spans="4:14" ht="17.25" x14ac:dyDescent="0.25">
      <c r="D228" s="74">
        <v>6</v>
      </c>
      <c r="E228" s="74">
        <v>1782</v>
      </c>
      <c r="F228" s="76" t="s">
        <v>173</v>
      </c>
      <c r="G228" s="76" t="s">
        <v>174</v>
      </c>
      <c r="H228" s="76"/>
      <c r="I228" s="75" t="s">
        <v>329</v>
      </c>
      <c r="J228" s="75"/>
      <c r="K228" s="75"/>
      <c r="L228" s="75"/>
      <c r="M228" s="75"/>
      <c r="N228" s="75"/>
    </row>
    <row r="229" spans="4:14" ht="17.25" x14ac:dyDescent="0.25">
      <c r="D229" s="74">
        <v>7</v>
      </c>
      <c r="E229" s="74">
        <v>1629</v>
      </c>
      <c r="F229" s="76" t="s">
        <v>166</v>
      </c>
      <c r="G229" s="76" t="s">
        <v>256</v>
      </c>
      <c r="H229" s="76"/>
      <c r="I229" s="75" t="s">
        <v>330</v>
      </c>
      <c r="J229" s="75"/>
      <c r="K229" s="75"/>
      <c r="L229" s="75"/>
      <c r="M229" s="75"/>
      <c r="N229" s="75"/>
    </row>
    <row r="230" spans="4:14" ht="17.25" x14ac:dyDescent="0.25">
      <c r="D230" s="74">
        <v>8</v>
      </c>
      <c r="E230" s="74">
        <v>1630</v>
      </c>
      <c r="F230" s="76" t="s">
        <v>257</v>
      </c>
      <c r="G230" s="76" t="s">
        <v>217</v>
      </c>
      <c r="H230" s="76"/>
      <c r="I230" s="75" t="s">
        <v>330</v>
      </c>
      <c r="J230" s="75"/>
      <c r="K230" s="75"/>
      <c r="L230" s="75"/>
      <c r="M230" s="75"/>
      <c r="N230" s="75"/>
    </row>
    <row r="231" spans="4:14" ht="17.25" x14ac:dyDescent="0.25">
      <c r="D231" s="74">
        <v>9</v>
      </c>
      <c r="E231" s="74">
        <v>1631</v>
      </c>
      <c r="F231" s="76" t="s">
        <v>258</v>
      </c>
      <c r="G231" s="76" t="s">
        <v>186</v>
      </c>
      <c r="H231" s="76"/>
      <c r="I231" s="75" t="s">
        <v>330</v>
      </c>
      <c r="J231" s="75"/>
      <c r="K231" s="75"/>
      <c r="L231" s="75"/>
      <c r="M231" s="75"/>
      <c r="N231" s="75"/>
    </row>
    <row r="232" spans="4:14" ht="17.25" x14ac:dyDescent="0.25">
      <c r="D232" s="74">
        <v>10</v>
      </c>
      <c r="E232" s="74">
        <v>1632</v>
      </c>
      <c r="F232" s="76" t="s">
        <v>259</v>
      </c>
      <c r="G232" s="76" t="s">
        <v>260</v>
      </c>
      <c r="H232" s="76"/>
      <c r="I232" s="75" t="s">
        <v>330</v>
      </c>
      <c r="J232" s="75"/>
      <c r="K232" s="75"/>
      <c r="L232" s="75"/>
      <c r="M232" s="75"/>
      <c r="N232" s="75"/>
    </row>
    <row r="233" spans="4:14" ht="17.25" x14ac:dyDescent="0.25">
      <c r="D233" s="74">
        <v>11</v>
      </c>
      <c r="E233" s="74">
        <v>1637</v>
      </c>
      <c r="F233" s="76" t="s">
        <v>167</v>
      </c>
      <c r="G233" s="76" t="s">
        <v>261</v>
      </c>
      <c r="H233" s="76"/>
      <c r="I233" s="75" t="s">
        <v>330</v>
      </c>
      <c r="J233" s="75"/>
      <c r="K233" s="75"/>
      <c r="L233" s="75"/>
      <c r="M233" s="75"/>
      <c r="N233" s="75"/>
    </row>
    <row r="234" spans="4:14" ht="17.25" x14ac:dyDescent="0.25">
      <c r="D234" s="74">
        <v>12</v>
      </c>
      <c r="E234" s="74">
        <v>1743</v>
      </c>
      <c r="F234" s="76" t="s">
        <v>187</v>
      </c>
      <c r="G234" s="76" t="s">
        <v>261</v>
      </c>
      <c r="H234" s="76"/>
      <c r="I234" s="75" t="s">
        <v>330</v>
      </c>
      <c r="J234" s="75"/>
      <c r="K234" s="75"/>
      <c r="L234" s="75"/>
      <c r="M234" s="75"/>
      <c r="N234" s="75"/>
    </row>
    <row r="235" spans="4:14" ht="17.25" x14ac:dyDescent="0.25">
      <c r="D235" s="157" t="s">
        <v>332</v>
      </c>
      <c r="E235" s="156"/>
      <c r="F235" s="156"/>
      <c r="G235" s="156"/>
      <c r="H235" s="156"/>
      <c r="I235" s="156"/>
      <c r="J235" s="156"/>
      <c r="K235" s="156"/>
      <c r="L235" s="156"/>
      <c r="M235" s="156"/>
      <c r="N235" s="156"/>
    </row>
    <row r="236" spans="4:14" ht="17.25" x14ac:dyDescent="0.25">
      <c r="D236" s="157" t="s">
        <v>324</v>
      </c>
      <c r="E236" s="156"/>
      <c r="F236" s="156"/>
      <c r="G236" s="156"/>
      <c r="H236" s="156"/>
      <c r="I236" s="156"/>
      <c r="J236" s="156"/>
      <c r="K236" s="156"/>
      <c r="L236" s="156"/>
      <c r="M236" s="156"/>
      <c r="N236" s="156"/>
    </row>
    <row r="237" spans="4:14" ht="17.25" x14ac:dyDescent="0.25">
      <c r="D237" s="72" t="s">
        <v>1</v>
      </c>
      <c r="E237" s="72" t="s">
        <v>2</v>
      </c>
      <c r="F237" s="72" t="s">
        <v>3</v>
      </c>
      <c r="G237" s="72" t="s">
        <v>4</v>
      </c>
      <c r="H237" s="72" t="s">
        <v>331</v>
      </c>
      <c r="I237" s="73" t="s">
        <v>326</v>
      </c>
      <c r="J237" s="82" t="s">
        <v>327</v>
      </c>
      <c r="K237" s="73" t="s">
        <v>328</v>
      </c>
      <c r="L237" s="73"/>
      <c r="M237" s="73" t="s">
        <v>13</v>
      </c>
      <c r="N237" s="73" t="s">
        <v>333</v>
      </c>
    </row>
    <row r="238" spans="4:14" ht="17.25" x14ac:dyDescent="0.25">
      <c r="D238" s="74"/>
      <c r="E238" s="74"/>
      <c r="F238" s="74"/>
      <c r="G238" s="78"/>
      <c r="H238" s="78"/>
      <c r="I238" s="75"/>
      <c r="J238" s="75"/>
      <c r="K238" s="75"/>
      <c r="L238" s="75"/>
      <c r="M238" s="75"/>
      <c r="N238" s="31"/>
    </row>
    <row r="239" spans="4:14" ht="17.25" x14ac:dyDescent="0.25">
      <c r="D239" s="74">
        <v>1</v>
      </c>
      <c r="E239" s="74">
        <v>1787</v>
      </c>
      <c r="F239" s="76" t="s">
        <v>268</v>
      </c>
      <c r="G239" s="79" t="s">
        <v>269</v>
      </c>
      <c r="H239" s="79" t="s">
        <v>563</v>
      </c>
      <c r="I239" s="75" t="s">
        <v>329</v>
      </c>
      <c r="J239" s="83">
        <v>40555</v>
      </c>
      <c r="K239" s="83" t="s">
        <v>558</v>
      </c>
      <c r="L239" s="83"/>
      <c r="M239" s="83"/>
      <c r="N239" s="97" t="s">
        <v>560</v>
      </c>
    </row>
    <row r="240" spans="4:14" ht="17.25" x14ac:dyDescent="0.25">
      <c r="D240" s="74">
        <v>2</v>
      </c>
      <c r="E240" s="74">
        <v>1513</v>
      </c>
      <c r="F240" s="76" t="s">
        <v>539</v>
      </c>
      <c r="G240" s="79" t="s">
        <v>567</v>
      </c>
      <c r="H240" s="79"/>
      <c r="I240" s="75" t="s">
        <v>330</v>
      </c>
      <c r="J240" s="83">
        <v>39571</v>
      </c>
      <c r="K240" s="83">
        <v>43381</v>
      </c>
      <c r="L240" s="83"/>
      <c r="M240" s="83"/>
      <c r="N240" s="97"/>
    </row>
    <row r="241" spans="4:14" ht="17.25" x14ac:dyDescent="0.25">
      <c r="D241" s="74">
        <v>3</v>
      </c>
      <c r="E241" s="74">
        <v>1568</v>
      </c>
      <c r="F241" s="76" t="s">
        <v>540</v>
      </c>
      <c r="G241" s="79" t="s">
        <v>567</v>
      </c>
      <c r="H241" s="79"/>
      <c r="I241" s="75" t="s">
        <v>330</v>
      </c>
      <c r="J241" s="83">
        <v>39973</v>
      </c>
      <c r="K241" s="83">
        <v>43198</v>
      </c>
      <c r="L241" s="83"/>
      <c r="M241" s="83"/>
      <c r="N241" s="97"/>
    </row>
    <row r="242" spans="4:14" ht="17.25" x14ac:dyDescent="0.25">
      <c r="D242" s="74">
        <v>4</v>
      </c>
      <c r="E242" s="74">
        <v>1567</v>
      </c>
      <c r="F242" s="76" t="s">
        <v>541</v>
      </c>
      <c r="G242" s="79" t="s">
        <v>568</v>
      </c>
      <c r="H242" s="79"/>
      <c r="I242" s="75" t="s">
        <v>330</v>
      </c>
      <c r="J242" s="83">
        <v>40338</v>
      </c>
      <c r="K242" s="83">
        <v>43198</v>
      </c>
      <c r="L242" s="83"/>
      <c r="M242" s="75"/>
      <c r="N242" s="97"/>
    </row>
    <row r="243" spans="4:14" ht="17.25" x14ac:dyDescent="0.25">
      <c r="D243" s="74">
        <v>5</v>
      </c>
      <c r="E243" s="74">
        <v>1602</v>
      </c>
      <c r="F243" s="76" t="s">
        <v>542</v>
      </c>
      <c r="G243" s="79" t="s">
        <v>569</v>
      </c>
      <c r="H243" s="79"/>
      <c r="I243" s="75" t="s">
        <v>330</v>
      </c>
      <c r="J243" s="84">
        <v>40398</v>
      </c>
      <c r="K243" s="77" t="s">
        <v>559</v>
      </c>
      <c r="L243" s="77"/>
      <c r="M243" s="77"/>
      <c r="N243" s="97"/>
    </row>
    <row r="244" spans="4:14" ht="17.25" x14ac:dyDescent="0.3">
      <c r="D244" s="74">
        <v>6</v>
      </c>
      <c r="E244" s="74">
        <v>1783</v>
      </c>
      <c r="F244" s="80" t="s">
        <v>543</v>
      </c>
      <c r="G244" s="81" t="s">
        <v>283</v>
      </c>
      <c r="H244" s="81" t="s">
        <v>564</v>
      </c>
      <c r="I244" s="75" t="s">
        <v>330</v>
      </c>
      <c r="J244" s="75" t="s">
        <v>552</v>
      </c>
      <c r="K244" s="75" t="s">
        <v>385</v>
      </c>
      <c r="L244" s="75"/>
      <c r="M244" s="75"/>
      <c r="N244" s="97" t="s">
        <v>387</v>
      </c>
    </row>
    <row r="245" spans="4:14" ht="17.25" x14ac:dyDescent="0.25">
      <c r="D245" s="74">
        <v>7</v>
      </c>
      <c r="E245" s="74">
        <v>1784</v>
      </c>
      <c r="F245" s="76" t="s">
        <v>544</v>
      </c>
      <c r="G245" s="79" t="s">
        <v>285</v>
      </c>
      <c r="H245" s="79" t="s">
        <v>443</v>
      </c>
      <c r="I245" s="75" t="s">
        <v>330</v>
      </c>
      <c r="J245" s="75" t="s">
        <v>553</v>
      </c>
      <c r="K245" s="75" t="s">
        <v>394</v>
      </c>
      <c r="L245" s="75"/>
      <c r="M245" s="75"/>
      <c r="N245" s="97" t="s">
        <v>334</v>
      </c>
    </row>
    <row r="246" spans="4:14" ht="17.25" x14ac:dyDescent="0.25">
      <c r="D246" s="74">
        <v>8</v>
      </c>
      <c r="E246" s="74">
        <v>1785</v>
      </c>
      <c r="F246" s="76" t="s">
        <v>545</v>
      </c>
      <c r="G246" s="79" t="s">
        <v>285</v>
      </c>
      <c r="H246" s="79" t="s">
        <v>443</v>
      </c>
      <c r="I246" s="75" t="s">
        <v>330</v>
      </c>
      <c r="J246" s="83">
        <v>41037</v>
      </c>
      <c r="K246" s="75" t="s">
        <v>394</v>
      </c>
      <c r="L246" s="75"/>
      <c r="M246" s="75"/>
      <c r="N246" s="97" t="s">
        <v>334</v>
      </c>
    </row>
    <row r="247" spans="4:14" ht="17.25" x14ac:dyDescent="0.25">
      <c r="D247" s="74">
        <v>9</v>
      </c>
      <c r="E247" s="74">
        <v>1786</v>
      </c>
      <c r="F247" s="76" t="s">
        <v>287</v>
      </c>
      <c r="G247" s="79" t="s">
        <v>570</v>
      </c>
      <c r="H247" s="79" t="s">
        <v>335</v>
      </c>
      <c r="I247" s="75" t="s">
        <v>330</v>
      </c>
      <c r="J247" s="83">
        <v>41275</v>
      </c>
      <c r="K247" s="83">
        <v>45200</v>
      </c>
      <c r="L247" s="83"/>
      <c r="M247" s="75" t="s">
        <v>395</v>
      </c>
      <c r="N247" s="97" t="s">
        <v>518</v>
      </c>
    </row>
    <row r="248" spans="4:14" ht="17.25" x14ac:dyDescent="0.25">
      <c r="D248" s="74">
        <v>10</v>
      </c>
      <c r="E248" s="74">
        <v>1560</v>
      </c>
      <c r="F248" s="76" t="s">
        <v>546</v>
      </c>
      <c r="G248" s="79" t="s">
        <v>571</v>
      </c>
      <c r="H248" s="79"/>
      <c r="I248" s="75" t="s">
        <v>330</v>
      </c>
      <c r="J248" s="83">
        <v>39939</v>
      </c>
      <c r="K248" s="83">
        <v>43108</v>
      </c>
      <c r="L248" s="83"/>
      <c r="M248" s="75"/>
      <c r="N248" s="97"/>
    </row>
    <row r="249" spans="4:14" ht="17.25" x14ac:dyDescent="0.25">
      <c r="D249" s="74">
        <v>11</v>
      </c>
      <c r="E249" s="74">
        <v>1667</v>
      </c>
      <c r="F249" s="76" t="s">
        <v>258</v>
      </c>
      <c r="G249" s="79" t="s">
        <v>572</v>
      </c>
      <c r="H249" s="79"/>
      <c r="I249" s="75" t="s">
        <v>330</v>
      </c>
      <c r="J249" s="75" t="s">
        <v>554</v>
      </c>
      <c r="K249" s="83">
        <v>44263</v>
      </c>
      <c r="L249" s="83"/>
      <c r="M249" s="75"/>
      <c r="N249" s="97"/>
    </row>
    <row r="250" spans="4:14" ht="17.25" x14ac:dyDescent="0.25">
      <c r="D250" s="74">
        <v>12</v>
      </c>
      <c r="E250" s="74">
        <v>1668</v>
      </c>
      <c r="F250" s="76" t="s">
        <v>547</v>
      </c>
      <c r="G250" s="79" t="s">
        <v>573</v>
      </c>
      <c r="H250" s="79"/>
      <c r="I250" s="75" t="s">
        <v>330</v>
      </c>
      <c r="J250" s="83">
        <v>41556</v>
      </c>
      <c r="K250" s="83">
        <v>44263</v>
      </c>
      <c r="L250" s="83"/>
      <c r="M250" s="75"/>
      <c r="N250" s="97"/>
    </row>
    <row r="251" spans="4:14" ht="17.25" x14ac:dyDescent="0.25">
      <c r="D251" s="74">
        <v>13</v>
      </c>
      <c r="E251" s="74">
        <v>1864</v>
      </c>
      <c r="F251" s="76" t="s">
        <v>548</v>
      </c>
      <c r="G251" s="79" t="s">
        <v>574</v>
      </c>
      <c r="H251" s="79" t="s">
        <v>336</v>
      </c>
      <c r="I251" s="75" t="s">
        <v>330</v>
      </c>
      <c r="J251" s="83" t="s">
        <v>555</v>
      </c>
      <c r="K251" s="75" t="s">
        <v>372</v>
      </c>
      <c r="L251" s="75"/>
      <c r="M251" s="75"/>
      <c r="N251" s="97" t="s">
        <v>561</v>
      </c>
    </row>
    <row r="252" spans="4:14" ht="17.25" x14ac:dyDescent="0.25">
      <c r="D252" s="74">
        <v>14</v>
      </c>
      <c r="E252" s="74">
        <v>1863</v>
      </c>
      <c r="F252" s="76" t="s">
        <v>551</v>
      </c>
      <c r="G252" s="79" t="s">
        <v>574</v>
      </c>
      <c r="H252" s="79" t="s">
        <v>336</v>
      </c>
      <c r="I252" s="75" t="s">
        <v>330</v>
      </c>
      <c r="J252" s="83" t="s">
        <v>556</v>
      </c>
      <c r="K252" s="75" t="s">
        <v>372</v>
      </c>
      <c r="L252" s="75"/>
      <c r="M252" s="83"/>
      <c r="N252" s="97" t="s">
        <v>561</v>
      </c>
    </row>
    <row r="253" spans="4:14" ht="17.25" x14ac:dyDescent="0.25">
      <c r="D253" s="74">
        <v>15</v>
      </c>
      <c r="E253" s="74">
        <v>1865</v>
      </c>
      <c r="F253" s="76" t="s">
        <v>549</v>
      </c>
      <c r="G253" s="79" t="s">
        <v>575</v>
      </c>
      <c r="H253" s="79" t="s">
        <v>565</v>
      </c>
      <c r="I253" s="75" t="s">
        <v>329</v>
      </c>
      <c r="J253" s="75" t="s">
        <v>557</v>
      </c>
      <c r="K253" s="75" t="s">
        <v>392</v>
      </c>
      <c r="L253" s="75"/>
      <c r="M253" s="75" t="s">
        <v>395</v>
      </c>
      <c r="N253" s="92"/>
    </row>
    <row r="254" spans="4:14" ht="17.25" x14ac:dyDescent="0.25">
      <c r="D254" s="92">
        <v>16</v>
      </c>
      <c r="E254" s="74">
        <v>1867</v>
      </c>
      <c r="F254" s="92" t="s">
        <v>550</v>
      </c>
      <c r="G254" s="92" t="s">
        <v>576</v>
      </c>
      <c r="H254" s="92" t="s">
        <v>566</v>
      </c>
      <c r="I254" s="75" t="s">
        <v>329</v>
      </c>
      <c r="J254" s="96">
        <v>40824</v>
      </c>
      <c r="K254" s="97" t="s">
        <v>393</v>
      </c>
      <c r="L254" s="97"/>
      <c r="M254" s="31"/>
      <c r="N254" s="97" t="s">
        <v>562</v>
      </c>
    </row>
    <row r="255" spans="4:14" ht="17.25" x14ac:dyDescent="0.25">
      <c r="D255" s="92">
        <v>17</v>
      </c>
      <c r="E255" s="74">
        <v>1685</v>
      </c>
      <c r="F255" s="76" t="s">
        <v>577</v>
      </c>
      <c r="G255" s="79" t="s">
        <v>582</v>
      </c>
      <c r="H255" s="79" t="s">
        <v>587</v>
      </c>
      <c r="I255" s="75" t="s">
        <v>329</v>
      </c>
      <c r="J255" s="83">
        <v>38393</v>
      </c>
      <c r="K255" s="83">
        <v>44628</v>
      </c>
      <c r="L255" s="83"/>
      <c r="M255" s="75"/>
      <c r="N255" s="92"/>
    </row>
    <row r="256" spans="4:14" ht="17.25" x14ac:dyDescent="0.25">
      <c r="D256" s="92">
        <v>18</v>
      </c>
      <c r="E256" s="74">
        <v>1686</v>
      </c>
      <c r="F256" s="76" t="s">
        <v>578</v>
      </c>
      <c r="G256" s="79" t="s">
        <v>267</v>
      </c>
      <c r="H256" s="79" t="s">
        <v>588</v>
      </c>
      <c r="I256" s="75" t="s">
        <v>329</v>
      </c>
      <c r="J256" s="75" t="s">
        <v>592</v>
      </c>
      <c r="K256" s="83">
        <v>44628</v>
      </c>
      <c r="L256" s="83"/>
      <c r="M256" s="75"/>
      <c r="N256" s="92"/>
    </row>
    <row r="257" spans="4:14" ht="17.25" x14ac:dyDescent="0.25">
      <c r="D257" s="92">
        <v>19</v>
      </c>
      <c r="E257" s="74">
        <v>1687</v>
      </c>
      <c r="F257" s="76" t="s">
        <v>175</v>
      </c>
      <c r="G257" s="79" t="s">
        <v>583</v>
      </c>
      <c r="H257" s="79"/>
      <c r="I257" s="75" t="s">
        <v>329</v>
      </c>
      <c r="J257" s="75" t="s">
        <v>593</v>
      </c>
      <c r="K257" s="83">
        <v>44628</v>
      </c>
      <c r="L257" s="83"/>
      <c r="M257" s="75"/>
      <c r="N257" s="92"/>
    </row>
    <row r="258" spans="4:14" ht="17.25" x14ac:dyDescent="0.25">
      <c r="D258" s="92">
        <v>20</v>
      </c>
      <c r="E258" s="74">
        <v>1537</v>
      </c>
      <c r="F258" s="76" t="s">
        <v>262</v>
      </c>
      <c r="G258" s="79" t="s">
        <v>263</v>
      </c>
      <c r="H258" s="79" t="s">
        <v>375</v>
      </c>
      <c r="I258" s="75" t="s">
        <v>329</v>
      </c>
      <c r="J258" s="75" t="s">
        <v>594</v>
      </c>
      <c r="K258" s="83">
        <v>43381</v>
      </c>
      <c r="L258" s="83"/>
      <c r="M258" s="75"/>
      <c r="N258" s="92"/>
    </row>
    <row r="259" spans="4:14" ht="17.25" x14ac:dyDescent="0.25">
      <c r="D259" s="92">
        <v>21</v>
      </c>
      <c r="E259" s="74">
        <v>1689</v>
      </c>
      <c r="F259" s="76" t="s">
        <v>578</v>
      </c>
      <c r="G259" s="79" t="s">
        <v>584</v>
      </c>
      <c r="H259" s="79" t="s">
        <v>589</v>
      </c>
      <c r="I259" s="75" t="s">
        <v>329</v>
      </c>
      <c r="J259" s="83">
        <v>41036</v>
      </c>
      <c r="K259" s="83">
        <v>44628</v>
      </c>
      <c r="L259" s="83"/>
      <c r="M259" s="75"/>
      <c r="N259" s="92"/>
    </row>
    <row r="260" spans="4:14" ht="17.25" x14ac:dyDescent="0.25">
      <c r="D260" s="92">
        <v>22</v>
      </c>
      <c r="E260" s="74">
        <v>1528</v>
      </c>
      <c r="F260" s="76" t="s">
        <v>579</v>
      </c>
      <c r="G260" s="79" t="s">
        <v>585</v>
      </c>
      <c r="H260" s="92" t="s">
        <v>455</v>
      </c>
      <c r="I260" s="75" t="s">
        <v>329</v>
      </c>
      <c r="J260" s="75" t="s">
        <v>595</v>
      </c>
      <c r="K260" s="83">
        <v>43384</v>
      </c>
      <c r="L260" s="83"/>
      <c r="M260" s="75"/>
      <c r="N260" s="92"/>
    </row>
    <row r="261" spans="4:14" ht="17.25" x14ac:dyDescent="0.25">
      <c r="D261" s="92">
        <v>23</v>
      </c>
      <c r="E261" s="74">
        <v>1666</v>
      </c>
      <c r="F261" s="76" t="s">
        <v>264</v>
      </c>
      <c r="G261" s="79" t="s">
        <v>265</v>
      </c>
      <c r="H261" s="92" t="s">
        <v>590</v>
      </c>
      <c r="I261" s="75" t="s">
        <v>329</v>
      </c>
      <c r="J261" s="83">
        <v>41307</v>
      </c>
      <c r="K261" s="83">
        <v>44263</v>
      </c>
      <c r="L261" s="83"/>
      <c r="M261" s="75"/>
      <c r="N261" s="92"/>
    </row>
    <row r="262" spans="4:14" ht="17.25" x14ac:dyDescent="0.25">
      <c r="D262" s="92">
        <v>24</v>
      </c>
      <c r="E262" s="74">
        <v>1536</v>
      </c>
      <c r="F262" s="76" t="s">
        <v>580</v>
      </c>
      <c r="G262" s="79" t="s">
        <v>586</v>
      </c>
      <c r="I262" s="75" t="s">
        <v>329</v>
      </c>
      <c r="J262" s="75" t="s">
        <v>596</v>
      </c>
      <c r="K262" s="83">
        <v>43381</v>
      </c>
      <c r="L262" s="83"/>
      <c r="M262" s="75"/>
      <c r="N262" s="92"/>
    </row>
    <row r="263" spans="4:14" ht="17.25" x14ac:dyDescent="0.25">
      <c r="D263" s="92">
        <v>25</v>
      </c>
      <c r="E263" s="74">
        <v>1866</v>
      </c>
      <c r="F263" s="92" t="s">
        <v>581</v>
      </c>
      <c r="G263" s="92" t="s">
        <v>275</v>
      </c>
      <c r="H263" s="92" t="s">
        <v>591</v>
      </c>
      <c r="I263" s="75" t="s">
        <v>329</v>
      </c>
      <c r="J263" s="96" t="s">
        <v>597</v>
      </c>
      <c r="K263" s="97" t="s">
        <v>392</v>
      </c>
      <c r="L263" s="97"/>
      <c r="M263" s="31"/>
      <c r="N263" s="97"/>
    </row>
  </sheetData>
  <mergeCells count="24">
    <mergeCell ref="D104:N104"/>
    <mergeCell ref="F7:O7"/>
    <mergeCell ref="F8:O8"/>
    <mergeCell ref="F9:O9"/>
    <mergeCell ref="F10:O10"/>
    <mergeCell ref="F11:O11"/>
    <mergeCell ref="F53:O53"/>
    <mergeCell ref="F54:O54"/>
    <mergeCell ref="F55:O55"/>
    <mergeCell ref="F56:O56"/>
    <mergeCell ref="F57:O57"/>
    <mergeCell ref="D103:N103"/>
    <mergeCell ref="D236:N236"/>
    <mergeCell ref="D105:N105"/>
    <mergeCell ref="D106:N106"/>
    <mergeCell ref="D107:N107"/>
    <mergeCell ref="D190:N190"/>
    <mergeCell ref="D191:N191"/>
    <mergeCell ref="D192:N192"/>
    <mergeCell ref="D193:N193"/>
    <mergeCell ref="D194:N194"/>
    <mergeCell ref="D219:N219"/>
    <mergeCell ref="D220:N220"/>
    <mergeCell ref="D235:N235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result sheet</vt:lpstr>
      <vt:lpstr>staff details</vt:lpstr>
      <vt:lpstr>leave record</vt:lpstr>
      <vt:lpstr>student strength record</vt:lpstr>
      <vt:lpstr>staff attendance %</vt:lpstr>
      <vt:lpstr>Current Enrollment</vt:lpstr>
      <vt:lpstr>ACTIVITIES STATUS</vt:lpstr>
      <vt:lpstr>Student Attendance %</vt:lpstr>
      <vt:lpstr>board result</vt:lpstr>
      <vt:lpstr>TNA</vt:lpstr>
      <vt:lpstr>TD</vt:lpstr>
      <vt:lpstr>PTM RECORD</vt:lpstr>
      <vt:lpstr>Student Information</vt:lpstr>
      <vt:lpstr>summary</vt:lpstr>
      <vt:lpstr>Student Information (2024-2025)</vt:lpstr>
      <vt:lpstr>'leave record'!Print_Area</vt:lpstr>
      <vt:lpstr>'PTM RECORD'!Print_Area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Fayyaz Mohammad</cp:lastModifiedBy>
  <cp:lastPrinted>2024-04-08T03:50:29Z</cp:lastPrinted>
  <dcterms:created xsi:type="dcterms:W3CDTF">2023-05-18T02:54:00Z</dcterms:created>
  <dcterms:modified xsi:type="dcterms:W3CDTF">2024-10-12T05:59:53Z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CBEEC85690104CDDA491469E5B987D50</vt:lpwstr>
  </property>
  <property fmtid="{D5CDD505-2E9C-101B-9397-08002B2CF9AE}" pid="3" name="KSOProductBuildVer">
    <vt:lpwstr>1033-11.2.0.11388</vt:lpwstr>
  </property>
</Properties>
</file>