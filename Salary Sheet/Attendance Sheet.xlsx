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ayyaz Data\Fayyaz\Content\Excel\Videos\Employee Attendance Sheet\"/>
    </mc:Choice>
  </mc:AlternateContent>
  <bookViews>
    <workbookView xWindow="0" yWindow="0" windowWidth="20490" windowHeight="7620" activeTab="2"/>
  </bookViews>
  <sheets>
    <sheet name="Sheet1" sheetId="3" r:id="rId1"/>
    <sheet name="Sheet2" sheetId="4" r:id="rId2"/>
    <sheet name="Sheet3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4" l="1"/>
  <c r="N8" i="4"/>
  <c r="N9" i="4"/>
  <c r="N10" i="4"/>
  <c r="N11" i="4"/>
  <c r="N12" i="4"/>
  <c r="N13" i="4"/>
  <c r="N14" i="4"/>
  <c r="N15" i="4"/>
  <c r="N6" i="4"/>
  <c r="C7" i="5"/>
  <c r="C8" i="5"/>
  <c r="C9" i="5"/>
  <c r="C10" i="5"/>
  <c r="C11" i="5"/>
  <c r="C12" i="5"/>
  <c r="C13" i="5"/>
  <c r="C14" i="5"/>
  <c r="C15" i="5"/>
  <c r="C6" i="5"/>
  <c r="B7" i="5"/>
  <c r="B8" i="5"/>
  <c r="B9" i="5"/>
  <c r="B10" i="5"/>
  <c r="B11" i="5"/>
  <c r="B12" i="5"/>
  <c r="B13" i="5"/>
  <c r="B14" i="5"/>
  <c r="B15" i="5"/>
  <c r="B6" i="5"/>
  <c r="AI7" i="5"/>
  <c r="AI8" i="5"/>
  <c r="AI9" i="5"/>
  <c r="AI10" i="5"/>
  <c r="AI11" i="5"/>
  <c r="AI12" i="5"/>
  <c r="AI13" i="5"/>
  <c r="AI14" i="5"/>
  <c r="AI15" i="5"/>
  <c r="AI6" i="5"/>
  <c r="J7" i="4"/>
  <c r="J8" i="4"/>
  <c r="J9" i="4"/>
  <c r="J10" i="4"/>
  <c r="J11" i="4"/>
  <c r="J12" i="4"/>
  <c r="J13" i="4"/>
  <c r="J14" i="4"/>
  <c r="J15" i="4"/>
  <c r="J6" i="4"/>
  <c r="I7" i="4"/>
  <c r="I8" i="4"/>
  <c r="I9" i="4"/>
  <c r="K9" i="4" s="1"/>
  <c r="I10" i="4"/>
  <c r="I11" i="4"/>
  <c r="I12" i="4"/>
  <c r="I13" i="4"/>
  <c r="K13" i="4" s="1"/>
  <c r="I14" i="4"/>
  <c r="I15" i="4"/>
  <c r="I6" i="4"/>
  <c r="H7" i="4"/>
  <c r="K7" i="4" s="1"/>
  <c r="H8" i="4"/>
  <c r="K8" i="4" s="1"/>
  <c r="H9" i="4"/>
  <c r="H10" i="4"/>
  <c r="K10" i="4" s="1"/>
  <c r="H11" i="4"/>
  <c r="K11" i="4" s="1"/>
  <c r="H12" i="4"/>
  <c r="K12" i="4" s="1"/>
  <c r="H13" i="4"/>
  <c r="H14" i="4"/>
  <c r="K14" i="4" s="1"/>
  <c r="H15" i="4"/>
  <c r="K15" i="4" s="1"/>
  <c r="H6" i="4"/>
  <c r="K6" i="4" s="1"/>
  <c r="G7" i="4"/>
  <c r="G8" i="4"/>
  <c r="G9" i="4"/>
  <c r="G10" i="4"/>
  <c r="G11" i="4"/>
  <c r="G12" i="4"/>
  <c r="G13" i="4"/>
  <c r="G14" i="4"/>
  <c r="G15" i="4"/>
  <c r="G6" i="4"/>
  <c r="E7" i="4"/>
  <c r="E8" i="4"/>
  <c r="E9" i="4"/>
  <c r="E10" i="4"/>
  <c r="E11" i="4"/>
  <c r="E12" i="4"/>
  <c r="E13" i="4"/>
  <c r="E14" i="4"/>
  <c r="E15" i="4"/>
  <c r="E6" i="4"/>
  <c r="M6" i="4" l="1"/>
  <c r="L6" i="4"/>
  <c r="M12" i="4"/>
  <c r="L12" i="4"/>
  <c r="M8" i="4"/>
  <c r="L8" i="4"/>
  <c r="M15" i="4"/>
  <c r="L15" i="4"/>
  <c r="M11" i="4"/>
  <c r="L11" i="4"/>
  <c r="M7" i="4"/>
  <c r="L7" i="4"/>
  <c r="L13" i="4"/>
  <c r="M13" i="4"/>
  <c r="L9" i="4"/>
  <c r="M9" i="4"/>
  <c r="L14" i="4"/>
  <c r="M14" i="4"/>
  <c r="L10" i="4"/>
  <c r="M10" i="4"/>
  <c r="AM4" i="3"/>
  <c r="AM5" i="3"/>
  <c r="AM6" i="3"/>
  <c r="AM7" i="3"/>
  <c r="AM8" i="3"/>
  <c r="AM9" i="3"/>
  <c r="AM10" i="3"/>
  <c r="AM11" i="3"/>
  <c r="AM12" i="3"/>
  <c r="AM3" i="3"/>
  <c r="AL4" i="3"/>
  <c r="AL5" i="3"/>
  <c r="AL6" i="3"/>
  <c r="AL7" i="3"/>
  <c r="AL8" i="3"/>
  <c r="AL9" i="3"/>
  <c r="AL10" i="3"/>
  <c r="AL11" i="3"/>
  <c r="AL12" i="3"/>
  <c r="AL3" i="3"/>
  <c r="AK4" i="3"/>
  <c r="AK5" i="3"/>
  <c r="AK6" i="3"/>
  <c r="AK7" i="3"/>
  <c r="AK8" i="3"/>
  <c r="AK9" i="3"/>
  <c r="AK10" i="3"/>
  <c r="AK11" i="3"/>
  <c r="AK12" i="3"/>
  <c r="AK3" i="3"/>
  <c r="AJ4" i="3"/>
  <c r="AJ5" i="3"/>
  <c r="AJ6" i="3"/>
  <c r="AJ7" i="3"/>
  <c r="AJ8" i="3"/>
  <c r="AJ9" i="3"/>
  <c r="AJ10" i="3"/>
  <c r="AJ11" i="3"/>
  <c r="AJ12" i="3"/>
  <c r="AJ3" i="3"/>
  <c r="AI4" i="3"/>
  <c r="AI5" i="3"/>
  <c r="AI6" i="3"/>
  <c r="AI7" i="3"/>
  <c r="AI8" i="3"/>
  <c r="AI9" i="3"/>
  <c r="AI10" i="3"/>
  <c r="AI11" i="3"/>
  <c r="AI12" i="3"/>
  <c r="AI3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G1" i="3"/>
  <c r="AH1" i="3"/>
  <c r="A4" i="3"/>
  <c r="A5" i="3" s="1"/>
  <c r="A6" i="3" s="1"/>
  <c r="A7" i="3" s="1"/>
  <c r="A8" i="3" s="1"/>
  <c r="A9" i="3" s="1"/>
  <c r="A10" i="3" s="1"/>
  <c r="A11" i="3" s="1"/>
  <c r="A3" i="3"/>
</calcChain>
</file>

<file path=xl/sharedStrings.xml><?xml version="1.0" encoding="utf-8"?>
<sst xmlns="http://schemas.openxmlformats.org/spreadsheetml/2006/main" count="364" uniqueCount="56">
  <si>
    <t>Employee Attendance Sheet</t>
  </si>
  <si>
    <t>Result</t>
  </si>
  <si>
    <t>S No</t>
  </si>
  <si>
    <t>Name of Employee</t>
  </si>
  <si>
    <t>Designation</t>
  </si>
  <si>
    <t>PRESENTY</t>
  </si>
  <si>
    <t>ABSENTY</t>
  </si>
  <si>
    <t>SL</t>
  </si>
  <si>
    <t>PL</t>
  </si>
  <si>
    <t>P.DAYS</t>
  </si>
  <si>
    <t>Asad</t>
  </si>
  <si>
    <t>Manager</t>
  </si>
  <si>
    <t>P</t>
  </si>
  <si>
    <t>Ebad</t>
  </si>
  <si>
    <t>Afnan</t>
  </si>
  <si>
    <t>Fayyaz</t>
  </si>
  <si>
    <t>Developer</t>
  </si>
  <si>
    <t>Faisal</t>
  </si>
  <si>
    <t>Designer</t>
  </si>
  <si>
    <t>Naeem</t>
  </si>
  <si>
    <t>Qasim</t>
  </si>
  <si>
    <t>Majid</t>
  </si>
  <si>
    <t>Furqan</t>
  </si>
  <si>
    <t>Farooq</t>
  </si>
  <si>
    <t>Jr. Developer</t>
  </si>
  <si>
    <t>A</t>
  </si>
  <si>
    <t>GROSS SALARY</t>
  </si>
  <si>
    <t>PF</t>
  </si>
  <si>
    <t>NET SALARY</t>
  </si>
  <si>
    <t>Basic Salary</t>
  </si>
  <si>
    <t>Working Days</t>
  </si>
  <si>
    <t>Overtime</t>
  </si>
  <si>
    <t>NO-10001</t>
  </si>
  <si>
    <t>NO-10002</t>
  </si>
  <si>
    <t>NO-10003</t>
  </si>
  <si>
    <t>NO-10004</t>
  </si>
  <si>
    <t>NO-10005</t>
  </si>
  <si>
    <t>NO-10006</t>
  </si>
  <si>
    <t>NO-10007</t>
  </si>
  <si>
    <t>NO-10008</t>
  </si>
  <si>
    <t>NO-10009</t>
  </si>
  <si>
    <t>NO-10010</t>
  </si>
  <si>
    <t>Emp Name</t>
  </si>
  <si>
    <t>Emp ID</t>
  </si>
  <si>
    <t>Overtime
Amount</t>
  </si>
  <si>
    <t>House Rent</t>
  </si>
  <si>
    <t>Conveyance</t>
  </si>
  <si>
    <t>Medical</t>
  </si>
  <si>
    <t>PAYMENTS</t>
  </si>
  <si>
    <t>Allowance %</t>
  </si>
  <si>
    <t>INCOME TAX</t>
  </si>
  <si>
    <t>Advance
Salary</t>
  </si>
  <si>
    <t>Total
Deduction</t>
  </si>
  <si>
    <t>DEDUCTIONS</t>
  </si>
  <si>
    <t>Total
Amount</t>
  </si>
  <si>
    <t>Employee Advance Salary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</si>
</sst>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dd"/>
    <numFmt numFmtId="167" formatCode="[$-409]d\-mmm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2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1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3" xfId="0" applyFill="1" applyBorder="1" applyAlignment="1">
      <alignment textRotation="90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6" xfId="0" applyFill="1" applyBorder="1" applyAlignment="1">
      <alignment horizontal="center" vertical="center"/>
    </xf>
    <xf numFmtId="0" fontId="0" fillId="3" borderId="6" xfId="0" applyFill="1" applyBorder="1"/>
    <xf numFmtId="0" fontId="0" fillId="3" borderId="9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1" xfId="0" applyBorder="1"/>
    <xf numFmtId="0" fontId="5" fillId="5" borderId="0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2" fontId="7" fillId="0" borderId="13" xfId="0" applyNumberFormat="1" applyFont="1" applyBorder="1" applyAlignment="1">
      <alignment horizontal="center" vertical="center"/>
    </xf>
    <xf numFmtId="0" fontId="7" fillId="0" borderId="13" xfId="0" applyFont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43" fontId="7" fillId="0" borderId="13" xfId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vertical="center"/>
    </xf>
    <xf numFmtId="0" fontId="2" fillId="7" borderId="12" xfId="0" applyFont="1" applyFill="1" applyBorder="1" applyAlignment="1">
      <alignment horizontal="center" wrapText="1"/>
    </xf>
    <xf numFmtId="0" fontId="2" fillId="7" borderId="14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167" fontId="2" fillId="0" borderId="12" xfId="0" applyNumberFormat="1" applyFont="1" applyBorder="1"/>
    <xf numFmtId="167" fontId="2" fillId="0" borderId="1" xfId="0" applyNumberFormat="1" applyFont="1" applyBorder="1"/>
  </cellXfs>
  <cellStyles count="2">
    <cellStyle name="Comma" xfId="1" builtinId="3"/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"/>
  <sheetViews>
    <sheetView workbookViewId="0">
      <selection activeCell="C3" sqref="C3:C12"/>
    </sheetView>
  </sheetViews>
  <sheetFormatPr defaultRowHeight="15" x14ac:dyDescent="0.25"/>
  <cols>
    <col min="1" max="1" width="5" bestFit="1" customWidth="1"/>
    <col min="2" max="2" width="9.7109375" customWidth="1"/>
    <col min="3" max="3" width="12.7109375" bestFit="1" customWidth="1"/>
    <col min="4" max="4" width="3" bestFit="1" customWidth="1"/>
    <col min="5" max="34" width="3.7109375" bestFit="1" customWidth="1"/>
    <col min="35" max="35" width="9.7109375" bestFit="1" customWidth="1"/>
    <col min="36" max="36" width="8.85546875" bestFit="1" customWidth="1"/>
    <col min="37" max="37" width="2.85546875" bestFit="1" customWidth="1"/>
    <col min="38" max="38" width="3" bestFit="1" customWidth="1"/>
    <col min="39" max="39" width="7.28515625" bestFit="1" customWidth="1"/>
  </cols>
  <sheetData>
    <row r="1" spans="1:39" ht="27" x14ac:dyDescent="0.25">
      <c r="A1" s="16" t="s">
        <v>0</v>
      </c>
      <c r="B1" s="17"/>
      <c r="C1" s="17"/>
      <c r="D1" s="9" t="str">
        <f>TEXT(D2,"ddd")</f>
        <v>Mon</v>
      </c>
      <c r="E1" s="9" t="str">
        <f t="shared" ref="E1:AH1" si="0">TEXT(E2,"ddd")</f>
        <v>Tue</v>
      </c>
      <c r="F1" s="9" t="str">
        <f t="shared" si="0"/>
        <v>Wed</v>
      </c>
      <c r="G1" s="9" t="str">
        <f t="shared" si="0"/>
        <v>Thu</v>
      </c>
      <c r="H1" s="9" t="str">
        <f t="shared" si="0"/>
        <v>Fri</v>
      </c>
      <c r="I1" s="9" t="str">
        <f t="shared" si="0"/>
        <v>Sat</v>
      </c>
      <c r="J1" s="9" t="str">
        <f t="shared" si="0"/>
        <v>Sun</v>
      </c>
      <c r="K1" s="9" t="str">
        <f t="shared" si="0"/>
        <v>Mon</v>
      </c>
      <c r="L1" s="9" t="str">
        <f t="shared" si="0"/>
        <v>Tue</v>
      </c>
      <c r="M1" s="9" t="str">
        <f t="shared" si="0"/>
        <v>Wed</v>
      </c>
      <c r="N1" s="9" t="str">
        <f t="shared" si="0"/>
        <v>Thu</v>
      </c>
      <c r="O1" s="9" t="str">
        <f t="shared" si="0"/>
        <v>Fri</v>
      </c>
      <c r="P1" s="9" t="str">
        <f t="shared" si="0"/>
        <v>Sat</v>
      </c>
      <c r="Q1" s="9" t="str">
        <f t="shared" si="0"/>
        <v>Sun</v>
      </c>
      <c r="R1" s="9" t="str">
        <f t="shared" si="0"/>
        <v>Mon</v>
      </c>
      <c r="S1" s="9" t="str">
        <f t="shared" si="0"/>
        <v>Tue</v>
      </c>
      <c r="T1" s="9" t="str">
        <f t="shared" si="0"/>
        <v>Wed</v>
      </c>
      <c r="U1" s="9" t="str">
        <f t="shared" si="0"/>
        <v>Thu</v>
      </c>
      <c r="V1" s="9" t="str">
        <f t="shared" si="0"/>
        <v>Fri</v>
      </c>
      <c r="W1" s="9" t="str">
        <f t="shared" si="0"/>
        <v>Sat</v>
      </c>
      <c r="X1" s="9" t="str">
        <f t="shared" si="0"/>
        <v>Sun</v>
      </c>
      <c r="Y1" s="9" t="str">
        <f t="shared" si="0"/>
        <v>Mon</v>
      </c>
      <c r="Z1" s="9" t="str">
        <f t="shared" si="0"/>
        <v>Tue</v>
      </c>
      <c r="AA1" s="9" t="str">
        <f t="shared" si="0"/>
        <v>Wed</v>
      </c>
      <c r="AB1" s="9" t="str">
        <f t="shared" si="0"/>
        <v>Thu</v>
      </c>
      <c r="AC1" s="9" t="str">
        <f t="shared" si="0"/>
        <v>Fri</v>
      </c>
      <c r="AD1" s="9" t="str">
        <f t="shared" si="0"/>
        <v>Sat</v>
      </c>
      <c r="AE1" s="9" t="str">
        <f t="shared" si="0"/>
        <v>Sun</v>
      </c>
      <c r="AF1" s="9" t="str">
        <f t="shared" si="0"/>
        <v>Mon</v>
      </c>
      <c r="AG1" s="9" t="str">
        <f t="shared" si="0"/>
        <v>Tue</v>
      </c>
      <c r="AH1" s="9" t="str">
        <f t="shared" si="0"/>
        <v>Wed</v>
      </c>
      <c r="AI1" s="18" t="s">
        <v>1</v>
      </c>
      <c r="AJ1" s="18"/>
      <c r="AK1" s="18"/>
      <c r="AL1" s="18"/>
      <c r="AM1" s="19"/>
    </row>
    <row r="2" spans="1:39" ht="45" x14ac:dyDescent="0.25">
      <c r="A2" s="1" t="s">
        <v>2</v>
      </c>
      <c r="B2" s="2" t="s">
        <v>3</v>
      </c>
      <c r="C2" s="2" t="s">
        <v>4</v>
      </c>
      <c r="D2" s="10">
        <v>44774</v>
      </c>
      <c r="E2" s="10">
        <v>44775</v>
      </c>
      <c r="F2" s="10">
        <v>44776</v>
      </c>
      <c r="G2" s="10">
        <v>44777</v>
      </c>
      <c r="H2" s="10">
        <v>44778</v>
      </c>
      <c r="I2" s="10">
        <v>44779</v>
      </c>
      <c r="J2" s="10">
        <v>44780</v>
      </c>
      <c r="K2" s="10">
        <v>44781</v>
      </c>
      <c r="L2" s="10">
        <v>44782</v>
      </c>
      <c r="M2" s="10">
        <v>44783</v>
      </c>
      <c r="N2" s="10">
        <v>44784</v>
      </c>
      <c r="O2" s="10">
        <v>44785</v>
      </c>
      <c r="P2" s="10">
        <v>44786</v>
      </c>
      <c r="Q2" s="10">
        <v>44787</v>
      </c>
      <c r="R2" s="10">
        <v>44788</v>
      </c>
      <c r="S2" s="10">
        <v>44789</v>
      </c>
      <c r="T2" s="10">
        <v>44790</v>
      </c>
      <c r="U2" s="10">
        <v>44791</v>
      </c>
      <c r="V2" s="10">
        <v>44792</v>
      </c>
      <c r="W2" s="10">
        <v>44793</v>
      </c>
      <c r="X2" s="10">
        <v>44794</v>
      </c>
      <c r="Y2" s="10">
        <v>44795</v>
      </c>
      <c r="Z2" s="10">
        <v>44796</v>
      </c>
      <c r="AA2" s="10">
        <v>44797</v>
      </c>
      <c r="AB2" s="10">
        <v>44798</v>
      </c>
      <c r="AC2" s="10">
        <v>44799</v>
      </c>
      <c r="AD2" s="10">
        <v>44800</v>
      </c>
      <c r="AE2" s="10">
        <v>44801</v>
      </c>
      <c r="AF2" s="10">
        <v>44802</v>
      </c>
      <c r="AG2" s="10">
        <v>44803</v>
      </c>
      <c r="AH2" s="10">
        <v>44804</v>
      </c>
      <c r="AI2" s="4" t="s">
        <v>5</v>
      </c>
      <c r="AJ2" s="4" t="s">
        <v>6</v>
      </c>
      <c r="AK2" s="4" t="s">
        <v>7</v>
      </c>
      <c r="AL2" s="4" t="s">
        <v>8</v>
      </c>
      <c r="AM2" s="13" t="s">
        <v>9</v>
      </c>
    </row>
    <row r="3" spans="1:39" x14ac:dyDescent="0.25">
      <c r="A3" s="3">
        <f>IF(B3="","",1)</f>
        <v>1</v>
      </c>
      <c r="B3" s="4" t="s">
        <v>10</v>
      </c>
      <c r="C3" s="4" t="s">
        <v>11</v>
      </c>
      <c r="D3" s="11" t="s">
        <v>12</v>
      </c>
      <c r="E3" s="11" t="s">
        <v>12</v>
      </c>
      <c r="F3" s="11" t="s">
        <v>12</v>
      </c>
      <c r="G3" s="11" t="s">
        <v>12</v>
      </c>
      <c r="H3" s="11" t="s">
        <v>12</v>
      </c>
      <c r="I3" s="11" t="s">
        <v>12</v>
      </c>
      <c r="J3" s="11"/>
      <c r="K3" s="11" t="s">
        <v>12</v>
      </c>
      <c r="L3" s="11" t="s">
        <v>12</v>
      </c>
      <c r="M3" s="11" t="s">
        <v>12</v>
      </c>
      <c r="N3" s="11" t="s">
        <v>12</v>
      </c>
      <c r="O3" s="11" t="s">
        <v>12</v>
      </c>
      <c r="P3" s="11" t="s">
        <v>12</v>
      </c>
      <c r="Q3" s="11"/>
      <c r="R3" s="11" t="s">
        <v>12</v>
      </c>
      <c r="S3" s="11" t="s">
        <v>12</v>
      </c>
      <c r="T3" s="11" t="s">
        <v>12</v>
      </c>
      <c r="U3" s="11" t="s">
        <v>12</v>
      </c>
      <c r="V3" s="11" t="s">
        <v>12</v>
      </c>
      <c r="W3" s="11" t="s">
        <v>12</v>
      </c>
      <c r="X3" s="11"/>
      <c r="Y3" s="11" t="s">
        <v>12</v>
      </c>
      <c r="Z3" s="11" t="s">
        <v>12</v>
      </c>
      <c r="AA3" s="11" t="s">
        <v>12</v>
      </c>
      <c r="AB3" s="11" t="s">
        <v>12</v>
      </c>
      <c r="AC3" s="11" t="s">
        <v>12</v>
      </c>
      <c r="AD3" s="11" t="s">
        <v>12</v>
      </c>
      <c r="AE3" s="11"/>
      <c r="AF3" s="11" t="s">
        <v>12</v>
      </c>
      <c r="AG3" s="11" t="s">
        <v>12</v>
      </c>
      <c r="AH3" s="11" t="s">
        <v>12</v>
      </c>
      <c r="AI3" s="11">
        <f>COUNTIF(D3:AH3,"P")</f>
        <v>27</v>
      </c>
      <c r="AJ3" s="11">
        <f>COUNTIF(D3:AH3,"A")</f>
        <v>0</v>
      </c>
      <c r="AK3" s="11">
        <f>COUNTIF(D3:AH3,"SL")</f>
        <v>0</v>
      </c>
      <c r="AL3" s="11">
        <f>COUNTBLANK(D3:AH3)</f>
        <v>4</v>
      </c>
      <c r="AM3" s="14">
        <f>AI3+AK3+AL3</f>
        <v>31</v>
      </c>
    </row>
    <row r="4" spans="1:39" x14ac:dyDescent="0.25">
      <c r="A4" s="3">
        <f>IF(B4="","",A3+1)</f>
        <v>2</v>
      </c>
      <c r="B4" s="4" t="s">
        <v>13</v>
      </c>
      <c r="C4" s="4" t="s">
        <v>18</v>
      </c>
      <c r="D4" s="11" t="s">
        <v>12</v>
      </c>
      <c r="E4" s="11" t="s">
        <v>12</v>
      </c>
      <c r="F4" s="11" t="s">
        <v>12</v>
      </c>
      <c r="G4" s="11" t="s">
        <v>12</v>
      </c>
      <c r="H4" s="11" t="s">
        <v>12</v>
      </c>
      <c r="I4" s="11" t="s">
        <v>12</v>
      </c>
      <c r="J4" s="11"/>
      <c r="K4" s="11" t="s">
        <v>12</v>
      </c>
      <c r="L4" s="11" t="s">
        <v>12</v>
      </c>
      <c r="M4" s="11" t="s">
        <v>12</v>
      </c>
      <c r="N4" s="11" t="s">
        <v>12</v>
      </c>
      <c r="O4" s="11" t="s">
        <v>12</v>
      </c>
      <c r="P4" s="11" t="s">
        <v>12</v>
      </c>
      <c r="Q4" s="11"/>
      <c r="R4" s="11" t="s">
        <v>12</v>
      </c>
      <c r="S4" s="11" t="s">
        <v>12</v>
      </c>
      <c r="T4" s="11" t="s">
        <v>12</v>
      </c>
      <c r="U4" s="11" t="s">
        <v>12</v>
      </c>
      <c r="V4" s="11" t="s">
        <v>12</v>
      </c>
      <c r="W4" s="11" t="s">
        <v>12</v>
      </c>
      <c r="X4" s="11"/>
      <c r="Y4" s="11" t="s">
        <v>12</v>
      </c>
      <c r="Z4" s="11" t="s">
        <v>12</v>
      </c>
      <c r="AA4" s="11" t="s">
        <v>25</v>
      </c>
      <c r="AB4" s="11" t="s">
        <v>12</v>
      </c>
      <c r="AC4" s="11" t="s">
        <v>12</v>
      </c>
      <c r="AD4" s="11" t="s">
        <v>12</v>
      </c>
      <c r="AE4" s="11"/>
      <c r="AF4" s="11" t="s">
        <v>12</v>
      </c>
      <c r="AG4" s="11" t="s">
        <v>12</v>
      </c>
      <c r="AH4" s="11" t="s">
        <v>12</v>
      </c>
      <c r="AI4" s="11">
        <f t="shared" ref="AI4:AI12" si="1">COUNTIF(D4:AH4,"P")</f>
        <v>26</v>
      </c>
      <c r="AJ4" s="11">
        <f t="shared" ref="AJ4:AJ12" si="2">COUNTIF(D4:AH4,"A")</f>
        <v>1</v>
      </c>
      <c r="AK4" s="11">
        <f t="shared" ref="AK4:AK12" si="3">COUNTIF(D4:AH4,"SL")</f>
        <v>0</v>
      </c>
      <c r="AL4" s="11">
        <f t="shared" ref="AL4:AL12" si="4">COUNTBLANK(D4:AH4)</f>
        <v>4</v>
      </c>
      <c r="AM4" s="14">
        <f t="shared" ref="AM4:AM12" si="5">AI4+AK4+AL4</f>
        <v>30</v>
      </c>
    </row>
    <row r="5" spans="1:39" x14ac:dyDescent="0.25">
      <c r="A5" s="3">
        <f t="shared" ref="A5:A11" si="6">IF(B5="","",A4+1)</f>
        <v>3</v>
      </c>
      <c r="B5" s="4" t="s">
        <v>14</v>
      </c>
      <c r="C5" s="4" t="s">
        <v>16</v>
      </c>
      <c r="D5" s="11" t="s">
        <v>12</v>
      </c>
      <c r="E5" s="11" t="s">
        <v>12</v>
      </c>
      <c r="F5" s="11" t="s">
        <v>12</v>
      </c>
      <c r="G5" s="11" t="s">
        <v>12</v>
      </c>
      <c r="H5" s="11" t="s">
        <v>12</v>
      </c>
      <c r="I5" s="11" t="s">
        <v>12</v>
      </c>
      <c r="J5" s="11"/>
      <c r="K5" s="11" t="s">
        <v>12</v>
      </c>
      <c r="L5" s="11" t="s">
        <v>12</v>
      </c>
      <c r="M5" s="11" t="s">
        <v>12</v>
      </c>
      <c r="N5" s="11" t="s">
        <v>12</v>
      </c>
      <c r="O5" s="11" t="s">
        <v>12</v>
      </c>
      <c r="P5" s="11" t="s">
        <v>12</v>
      </c>
      <c r="Q5" s="11"/>
      <c r="R5" s="11" t="s">
        <v>12</v>
      </c>
      <c r="S5" s="11" t="s">
        <v>12</v>
      </c>
      <c r="T5" s="11" t="s">
        <v>12</v>
      </c>
      <c r="U5" s="11" t="s">
        <v>12</v>
      </c>
      <c r="V5" s="11" t="s">
        <v>12</v>
      </c>
      <c r="W5" s="11" t="s">
        <v>12</v>
      </c>
      <c r="X5" s="11"/>
      <c r="Y5" s="11" t="s">
        <v>12</v>
      </c>
      <c r="Z5" s="11" t="s">
        <v>12</v>
      </c>
      <c r="AA5" s="11" t="s">
        <v>12</v>
      </c>
      <c r="AB5" s="11" t="s">
        <v>12</v>
      </c>
      <c r="AC5" s="11" t="s">
        <v>12</v>
      </c>
      <c r="AD5" s="11" t="s">
        <v>12</v>
      </c>
      <c r="AE5" s="11"/>
      <c r="AF5" s="11" t="s">
        <v>12</v>
      </c>
      <c r="AG5" s="11" t="s">
        <v>12</v>
      </c>
      <c r="AH5" s="11" t="s">
        <v>12</v>
      </c>
      <c r="AI5" s="11">
        <f t="shared" si="1"/>
        <v>27</v>
      </c>
      <c r="AJ5" s="11">
        <f t="shared" si="2"/>
        <v>0</v>
      </c>
      <c r="AK5" s="11">
        <f t="shared" si="3"/>
        <v>0</v>
      </c>
      <c r="AL5" s="11">
        <f t="shared" si="4"/>
        <v>4</v>
      </c>
      <c r="AM5" s="14">
        <f t="shared" si="5"/>
        <v>31</v>
      </c>
    </row>
    <row r="6" spans="1:39" x14ac:dyDescent="0.25">
      <c r="A6" s="3">
        <f t="shared" si="6"/>
        <v>4</v>
      </c>
      <c r="B6" s="4" t="s">
        <v>15</v>
      </c>
      <c r="C6" s="4" t="s">
        <v>24</v>
      </c>
      <c r="D6" s="11" t="s">
        <v>12</v>
      </c>
      <c r="E6" s="11" t="s">
        <v>12</v>
      </c>
      <c r="F6" s="11" t="s">
        <v>12</v>
      </c>
      <c r="G6" s="11" t="s">
        <v>12</v>
      </c>
      <c r="H6" s="11" t="s">
        <v>12</v>
      </c>
      <c r="I6" s="11" t="s">
        <v>12</v>
      </c>
      <c r="J6" s="11"/>
      <c r="K6" s="11" t="s">
        <v>12</v>
      </c>
      <c r="L6" s="11" t="s">
        <v>12</v>
      </c>
      <c r="M6" s="11" t="s">
        <v>12</v>
      </c>
      <c r="N6" s="11" t="s">
        <v>12</v>
      </c>
      <c r="O6" s="11" t="s">
        <v>12</v>
      </c>
      <c r="P6" s="11" t="s">
        <v>12</v>
      </c>
      <c r="Q6" s="11"/>
      <c r="R6" s="11" t="s">
        <v>12</v>
      </c>
      <c r="S6" s="11" t="s">
        <v>12</v>
      </c>
      <c r="T6" s="11" t="s">
        <v>12</v>
      </c>
      <c r="U6" s="11" t="s">
        <v>12</v>
      </c>
      <c r="V6" s="11" t="s">
        <v>12</v>
      </c>
      <c r="W6" s="11" t="s">
        <v>12</v>
      </c>
      <c r="X6" s="11"/>
      <c r="Y6" s="11" t="s">
        <v>12</v>
      </c>
      <c r="Z6" s="11" t="s">
        <v>12</v>
      </c>
      <c r="AA6" s="11" t="s">
        <v>12</v>
      </c>
      <c r="AB6" s="11" t="s">
        <v>12</v>
      </c>
      <c r="AC6" s="11" t="s">
        <v>12</v>
      </c>
      <c r="AD6" s="11" t="s">
        <v>12</v>
      </c>
      <c r="AE6" s="11"/>
      <c r="AF6" s="11" t="s">
        <v>12</v>
      </c>
      <c r="AG6" s="11" t="s">
        <v>12</v>
      </c>
      <c r="AH6" s="11" t="s">
        <v>12</v>
      </c>
      <c r="AI6" s="11">
        <f t="shared" si="1"/>
        <v>27</v>
      </c>
      <c r="AJ6" s="11">
        <f t="shared" si="2"/>
        <v>0</v>
      </c>
      <c r="AK6" s="11">
        <f t="shared" si="3"/>
        <v>0</v>
      </c>
      <c r="AL6" s="11">
        <f t="shared" si="4"/>
        <v>4</v>
      </c>
      <c r="AM6" s="14">
        <f t="shared" si="5"/>
        <v>31</v>
      </c>
    </row>
    <row r="7" spans="1:39" x14ac:dyDescent="0.25">
      <c r="A7" s="3">
        <f t="shared" si="6"/>
        <v>5</v>
      </c>
      <c r="B7" s="4" t="s">
        <v>17</v>
      </c>
      <c r="C7" s="4" t="s">
        <v>18</v>
      </c>
      <c r="D7" s="11" t="s">
        <v>12</v>
      </c>
      <c r="E7" s="11" t="s">
        <v>12</v>
      </c>
      <c r="F7" s="11" t="s">
        <v>12</v>
      </c>
      <c r="G7" s="11" t="s">
        <v>12</v>
      </c>
      <c r="H7" s="11" t="s">
        <v>12</v>
      </c>
      <c r="I7" s="11" t="s">
        <v>12</v>
      </c>
      <c r="J7" s="11"/>
      <c r="K7" s="11" t="s">
        <v>12</v>
      </c>
      <c r="L7" s="11" t="s">
        <v>12</v>
      </c>
      <c r="M7" s="11" t="s">
        <v>12</v>
      </c>
      <c r="N7" s="11" t="s">
        <v>12</v>
      </c>
      <c r="O7" s="11" t="s">
        <v>12</v>
      </c>
      <c r="P7" s="11" t="s">
        <v>12</v>
      </c>
      <c r="Q7" s="11"/>
      <c r="R7" s="11" t="s">
        <v>12</v>
      </c>
      <c r="S7" s="11" t="s">
        <v>12</v>
      </c>
      <c r="T7" s="11" t="s">
        <v>12</v>
      </c>
      <c r="U7" s="11" t="s">
        <v>12</v>
      </c>
      <c r="V7" s="11" t="s">
        <v>12</v>
      </c>
      <c r="W7" s="11" t="s">
        <v>12</v>
      </c>
      <c r="X7" s="11"/>
      <c r="Y7" s="11" t="s">
        <v>12</v>
      </c>
      <c r="Z7" s="11" t="s">
        <v>12</v>
      </c>
      <c r="AA7" s="11" t="s">
        <v>12</v>
      </c>
      <c r="AB7" s="11" t="s">
        <v>12</v>
      </c>
      <c r="AC7" s="11" t="s">
        <v>12</v>
      </c>
      <c r="AD7" s="11" t="s">
        <v>12</v>
      </c>
      <c r="AE7" s="11"/>
      <c r="AF7" s="11" t="s">
        <v>12</v>
      </c>
      <c r="AG7" s="11" t="s">
        <v>12</v>
      </c>
      <c r="AH7" s="11" t="s">
        <v>12</v>
      </c>
      <c r="AI7" s="11">
        <f t="shared" si="1"/>
        <v>27</v>
      </c>
      <c r="AJ7" s="11">
        <f t="shared" si="2"/>
        <v>0</v>
      </c>
      <c r="AK7" s="11">
        <f t="shared" si="3"/>
        <v>0</v>
      </c>
      <c r="AL7" s="11">
        <f t="shared" si="4"/>
        <v>4</v>
      </c>
      <c r="AM7" s="14">
        <f t="shared" si="5"/>
        <v>31</v>
      </c>
    </row>
    <row r="8" spans="1:39" x14ac:dyDescent="0.25">
      <c r="A8" s="3">
        <f t="shared" si="6"/>
        <v>6</v>
      </c>
      <c r="B8" s="4" t="s">
        <v>19</v>
      </c>
      <c r="C8" s="4" t="s">
        <v>16</v>
      </c>
      <c r="D8" s="11" t="s">
        <v>12</v>
      </c>
      <c r="E8" s="11" t="s">
        <v>12</v>
      </c>
      <c r="F8" s="11" t="s">
        <v>12</v>
      </c>
      <c r="G8" s="11" t="s">
        <v>12</v>
      </c>
      <c r="H8" s="11" t="s">
        <v>12</v>
      </c>
      <c r="I8" s="11" t="s">
        <v>12</v>
      </c>
      <c r="J8" s="11"/>
      <c r="K8" s="11" t="s">
        <v>12</v>
      </c>
      <c r="L8" s="11" t="s">
        <v>12</v>
      </c>
      <c r="M8" s="11" t="s">
        <v>12</v>
      </c>
      <c r="N8" s="11" t="s">
        <v>25</v>
      </c>
      <c r="O8" s="11" t="s">
        <v>12</v>
      </c>
      <c r="P8" s="11" t="s">
        <v>12</v>
      </c>
      <c r="Q8" s="11"/>
      <c r="R8" s="11" t="s">
        <v>12</v>
      </c>
      <c r="S8" s="11" t="s">
        <v>12</v>
      </c>
      <c r="T8" s="11" t="s">
        <v>12</v>
      </c>
      <c r="U8" s="11" t="s">
        <v>12</v>
      </c>
      <c r="V8" s="11" t="s">
        <v>12</v>
      </c>
      <c r="W8" s="11" t="s">
        <v>25</v>
      </c>
      <c r="X8" s="11"/>
      <c r="Y8" s="11" t="s">
        <v>12</v>
      </c>
      <c r="Z8" s="11" t="s">
        <v>12</v>
      </c>
      <c r="AA8" s="11" t="s">
        <v>12</v>
      </c>
      <c r="AB8" s="11" t="s">
        <v>12</v>
      </c>
      <c r="AC8" s="11" t="s">
        <v>12</v>
      </c>
      <c r="AD8" s="11" t="s">
        <v>12</v>
      </c>
      <c r="AE8" s="11"/>
      <c r="AF8" s="11" t="s">
        <v>12</v>
      </c>
      <c r="AG8" s="11" t="s">
        <v>12</v>
      </c>
      <c r="AH8" s="11" t="s">
        <v>12</v>
      </c>
      <c r="AI8" s="11">
        <f t="shared" si="1"/>
        <v>25</v>
      </c>
      <c r="AJ8" s="11">
        <f t="shared" si="2"/>
        <v>2</v>
      </c>
      <c r="AK8" s="11">
        <f t="shared" si="3"/>
        <v>0</v>
      </c>
      <c r="AL8" s="11">
        <f t="shared" si="4"/>
        <v>4</v>
      </c>
      <c r="AM8" s="14">
        <f t="shared" si="5"/>
        <v>29</v>
      </c>
    </row>
    <row r="9" spans="1:39" x14ac:dyDescent="0.25">
      <c r="A9" s="3">
        <f t="shared" si="6"/>
        <v>7</v>
      </c>
      <c r="B9" s="4" t="s">
        <v>20</v>
      </c>
      <c r="C9" s="5" t="s">
        <v>11</v>
      </c>
      <c r="D9" s="11" t="s">
        <v>12</v>
      </c>
      <c r="E9" s="11" t="s">
        <v>12</v>
      </c>
      <c r="F9" s="11" t="s">
        <v>12</v>
      </c>
      <c r="G9" s="11" t="s">
        <v>12</v>
      </c>
      <c r="H9" s="11" t="s">
        <v>12</v>
      </c>
      <c r="I9" s="11" t="s">
        <v>12</v>
      </c>
      <c r="J9" s="11"/>
      <c r="K9" s="11" t="s">
        <v>12</v>
      </c>
      <c r="L9" s="11" t="s">
        <v>12</v>
      </c>
      <c r="M9" s="11" t="s">
        <v>12</v>
      </c>
      <c r="N9" s="11" t="s">
        <v>12</v>
      </c>
      <c r="O9" s="11" t="s">
        <v>12</v>
      </c>
      <c r="P9" s="11" t="s">
        <v>12</v>
      </c>
      <c r="Q9" s="11"/>
      <c r="R9" s="11" t="s">
        <v>12</v>
      </c>
      <c r="S9" s="11" t="s">
        <v>12</v>
      </c>
      <c r="T9" s="11" t="s">
        <v>12</v>
      </c>
      <c r="U9" s="11" t="s">
        <v>12</v>
      </c>
      <c r="V9" s="11" t="s">
        <v>12</v>
      </c>
      <c r="W9" s="11" t="s">
        <v>12</v>
      </c>
      <c r="X9" s="11"/>
      <c r="Y9" s="11" t="s">
        <v>12</v>
      </c>
      <c r="Z9" s="11" t="s">
        <v>12</v>
      </c>
      <c r="AA9" s="11" t="s">
        <v>12</v>
      </c>
      <c r="AB9" s="11" t="s">
        <v>12</v>
      </c>
      <c r="AC9" s="11" t="s">
        <v>12</v>
      </c>
      <c r="AD9" s="11" t="s">
        <v>12</v>
      </c>
      <c r="AE9" s="11"/>
      <c r="AF9" s="11" t="s">
        <v>12</v>
      </c>
      <c r="AG9" s="11" t="s">
        <v>12</v>
      </c>
      <c r="AH9" s="11" t="s">
        <v>12</v>
      </c>
      <c r="AI9" s="11">
        <f t="shared" si="1"/>
        <v>27</v>
      </c>
      <c r="AJ9" s="11">
        <f t="shared" si="2"/>
        <v>0</v>
      </c>
      <c r="AK9" s="11">
        <f t="shared" si="3"/>
        <v>0</v>
      </c>
      <c r="AL9" s="11">
        <f t="shared" si="4"/>
        <v>4</v>
      </c>
      <c r="AM9" s="14">
        <f t="shared" si="5"/>
        <v>31</v>
      </c>
    </row>
    <row r="10" spans="1:39" x14ac:dyDescent="0.25">
      <c r="A10" s="3">
        <f t="shared" si="6"/>
        <v>8</v>
      </c>
      <c r="B10" s="4" t="s">
        <v>21</v>
      </c>
      <c r="C10" s="5" t="s">
        <v>16</v>
      </c>
      <c r="D10" s="11" t="s">
        <v>12</v>
      </c>
      <c r="E10" s="11" t="s">
        <v>12</v>
      </c>
      <c r="F10" s="11" t="s">
        <v>12</v>
      </c>
      <c r="G10" s="11" t="s">
        <v>12</v>
      </c>
      <c r="H10" s="11" t="s">
        <v>12</v>
      </c>
      <c r="I10" s="11" t="s">
        <v>12</v>
      </c>
      <c r="J10" s="11"/>
      <c r="K10" s="11" t="s">
        <v>12</v>
      </c>
      <c r="L10" s="11" t="s">
        <v>12</v>
      </c>
      <c r="M10" s="11" t="s">
        <v>12</v>
      </c>
      <c r="N10" s="11" t="s">
        <v>12</v>
      </c>
      <c r="O10" s="11" t="s">
        <v>12</v>
      </c>
      <c r="P10" s="11" t="s">
        <v>12</v>
      </c>
      <c r="Q10" s="11"/>
      <c r="R10" s="11" t="s">
        <v>12</v>
      </c>
      <c r="S10" s="11" t="s">
        <v>12</v>
      </c>
      <c r="T10" s="11" t="s">
        <v>12</v>
      </c>
      <c r="U10" s="11" t="s">
        <v>12</v>
      </c>
      <c r="V10" s="11" t="s">
        <v>12</v>
      </c>
      <c r="W10" s="11" t="s">
        <v>12</v>
      </c>
      <c r="X10" s="11"/>
      <c r="Y10" s="11" t="s">
        <v>12</v>
      </c>
      <c r="Z10" s="11" t="s">
        <v>12</v>
      </c>
      <c r="AA10" s="11" t="s">
        <v>12</v>
      </c>
      <c r="AB10" s="11" t="s">
        <v>12</v>
      </c>
      <c r="AC10" s="11" t="s">
        <v>12</v>
      </c>
      <c r="AD10" s="11" t="s">
        <v>12</v>
      </c>
      <c r="AE10" s="11"/>
      <c r="AF10" s="11" t="s">
        <v>12</v>
      </c>
      <c r="AG10" s="11" t="s">
        <v>12</v>
      </c>
      <c r="AH10" s="11" t="s">
        <v>12</v>
      </c>
      <c r="AI10" s="11">
        <f t="shared" si="1"/>
        <v>27</v>
      </c>
      <c r="AJ10" s="11">
        <f t="shared" si="2"/>
        <v>0</v>
      </c>
      <c r="AK10" s="11">
        <f t="shared" si="3"/>
        <v>0</v>
      </c>
      <c r="AL10" s="11">
        <f t="shared" si="4"/>
        <v>4</v>
      </c>
      <c r="AM10" s="14">
        <f t="shared" si="5"/>
        <v>31</v>
      </c>
    </row>
    <row r="11" spans="1:39" x14ac:dyDescent="0.25">
      <c r="A11" s="3">
        <f t="shared" si="6"/>
        <v>9</v>
      </c>
      <c r="B11" s="4" t="s">
        <v>22</v>
      </c>
      <c r="C11" s="5" t="s">
        <v>18</v>
      </c>
      <c r="D11" s="11" t="s">
        <v>12</v>
      </c>
      <c r="E11" s="11" t="s">
        <v>12</v>
      </c>
      <c r="F11" s="11" t="s">
        <v>12</v>
      </c>
      <c r="G11" s="11" t="s">
        <v>12</v>
      </c>
      <c r="H11" s="11" t="s">
        <v>12</v>
      </c>
      <c r="I11" s="11" t="s">
        <v>12</v>
      </c>
      <c r="J11" s="11"/>
      <c r="K11" s="11" t="s">
        <v>12</v>
      </c>
      <c r="L11" s="11" t="s">
        <v>12</v>
      </c>
      <c r="M11" s="11" t="s">
        <v>12</v>
      </c>
      <c r="N11" s="11" t="s">
        <v>12</v>
      </c>
      <c r="O11" s="11" t="s">
        <v>12</v>
      </c>
      <c r="P11" s="11" t="s">
        <v>12</v>
      </c>
      <c r="Q11" s="11"/>
      <c r="R11" s="11" t="s">
        <v>12</v>
      </c>
      <c r="S11" s="11" t="s">
        <v>12</v>
      </c>
      <c r="T11" s="11" t="s">
        <v>12</v>
      </c>
      <c r="U11" s="11" t="s">
        <v>12</v>
      </c>
      <c r="V11" s="11" t="s">
        <v>12</v>
      </c>
      <c r="W11" s="11" t="s">
        <v>12</v>
      </c>
      <c r="X11" s="11"/>
      <c r="Y11" s="11" t="s">
        <v>12</v>
      </c>
      <c r="Z11" s="11" t="s">
        <v>12</v>
      </c>
      <c r="AA11" s="11" t="s">
        <v>12</v>
      </c>
      <c r="AB11" s="11" t="s">
        <v>12</v>
      </c>
      <c r="AC11" s="11" t="s">
        <v>12</v>
      </c>
      <c r="AD11" s="11" t="s">
        <v>12</v>
      </c>
      <c r="AE11" s="11"/>
      <c r="AF11" s="11" t="s">
        <v>12</v>
      </c>
      <c r="AG11" s="11" t="s">
        <v>12</v>
      </c>
      <c r="AH11" s="11" t="s">
        <v>12</v>
      </c>
      <c r="AI11" s="11">
        <f t="shared" si="1"/>
        <v>27</v>
      </c>
      <c r="AJ11" s="11">
        <f t="shared" si="2"/>
        <v>0</v>
      </c>
      <c r="AK11" s="11">
        <f t="shared" si="3"/>
        <v>0</v>
      </c>
      <c r="AL11" s="11">
        <f t="shared" si="4"/>
        <v>4</v>
      </c>
      <c r="AM11" s="14">
        <f t="shared" si="5"/>
        <v>31</v>
      </c>
    </row>
    <row r="12" spans="1:39" ht="15.75" thickBot="1" x14ac:dyDescent="0.3">
      <c r="A12" s="6">
        <v>10</v>
      </c>
      <c r="B12" s="7" t="s">
        <v>23</v>
      </c>
      <c r="C12" s="8" t="s">
        <v>24</v>
      </c>
      <c r="D12" s="12" t="s">
        <v>12</v>
      </c>
      <c r="E12" s="12" t="s">
        <v>12</v>
      </c>
      <c r="F12" s="12" t="s">
        <v>12</v>
      </c>
      <c r="G12" s="12" t="s">
        <v>12</v>
      </c>
      <c r="H12" s="12" t="s">
        <v>12</v>
      </c>
      <c r="I12" s="12" t="s">
        <v>12</v>
      </c>
      <c r="J12" s="12"/>
      <c r="K12" s="12" t="s">
        <v>12</v>
      </c>
      <c r="L12" s="12" t="s">
        <v>12</v>
      </c>
      <c r="M12" s="12" t="s">
        <v>12</v>
      </c>
      <c r="N12" s="12" t="s">
        <v>12</v>
      </c>
      <c r="O12" s="12" t="s">
        <v>12</v>
      </c>
      <c r="P12" s="12" t="s">
        <v>12</v>
      </c>
      <c r="Q12" s="12"/>
      <c r="R12" s="12" t="s">
        <v>12</v>
      </c>
      <c r="S12" s="12" t="s">
        <v>12</v>
      </c>
      <c r="T12" s="12" t="s">
        <v>12</v>
      </c>
      <c r="U12" s="12" t="s">
        <v>12</v>
      </c>
      <c r="V12" s="12" t="s">
        <v>12</v>
      </c>
      <c r="W12" s="12" t="s">
        <v>12</v>
      </c>
      <c r="X12" s="12"/>
      <c r="Y12" s="12" t="s">
        <v>12</v>
      </c>
      <c r="Z12" s="12" t="s">
        <v>12</v>
      </c>
      <c r="AA12" s="12" t="s">
        <v>12</v>
      </c>
      <c r="AB12" s="12" t="s">
        <v>12</v>
      </c>
      <c r="AC12" s="12" t="s">
        <v>12</v>
      </c>
      <c r="AD12" s="12" t="s">
        <v>12</v>
      </c>
      <c r="AE12" s="12"/>
      <c r="AF12" s="12" t="s">
        <v>12</v>
      </c>
      <c r="AG12" s="12" t="s">
        <v>12</v>
      </c>
      <c r="AH12" s="12" t="s">
        <v>12</v>
      </c>
      <c r="AI12" s="12">
        <f t="shared" si="1"/>
        <v>27</v>
      </c>
      <c r="AJ12" s="12">
        <f t="shared" si="2"/>
        <v>0</v>
      </c>
      <c r="AK12" s="12">
        <f t="shared" si="3"/>
        <v>0</v>
      </c>
      <c r="AL12" s="12">
        <f t="shared" si="4"/>
        <v>4</v>
      </c>
      <c r="AM12" s="15">
        <f t="shared" si="5"/>
        <v>31</v>
      </c>
    </row>
  </sheetData>
  <mergeCells count="2">
    <mergeCell ref="A1:C1"/>
    <mergeCell ref="AI1:AM1"/>
  </mergeCells>
  <conditionalFormatting sqref="D3:AH12">
    <cfRule type="cellIs" dxfId="3" priority="2" operator="equal">
      <formula>"A"</formula>
    </cfRule>
    <cfRule type="cellIs" dxfId="2" priority="3" operator="equal">
      <formula>"P"</formula>
    </cfRule>
  </conditionalFormatting>
  <conditionalFormatting sqref="D1:AH12">
    <cfRule type="expression" dxfId="1" priority="1">
      <formula>D$1="SUN"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15"/>
  <sheetViews>
    <sheetView workbookViewId="0">
      <selection activeCell="N6" sqref="N6:N15"/>
    </sheetView>
  </sheetViews>
  <sheetFormatPr defaultRowHeight="15" x14ac:dyDescent="0.25"/>
  <cols>
    <col min="1" max="1" width="10.5703125" bestFit="1" customWidth="1"/>
    <col min="2" max="2" width="11.7109375" bestFit="1" customWidth="1"/>
    <col min="3" max="4" width="13.42578125" bestFit="1" customWidth="1"/>
    <col min="5" max="5" width="14.85546875" bestFit="1" customWidth="1"/>
    <col min="6" max="6" width="10.42578125" bestFit="1" customWidth="1"/>
    <col min="7" max="7" width="11" customWidth="1"/>
    <col min="8" max="8" width="13.140625" bestFit="1" customWidth="1"/>
    <col min="9" max="9" width="13.7109375" bestFit="1" customWidth="1"/>
    <col min="10" max="10" width="8.85546875" bestFit="1" customWidth="1"/>
    <col min="11" max="11" width="18" bestFit="1" customWidth="1"/>
    <col min="12" max="12" width="9.5703125" customWidth="1"/>
    <col min="13" max="13" width="5.42578125" customWidth="1"/>
    <col min="14" max="14" width="11.28515625" customWidth="1"/>
    <col min="15" max="15" width="11.7109375" customWidth="1"/>
    <col min="16" max="16" width="14.42578125" bestFit="1" customWidth="1"/>
  </cols>
  <sheetData>
    <row r="3" spans="1:16" x14ac:dyDescent="0.25">
      <c r="A3" s="32" t="s">
        <v>43</v>
      </c>
      <c r="B3" s="32" t="s">
        <v>42</v>
      </c>
      <c r="C3" s="32" t="s">
        <v>4</v>
      </c>
      <c r="D3" s="32" t="s">
        <v>29</v>
      </c>
      <c r="E3" s="32" t="s">
        <v>30</v>
      </c>
      <c r="F3" s="32" t="s">
        <v>31</v>
      </c>
      <c r="G3" s="33" t="s">
        <v>44</v>
      </c>
      <c r="H3" s="34" t="s">
        <v>48</v>
      </c>
      <c r="I3" s="34"/>
      <c r="J3" s="34"/>
      <c r="K3" s="34"/>
      <c r="L3" s="35" t="s">
        <v>53</v>
      </c>
      <c r="M3" s="35"/>
      <c r="N3" s="35"/>
      <c r="O3" s="35"/>
      <c r="P3" s="36" t="s">
        <v>28</v>
      </c>
    </row>
    <row r="4" spans="1:16" x14ac:dyDescent="0.25">
      <c r="A4" s="32"/>
      <c r="B4" s="32"/>
      <c r="C4" s="32"/>
      <c r="D4" s="32"/>
      <c r="E4" s="32"/>
      <c r="F4" s="32"/>
      <c r="G4" s="32"/>
      <c r="H4" s="31" t="s">
        <v>49</v>
      </c>
      <c r="I4" s="31"/>
      <c r="J4" s="31"/>
      <c r="K4" s="37" t="s">
        <v>26</v>
      </c>
      <c r="L4" s="28" t="s">
        <v>50</v>
      </c>
      <c r="M4" s="29" t="s">
        <v>27</v>
      </c>
      <c r="N4" s="30" t="s">
        <v>51</v>
      </c>
      <c r="O4" s="38" t="s">
        <v>52</v>
      </c>
      <c r="P4" s="36"/>
    </row>
    <row r="5" spans="1:16" x14ac:dyDescent="0.25">
      <c r="A5" s="32"/>
      <c r="B5" s="32"/>
      <c r="C5" s="32"/>
      <c r="D5" s="32"/>
      <c r="E5" s="32"/>
      <c r="F5" s="32"/>
      <c r="G5" s="32"/>
      <c r="H5" s="39" t="s">
        <v>45</v>
      </c>
      <c r="I5" s="39" t="s">
        <v>46</v>
      </c>
      <c r="J5" s="39" t="s">
        <v>47</v>
      </c>
      <c r="K5" s="37"/>
      <c r="L5" s="28"/>
      <c r="M5" s="29"/>
      <c r="N5" s="31"/>
      <c r="O5" s="35"/>
      <c r="P5" s="36"/>
    </row>
    <row r="6" spans="1:16" x14ac:dyDescent="0.25">
      <c r="A6" s="22" t="s">
        <v>32</v>
      </c>
      <c r="B6" s="22" t="s">
        <v>10</v>
      </c>
      <c r="C6" s="22" t="s">
        <v>11</v>
      </c>
      <c r="D6" s="22">
        <v>60000</v>
      </c>
      <c r="E6" s="22">
        <f>Sheet1!AM3</f>
        <v>31</v>
      </c>
      <c r="F6" s="22">
        <v>14</v>
      </c>
      <c r="G6" s="23">
        <f>(D6/30/8)*F6</f>
        <v>3500</v>
      </c>
      <c r="H6" s="22">
        <f>IF(D6&gt;=40000,D6*2.5%,D6*2%)</f>
        <v>1500</v>
      </c>
      <c r="I6" s="22">
        <f>IF(D6&gt;=40000,D6*6%,D6*5%)</f>
        <v>3600</v>
      </c>
      <c r="J6" s="22">
        <f>IF(D6&gt;=40000,D6*3.5%,D6*3%)</f>
        <v>2100</v>
      </c>
      <c r="K6" s="23">
        <f>SUM(H6:J6)+D6/31*E6</f>
        <v>67200</v>
      </c>
      <c r="L6" s="27">
        <f>IF(K6&gt;=50000,K6*1.2%,0)</f>
        <v>806.4</v>
      </c>
      <c r="M6" s="22">
        <f>K6*1%</f>
        <v>672</v>
      </c>
      <c r="N6" s="24">
        <f>SUMIF(Sheet3!$A$6:$A$15,Sheet2!A6,Sheet3!$AI$6:$AI$15)</f>
        <v>0</v>
      </c>
      <c r="O6" s="24"/>
      <c r="P6" s="24"/>
    </row>
    <row r="7" spans="1:16" x14ac:dyDescent="0.25">
      <c r="A7" s="25" t="s">
        <v>33</v>
      </c>
      <c r="B7" s="25" t="s">
        <v>13</v>
      </c>
      <c r="C7" s="25" t="s">
        <v>18</v>
      </c>
      <c r="D7" s="25">
        <v>25000</v>
      </c>
      <c r="E7" s="22">
        <f>Sheet1!AM4</f>
        <v>30</v>
      </c>
      <c r="F7" s="25">
        <v>12</v>
      </c>
      <c r="G7" s="23">
        <f t="shared" ref="G7:G15" si="0">(D7/30/8)*F7</f>
        <v>1250</v>
      </c>
      <c r="H7" s="22">
        <f t="shared" ref="H7:H15" si="1">IF(D7&gt;=40000,D7*2.5%,D7*2%)</f>
        <v>500</v>
      </c>
      <c r="I7" s="22">
        <f t="shared" ref="I7:I15" si="2">IF(D7&gt;=40000,D7*6%,D7*5%)</f>
        <v>1250</v>
      </c>
      <c r="J7" s="22">
        <f t="shared" ref="J7:J15" si="3">IF(D7&gt;=40000,D7*3.5%,D7*3%)</f>
        <v>750</v>
      </c>
      <c r="K7" s="23">
        <f t="shared" ref="K7:K15" si="4">SUM(H7:J7)+D7/31*E7</f>
        <v>26693.548387096776</v>
      </c>
      <c r="L7" s="27">
        <f t="shared" ref="L7:L15" si="5">IF(K7&gt;=50000,K7*1.2%,0)</f>
        <v>0</v>
      </c>
      <c r="M7" s="22">
        <f t="shared" ref="M7:M15" si="6">K7*1%</f>
        <v>266.93548387096774</v>
      </c>
      <c r="N7" s="24">
        <f>SUMIF(Sheet3!$A$6:$A$15,Sheet2!A7,Sheet3!$AI$6:$AI$15)</f>
        <v>0</v>
      </c>
      <c r="O7" s="26"/>
      <c r="P7" s="26"/>
    </row>
    <row r="8" spans="1:16" x14ac:dyDescent="0.25">
      <c r="A8" s="25" t="s">
        <v>34</v>
      </c>
      <c r="B8" s="25" t="s">
        <v>14</v>
      </c>
      <c r="C8" s="25" t="s">
        <v>16</v>
      </c>
      <c r="D8" s="25">
        <v>35000</v>
      </c>
      <c r="E8" s="22">
        <f>Sheet1!AM5</f>
        <v>31</v>
      </c>
      <c r="F8" s="25">
        <v>24</v>
      </c>
      <c r="G8" s="23">
        <f t="shared" si="0"/>
        <v>3500</v>
      </c>
      <c r="H8" s="22">
        <f t="shared" si="1"/>
        <v>700</v>
      </c>
      <c r="I8" s="22">
        <f t="shared" si="2"/>
        <v>1750</v>
      </c>
      <c r="J8" s="22">
        <f t="shared" si="3"/>
        <v>1050</v>
      </c>
      <c r="K8" s="23">
        <f t="shared" si="4"/>
        <v>38500</v>
      </c>
      <c r="L8" s="27">
        <f t="shared" si="5"/>
        <v>0</v>
      </c>
      <c r="M8" s="22">
        <f t="shared" si="6"/>
        <v>385</v>
      </c>
      <c r="N8" s="24">
        <f>SUMIF(Sheet3!$A$6:$A$15,Sheet2!A8,Sheet3!$AI$6:$AI$15)</f>
        <v>0</v>
      </c>
      <c r="O8" s="26"/>
      <c r="P8" s="26"/>
    </row>
    <row r="9" spans="1:16" x14ac:dyDescent="0.25">
      <c r="A9" s="25" t="s">
        <v>35</v>
      </c>
      <c r="B9" s="25" t="s">
        <v>15</v>
      </c>
      <c r="C9" s="25" t="s">
        <v>24</v>
      </c>
      <c r="D9" s="25">
        <v>25000</v>
      </c>
      <c r="E9" s="22">
        <f>Sheet1!AM6</f>
        <v>31</v>
      </c>
      <c r="F9" s="25">
        <v>35</v>
      </c>
      <c r="G9" s="23">
        <f t="shared" si="0"/>
        <v>3645.8333333333335</v>
      </c>
      <c r="H9" s="22">
        <f t="shared" si="1"/>
        <v>500</v>
      </c>
      <c r="I9" s="22">
        <f t="shared" si="2"/>
        <v>1250</v>
      </c>
      <c r="J9" s="22">
        <f t="shared" si="3"/>
        <v>750</v>
      </c>
      <c r="K9" s="23">
        <f t="shared" si="4"/>
        <v>27500</v>
      </c>
      <c r="L9" s="27">
        <f t="shared" si="5"/>
        <v>0</v>
      </c>
      <c r="M9" s="22">
        <f t="shared" si="6"/>
        <v>275</v>
      </c>
      <c r="N9" s="24">
        <f>SUMIF(Sheet3!$A$6:$A$15,Sheet2!A9,Sheet3!$AI$6:$AI$15)</f>
        <v>0</v>
      </c>
      <c r="O9" s="26"/>
      <c r="P9" s="26"/>
    </row>
    <row r="10" spans="1:16" x14ac:dyDescent="0.25">
      <c r="A10" s="25" t="s">
        <v>36</v>
      </c>
      <c r="B10" s="25" t="s">
        <v>17</v>
      </c>
      <c r="C10" s="25" t="s">
        <v>18</v>
      </c>
      <c r="D10" s="25">
        <v>35000</v>
      </c>
      <c r="E10" s="22">
        <f>Sheet1!AM7</f>
        <v>31</v>
      </c>
      <c r="F10" s="25">
        <v>12</v>
      </c>
      <c r="G10" s="23">
        <f t="shared" si="0"/>
        <v>1750</v>
      </c>
      <c r="H10" s="22">
        <f t="shared" si="1"/>
        <v>700</v>
      </c>
      <c r="I10" s="22">
        <f t="shared" si="2"/>
        <v>1750</v>
      </c>
      <c r="J10" s="22">
        <f t="shared" si="3"/>
        <v>1050</v>
      </c>
      <c r="K10" s="23">
        <f t="shared" si="4"/>
        <v>38500</v>
      </c>
      <c r="L10" s="27">
        <f t="shared" si="5"/>
        <v>0</v>
      </c>
      <c r="M10" s="22">
        <f t="shared" si="6"/>
        <v>385</v>
      </c>
      <c r="N10" s="24">
        <f>SUMIF(Sheet3!$A$6:$A$15,Sheet2!A10,Sheet3!$AI$6:$AI$15)</f>
        <v>0</v>
      </c>
      <c r="O10" s="26"/>
      <c r="P10" s="26"/>
    </row>
    <row r="11" spans="1:16" x14ac:dyDescent="0.25">
      <c r="A11" s="25" t="s">
        <v>37</v>
      </c>
      <c r="B11" s="25" t="s">
        <v>19</v>
      </c>
      <c r="C11" s="25" t="s">
        <v>16</v>
      </c>
      <c r="D11" s="25">
        <v>40000</v>
      </c>
      <c r="E11" s="22">
        <f>Sheet1!AM8</f>
        <v>29</v>
      </c>
      <c r="F11" s="25">
        <v>34</v>
      </c>
      <c r="G11" s="23">
        <f t="shared" si="0"/>
        <v>5666.6666666666661</v>
      </c>
      <c r="H11" s="22">
        <f t="shared" si="1"/>
        <v>1000</v>
      </c>
      <c r="I11" s="22">
        <f t="shared" si="2"/>
        <v>2400</v>
      </c>
      <c r="J11" s="22">
        <f t="shared" si="3"/>
        <v>1400.0000000000002</v>
      </c>
      <c r="K11" s="23">
        <f t="shared" si="4"/>
        <v>42219.354838709674</v>
      </c>
      <c r="L11" s="27">
        <f t="shared" si="5"/>
        <v>0</v>
      </c>
      <c r="M11" s="22">
        <f t="shared" si="6"/>
        <v>422.19354838709677</v>
      </c>
      <c r="N11" s="24">
        <f>SUMIF(Sheet3!$A$6:$A$15,Sheet2!A11,Sheet3!$AI$6:$AI$15)</f>
        <v>0</v>
      </c>
      <c r="O11" s="26"/>
      <c r="P11" s="26"/>
    </row>
    <row r="12" spans="1:16" x14ac:dyDescent="0.25">
      <c r="A12" s="25" t="s">
        <v>38</v>
      </c>
      <c r="B12" s="25" t="s">
        <v>20</v>
      </c>
      <c r="C12" s="25" t="s">
        <v>11</v>
      </c>
      <c r="D12" s="25">
        <v>65000</v>
      </c>
      <c r="E12" s="22">
        <f>Sheet1!AM9</f>
        <v>31</v>
      </c>
      <c r="F12" s="25">
        <v>7</v>
      </c>
      <c r="G12" s="23">
        <f t="shared" si="0"/>
        <v>1895.8333333333333</v>
      </c>
      <c r="H12" s="22">
        <f t="shared" si="1"/>
        <v>1625</v>
      </c>
      <c r="I12" s="22">
        <f t="shared" si="2"/>
        <v>3900</v>
      </c>
      <c r="J12" s="22">
        <f t="shared" si="3"/>
        <v>2275</v>
      </c>
      <c r="K12" s="23">
        <f t="shared" si="4"/>
        <v>72800</v>
      </c>
      <c r="L12" s="27">
        <f t="shared" si="5"/>
        <v>873.6</v>
      </c>
      <c r="M12" s="22">
        <f t="shared" si="6"/>
        <v>728</v>
      </c>
      <c r="N12" s="24">
        <f>SUMIF(Sheet3!$A$6:$A$15,Sheet2!A12,Sheet3!$AI$6:$AI$15)</f>
        <v>0</v>
      </c>
      <c r="O12" s="26"/>
      <c r="P12" s="26"/>
    </row>
    <row r="13" spans="1:16" x14ac:dyDescent="0.25">
      <c r="A13" s="25" t="s">
        <v>39</v>
      </c>
      <c r="B13" s="25" t="s">
        <v>21</v>
      </c>
      <c r="C13" s="25" t="s">
        <v>16</v>
      </c>
      <c r="D13" s="25">
        <v>40000</v>
      </c>
      <c r="E13" s="22">
        <f>Sheet1!AM10</f>
        <v>31</v>
      </c>
      <c r="F13" s="25">
        <v>45</v>
      </c>
      <c r="G13" s="23">
        <f t="shared" si="0"/>
        <v>7500</v>
      </c>
      <c r="H13" s="22">
        <f t="shared" si="1"/>
        <v>1000</v>
      </c>
      <c r="I13" s="22">
        <f t="shared" si="2"/>
        <v>2400</v>
      </c>
      <c r="J13" s="22">
        <f t="shared" si="3"/>
        <v>1400.0000000000002</v>
      </c>
      <c r="K13" s="23">
        <f t="shared" si="4"/>
        <v>44800</v>
      </c>
      <c r="L13" s="27">
        <f t="shared" si="5"/>
        <v>0</v>
      </c>
      <c r="M13" s="22">
        <f t="shared" si="6"/>
        <v>448</v>
      </c>
      <c r="N13" s="24">
        <f>SUMIF(Sheet3!$A$6:$A$15,Sheet2!A13,Sheet3!$AI$6:$AI$15)</f>
        <v>0</v>
      </c>
      <c r="O13" s="26"/>
      <c r="P13" s="26"/>
    </row>
    <row r="14" spans="1:16" x14ac:dyDescent="0.25">
      <c r="A14" s="25" t="s">
        <v>40</v>
      </c>
      <c r="B14" s="25" t="s">
        <v>22</v>
      </c>
      <c r="C14" s="25" t="s">
        <v>18</v>
      </c>
      <c r="D14" s="25">
        <v>55000</v>
      </c>
      <c r="E14" s="22">
        <f>Sheet1!AM11</f>
        <v>31</v>
      </c>
      <c r="F14" s="25">
        <v>34</v>
      </c>
      <c r="G14" s="23">
        <f t="shared" si="0"/>
        <v>7791.6666666666661</v>
      </c>
      <c r="H14" s="22">
        <f t="shared" si="1"/>
        <v>1375</v>
      </c>
      <c r="I14" s="22">
        <f t="shared" si="2"/>
        <v>3300</v>
      </c>
      <c r="J14" s="22">
        <f t="shared" si="3"/>
        <v>1925.0000000000002</v>
      </c>
      <c r="K14" s="23">
        <f t="shared" si="4"/>
        <v>61600</v>
      </c>
      <c r="L14" s="27">
        <f t="shared" si="5"/>
        <v>739.2</v>
      </c>
      <c r="M14" s="22">
        <f t="shared" si="6"/>
        <v>616</v>
      </c>
      <c r="N14" s="24">
        <f>SUMIF(Sheet3!$A$6:$A$15,Sheet2!A14,Sheet3!$AI$6:$AI$15)</f>
        <v>0</v>
      </c>
      <c r="O14" s="26"/>
      <c r="P14" s="26"/>
    </row>
    <row r="15" spans="1:16" x14ac:dyDescent="0.25">
      <c r="A15" s="25" t="s">
        <v>41</v>
      </c>
      <c r="B15" s="25" t="s">
        <v>23</v>
      </c>
      <c r="C15" s="25" t="s">
        <v>24</v>
      </c>
      <c r="D15" s="25">
        <v>20000</v>
      </c>
      <c r="E15" s="22">
        <f>Sheet1!AM12</f>
        <v>31</v>
      </c>
      <c r="F15" s="25">
        <v>32</v>
      </c>
      <c r="G15" s="23">
        <f t="shared" si="0"/>
        <v>2666.6666666666665</v>
      </c>
      <c r="H15" s="22">
        <f t="shared" si="1"/>
        <v>400</v>
      </c>
      <c r="I15" s="22">
        <f t="shared" si="2"/>
        <v>1000</v>
      </c>
      <c r="J15" s="22">
        <f t="shared" si="3"/>
        <v>600</v>
      </c>
      <c r="K15" s="23">
        <f t="shared" si="4"/>
        <v>22000</v>
      </c>
      <c r="L15" s="27">
        <f t="shared" si="5"/>
        <v>0</v>
      </c>
      <c r="M15" s="22">
        <f t="shared" si="6"/>
        <v>220</v>
      </c>
      <c r="N15" s="24">
        <f>SUMIF(Sheet3!$A$6:$A$15,Sheet2!A15,Sheet3!$AI$6:$AI$15)</f>
        <v>0</v>
      </c>
      <c r="O15" s="26"/>
      <c r="P15" s="26"/>
    </row>
  </sheetData>
  <mergeCells count="16">
    <mergeCell ref="P3:P5"/>
    <mergeCell ref="G3:G5"/>
    <mergeCell ref="H3:K3"/>
    <mergeCell ref="H4:J4"/>
    <mergeCell ref="K4:K5"/>
    <mergeCell ref="L3:O3"/>
    <mergeCell ref="L4:L5"/>
    <mergeCell ref="M4:M5"/>
    <mergeCell ref="N4:N5"/>
    <mergeCell ref="O4:O5"/>
    <mergeCell ref="F3:F5"/>
    <mergeCell ref="B3:B5"/>
    <mergeCell ref="C3:C5"/>
    <mergeCell ref="D3:D5"/>
    <mergeCell ref="E3:E5"/>
    <mergeCell ref="A3:A5"/>
  </mergeCells>
  <conditionalFormatting sqref="B6:M6 B7:D10 F7:F10 E7:E15 G7:M15">
    <cfRule type="expression" dxfId="0" priority="5">
      <formula>$C6=$O$9</formula>
    </cfRule>
  </conditionalFormatting>
  <pageMargins left="0.7" right="0.7" top="0.75" bottom="0.75" header="0.3" footer="0.3"/>
  <pageSetup paperSize="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I15"/>
  <sheetViews>
    <sheetView tabSelected="1" workbookViewId="0">
      <selection activeCell="F8" sqref="F8"/>
    </sheetView>
  </sheetViews>
  <sheetFormatPr defaultRowHeight="15" x14ac:dyDescent="0.25"/>
  <cols>
    <col min="1" max="1" width="9.5703125" bestFit="1" customWidth="1"/>
    <col min="2" max="2" width="11.7109375" bestFit="1" customWidth="1"/>
    <col min="3" max="3" width="13.28515625" bestFit="1" customWidth="1"/>
    <col min="4" max="4" width="6.140625" bestFit="1" customWidth="1"/>
  </cols>
  <sheetData>
    <row r="3" spans="1:35" x14ac:dyDescent="0.25">
      <c r="A3" s="21" t="s">
        <v>43</v>
      </c>
      <c r="B3" s="21" t="s">
        <v>42</v>
      </c>
      <c r="C3" s="21" t="s">
        <v>4</v>
      </c>
      <c r="D3" s="40" t="s">
        <v>55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2"/>
      <c r="AI3" s="46" t="s">
        <v>54</v>
      </c>
    </row>
    <row r="4" spans="1:35" x14ac:dyDescent="0.25">
      <c r="A4" s="21"/>
      <c r="B4" s="21"/>
      <c r="C4" s="21"/>
      <c r="D4" s="43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5"/>
      <c r="AI4" s="47"/>
    </row>
    <row r="5" spans="1:35" x14ac:dyDescent="0.25">
      <c r="A5" s="21"/>
      <c r="B5" s="21"/>
      <c r="C5" s="21"/>
      <c r="D5" s="49">
        <v>44774</v>
      </c>
      <c r="E5" s="50">
        <v>44775</v>
      </c>
      <c r="F5" s="50">
        <v>44776</v>
      </c>
      <c r="G5" s="50">
        <v>44777</v>
      </c>
      <c r="H5" s="50">
        <v>44778</v>
      </c>
      <c r="I5" s="50">
        <v>44779</v>
      </c>
      <c r="J5" s="50">
        <v>44780</v>
      </c>
      <c r="K5" s="50">
        <v>44781</v>
      </c>
      <c r="L5" s="50">
        <v>44782</v>
      </c>
      <c r="M5" s="50">
        <v>44783</v>
      </c>
      <c r="N5" s="50">
        <v>44784</v>
      </c>
      <c r="O5" s="50">
        <v>44785</v>
      </c>
      <c r="P5" s="50">
        <v>44786</v>
      </c>
      <c r="Q5" s="50">
        <v>44787</v>
      </c>
      <c r="R5" s="50">
        <v>44788</v>
      </c>
      <c r="S5" s="50">
        <v>44789</v>
      </c>
      <c r="T5" s="50">
        <v>44790</v>
      </c>
      <c r="U5" s="50">
        <v>44791</v>
      </c>
      <c r="V5" s="50">
        <v>44792</v>
      </c>
      <c r="W5" s="50">
        <v>44793</v>
      </c>
      <c r="X5" s="50">
        <v>44794</v>
      </c>
      <c r="Y5" s="50">
        <v>44795</v>
      </c>
      <c r="Z5" s="50">
        <v>44796</v>
      </c>
      <c r="AA5" s="50">
        <v>44797</v>
      </c>
      <c r="AB5" s="50">
        <v>44798</v>
      </c>
      <c r="AC5" s="50">
        <v>44799</v>
      </c>
      <c r="AD5" s="50">
        <v>44800</v>
      </c>
      <c r="AE5" s="50">
        <v>44801</v>
      </c>
      <c r="AF5" s="50">
        <v>44802</v>
      </c>
      <c r="AG5" s="50">
        <v>44803</v>
      </c>
      <c r="AH5" s="50">
        <v>44804</v>
      </c>
      <c r="AI5" s="48"/>
    </row>
    <row r="6" spans="1:35" x14ac:dyDescent="0.25">
      <c r="A6" s="20" t="s">
        <v>32</v>
      </c>
      <c r="B6" s="20" t="str">
        <f>VLOOKUP(A6,Sheet2!$A$6:$C$15,2,0)</f>
        <v>Asad</v>
      </c>
      <c r="C6" s="20" t="str">
        <f>VLOOKUP(A6,Sheet2!$A$6:$C$15,3,0)</f>
        <v>Manager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>
        <f>SUM(D6:AH6)</f>
        <v>0</v>
      </c>
    </row>
    <row r="7" spans="1:35" x14ac:dyDescent="0.25">
      <c r="A7" s="20" t="s">
        <v>33</v>
      </c>
      <c r="B7" s="20" t="str">
        <f>VLOOKUP(A7,Sheet2!$A$6:$C$15,2,0)</f>
        <v>Ebad</v>
      </c>
      <c r="C7" s="20" t="str">
        <f>VLOOKUP(A7,Sheet2!$A$6:$C$15,3,0)</f>
        <v>Designer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>
        <f t="shared" ref="AI7:AI15" si="0">SUM(D7:AH7)</f>
        <v>0</v>
      </c>
    </row>
    <row r="8" spans="1:35" x14ac:dyDescent="0.25">
      <c r="A8" s="20" t="s">
        <v>34</v>
      </c>
      <c r="B8" s="20" t="str">
        <f>VLOOKUP(A8,Sheet2!$A$6:$C$15,2,0)</f>
        <v>Afnan</v>
      </c>
      <c r="C8" s="20" t="str">
        <f>VLOOKUP(A8,Sheet2!$A$6:$C$15,3,0)</f>
        <v>Developer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>
        <f t="shared" si="0"/>
        <v>0</v>
      </c>
    </row>
    <row r="9" spans="1:35" x14ac:dyDescent="0.25">
      <c r="A9" s="20" t="s">
        <v>35</v>
      </c>
      <c r="B9" s="20" t="str">
        <f>VLOOKUP(A9,Sheet2!$A$6:$C$15,2,0)</f>
        <v>Fayyaz</v>
      </c>
      <c r="C9" s="20" t="str">
        <f>VLOOKUP(A9,Sheet2!$A$6:$C$15,3,0)</f>
        <v>Jr. Developer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>
        <f t="shared" si="0"/>
        <v>0</v>
      </c>
    </row>
    <row r="10" spans="1:35" x14ac:dyDescent="0.25">
      <c r="A10" s="20" t="s">
        <v>36</v>
      </c>
      <c r="B10" s="20" t="str">
        <f>VLOOKUP(A10,Sheet2!$A$6:$C$15,2,0)</f>
        <v>Faisal</v>
      </c>
      <c r="C10" s="20" t="str">
        <f>VLOOKUP(A10,Sheet2!$A$6:$C$15,3,0)</f>
        <v>Designer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>
        <f t="shared" si="0"/>
        <v>0</v>
      </c>
    </row>
    <row r="11" spans="1:35" x14ac:dyDescent="0.25">
      <c r="A11" s="20" t="s">
        <v>37</v>
      </c>
      <c r="B11" s="20" t="str">
        <f>VLOOKUP(A11,Sheet2!$A$6:$C$15,2,0)</f>
        <v>Naeem</v>
      </c>
      <c r="C11" s="20" t="str">
        <f>VLOOKUP(A11,Sheet2!$A$6:$C$15,3,0)</f>
        <v>Developer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>
        <f t="shared" si="0"/>
        <v>0</v>
      </c>
    </row>
    <row r="12" spans="1:35" x14ac:dyDescent="0.25">
      <c r="A12" s="20" t="s">
        <v>38</v>
      </c>
      <c r="B12" s="20" t="str">
        <f>VLOOKUP(A12,Sheet2!$A$6:$C$15,2,0)</f>
        <v>Qasim</v>
      </c>
      <c r="C12" s="20" t="str">
        <f>VLOOKUP(A12,Sheet2!$A$6:$C$15,3,0)</f>
        <v>Manager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>
        <f t="shared" si="0"/>
        <v>0</v>
      </c>
    </row>
    <row r="13" spans="1:35" x14ac:dyDescent="0.25">
      <c r="A13" s="20" t="s">
        <v>39</v>
      </c>
      <c r="B13" s="20" t="str">
        <f>VLOOKUP(A13,Sheet2!$A$6:$C$15,2,0)</f>
        <v>Majid</v>
      </c>
      <c r="C13" s="20" t="str">
        <f>VLOOKUP(A13,Sheet2!$A$6:$C$15,3,0)</f>
        <v>Developer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>
        <f t="shared" si="0"/>
        <v>0</v>
      </c>
    </row>
    <row r="14" spans="1:35" x14ac:dyDescent="0.25">
      <c r="A14" s="20" t="s">
        <v>40</v>
      </c>
      <c r="B14" s="20" t="str">
        <f>VLOOKUP(A14,Sheet2!$A$6:$C$15,2,0)</f>
        <v>Furqan</v>
      </c>
      <c r="C14" s="20" t="str">
        <f>VLOOKUP(A14,Sheet2!$A$6:$C$15,3,0)</f>
        <v>Designer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>
        <f t="shared" si="0"/>
        <v>0</v>
      </c>
    </row>
    <row r="15" spans="1:35" x14ac:dyDescent="0.25">
      <c r="A15" s="20" t="s">
        <v>41</v>
      </c>
      <c r="B15" s="20" t="str">
        <f>VLOOKUP(A15,Sheet2!$A$6:$C$15,2,0)</f>
        <v>Farooq</v>
      </c>
      <c r="C15" s="20" t="str">
        <f>VLOOKUP(A15,Sheet2!$A$6:$C$15,3,0)</f>
        <v>Jr. Developer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>
        <f t="shared" si="0"/>
        <v>0</v>
      </c>
    </row>
  </sheetData>
  <mergeCells count="5">
    <mergeCell ref="A3:A5"/>
    <mergeCell ref="B3:B5"/>
    <mergeCell ref="C3:C5"/>
    <mergeCell ref="AI3:AI5"/>
    <mergeCell ref="D3:AH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Sheet2!$A$6:$A$15</xm:f>
          </x14:formula1>
          <xm:sqref>A6:A15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</cp:lastModifiedBy>
  <dcterms:created xsi:type="dcterms:W3CDTF">2022-08-25T22:49:00Z</dcterms:created>
  <dcterms:modified xsi:type="dcterms:W3CDTF">2022-08-31T01:30:35Z</dcterms:modified>
</cp:coreProperties>
</file>