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firstSheet="7" activeTab="9"/>
  </bookViews>
  <sheets>
    <sheet name="result sheet ECE" sheetId="1" r:id="rId1"/>
    <sheet name="result sheet I" sheetId="17" r:id="rId2"/>
    <sheet name="result sheet II" sheetId="18" r:id="rId3"/>
    <sheet name="result sheet III" sheetId="19" r:id="rId4"/>
    <sheet name="result sheet IV" sheetId="20" r:id="rId5"/>
    <sheet name="result sheet V" sheetId="21" r:id="rId6"/>
    <sheet name="staff details" sheetId="2" r:id="rId7"/>
    <sheet name="leave record" sheetId="3" r:id="rId8"/>
    <sheet name="student strength record" sheetId="4" r:id="rId9"/>
    <sheet name="staff attendance %" sheetId="5" r:id="rId10"/>
    <sheet name="ACTIVITIES STATUS" sheetId="6" r:id="rId11"/>
    <sheet name="Current Enrollment" sheetId="7" r:id="rId12"/>
    <sheet name="Student Attendance %" sheetId="9" r:id="rId13"/>
    <sheet name="board result" sheetId="10" r:id="rId14"/>
    <sheet name="TNA" sheetId="11" r:id="rId15"/>
    <sheet name="TD" sheetId="12" r:id="rId16"/>
    <sheet name="PTM RECORD" sheetId="13" r:id="rId17"/>
    <sheet name="summary" sheetId="14" r:id="rId18"/>
    <sheet name="Sheet2" sheetId="15" r:id="rId19"/>
    <sheet name="Sheet1" sheetId="16" r:id="rId20"/>
  </sheets>
  <definedNames>
    <definedName name="_xlnm.Print_Area" localSheetId="10">'ACTIVITIES STATUS'!$A$1:$H$57</definedName>
    <definedName name="_xlnm.Print_Area" localSheetId="7">'leave record'!$A$1:$AT$84</definedName>
    <definedName name="_xlnm.Print_Area" localSheetId="9">'staff attendance %'!$A$1:$I$68</definedName>
    <definedName name="_xlnm.Print_Area" localSheetId="12">'Student Attendance %'!$A$1:$W$100</definedName>
    <definedName name="_xlnm.Print_Area" localSheetId="8">'student strength record'!$A$1:$K$86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<sst xmlns="http://schemas.openxmlformats.org/spreadsheetml/2006/main" count="2036" uniqueCount="756">
  <si>
    <t>Sindh Madressah Board</t>
  </si>
  <si>
    <t>School Name______GBPS HASSAN PANHWAR _____________________________________________</t>
  </si>
  <si>
    <t>Mid Term Examination</t>
  </si>
  <si>
    <t>Class ECE</t>
  </si>
  <si>
    <t>SR#</t>
  </si>
  <si>
    <t>GR#</t>
  </si>
  <si>
    <t>Student Name</t>
  </si>
  <si>
    <t>Father Name</t>
  </si>
  <si>
    <t>English</t>
  </si>
  <si>
    <t>Maths</t>
  </si>
  <si>
    <t>GK</t>
  </si>
  <si>
    <t>Sindhi</t>
  </si>
  <si>
    <t>Drawing</t>
  </si>
  <si>
    <t>Total Marks</t>
  </si>
  <si>
    <t>Obt Marks</t>
  </si>
  <si>
    <t>%</t>
  </si>
  <si>
    <t>Grade</t>
  </si>
  <si>
    <t>Remarks</t>
  </si>
  <si>
    <t>Abdul rasheed</t>
  </si>
  <si>
    <t>Shakeel Ahmed</t>
  </si>
  <si>
    <t>Izhaar Ali</t>
  </si>
  <si>
    <t>Javed Ali</t>
  </si>
  <si>
    <t>Shafkat Ali</t>
  </si>
  <si>
    <t>Shaukat Ali</t>
  </si>
  <si>
    <t>Waqar Ali</t>
  </si>
  <si>
    <t>Daulan Khan</t>
  </si>
  <si>
    <t>Jameel Ahmed</t>
  </si>
  <si>
    <t>Nabi Buksh</t>
  </si>
  <si>
    <t>Adnan Khan</t>
  </si>
  <si>
    <t>Israr Khan</t>
  </si>
  <si>
    <t>Abdul Wahid</t>
  </si>
  <si>
    <t>Abdul Jabbar</t>
  </si>
  <si>
    <t>Abdul Wahab</t>
  </si>
  <si>
    <t>Abdul Hafeez</t>
  </si>
  <si>
    <t>Abdul Waheed Soomro</t>
  </si>
  <si>
    <t>Ameer Hamza</t>
  </si>
  <si>
    <t>Abdul Rehman</t>
  </si>
  <si>
    <t>Mukhtayar Ali</t>
  </si>
  <si>
    <t>Arsalaan Ali</t>
  </si>
  <si>
    <t>Ghulam Akbar</t>
  </si>
  <si>
    <t>Rizwan</t>
  </si>
  <si>
    <t>Ahsaan Ali</t>
  </si>
  <si>
    <t>Faizan</t>
  </si>
  <si>
    <t>Ibrahim Ahmed</t>
  </si>
  <si>
    <t>Ahmed Ali Soomro</t>
  </si>
  <si>
    <t>Mehboob Ali</t>
  </si>
  <si>
    <t>Manzoor Hussain</t>
  </si>
  <si>
    <t>Tauheed Ali</t>
  </si>
  <si>
    <t>Imran Ali</t>
  </si>
  <si>
    <t>Farhaan Ali</t>
  </si>
  <si>
    <t>Muhammad Nawaaz</t>
  </si>
  <si>
    <t>Manzoor Ali</t>
  </si>
  <si>
    <t>Abdullah</t>
  </si>
  <si>
    <t>Mahmood Hussain Soomro</t>
  </si>
  <si>
    <t>Ahmed Ali</t>
  </si>
  <si>
    <t>Manthar Ali Chandio</t>
  </si>
  <si>
    <t>Akram Ali</t>
  </si>
  <si>
    <t>Muhammad Yaseen Soomro</t>
  </si>
  <si>
    <t>Kifayat Ali</t>
  </si>
  <si>
    <t>Inayat Ali Soomro</t>
  </si>
  <si>
    <t>Shamsheer Ali Panhwar</t>
  </si>
  <si>
    <t>Shahnawaz</t>
  </si>
  <si>
    <t>Ghulam Ussain Sethaar</t>
  </si>
  <si>
    <t>Zainub</t>
  </si>
  <si>
    <t>Abdul Ghaffar Gopank</t>
  </si>
  <si>
    <t>Safeera</t>
  </si>
  <si>
    <t>Shafique Ahmed</t>
  </si>
  <si>
    <t>Alishba</t>
  </si>
  <si>
    <t>Gulzar Ali</t>
  </si>
  <si>
    <t>Samina</t>
  </si>
  <si>
    <t>Ameer Buksh</t>
  </si>
  <si>
    <t>Neelum pari</t>
  </si>
  <si>
    <t xml:space="preserve">Ayaz Ali </t>
  </si>
  <si>
    <t>Anmol</t>
  </si>
  <si>
    <t>Javed Ali Ujjan</t>
  </si>
  <si>
    <t>Urooj</t>
  </si>
  <si>
    <t>Nimra Khan</t>
  </si>
  <si>
    <t>Riyaz Ali</t>
  </si>
  <si>
    <t>Azra Khan</t>
  </si>
  <si>
    <t>Ayat Khatoon</t>
  </si>
  <si>
    <t>Inayat Ali</t>
  </si>
  <si>
    <t>Noor Suraiya</t>
  </si>
  <si>
    <t>Anabia</t>
  </si>
  <si>
    <t>Muhammad Ismail</t>
  </si>
  <si>
    <t>Nargis</t>
  </si>
  <si>
    <t>Abdul Aziz</t>
  </si>
  <si>
    <t>Sumera</t>
  </si>
  <si>
    <t>Mashooq Ali</t>
  </si>
  <si>
    <t>Alisha</t>
  </si>
  <si>
    <t>Akbar Sodar</t>
  </si>
  <si>
    <t>Rubab</t>
  </si>
  <si>
    <t>Ashfaq</t>
  </si>
  <si>
    <t>Sher Bano</t>
  </si>
  <si>
    <t>Alvera Khatoon</t>
  </si>
  <si>
    <t>Muhammad Pnajal</t>
  </si>
  <si>
    <t>Sumaiya Khatoon</t>
  </si>
  <si>
    <t>Shahnila</t>
  </si>
  <si>
    <t>Habibullah Sethar</t>
  </si>
  <si>
    <t>Urwah</t>
  </si>
  <si>
    <t>Ayaz Ali Jatoi</t>
  </si>
  <si>
    <t>Ghulam Sughran</t>
  </si>
  <si>
    <t>Taiyaba</t>
  </si>
  <si>
    <t>Arshad Ali</t>
  </si>
  <si>
    <t>Sania</t>
  </si>
  <si>
    <t>Sadaf Khatoon</t>
  </si>
  <si>
    <t>Mumtaz Ali</t>
  </si>
  <si>
    <t xml:space="preserve">Aisha </t>
  </si>
  <si>
    <t>Sahiba Zameer</t>
  </si>
  <si>
    <t>Gahno lodro</t>
  </si>
  <si>
    <t>Asia Zameer</t>
  </si>
  <si>
    <t>Kulsoom Zameer</t>
  </si>
  <si>
    <t>Kaneez Fatima</t>
  </si>
  <si>
    <t>Ghulam Abbass</t>
  </si>
  <si>
    <t>Sarfaraz Umeed Ali</t>
  </si>
  <si>
    <t>Umeed Ali</t>
  </si>
  <si>
    <t>Muhammad Hussain Asif</t>
  </si>
  <si>
    <t>Asif Ali</t>
  </si>
  <si>
    <t>Sajjad Hussain Asif</t>
  </si>
  <si>
    <t>Sadaqat Ali Raheem</t>
  </si>
  <si>
    <t>Raheem Buksh</t>
  </si>
  <si>
    <t xml:space="preserve">Muhammad rafique </t>
  </si>
  <si>
    <t>Abdul Rasheed</t>
  </si>
  <si>
    <t>Abdul Ahad</t>
  </si>
  <si>
    <t>Haider Ali</t>
  </si>
  <si>
    <t>Ali Buksh Bhuttho</t>
  </si>
  <si>
    <t xml:space="preserve">Rehan </t>
  </si>
  <si>
    <t>Riaz Ali</t>
  </si>
  <si>
    <t>Mulazim Hussain</t>
  </si>
  <si>
    <t>Shazain</t>
  </si>
  <si>
    <t>Shahid Ali</t>
  </si>
  <si>
    <t>Safi Ullah Abdul Khaliq</t>
  </si>
  <si>
    <t>Abdul Khalid Tonio</t>
  </si>
  <si>
    <t xml:space="preserve">Ameer Hamza </t>
  </si>
  <si>
    <t>Sharaf Uddin</t>
  </si>
  <si>
    <t>Muhammad Arif Wahid</t>
  </si>
  <si>
    <t>Wahid Buksh</t>
  </si>
  <si>
    <t>Kambar Ali Ghulam</t>
  </si>
  <si>
    <t>Ghulam Abbas</t>
  </si>
  <si>
    <t>Somar Ali Muhammad Hassan</t>
  </si>
  <si>
    <t>Muhammad Hassan Saudar</t>
  </si>
  <si>
    <t>Amjad Ali Muhammad Hassan</t>
  </si>
  <si>
    <t>Muhammad Jaman Panhwar</t>
  </si>
  <si>
    <t>Azmat Ali Shaukat Ali</t>
  </si>
  <si>
    <t>Anaaz Ali Shaukat Ali</t>
  </si>
  <si>
    <t>Shaukat ali</t>
  </si>
  <si>
    <t>Imam uddin Shaukat Ali</t>
  </si>
  <si>
    <t>Jaleel</t>
  </si>
  <si>
    <t>Mooso</t>
  </si>
  <si>
    <t>Muhammad Saleem Ashiq Ali</t>
  </si>
  <si>
    <t>Ashiq Ali Chandio</t>
  </si>
  <si>
    <t>Yasir Ali</t>
  </si>
  <si>
    <t>Imran Khan</t>
  </si>
  <si>
    <t>Noman Ali</t>
  </si>
  <si>
    <t>Meer Rizwan Ali</t>
  </si>
  <si>
    <t>Rafique Ahmed Kolachi</t>
  </si>
  <si>
    <t>Meer Rehan Ali</t>
  </si>
  <si>
    <t>Salman Ali</t>
  </si>
  <si>
    <t>Amir Ali</t>
  </si>
  <si>
    <t>Waleed Ali</t>
  </si>
  <si>
    <t>Waheed Ali</t>
  </si>
  <si>
    <t>Peer Muhammad Shah</t>
  </si>
  <si>
    <t>Nazeer Ahmed</t>
  </si>
  <si>
    <t>Muhammad Shahzaib</t>
  </si>
  <si>
    <t>Muhammad Sajid</t>
  </si>
  <si>
    <t>Umair Ali</t>
  </si>
  <si>
    <t>Humaid Ali</t>
  </si>
  <si>
    <t>Zohaib Ali</t>
  </si>
  <si>
    <t>Nadeem Ali</t>
  </si>
  <si>
    <t>Zahid Ali</t>
  </si>
  <si>
    <t>Ali Raza</t>
  </si>
  <si>
    <t>Waseem Ali</t>
  </si>
  <si>
    <t>Rayan Ali</t>
  </si>
  <si>
    <t>Arif Ali</t>
  </si>
  <si>
    <t>Muhammad Umar</t>
  </si>
  <si>
    <t xml:space="preserve">Muhammad Raheem </t>
  </si>
  <si>
    <t>Muhammad Mehmood</t>
  </si>
  <si>
    <t>Yaar Muhammad</t>
  </si>
  <si>
    <t>Sheraz Ali</t>
  </si>
  <si>
    <t>Imtiaz Ali</t>
  </si>
  <si>
    <t>Niaz Ali</t>
  </si>
  <si>
    <t>Saif Ullah</t>
  </si>
  <si>
    <t>Abdul Salam</t>
  </si>
  <si>
    <t xml:space="preserve">Muhamad Yousuf </t>
  </si>
  <si>
    <t>Saddam</t>
  </si>
  <si>
    <t>Sajjad Ali</t>
  </si>
  <si>
    <t>Allah Rakhio Chandio</t>
  </si>
  <si>
    <t>Sameer Ali</t>
  </si>
  <si>
    <t>Abdul Raheem</t>
  </si>
  <si>
    <t>Nadeem</t>
  </si>
  <si>
    <t>Syed Meesum Raza</t>
  </si>
  <si>
    <t>Tamir Ali Shah</t>
  </si>
  <si>
    <t>Muhammad Musawar</t>
  </si>
  <si>
    <t>Muhammad Naveed</t>
  </si>
  <si>
    <t>Meero Panhwar</t>
  </si>
  <si>
    <t>Kashif Ali Panhwar</t>
  </si>
  <si>
    <t>Ghulam Ali Panhwar</t>
  </si>
  <si>
    <t xml:space="preserve"> Zahid Hussain</t>
  </si>
  <si>
    <t>Meer Darya Khan</t>
  </si>
  <si>
    <t>Maryam Khalid Ahmed</t>
  </si>
  <si>
    <t>Khalid Ahmed</t>
  </si>
  <si>
    <t>Aisha Khalid</t>
  </si>
  <si>
    <t>Khadija Minthar Ali</t>
  </si>
  <si>
    <t>Minthar Ali Chandio</t>
  </si>
  <si>
    <t>Aisha Aashiq</t>
  </si>
  <si>
    <t>Ashiq Marfani</t>
  </si>
  <si>
    <t>Rukhsana Khatoon</t>
  </si>
  <si>
    <t>Irfan Ali</t>
  </si>
  <si>
    <t>Mubeena Khatoon</t>
  </si>
  <si>
    <t>Nadir Hussain</t>
  </si>
  <si>
    <t>Zeba Jamal uddin</t>
  </si>
  <si>
    <t>Jamal uddin Pitafi</t>
  </si>
  <si>
    <t>Kibrai Inayat</t>
  </si>
  <si>
    <t xml:space="preserve">Umm-e- Farwah </t>
  </si>
  <si>
    <t>Ayaz Ali</t>
  </si>
  <si>
    <t xml:space="preserve">Masooma </t>
  </si>
  <si>
    <t>Shakeel Ali</t>
  </si>
  <si>
    <t>Hira</t>
  </si>
  <si>
    <t>Noor Muhammad Solangi</t>
  </si>
  <si>
    <t>Madiha Miyan</t>
  </si>
  <si>
    <t>Mian Dad Sithar</t>
  </si>
  <si>
    <t>Bisma Miyan</t>
  </si>
  <si>
    <t>Aisha Miyan</t>
  </si>
  <si>
    <t>Kausar Al Nisa</t>
  </si>
  <si>
    <t>Bisma Khatoon</t>
  </si>
  <si>
    <t>Munawer Ali</t>
  </si>
  <si>
    <t>Momina</t>
  </si>
  <si>
    <t>Sudheer Ahmed</t>
  </si>
  <si>
    <t>Seema Khatoon</t>
  </si>
  <si>
    <t>Reshma</t>
  </si>
  <si>
    <t>Asif Ahmed</t>
  </si>
  <si>
    <t>Rehana Akram</t>
  </si>
  <si>
    <t>Muhammad Akram</t>
  </si>
  <si>
    <t>Muskaan</t>
  </si>
  <si>
    <t>Farzana</t>
  </si>
  <si>
    <t>Safar Ahmed</t>
  </si>
  <si>
    <t>Muskaan Meherban</t>
  </si>
  <si>
    <t>Meherbaan Ali</t>
  </si>
  <si>
    <t>Arisha Khatoon</t>
  </si>
  <si>
    <t>Kaaz Bano</t>
  </si>
  <si>
    <t>Rehmat Ullah</t>
  </si>
  <si>
    <t>Mahnoor khatoon</t>
  </si>
  <si>
    <t>Rashid Hussain</t>
  </si>
  <si>
    <t>Bisma</t>
  </si>
  <si>
    <t>Manthar Ali</t>
  </si>
  <si>
    <t>Yaasran Bilawal</t>
  </si>
  <si>
    <t>Muhammad Bilawal</t>
  </si>
  <si>
    <t xml:space="preserve">Ruqaiya </t>
  </si>
  <si>
    <t>Tooba</t>
  </si>
  <si>
    <t>Nadeem Akhtar</t>
  </si>
  <si>
    <t>Samreen Pahnwar</t>
  </si>
  <si>
    <t>Muhammad Khan</t>
  </si>
  <si>
    <t xml:space="preserve">Sadaf </t>
  </si>
  <si>
    <t>Mehru Panhwar</t>
  </si>
  <si>
    <t xml:space="preserve">Noor </t>
  </si>
  <si>
    <t>Yusra Batool</t>
  </si>
  <si>
    <t>Tayyaba Muhammad</t>
  </si>
  <si>
    <t>Azeem Soomro</t>
  </si>
  <si>
    <t>Komal</t>
  </si>
  <si>
    <t>Muhammad Ali</t>
  </si>
  <si>
    <t>Aisha</t>
  </si>
  <si>
    <t>Dil Murad</t>
  </si>
  <si>
    <t>Madiha Hameed</t>
  </si>
  <si>
    <t>Abdul Hameed</t>
  </si>
  <si>
    <t>Aleeza</t>
  </si>
  <si>
    <t>Aziz Ullah</t>
  </si>
  <si>
    <t>Aasma</t>
  </si>
  <si>
    <t xml:space="preserve">Fatima </t>
  </si>
  <si>
    <t>Safdar Ali</t>
  </si>
  <si>
    <t xml:space="preserve">Gul Naaz </t>
  </si>
  <si>
    <t>Ali Gul</t>
  </si>
  <si>
    <t>Mehnaz</t>
  </si>
  <si>
    <t>Gul Muhammad</t>
  </si>
  <si>
    <t>Abdul Samand</t>
  </si>
  <si>
    <t>Kanwal</t>
  </si>
  <si>
    <t>Nadia</t>
  </si>
  <si>
    <t>Misbah</t>
  </si>
  <si>
    <t>Deedar Ali</t>
  </si>
  <si>
    <t>Ajwa Batool</t>
  </si>
  <si>
    <t>Khatija Kubra</t>
  </si>
  <si>
    <t>Nisar Ali Bhatti</t>
  </si>
  <si>
    <t>Seema</t>
  </si>
  <si>
    <t>Sahib</t>
  </si>
  <si>
    <t>Hafsa Khatoon</t>
  </si>
  <si>
    <t>Abdul Razzaq Soomro</t>
  </si>
  <si>
    <t>Ameer Zadi</t>
  </si>
  <si>
    <t>Muhammad Juman Panhwar</t>
  </si>
  <si>
    <t>Umm e maryam</t>
  </si>
  <si>
    <t>Abid Ali</t>
  </si>
  <si>
    <t>Hania Jamaal</t>
  </si>
  <si>
    <t>Jamal Uddin Patafi</t>
  </si>
  <si>
    <t>Salah Uddin Chandio</t>
  </si>
  <si>
    <t>Sonia</t>
  </si>
  <si>
    <t>Nizam uddin</t>
  </si>
  <si>
    <t>Laal Khatoon</t>
  </si>
  <si>
    <t>Uroosa Batool</t>
  </si>
  <si>
    <t>Javed Ali Kauri</t>
  </si>
  <si>
    <t>Dua</t>
  </si>
  <si>
    <t>Ghulam Mustafa</t>
  </si>
  <si>
    <t>Kulsoom</t>
  </si>
  <si>
    <t>Muneera</t>
  </si>
  <si>
    <t>Anwar Ali</t>
  </si>
  <si>
    <t>Muntaha Noor</t>
  </si>
  <si>
    <t>Bukhtawar Khatoon</t>
  </si>
  <si>
    <t>Muhammad Parel Mangi</t>
  </si>
  <si>
    <t>Sobia</t>
  </si>
  <si>
    <t>Ajab Khan Panhwar</t>
  </si>
  <si>
    <t>Kiran</t>
  </si>
  <si>
    <t>Maria</t>
  </si>
  <si>
    <t>Ghulam Qadir</t>
  </si>
  <si>
    <t>Gul Shah</t>
  </si>
  <si>
    <t>Muhammad Buksh</t>
  </si>
  <si>
    <t>Najeeb Ullah</t>
  </si>
  <si>
    <t>Asad Ullah Soomro</t>
  </si>
  <si>
    <t>C</t>
  </si>
  <si>
    <t>Ayan Ali</t>
  </si>
  <si>
    <t xml:space="preserve">Asad Ali </t>
  </si>
  <si>
    <t>D</t>
  </si>
  <si>
    <t>Jawad Ali</t>
  </si>
  <si>
    <t>Ghulam Raza Hassan</t>
  </si>
  <si>
    <t>Aijaz ALI Jatoi</t>
  </si>
  <si>
    <t>Ghulam Mehdi Hassan</t>
  </si>
  <si>
    <t>Arsalan Ali</t>
  </si>
  <si>
    <t>Shaman Ali</t>
  </si>
  <si>
    <t>ABS</t>
  </si>
  <si>
    <t>Husnain</t>
  </si>
  <si>
    <t>Uzair</t>
  </si>
  <si>
    <t>Khatir Khan</t>
  </si>
  <si>
    <t xml:space="preserve">Altaf </t>
  </si>
  <si>
    <t>Sahaib</t>
  </si>
  <si>
    <t>Abdul qayum</t>
  </si>
  <si>
    <t>Imam Buksh Panhwar</t>
  </si>
  <si>
    <t>Abdul Bilawal</t>
  </si>
  <si>
    <t>Ghulam Hussain Sethar</t>
  </si>
  <si>
    <t>B</t>
  </si>
  <si>
    <t>Naeem Jamaal</t>
  </si>
  <si>
    <t>Imaan Ali</t>
  </si>
  <si>
    <t>Israr</t>
  </si>
  <si>
    <t>Nizam Uddin</t>
  </si>
  <si>
    <t>Shahzeb Ali</t>
  </si>
  <si>
    <t>Waqar Khan</t>
  </si>
  <si>
    <t>Meeral Khan</t>
  </si>
  <si>
    <t>Shafqat Abbas</t>
  </si>
  <si>
    <t>Abdul Sami</t>
  </si>
  <si>
    <t>Ali Jaan</t>
  </si>
  <si>
    <t>Muharram Ali Soomro</t>
  </si>
  <si>
    <t>Atif</t>
  </si>
  <si>
    <t xml:space="preserve">Shaukat </t>
  </si>
  <si>
    <t>Muhammad Juman</t>
  </si>
  <si>
    <t>Saqib</t>
  </si>
  <si>
    <t>Javed</t>
  </si>
  <si>
    <t>Ayaz Ali Totani</t>
  </si>
  <si>
    <t>A</t>
  </si>
  <si>
    <t>Shehbaz Ali</t>
  </si>
  <si>
    <t>Waheed Ali Solangi</t>
  </si>
  <si>
    <t>Shahzeb</t>
  </si>
  <si>
    <t>Ali Hassan</t>
  </si>
  <si>
    <t>Altaf Hussain</t>
  </si>
  <si>
    <t>Aryaan</t>
  </si>
  <si>
    <t>Muneer Ali</t>
  </si>
  <si>
    <t xml:space="preserve">Shabeer </t>
  </si>
  <si>
    <t>Muneer Ahmed Sial</t>
  </si>
  <si>
    <t>Fazal Ur Rehman</t>
  </si>
  <si>
    <t>Khuda Buksh</t>
  </si>
  <si>
    <t>Meer Murtaza</t>
  </si>
  <si>
    <t>Zulfiqar Ali</t>
  </si>
  <si>
    <t xml:space="preserve">Junaid </t>
  </si>
  <si>
    <t>Zain Abdulllah</t>
  </si>
  <si>
    <t>Parvez Ali</t>
  </si>
  <si>
    <t>Najaf Ali</t>
  </si>
  <si>
    <t>Noman</t>
  </si>
  <si>
    <t>Ameer Shah</t>
  </si>
  <si>
    <t>Muhammad Raza</t>
  </si>
  <si>
    <t>Muhammad Hanif</t>
  </si>
  <si>
    <t>Class I</t>
  </si>
  <si>
    <t>Fayaz Hussain</t>
  </si>
  <si>
    <t>Qasim Aijaz Ali</t>
  </si>
  <si>
    <t>Aijaz Ali</t>
  </si>
  <si>
    <t>Khadim Hussain</t>
  </si>
  <si>
    <t>Meer Israr Hussain</t>
  </si>
  <si>
    <t>Shahid Hussain</t>
  </si>
  <si>
    <t>Faizan Ali</t>
  </si>
  <si>
    <t>Parvez Ali Bhand</t>
  </si>
  <si>
    <t>Salah Uddin</t>
  </si>
  <si>
    <t>Shoukat Ali</t>
  </si>
  <si>
    <t>Irshaad Ali</t>
  </si>
  <si>
    <t>Muhammad Hassan sodar</t>
  </si>
  <si>
    <t>Salman Khan</t>
  </si>
  <si>
    <t>Gulab Khan</t>
  </si>
  <si>
    <t xml:space="preserve">Sohail Khan </t>
  </si>
  <si>
    <t>Yasir Bilawal</t>
  </si>
  <si>
    <t>Qasir Bilawal</t>
  </si>
  <si>
    <t>FaizanRoshan  Ali</t>
  </si>
  <si>
    <t>Roshan Ali</t>
  </si>
  <si>
    <t>Abu Taraab Khan</t>
  </si>
  <si>
    <t>Madad Khan</t>
  </si>
  <si>
    <t>Atifa Ali</t>
  </si>
  <si>
    <t>Ali Buksh</t>
  </si>
  <si>
    <t>Khola Bibi</t>
  </si>
  <si>
    <t>Naila Bibi</t>
  </si>
  <si>
    <t xml:space="preserve">Mahida Khatoon </t>
  </si>
  <si>
    <t>Arbab Ali</t>
  </si>
  <si>
    <t>Gul Naaz Khatoon</t>
  </si>
  <si>
    <t>Muhammad Punjal</t>
  </si>
  <si>
    <t>Mai Sodi</t>
  </si>
  <si>
    <t>Sumaiya</t>
  </si>
  <si>
    <t>Abdul Rauf</t>
  </si>
  <si>
    <t>Bina Rafeeque</t>
  </si>
  <si>
    <t>Muhammad Rafique panhwer</t>
  </si>
  <si>
    <t xml:space="preserve">Maira </t>
  </si>
  <si>
    <t>Fatima Zehra</t>
  </si>
  <si>
    <t>Zahid Hussain Tahim</t>
  </si>
  <si>
    <t>Dua Batool</t>
  </si>
  <si>
    <t>Ayaaz Ali Jatoi</t>
  </si>
  <si>
    <t>Sidra</t>
  </si>
  <si>
    <t>Shahnawaz Sheikh</t>
  </si>
  <si>
    <t>Sawera</t>
  </si>
  <si>
    <t>Wajid Ali</t>
  </si>
  <si>
    <t>Qudrat Ullah</t>
  </si>
  <si>
    <t>Zehra Batool</t>
  </si>
  <si>
    <t>Nisar Ahmed</t>
  </si>
  <si>
    <t>Asia</t>
  </si>
  <si>
    <t>Aftab</t>
  </si>
  <si>
    <t>Benazir</t>
  </si>
  <si>
    <t>Abdul Razzaq</t>
  </si>
  <si>
    <t>Class II</t>
  </si>
  <si>
    <t>Urdu</t>
  </si>
  <si>
    <t>DRAWING</t>
  </si>
  <si>
    <t>Jaweria Bibi</t>
  </si>
  <si>
    <t>Asad Ullah</t>
  </si>
  <si>
    <t>Kausar Bibi</t>
  </si>
  <si>
    <t>Ghulam Fiza</t>
  </si>
  <si>
    <t>Khushbu Naz</t>
  </si>
  <si>
    <t>Fatima</t>
  </si>
  <si>
    <t>Minthaar Ali</t>
  </si>
  <si>
    <t>Maryam</t>
  </si>
  <si>
    <t>Hussain Buksh</t>
  </si>
  <si>
    <t>Naila</t>
  </si>
  <si>
    <t>Meharban Ali</t>
  </si>
  <si>
    <t>Anzila</t>
  </si>
  <si>
    <t xml:space="preserve">Nadia </t>
  </si>
  <si>
    <t>Sardaar Ali</t>
  </si>
  <si>
    <t xml:space="preserve">Waqadia </t>
  </si>
  <si>
    <t>Faiza</t>
  </si>
  <si>
    <t>Nabila</t>
  </si>
  <si>
    <t>Shahmeer</t>
  </si>
  <si>
    <t xml:space="preserve">Sajida </t>
  </si>
  <si>
    <t>Nirma</t>
  </si>
  <si>
    <t>Saba</t>
  </si>
  <si>
    <t>Laiba</t>
  </si>
  <si>
    <t>Ashiq Ali</t>
  </si>
  <si>
    <t>Laraib Khatoon</t>
  </si>
  <si>
    <t xml:space="preserve">Feeza </t>
  </si>
  <si>
    <t>Inayat Ullal Soomro</t>
  </si>
  <si>
    <t>Fiza</t>
  </si>
  <si>
    <t xml:space="preserve">Mehmood Hussain </t>
  </si>
  <si>
    <t>Badal Khan</t>
  </si>
  <si>
    <t>Bibi Ninsa</t>
  </si>
  <si>
    <t>Ulfat Ali Shah</t>
  </si>
  <si>
    <t>Yasmeen</t>
  </si>
  <si>
    <t>Muhammad Urs</t>
  </si>
  <si>
    <t>Suhana</t>
  </si>
  <si>
    <t>Akbar Saudar</t>
  </si>
  <si>
    <t>Aleena Ali</t>
  </si>
  <si>
    <t>Ali Buksh Bhutto</t>
  </si>
  <si>
    <t>Amna Rani</t>
  </si>
  <si>
    <t>Ghulam Murtaza</t>
  </si>
  <si>
    <t>Muqaddas</t>
  </si>
  <si>
    <t>Wazeer Ali</t>
  </si>
  <si>
    <t xml:space="preserve">Rabia </t>
  </si>
  <si>
    <t>Muhammad Idrees</t>
  </si>
  <si>
    <t>Panah Khatoon</t>
  </si>
  <si>
    <t>Muhammad Yousuf Abbasi</t>
  </si>
  <si>
    <t xml:space="preserve">Yaseen Ali </t>
  </si>
  <si>
    <t>Sudheer</t>
  </si>
  <si>
    <t>Ghulam Hadi</t>
  </si>
  <si>
    <t>Asad</t>
  </si>
  <si>
    <t>Meer Asif Ali</t>
  </si>
  <si>
    <t>Wilayat Ali</t>
  </si>
  <si>
    <t>Qadir Buksh</t>
  </si>
  <si>
    <t>Muhammad Waseem</t>
  </si>
  <si>
    <t>Muhammad Rafique</t>
  </si>
  <si>
    <t>Hussain Ali</t>
  </si>
  <si>
    <t>Riaz Hussain</t>
  </si>
  <si>
    <t>Nasir Ali</t>
  </si>
  <si>
    <t>Nisar Ali</t>
  </si>
  <si>
    <t>Abdul Ghaffar</t>
  </si>
  <si>
    <t>Syed Ghulam Hussain Shah</t>
  </si>
  <si>
    <t>Khadim Hussain Shah</t>
  </si>
  <si>
    <t>Shaman</t>
  </si>
  <si>
    <t>Rehan Ali</t>
  </si>
  <si>
    <t>Atta Muhammad</t>
  </si>
  <si>
    <t>Azad Ali</t>
  </si>
  <si>
    <t>Mujtaba</t>
  </si>
  <si>
    <t>Naimat Ullah</t>
  </si>
  <si>
    <t>Qudrat Ali</t>
  </si>
  <si>
    <t>Waqas Ali</t>
  </si>
  <si>
    <t>Muhammad Afzal</t>
  </si>
  <si>
    <t>Muhammad Hamza Shar</t>
  </si>
  <si>
    <t>Abdul Qadeer</t>
  </si>
  <si>
    <t>Abdul latif</t>
  </si>
  <si>
    <t>Waseem</t>
  </si>
  <si>
    <t>Mehmood Hussain Soomro</t>
  </si>
  <si>
    <t>Class III</t>
  </si>
  <si>
    <t>Islamait</t>
  </si>
  <si>
    <t>G.K</t>
  </si>
  <si>
    <t>Rashid Ali</t>
  </si>
  <si>
    <t>Farahat Ali</t>
  </si>
  <si>
    <t>Muhammad Ibrahim</t>
  </si>
  <si>
    <t xml:space="preserve">Ramzan </t>
  </si>
  <si>
    <t>Ismail</t>
  </si>
  <si>
    <t>Asad Ali</t>
  </si>
  <si>
    <t>Jaan  Muhammad</t>
  </si>
  <si>
    <t>Muhammad Zohaib</t>
  </si>
  <si>
    <t>Muhammad Yousuf</t>
  </si>
  <si>
    <t>Amir Hussain</t>
  </si>
  <si>
    <t>Abdul Kareem</t>
  </si>
  <si>
    <t>Dilbar Ali</t>
  </si>
  <si>
    <t>Saleem</t>
  </si>
  <si>
    <t>Ahmed Khan Panhwar</t>
  </si>
  <si>
    <t xml:space="preserve"> Ibrar Hussain</t>
  </si>
  <si>
    <t>Nazeer Hussain</t>
  </si>
  <si>
    <t>Meer Hassan</t>
  </si>
  <si>
    <t xml:space="preserve">Zaheer </t>
  </si>
  <si>
    <t xml:space="preserve">Asif </t>
  </si>
  <si>
    <t>Azra</t>
  </si>
  <si>
    <t>Muhammad Ilyas</t>
  </si>
  <si>
    <t>Nagina</t>
  </si>
  <si>
    <t>Reema</t>
  </si>
  <si>
    <t>Munawar Ali</t>
  </si>
  <si>
    <t>Iqra Bano</t>
  </si>
  <si>
    <t>Meena Ali</t>
  </si>
  <si>
    <t>Zara</t>
  </si>
  <si>
    <t xml:space="preserve">Maryam </t>
  </si>
  <si>
    <t>Khan Muhammad</t>
  </si>
  <si>
    <t>Dua Bibi</t>
  </si>
  <si>
    <t>Abid Hussain</t>
  </si>
  <si>
    <t>Zoya</t>
  </si>
  <si>
    <t>Bilawal</t>
  </si>
  <si>
    <t>Alisha Parveen</t>
  </si>
  <si>
    <t>Nazeer Husaain</t>
  </si>
  <si>
    <t>Fauzia</t>
  </si>
  <si>
    <t>Urooj Fatima</t>
  </si>
  <si>
    <t>Sadam Ali</t>
  </si>
  <si>
    <t>Class IV</t>
  </si>
  <si>
    <t>Science/GK</t>
  </si>
  <si>
    <t>S.St</t>
  </si>
  <si>
    <t>Islamiat</t>
  </si>
  <si>
    <t>Muhammad Yaqoob</t>
  </si>
  <si>
    <t>Zaid Ullah</t>
  </si>
  <si>
    <t>Allah Rakhio</t>
  </si>
  <si>
    <t>Akbar</t>
  </si>
  <si>
    <t>Muhammad Sadeeq</t>
  </si>
  <si>
    <t>Aryaan Ahmed Khan</t>
  </si>
  <si>
    <t>Ahmed Khan Jatoi</t>
  </si>
  <si>
    <t>Muhammad Amir</t>
  </si>
  <si>
    <t>Muhammad Yaseen</t>
  </si>
  <si>
    <t>Dil Muraad</t>
  </si>
  <si>
    <t xml:space="preserve">Malhaar </t>
  </si>
  <si>
    <t>Majid Ali</t>
  </si>
  <si>
    <t>Wazir Khan</t>
  </si>
  <si>
    <t xml:space="preserve">Dua </t>
  </si>
  <si>
    <t>Alveena</t>
  </si>
  <si>
    <t>Naima Meer</t>
  </si>
  <si>
    <t>Meer Maqbool</t>
  </si>
  <si>
    <t>Rafia</t>
  </si>
  <si>
    <t>Khushbu</t>
  </si>
  <si>
    <t>Zameer Hussain</t>
  </si>
  <si>
    <t>Alia</t>
  </si>
  <si>
    <t>Class V</t>
  </si>
  <si>
    <t>Akhtar Ali</t>
  </si>
  <si>
    <t>Muhammad Aslam</t>
  </si>
  <si>
    <t>Ahmed Khan</t>
  </si>
  <si>
    <t>Naveed Ali</t>
  </si>
  <si>
    <t>Sana Ullah</t>
  </si>
  <si>
    <t>Abdul Khaliq</t>
  </si>
  <si>
    <t>Rabia</t>
  </si>
  <si>
    <t>Noor Muhammad</t>
  </si>
  <si>
    <t>Uroosa Khatoon</t>
  </si>
  <si>
    <t>Muhammad Panjal</t>
  </si>
  <si>
    <t>Muhammad Laiq</t>
  </si>
  <si>
    <t>SINDH MADRESSAH BOARD</t>
  </si>
  <si>
    <t>Teaching and Non Teaching Staff</t>
  </si>
  <si>
    <t>School Name GHS SINDHI JAMAIT CO OPERATIVE SOCIETY</t>
  </si>
  <si>
    <t xml:space="preserve">SR# </t>
  </si>
  <si>
    <t>Teacher/Non teaching Name</t>
  </si>
  <si>
    <t>Govt/Private</t>
  </si>
  <si>
    <t>Designation</t>
  </si>
  <si>
    <t>Subjects/Department</t>
  </si>
  <si>
    <t>Categories</t>
  </si>
  <si>
    <t>SST, ST, PST etc)</t>
  </si>
  <si>
    <t>Current Status</t>
  </si>
  <si>
    <t>Transfer</t>
  </si>
  <si>
    <t>Deputation</t>
  </si>
  <si>
    <t>New Hiring</t>
  </si>
  <si>
    <t>HEAD MASTER</t>
  </si>
  <si>
    <t>Permanent</t>
  </si>
  <si>
    <t>H.M</t>
  </si>
  <si>
    <t>On Job</t>
  </si>
  <si>
    <t>Ansar Ali</t>
  </si>
  <si>
    <t>Teacher</t>
  </si>
  <si>
    <t>English,Islamiat,Urdu,Sindhi,Maths</t>
  </si>
  <si>
    <t>PST</t>
  </si>
  <si>
    <r>
      <rPr>
        <sz val="12"/>
        <color rgb="FF000000"/>
        <rFont val="Cambria"/>
        <charset val="134"/>
      </rPr>
      <t xml:space="preserve">Zameer Shah. </t>
    </r>
    <r>
      <rPr>
        <sz val="12"/>
        <color rgb="FF000000"/>
        <rFont val="Cambria"/>
        <charset val="134"/>
      </rPr>
      <t xml:space="preserve">       </t>
    </r>
  </si>
  <si>
    <t>Govt</t>
  </si>
  <si>
    <t>English,Urdu,Maths,Sindhi,S.St</t>
  </si>
  <si>
    <t xml:space="preserve">M.Aslam.          </t>
  </si>
  <si>
    <r>
      <rPr>
        <sz val="12"/>
        <color rgb="FF000000"/>
        <rFont val="Cambria"/>
        <charset val="134"/>
      </rPr>
      <t xml:space="preserve">M.Yahya. </t>
    </r>
    <r>
      <rPr>
        <sz val="12"/>
        <color rgb="FF000000"/>
        <rFont val="Cambria"/>
        <charset val="134"/>
      </rPr>
      <t xml:space="preserve">                </t>
    </r>
  </si>
  <si>
    <r>
      <rPr>
        <sz val="12"/>
        <color rgb="FF000000"/>
        <rFont val="Cambria"/>
        <charset val="134"/>
      </rPr>
      <t xml:space="preserve">Sumera. </t>
    </r>
    <r>
      <rPr>
        <sz val="12"/>
        <color rgb="FF000000"/>
        <rFont val="Cambria"/>
        <charset val="134"/>
      </rPr>
      <t xml:space="preserve">                  </t>
    </r>
  </si>
  <si>
    <t>English,Science,Social Study,</t>
  </si>
  <si>
    <t>ECT</t>
  </si>
  <si>
    <r>
      <rPr>
        <sz val="12"/>
        <color rgb="FF000000"/>
        <rFont val="Cambria"/>
        <charset val="134"/>
      </rPr>
      <t xml:space="preserve">Irum Shehzadi. </t>
    </r>
    <r>
      <rPr>
        <sz val="12"/>
        <color rgb="FF000000"/>
        <rFont val="Cambria"/>
        <charset val="134"/>
      </rPr>
      <t xml:space="preserve">         </t>
    </r>
  </si>
  <si>
    <r>
      <rPr>
        <sz val="12"/>
        <color rgb="FF000000"/>
        <rFont val="Cambria"/>
        <charset val="134"/>
      </rPr>
      <t xml:space="preserve">Nida Azam. </t>
    </r>
    <r>
      <rPr>
        <sz val="12"/>
        <color rgb="FF000000"/>
        <rFont val="Cambria"/>
        <charset val="134"/>
      </rPr>
      <t xml:space="preserve">        </t>
    </r>
  </si>
  <si>
    <t>English,Computer,Urdu,Maths</t>
  </si>
  <si>
    <r>
      <rPr>
        <sz val="12"/>
        <color rgb="FF000000"/>
        <rFont val="Cambria"/>
        <charset val="134"/>
      </rPr>
      <t xml:space="preserve">Saleem Ahmed. </t>
    </r>
    <r>
      <rPr>
        <sz val="12"/>
        <color rgb="FF000000"/>
        <rFont val="Cambria"/>
        <charset val="134"/>
      </rPr>
      <t xml:space="preserve">       </t>
    </r>
  </si>
  <si>
    <t>Non Teaching</t>
  </si>
  <si>
    <t>N/Q</t>
  </si>
  <si>
    <t xml:space="preserve">Leave Record </t>
  </si>
  <si>
    <r>
      <rPr>
        <b/>
        <sz val="16"/>
        <color theme="1"/>
        <rFont val="Calibri"/>
        <charset val="134"/>
        <scheme val="minor"/>
      </rPr>
      <t xml:space="preserve">School Name: </t>
    </r>
    <r>
      <rPr>
        <b/>
        <u/>
        <sz val="16"/>
        <color theme="1"/>
        <rFont val="Calibri"/>
        <charset val="134"/>
        <scheme val="minor"/>
      </rPr>
      <t>GBPS HASSAN PANHWAR</t>
    </r>
  </si>
  <si>
    <t>Month</t>
  </si>
  <si>
    <t>Types of Leave</t>
  </si>
  <si>
    <t>No. of Staff</t>
  </si>
  <si>
    <t>AUG</t>
  </si>
  <si>
    <t>Teaching Staff</t>
  </si>
  <si>
    <t>Casual</t>
  </si>
  <si>
    <t>Non Teaching Staff</t>
  </si>
  <si>
    <t>Medical</t>
  </si>
  <si>
    <t>NIL</t>
  </si>
  <si>
    <t>Annual</t>
  </si>
  <si>
    <t>Maternity</t>
  </si>
  <si>
    <t>SEP</t>
  </si>
  <si>
    <t>OCT</t>
  </si>
  <si>
    <t>NOV</t>
  </si>
  <si>
    <t>DEC</t>
  </si>
  <si>
    <t>JAN</t>
  </si>
  <si>
    <t>FEB</t>
  </si>
  <si>
    <t>MAR</t>
  </si>
  <si>
    <t>APR</t>
  </si>
  <si>
    <t>SINDH MADRESSAH board
STUDENTS MONTHLY STRENGTH RECORD
FOR THE MONTH OF MARCH</t>
  </si>
  <si>
    <t>CLASS</t>
  </si>
  <si>
    <t>TOTAL STUDENTS</t>
  </si>
  <si>
    <t>NEW ADMISSION</t>
  </si>
  <si>
    <t>DROPOUT</t>
  </si>
  <si>
    <t>PROMOTION</t>
  </si>
  <si>
    <t>RETENTION</t>
  </si>
  <si>
    <t>ECE</t>
  </si>
  <si>
    <t>No one promoted</t>
  </si>
  <si>
    <t>I</t>
  </si>
  <si>
    <t>II</t>
  </si>
  <si>
    <t>Nil</t>
  </si>
  <si>
    <t>III</t>
  </si>
  <si>
    <t>IV</t>
  </si>
  <si>
    <t>V</t>
  </si>
  <si>
    <t>SINDH MADRESSAH board
STUDENTS MONTHLY STRENGTH RECORD
FOR THE MONTH OF FEBRUARY</t>
  </si>
  <si>
    <t>SINDH MADRESSAH board
STUDENTS MONTHLY STRENGTH RECORD
FOR THE MONTH OF JANUARY</t>
  </si>
  <si>
    <t>FOR THE MONTH OF DECEMBER</t>
  </si>
  <si>
    <t>FOR THE MONTH OF NOVEMBER</t>
  </si>
  <si>
    <t>FOR THE MONTH OF OCTOBER</t>
  </si>
  <si>
    <t>FOR THE MONTH OF SEPTEMBER</t>
  </si>
  <si>
    <t>FOR THE MONTH OF AUGUST</t>
  </si>
  <si>
    <t>SINDH MADRESSAH board
TEACHING STAFF ATTENDANCE PERCENTAGE
FOR THE MONTH OF MARCH</t>
  </si>
  <si>
    <t>Base line Attendance</t>
  </si>
  <si>
    <t>Attendance in the Previous Quarter</t>
  </si>
  <si>
    <t>Current attendance</t>
  </si>
  <si>
    <t>HM &amp;COORDINATOR SIGN</t>
  </si>
  <si>
    <t>Teaching</t>
  </si>
  <si>
    <t>SEPT</t>
  </si>
  <si>
    <t>SINDH MADRESSAH board
ACTIVITIES STATUS
FOR THE MONTH OF ---------------------------------</t>
  </si>
  <si>
    <t>Orientation Day</t>
  </si>
  <si>
    <t>Independance Day Celebration</t>
  </si>
  <si>
    <t>Celebrated</t>
  </si>
  <si>
    <t>Mango Day (Montessori)</t>
  </si>
  <si>
    <t>Monthly Assessment</t>
  </si>
  <si>
    <t>Not Held</t>
  </si>
  <si>
    <t>Admission Closed</t>
  </si>
  <si>
    <t>PTM &amp; Monthly Result Announcemet</t>
  </si>
  <si>
    <t>Defence Day &amp; Plantation</t>
  </si>
  <si>
    <t>x</t>
  </si>
  <si>
    <t>Eid Milad un Nabi</t>
  </si>
  <si>
    <t>World Teacher Day</t>
  </si>
  <si>
    <t>Healthy Food Day</t>
  </si>
  <si>
    <t>not Held</t>
  </si>
  <si>
    <t>Iqbal Day Celebrartion</t>
  </si>
  <si>
    <t>World Children Day</t>
  </si>
  <si>
    <t>Sindhi Culture Day</t>
  </si>
  <si>
    <t>Health Day</t>
  </si>
  <si>
    <t>Mid Term examination</t>
  </si>
  <si>
    <t>Held</t>
  </si>
  <si>
    <t>Student week</t>
  </si>
  <si>
    <t>Start of Final Term</t>
  </si>
  <si>
    <t>PTM &amp; Mid Term Result Announcemet &amp; Science Exhibition</t>
  </si>
  <si>
    <t>PTM Called &amp; Mid Term Result Announced</t>
  </si>
  <si>
    <t>Winter Day Celebrartion &amp; Cleanliness Day</t>
  </si>
  <si>
    <t>01-feb-24 to 03-feb-24</t>
  </si>
  <si>
    <t>Color Day/Spring Festival</t>
  </si>
  <si>
    <t>APRIL</t>
  </si>
  <si>
    <t>Final Exams</t>
  </si>
  <si>
    <t>SINDH MADRESSAH board
Current Enrollment
FOR THE MONTH OF MARCH 2024</t>
  </si>
  <si>
    <t>BOYS</t>
  </si>
  <si>
    <t>GIRLS</t>
  </si>
  <si>
    <t>TOTAL</t>
  </si>
  <si>
    <t>TOTAL CATEGORY ATTENDANCE</t>
  </si>
  <si>
    <t>VI</t>
  </si>
  <si>
    <t>VII</t>
  </si>
  <si>
    <t>VIII</t>
  </si>
  <si>
    <t>IX</t>
  </si>
  <si>
    <t>X</t>
  </si>
  <si>
    <t>SINDH MADRESSAH board
Student Attendance Percentage
QUARTER  AUGUST 2023 TO OCTOBER 2023</t>
  </si>
  <si>
    <t>Class</t>
  </si>
  <si>
    <t>Total</t>
  </si>
  <si>
    <t>SINDH MADRESSAH board
BOARD RESULT
QUARTER _________________________</t>
  </si>
  <si>
    <t>APPERAED</t>
  </si>
  <si>
    <t>A+</t>
  </si>
  <si>
    <t>F</t>
  </si>
  <si>
    <t>Total Pass</t>
  </si>
  <si>
    <t>Total Fail</t>
  </si>
  <si>
    <t>2022-2023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</si>
  <si>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</si>
  <si>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</si>
  <si>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</si>
  <si>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</si>
  <si>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</si>
  <si>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</si>
  <si>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</si>
  <si>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</si>
  <si>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</si>
  <si>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</si>
  <si>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TRAINING DETAILS</t>
  </si>
  <si>
    <t>Name</t>
  </si>
  <si>
    <t>Major Training</t>
  </si>
  <si>
    <t>Training Provided before reporting period</t>
  </si>
  <si>
    <t>Training organized during report period</t>
  </si>
  <si>
    <t>MONTH</t>
  </si>
  <si>
    <t>No. of Staff Training</t>
  </si>
  <si>
    <t>Trainings attended since TNA of this academic year</t>
  </si>
  <si>
    <t>Key implications of attended trainings on work performance</t>
  </si>
  <si>
    <t>PTM RECORD</t>
  </si>
  <si>
    <t>Date</t>
  </si>
  <si>
    <t>Number of Parents Attended</t>
  </si>
  <si>
    <t>Agenda</t>
  </si>
  <si>
    <t xml:space="preserve">Late Coming,Absentees and Discipline Management issues discussed </t>
  </si>
  <si>
    <t>Announced Mid Term Exam result</t>
  </si>
  <si>
    <t>Fair Copies issue discussed with parents</t>
  </si>
  <si>
    <t>MONTHLY</t>
  </si>
  <si>
    <t>TD</t>
  </si>
  <si>
    <t>WHEN REQUIRED</t>
  </si>
  <si>
    <t>TNA</t>
  </si>
  <si>
    <t>BOARD RESULT</t>
  </si>
  <si>
    <t>YEARLY</t>
  </si>
  <si>
    <t>Student Att %</t>
  </si>
  <si>
    <t>Current Enrollment</t>
  </si>
  <si>
    <t>Activities Status</t>
  </si>
  <si>
    <t>Staff Attendance %</t>
  </si>
  <si>
    <t>Student Strength Record</t>
  </si>
  <si>
    <t>Leave Record</t>
  </si>
  <si>
    <t>Staff Details</t>
  </si>
  <si>
    <t>Result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</si>
</sst>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rgb="FF000000"/>
      <name val="Cambria"/>
      <charset val="134"/>
    </font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2"/>
      <color rgb="FF333333"/>
      <name val="Segoe UI"/>
      <charset val="134"/>
    </font>
    <font>
      <sz val="15"/>
      <color rgb="FF040C28"/>
      <name val="Arial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6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5" borderId="16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0" fillId="0" borderId="1" xfId="0" applyNumberForma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10" fontId="0" fillId="0" borderId="6" xfId="0" applyNumberFormat="1" applyBorder="1">
      <alignment vertical="center"/>
    </xf>
    <xf numFmtId="0" fontId="0" fillId="0" borderId="9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/>
    </xf>
    <xf numFmtId="9" fontId="0" fillId="0" borderId="6" xfId="0" applyNumberFormat="1" applyBorder="1">
      <alignment vertical="center"/>
    </xf>
    <xf numFmtId="0" fontId="5" fillId="0" borderId="7" xfId="0" applyFont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top" wrapText="1"/>
    </xf>
    <xf numFmtId="0" fontId="0" fillId="0" borderId="6" xfId="0" applyFont="1" applyBorder="1" applyAlignment="1">
      <alignment vertical="center" wrapText="1"/>
    </xf>
    <xf numFmtId="0" fontId="0" fillId="0" borderId="6" xfId="0" applyFont="1" applyBorder="1">
      <alignment vertical="center"/>
    </xf>
    <xf numFmtId="0" fontId="0" fillId="0" borderId="6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 readingOrder="1"/>
    </xf>
    <xf numFmtId="0" fontId="9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0" fillId="0" borderId="6" xfId="0" applyNumberFormat="1" applyBorder="1">
      <alignment vertical="center"/>
    </xf>
    <xf numFmtId="0" fontId="11" fillId="0" borderId="6" xfId="0" applyFont="1" applyBorder="1">
      <alignment vertical="center"/>
    </xf>
    <xf numFmtId="0" fontId="12" fillId="0" borderId="6" xfId="0" applyFont="1" applyBorder="1">
      <alignment vertical="center"/>
    </xf>
    <xf numFmtId="0" fontId="9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2"/>
  <sheetViews>
    <sheetView topLeftCell="A180" workbookViewId="0">
      <selection activeCell="L14" sqref="L14"/>
    </sheetView>
  </sheetViews>
  <sheetFormatPr defaultColWidth="9.14285714285714" defaultRowHeight="15"/>
  <cols>
    <col min="1" max="1" width="10.4285714285714" style="26" customWidth="1"/>
    <col min="2" max="2" width="8.85714285714286" style="26" customWidth="1"/>
    <col min="3" max="3" width="22" style="26" customWidth="1"/>
    <col min="4" max="4" width="17.5714285714286" style="26" customWidth="1"/>
    <col min="5" max="5" width="12.8571428571429" style="26" customWidth="1"/>
    <col min="6" max="6" width="13.8571428571429" style="26" customWidth="1"/>
    <col min="7" max="9" width="9.14285714285714" style="26"/>
    <col min="10" max="10" width="11.7142857142857" style="26" customWidth="1"/>
    <col min="11" max="13" width="9.14285714285714" style="26"/>
    <col min="14" max="14" width="11.8571428571429" style="26" customWidth="1"/>
    <col min="15" max="15" width="10.5714285714286" style="26" customWidth="1"/>
    <col min="16" max="16" width="12.8571428571429" style="26"/>
    <col min="17" max="17" width="13.8571428571429" style="26"/>
    <col min="18" max="16384" width="9.14285714285714" style="26"/>
  </cols>
  <sheetData>
    <row r="1" spans="1:1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>
      <c r="A3" s="25">
        <v>408170079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5" t="s">
        <v>16</v>
      </c>
      <c r="N6" s="25" t="s">
        <v>17</v>
      </c>
    </row>
    <row r="7" spans="1:14">
      <c r="A7" s="25"/>
      <c r="B7" s="25"/>
      <c r="C7" s="25"/>
      <c r="D7" s="25"/>
      <c r="E7" s="25">
        <v>50</v>
      </c>
      <c r="F7" s="25">
        <v>50</v>
      </c>
      <c r="G7" s="25">
        <v>25</v>
      </c>
      <c r="H7" s="25">
        <v>50</v>
      </c>
      <c r="I7" s="25">
        <v>25</v>
      </c>
      <c r="J7" s="25">
        <v>200</v>
      </c>
      <c r="K7" s="25"/>
      <c r="L7" s="25"/>
      <c r="M7" s="25"/>
      <c r="N7" s="25"/>
    </row>
    <row r="8" spans="1:16">
      <c r="A8" s="26">
        <v>1</v>
      </c>
      <c r="B8" s="66">
        <v>1602</v>
      </c>
      <c r="C8" s="67" t="s">
        <v>18</v>
      </c>
      <c r="D8" s="67" t="s">
        <v>19</v>
      </c>
      <c r="E8" s="26">
        <v>41</v>
      </c>
      <c r="F8" s="25">
        <v>47</v>
      </c>
      <c r="G8" s="25">
        <v>18</v>
      </c>
      <c r="H8" s="25">
        <v>40</v>
      </c>
      <c r="I8" s="25">
        <v>15</v>
      </c>
      <c r="K8" s="25">
        <v>161</v>
      </c>
      <c r="L8" s="25">
        <v>80.5</v>
      </c>
      <c r="M8" s="25"/>
      <c r="N8" s="25"/>
      <c r="O8" s="25"/>
      <c r="P8" s="25"/>
    </row>
    <row r="9" spans="1:16">
      <c r="A9" s="26">
        <v>2</v>
      </c>
      <c r="B9" s="66">
        <v>1603</v>
      </c>
      <c r="C9" s="67" t="s">
        <v>20</v>
      </c>
      <c r="D9" s="67" t="s">
        <v>21</v>
      </c>
      <c r="E9" s="26">
        <v>44</v>
      </c>
      <c r="F9" s="25">
        <v>48</v>
      </c>
      <c r="G9" s="25">
        <v>25</v>
      </c>
      <c r="H9" s="25">
        <v>45</v>
      </c>
      <c r="I9" s="25">
        <v>19</v>
      </c>
      <c r="K9" s="25">
        <v>181</v>
      </c>
      <c r="L9" s="25">
        <v>90.5</v>
      </c>
      <c r="M9" s="25"/>
      <c r="N9" s="25"/>
      <c r="O9" s="25"/>
      <c r="P9" s="25"/>
    </row>
    <row r="10" spans="1:16">
      <c r="A10" s="26">
        <v>3</v>
      </c>
      <c r="B10" s="66">
        <v>1604</v>
      </c>
      <c r="C10" s="67" t="s">
        <v>22</v>
      </c>
      <c r="D10" s="67" t="s">
        <v>23</v>
      </c>
      <c r="E10" s="26">
        <v>43</v>
      </c>
      <c r="F10" s="25">
        <v>48</v>
      </c>
      <c r="G10" s="25">
        <v>20</v>
      </c>
      <c r="H10" s="25">
        <v>48</v>
      </c>
      <c r="I10" s="25">
        <v>21</v>
      </c>
      <c r="K10" s="25">
        <v>170</v>
      </c>
      <c r="L10" s="25">
        <v>85</v>
      </c>
      <c r="M10" s="25"/>
      <c r="N10" s="25"/>
      <c r="O10" s="25"/>
      <c r="P10" s="25"/>
    </row>
    <row r="11" spans="1:16">
      <c r="A11" s="26">
        <v>4</v>
      </c>
      <c r="B11" s="66">
        <v>1605</v>
      </c>
      <c r="C11" s="67" t="s">
        <v>24</v>
      </c>
      <c r="D11" s="67" t="s">
        <v>25</v>
      </c>
      <c r="E11" s="26">
        <v>47</v>
      </c>
      <c r="F11" s="25">
        <v>48</v>
      </c>
      <c r="G11" s="25">
        <v>25</v>
      </c>
      <c r="H11" s="25">
        <v>44</v>
      </c>
      <c r="I11" s="25">
        <v>21</v>
      </c>
      <c r="K11" s="25">
        <v>185</v>
      </c>
      <c r="L11" s="25">
        <v>92.5</v>
      </c>
      <c r="M11" s="25"/>
      <c r="N11" s="25"/>
      <c r="O11" s="25"/>
      <c r="P11" s="25"/>
    </row>
    <row r="12" spans="1:16">
      <c r="A12" s="26">
        <v>5</v>
      </c>
      <c r="B12" s="66">
        <v>1606</v>
      </c>
      <c r="C12" s="67" t="s">
        <v>26</v>
      </c>
      <c r="D12" s="67" t="s">
        <v>27</v>
      </c>
      <c r="E12" s="26">
        <v>35</v>
      </c>
      <c r="F12" s="25">
        <v>44</v>
      </c>
      <c r="G12" s="25">
        <v>20</v>
      </c>
      <c r="H12" s="25">
        <v>43</v>
      </c>
      <c r="I12" s="25">
        <v>21</v>
      </c>
      <c r="K12" s="25">
        <v>163</v>
      </c>
      <c r="L12" s="25">
        <v>81.5</v>
      </c>
      <c r="M12" s="25"/>
      <c r="N12" s="25"/>
      <c r="O12" s="25"/>
      <c r="P12" s="25"/>
    </row>
    <row r="13" spans="1:12">
      <c r="A13" s="26">
        <v>6</v>
      </c>
      <c r="B13" s="66">
        <v>1607</v>
      </c>
      <c r="C13" s="67" t="s">
        <v>28</v>
      </c>
      <c r="D13" s="67" t="s">
        <v>29</v>
      </c>
      <c r="E13" s="26">
        <v>50</v>
      </c>
      <c r="F13" s="26">
        <v>50</v>
      </c>
      <c r="G13" s="26">
        <v>23</v>
      </c>
      <c r="H13" s="26">
        <v>50</v>
      </c>
      <c r="I13" s="26">
        <v>21</v>
      </c>
      <c r="K13" s="26">
        <v>194</v>
      </c>
      <c r="L13" s="26">
        <v>97</v>
      </c>
    </row>
    <row r="14" spans="1:11">
      <c r="A14" s="26">
        <v>7</v>
      </c>
      <c r="B14" s="66">
        <v>1608</v>
      </c>
      <c r="C14" s="67" t="s">
        <v>30</v>
      </c>
      <c r="D14" s="67" t="s">
        <v>31</v>
      </c>
      <c r="E14" s="26">
        <v>48</v>
      </c>
      <c r="F14" s="26">
        <v>46</v>
      </c>
      <c r="G14" s="26">
        <v>20</v>
      </c>
      <c r="H14" s="26">
        <v>50</v>
      </c>
      <c r="I14" s="26">
        <v>21</v>
      </c>
      <c r="K14" s="26">
        <v>185</v>
      </c>
    </row>
    <row r="15" spans="1:11">
      <c r="A15" s="26">
        <v>8</v>
      </c>
      <c r="B15" s="66">
        <v>1609</v>
      </c>
      <c r="C15" s="67" t="s">
        <v>32</v>
      </c>
      <c r="D15" s="67" t="s">
        <v>31</v>
      </c>
      <c r="E15" s="26">
        <v>49</v>
      </c>
      <c r="F15" s="26">
        <v>50</v>
      </c>
      <c r="G15" s="26">
        <v>23</v>
      </c>
      <c r="H15" s="26">
        <v>50</v>
      </c>
      <c r="I15" s="26">
        <v>23</v>
      </c>
      <c r="K15" s="26">
        <v>195</v>
      </c>
    </row>
    <row r="16" ht="18.75" spans="1:18">
      <c r="A16" s="26">
        <v>9</v>
      </c>
      <c r="B16" s="66">
        <v>1610</v>
      </c>
      <c r="C16" s="67" t="s">
        <v>33</v>
      </c>
      <c r="D16" s="67" t="s">
        <v>34</v>
      </c>
      <c r="E16" s="26">
        <v>46</v>
      </c>
      <c r="F16" s="26">
        <v>46</v>
      </c>
      <c r="G16" s="26">
        <v>25</v>
      </c>
      <c r="H16" s="26">
        <v>49</v>
      </c>
      <c r="I16" s="26">
        <v>20</v>
      </c>
      <c r="K16" s="26">
        <v>186</v>
      </c>
      <c r="O16" s="69"/>
      <c r="Q16" s="70"/>
      <c r="R16" s="71"/>
    </row>
    <row r="17" ht="18.75" spans="1:18">
      <c r="A17" s="26">
        <v>10</v>
      </c>
      <c r="B17" s="66">
        <v>1611</v>
      </c>
      <c r="C17" s="67" t="s">
        <v>35</v>
      </c>
      <c r="D17" s="67" t="s">
        <v>34</v>
      </c>
      <c r="E17" s="26">
        <v>47</v>
      </c>
      <c r="F17" s="26">
        <v>46</v>
      </c>
      <c r="G17" s="26">
        <v>22</v>
      </c>
      <c r="H17" s="26">
        <v>48</v>
      </c>
      <c r="I17" s="26">
        <v>21</v>
      </c>
      <c r="K17" s="26">
        <v>188</v>
      </c>
      <c r="O17" s="69"/>
      <c r="Q17" s="70"/>
      <c r="R17" s="71"/>
    </row>
    <row r="18" ht="18.75" spans="1:18">
      <c r="A18" s="26">
        <v>11</v>
      </c>
      <c r="B18" s="66">
        <v>1612</v>
      </c>
      <c r="C18" s="67" t="s">
        <v>36</v>
      </c>
      <c r="D18" s="67" t="s">
        <v>37</v>
      </c>
      <c r="E18" s="26">
        <v>50</v>
      </c>
      <c r="F18" s="26">
        <v>50</v>
      </c>
      <c r="G18" s="26">
        <v>25</v>
      </c>
      <c r="H18" s="26">
        <v>50</v>
      </c>
      <c r="I18" s="26">
        <v>24</v>
      </c>
      <c r="K18" s="26">
        <v>199</v>
      </c>
      <c r="O18" s="69"/>
      <c r="Q18" s="70"/>
      <c r="R18" s="71"/>
    </row>
    <row r="19" ht="18.75" spans="1:18">
      <c r="A19" s="26">
        <v>12</v>
      </c>
      <c r="B19" s="66">
        <v>1613</v>
      </c>
      <c r="C19" s="67" t="s">
        <v>38</v>
      </c>
      <c r="D19" s="67" t="s">
        <v>39</v>
      </c>
      <c r="E19" s="26">
        <v>45</v>
      </c>
      <c r="F19" s="26">
        <v>45</v>
      </c>
      <c r="G19" s="26">
        <v>22</v>
      </c>
      <c r="H19" s="26">
        <v>43</v>
      </c>
      <c r="I19" s="26">
        <v>20</v>
      </c>
      <c r="K19" s="26">
        <v>175</v>
      </c>
      <c r="O19" s="69"/>
      <c r="Q19" s="70"/>
      <c r="R19" s="71"/>
    </row>
    <row r="20" ht="18.75" spans="1:18">
      <c r="A20" s="26">
        <v>13</v>
      </c>
      <c r="B20" s="66">
        <v>1614</v>
      </c>
      <c r="C20" s="67" t="s">
        <v>40</v>
      </c>
      <c r="D20" s="67" t="s">
        <v>41</v>
      </c>
      <c r="E20" s="26">
        <v>47</v>
      </c>
      <c r="F20" s="26">
        <v>49</v>
      </c>
      <c r="G20" s="26">
        <v>24</v>
      </c>
      <c r="H20" s="26">
        <v>49</v>
      </c>
      <c r="I20" s="26">
        <v>18</v>
      </c>
      <c r="K20" s="26">
        <v>187</v>
      </c>
      <c r="O20" s="69"/>
      <c r="Q20" s="70"/>
      <c r="R20" s="71"/>
    </row>
    <row r="21" ht="18.75" spans="1:18">
      <c r="A21" s="26">
        <v>14</v>
      </c>
      <c r="B21" s="66">
        <v>1615</v>
      </c>
      <c r="C21" s="67" t="s">
        <v>42</v>
      </c>
      <c r="D21" s="67" t="s">
        <v>41</v>
      </c>
      <c r="E21" s="26">
        <v>48</v>
      </c>
      <c r="F21" s="26">
        <v>50</v>
      </c>
      <c r="G21" s="26">
        <v>24</v>
      </c>
      <c r="H21" s="26">
        <v>47</v>
      </c>
      <c r="I21" s="26">
        <v>19</v>
      </c>
      <c r="K21" s="26">
        <v>188</v>
      </c>
      <c r="O21" s="69"/>
      <c r="Q21" s="70"/>
      <c r="R21" s="71"/>
    </row>
    <row r="22" ht="18.75" spans="1:18">
      <c r="A22" s="26">
        <v>15</v>
      </c>
      <c r="B22" s="66">
        <v>1616</v>
      </c>
      <c r="C22" s="67" t="s">
        <v>43</v>
      </c>
      <c r="D22" s="67" t="s">
        <v>44</v>
      </c>
      <c r="E22" s="26">
        <v>47</v>
      </c>
      <c r="F22" s="26">
        <v>50</v>
      </c>
      <c r="G22" s="26">
        <v>25</v>
      </c>
      <c r="H22" s="26">
        <v>47</v>
      </c>
      <c r="I22" s="26">
        <v>22</v>
      </c>
      <c r="K22" s="26">
        <v>191</v>
      </c>
      <c r="O22" s="69"/>
      <c r="Q22" s="70"/>
      <c r="R22" s="71"/>
    </row>
    <row r="23" ht="18.75" spans="1:18">
      <c r="A23" s="26">
        <v>16</v>
      </c>
      <c r="B23" s="66">
        <v>1617</v>
      </c>
      <c r="C23" s="67" t="s">
        <v>45</v>
      </c>
      <c r="D23" s="67" t="s">
        <v>46</v>
      </c>
      <c r="O23" s="69"/>
      <c r="Q23" s="70"/>
      <c r="R23" s="71"/>
    </row>
    <row r="24" ht="18.75" spans="1:18">
      <c r="A24" s="26">
        <v>17</v>
      </c>
      <c r="B24" s="66">
        <v>1618</v>
      </c>
      <c r="C24" s="67" t="s">
        <v>47</v>
      </c>
      <c r="D24" s="67" t="s">
        <v>48</v>
      </c>
      <c r="E24" s="26">
        <v>50</v>
      </c>
      <c r="F24" s="26">
        <v>50</v>
      </c>
      <c r="G24" s="26">
        <v>25</v>
      </c>
      <c r="H24" s="26">
        <v>50</v>
      </c>
      <c r="I24" s="26">
        <v>23</v>
      </c>
      <c r="K24" s="26">
        <v>198</v>
      </c>
      <c r="O24" s="69"/>
      <c r="Q24" s="70"/>
      <c r="R24" s="71"/>
    </row>
    <row r="25" ht="18.75" spans="1:18">
      <c r="A25" s="26">
        <v>18</v>
      </c>
      <c r="B25" s="66">
        <v>1619</v>
      </c>
      <c r="C25" s="67" t="s">
        <v>49</v>
      </c>
      <c r="D25" s="67" t="s">
        <v>48</v>
      </c>
      <c r="E25" s="26">
        <v>49</v>
      </c>
      <c r="F25" s="26">
        <v>50</v>
      </c>
      <c r="G25" s="26">
        <v>22</v>
      </c>
      <c r="H25" s="26">
        <v>50</v>
      </c>
      <c r="I25" s="26">
        <v>25</v>
      </c>
      <c r="K25" s="26">
        <v>196</v>
      </c>
      <c r="O25" s="69"/>
      <c r="Q25" s="70"/>
      <c r="R25" s="71"/>
    </row>
    <row r="26" ht="18.75" spans="1:18">
      <c r="A26" s="26">
        <v>19</v>
      </c>
      <c r="B26" s="66">
        <v>1620</v>
      </c>
      <c r="C26" s="67" t="s">
        <v>50</v>
      </c>
      <c r="D26" s="67" t="s">
        <v>51</v>
      </c>
      <c r="E26" s="26">
        <v>48</v>
      </c>
      <c r="F26" s="26">
        <v>50</v>
      </c>
      <c r="G26" s="26">
        <v>25</v>
      </c>
      <c r="H26" s="26">
        <v>47</v>
      </c>
      <c r="I26" s="26">
        <v>21</v>
      </c>
      <c r="K26" s="26">
        <v>191</v>
      </c>
      <c r="O26" s="69"/>
      <c r="Q26" s="70"/>
      <c r="R26" s="71"/>
    </row>
    <row r="27" ht="18.75" spans="1:18">
      <c r="A27" s="26">
        <v>20</v>
      </c>
      <c r="B27" s="66">
        <v>1621</v>
      </c>
      <c r="C27" s="67" t="s">
        <v>52</v>
      </c>
      <c r="D27" s="67" t="s">
        <v>53</v>
      </c>
      <c r="E27" s="26">
        <v>49</v>
      </c>
      <c r="F27" s="26">
        <v>48</v>
      </c>
      <c r="G27" s="26">
        <v>25</v>
      </c>
      <c r="H27" s="26">
        <v>44</v>
      </c>
      <c r="I27" s="26">
        <v>20</v>
      </c>
      <c r="K27" s="26">
        <v>186</v>
      </c>
      <c r="O27" s="69"/>
      <c r="Q27" s="70"/>
      <c r="R27" s="71"/>
    </row>
    <row r="28" ht="18.75" spans="1:18">
      <c r="A28" s="26">
        <v>21</v>
      </c>
      <c r="B28" s="66">
        <v>1622</v>
      </c>
      <c r="C28" s="67" t="s">
        <v>54</v>
      </c>
      <c r="D28" s="67" t="s">
        <v>55</v>
      </c>
      <c r="E28" s="26">
        <v>38</v>
      </c>
      <c r="F28" s="26">
        <v>47</v>
      </c>
      <c r="G28" s="26">
        <v>23</v>
      </c>
      <c r="H28" s="26">
        <v>42</v>
      </c>
      <c r="I28" s="26">
        <v>20</v>
      </c>
      <c r="K28" s="26">
        <v>170</v>
      </c>
      <c r="O28" s="69"/>
      <c r="Q28" s="70"/>
      <c r="R28" s="71"/>
    </row>
    <row r="29" ht="18.75" spans="1:18">
      <c r="A29" s="26">
        <v>22</v>
      </c>
      <c r="B29" s="66">
        <v>1623</v>
      </c>
      <c r="C29" s="67" t="s">
        <v>56</v>
      </c>
      <c r="D29" s="67" t="s">
        <v>57</v>
      </c>
      <c r="E29" s="26">
        <v>46</v>
      </c>
      <c r="F29" s="26">
        <v>50</v>
      </c>
      <c r="G29" s="26">
        <v>25</v>
      </c>
      <c r="H29" s="26">
        <v>44</v>
      </c>
      <c r="I29" s="26">
        <v>20</v>
      </c>
      <c r="K29" s="26">
        <v>185</v>
      </c>
      <c r="O29" s="69"/>
      <c r="Q29" s="70"/>
      <c r="R29" s="71"/>
    </row>
    <row r="30" ht="18.75" spans="1:18">
      <c r="A30" s="26">
        <v>23</v>
      </c>
      <c r="B30" s="66">
        <v>1624</v>
      </c>
      <c r="C30" s="67" t="s">
        <v>58</v>
      </c>
      <c r="D30" s="67" t="s">
        <v>59</v>
      </c>
      <c r="E30" s="26">
        <v>36</v>
      </c>
      <c r="F30" s="26">
        <v>31</v>
      </c>
      <c r="G30" s="26">
        <v>22</v>
      </c>
      <c r="H30" s="26">
        <v>32</v>
      </c>
      <c r="K30" s="26">
        <v>121</v>
      </c>
      <c r="O30" s="69"/>
      <c r="Q30" s="70"/>
      <c r="R30" s="71"/>
    </row>
    <row r="31" ht="18.75" spans="1:18">
      <c r="A31" s="26">
        <v>24</v>
      </c>
      <c r="B31" s="66">
        <v>1625</v>
      </c>
      <c r="C31" s="67" t="s">
        <v>60</v>
      </c>
      <c r="D31" s="67" t="s">
        <v>61</v>
      </c>
      <c r="E31" s="26">
        <v>46</v>
      </c>
      <c r="F31" s="26">
        <v>47</v>
      </c>
      <c r="G31" s="26">
        <v>18</v>
      </c>
      <c r="H31" s="26">
        <v>49</v>
      </c>
      <c r="K31" s="26">
        <v>160</v>
      </c>
      <c r="O31" s="69"/>
      <c r="Q31" s="70"/>
      <c r="R31" s="71"/>
    </row>
    <row r="32" ht="18.75" spans="1:18">
      <c r="A32" s="26">
        <v>25</v>
      </c>
      <c r="B32" s="66">
        <v>1626</v>
      </c>
      <c r="C32" s="67" t="s">
        <v>32</v>
      </c>
      <c r="D32" s="67" t="s">
        <v>62</v>
      </c>
      <c r="E32" s="26">
        <v>49</v>
      </c>
      <c r="F32" s="26">
        <v>50</v>
      </c>
      <c r="G32" s="26">
        <v>24</v>
      </c>
      <c r="H32" s="26">
        <v>50</v>
      </c>
      <c r="I32" s="26">
        <v>22</v>
      </c>
      <c r="K32" s="26">
        <v>195</v>
      </c>
      <c r="O32" s="69"/>
      <c r="Q32" s="70"/>
      <c r="R32" s="71"/>
    </row>
    <row r="33" ht="18.75" spans="1:18">
      <c r="A33" s="26">
        <v>26</v>
      </c>
      <c r="B33" s="66">
        <v>1627</v>
      </c>
      <c r="C33" s="67" t="s">
        <v>63</v>
      </c>
      <c r="D33" s="67" t="s">
        <v>64</v>
      </c>
      <c r="E33" s="26">
        <v>50</v>
      </c>
      <c r="F33" s="26">
        <v>50</v>
      </c>
      <c r="G33" s="26">
        <v>24</v>
      </c>
      <c r="H33" s="26">
        <v>50</v>
      </c>
      <c r="I33" s="26">
        <v>21</v>
      </c>
      <c r="K33" s="26">
        <v>195</v>
      </c>
      <c r="O33" s="69"/>
      <c r="Q33" s="70"/>
      <c r="R33" s="71"/>
    </row>
    <row r="34" ht="18.75" spans="1:18">
      <c r="A34" s="26">
        <v>27</v>
      </c>
      <c r="B34" s="66">
        <v>1628</v>
      </c>
      <c r="C34" s="68" t="s">
        <v>65</v>
      </c>
      <c r="D34" s="68" t="s">
        <v>66</v>
      </c>
      <c r="O34" s="69"/>
      <c r="Q34" s="70"/>
      <c r="R34" s="71"/>
    </row>
    <row r="35" ht="18.75" spans="1:18">
      <c r="A35" s="26">
        <v>28</v>
      </c>
      <c r="B35" s="66">
        <v>1629</v>
      </c>
      <c r="C35" s="67" t="s">
        <v>67</v>
      </c>
      <c r="D35" s="67" t="s">
        <v>68</v>
      </c>
      <c r="E35" s="26">
        <v>18</v>
      </c>
      <c r="F35" s="26">
        <v>25</v>
      </c>
      <c r="G35" s="26">
        <v>16</v>
      </c>
      <c r="H35" s="26">
        <v>27</v>
      </c>
      <c r="I35" s="26">
        <v>23</v>
      </c>
      <c r="K35" s="26">
        <v>109</v>
      </c>
      <c r="O35" s="69"/>
      <c r="Q35" s="70"/>
      <c r="R35" s="71"/>
    </row>
    <row r="36" ht="18.75" spans="1:18">
      <c r="A36" s="26">
        <v>29</v>
      </c>
      <c r="B36" s="66">
        <v>1630</v>
      </c>
      <c r="C36" s="67" t="s">
        <v>69</v>
      </c>
      <c r="D36" s="67" t="s">
        <v>70</v>
      </c>
      <c r="E36" s="26">
        <v>50</v>
      </c>
      <c r="F36" s="26">
        <v>50</v>
      </c>
      <c r="G36" s="26">
        <v>25</v>
      </c>
      <c r="H36" s="26">
        <v>50</v>
      </c>
      <c r="I36" s="26">
        <v>22</v>
      </c>
      <c r="K36" s="26">
        <v>197</v>
      </c>
      <c r="O36" s="69"/>
      <c r="Q36" s="70"/>
      <c r="R36" s="71"/>
    </row>
    <row r="37" ht="18.75" spans="1:18">
      <c r="A37" s="26">
        <v>30</v>
      </c>
      <c r="B37" s="66">
        <v>1631</v>
      </c>
      <c r="C37" s="67" t="s">
        <v>71</v>
      </c>
      <c r="D37" s="67" t="s">
        <v>72</v>
      </c>
      <c r="O37" s="69"/>
      <c r="Q37" s="70"/>
      <c r="R37" s="71"/>
    </row>
    <row r="38" ht="18.75" spans="1:18">
      <c r="A38" s="26">
        <v>31</v>
      </c>
      <c r="B38" s="66">
        <v>1632</v>
      </c>
      <c r="C38" s="67" t="s">
        <v>73</v>
      </c>
      <c r="D38" s="67" t="s">
        <v>74</v>
      </c>
      <c r="E38" s="26">
        <v>48</v>
      </c>
      <c r="F38" s="26">
        <v>50</v>
      </c>
      <c r="G38" s="26">
        <v>20</v>
      </c>
      <c r="H38" s="26">
        <v>50</v>
      </c>
      <c r="I38" s="26">
        <v>21</v>
      </c>
      <c r="K38" s="26">
        <v>189</v>
      </c>
      <c r="O38" s="69"/>
      <c r="Q38" s="70"/>
      <c r="R38" s="71"/>
    </row>
    <row r="39" spans="1:11">
      <c r="A39" s="26">
        <v>32</v>
      </c>
      <c r="B39" s="66">
        <v>1633</v>
      </c>
      <c r="C39" s="67" t="s">
        <v>75</v>
      </c>
      <c r="D39" s="67" t="s">
        <v>19</v>
      </c>
      <c r="E39" s="26">
        <v>45</v>
      </c>
      <c r="F39" s="26">
        <v>50</v>
      </c>
      <c r="G39" s="26">
        <v>20</v>
      </c>
      <c r="H39" s="26">
        <v>44</v>
      </c>
      <c r="I39" s="26">
        <v>20</v>
      </c>
      <c r="K39" s="26">
        <v>179</v>
      </c>
    </row>
    <row r="40" spans="1:11">
      <c r="A40" s="26">
        <v>33</v>
      </c>
      <c r="B40" s="66">
        <v>1634</v>
      </c>
      <c r="C40" s="67" t="s">
        <v>76</v>
      </c>
      <c r="D40" s="67" t="s">
        <v>77</v>
      </c>
      <c r="E40" s="26">
        <v>47</v>
      </c>
      <c r="F40" s="26">
        <v>50</v>
      </c>
      <c r="G40" s="26">
        <v>25</v>
      </c>
      <c r="H40" s="26">
        <v>50</v>
      </c>
      <c r="I40" s="26">
        <v>22</v>
      </c>
      <c r="K40" s="26">
        <v>194</v>
      </c>
    </row>
    <row r="41" spans="1:11">
      <c r="A41" s="26">
        <v>34</v>
      </c>
      <c r="B41" s="66">
        <v>1635</v>
      </c>
      <c r="C41" s="67" t="s">
        <v>78</v>
      </c>
      <c r="D41" s="67" t="s">
        <v>77</v>
      </c>
      <c r="E41" s="26">
        <v>46</v>
      </c>
      <c r="F41" s="26">
        <v>50</v>
      </c>
      <c r="G41" s="26">
        <v>20</v>
      </c>
      <c r="H41" s="26">
        <v>48</v>
      </c>
      <c r="I41" s="26">
        <v>21</v>
      </c>
      <c r="K41" s="26">
        <v>185</v>
      </c>
    </row>
    <row r="42" spans="1:4">
      <c r="A42" s="26">
        <v>35</v>
      </c>
      <c r="B42" s="66">
        <v>1636</v>
      </c>
      <c r="C42" s="67" t="s">
        <v>79</v>
      </c>
      <c r="D42" s="67" t="s">
        <v>80</v>
      </c>
    </row>
    <row r="43" spans="1:11">
      <c r="A43" s="26">
        <v>36</v>
      </c>
      <c r="B43" s="66">
        <v>1637</v>
      </c>
      <c r="C43" s="67" t="s">
        <v>81</v>
      </c>
      <c r="D43" s="67" t="s">
        <v>37</v>
      </c>
      <c r="E43" s="26">
        <v>49</v>
      </c>
      <c r="F43" s="26">
        <v>48</v>
      </c>
      <c r="G43" s="26">
        <v>23</v>
      </c>
      <c r="H43" s="26">
        <v>50</v>
      </c>
      <c r="I43" s="26">
        <v>23</v>
      </c>
      <c r="K43" s="26">
        <v>193</v>
      </c>
    </row>
    <row r="44" spans="1:11">
      <c r="A44" s="26">
        <v>37</v>
      </c>
      <c r="B44" s="66">
        <v>1638</v>
      </c>
      <c r="C44" s="67" t="s">
        <v>82</v>
      </c>
      <c r="D44" s="67" t="s">
        <v>83</v>
      </c>
      <c r="E44" s="26">
        <v>50</v>
      </c>
      <c r="F44" s="26">
        <v>49</v>
      </c>
      <c r="G44" s="26">
        <v>17</v>
      </c>
      <c r="H44" s="26">
        <v>50</v>
      </c>
      <c r="I44" s="26">
        <v>21</v>
      </c>
      <c r="K44" s="26">
        <v>187</v>
      </c>
    </row>
    <row r="45" spans="1:11">
      <c r="A45" s="26">
        <v>38</v>
      </c>
      <c r="B45" s="66">
        <v>1639</v>
      </c>
      <c r="C45" s="67" t="s">
        <v>84</v>
      </c>
      <c r="D45" s="67" t="s">
        <v>85</v>
      </c>
      <c r="E45" s="26">
        <v>49</v>
      </c>
      <c r="F45" s="26">
        <v>50</v>
      </c>
      <c r="G45" s="26">
        <v>23</v>
      </c>
      <c r="H45" s="26">
        <v>50</v>
      </c>
      <c r="I45" s="26">
        <v>22</v>
      </c>
      <c r="K45" s="26">
        <v>194</v>
      </c>
    </row>
    <row r="46" spans="1:11">
      <c r="A46" s="26">
        <v>39</v>
      </c>
      <c r="B46" s="66">
        <v>1640</v>
      </c>
      <c r="C46" s="67" t="s">
        <v>86</v>
      </c>
      <c r="D46" s="67" t="s">
        <v>87</v>
      </c>
      <c r="E46" s="26">
        <v>48</v>
      </c>
      <c r="F46" s="26">
        <v>44</v>
      </c>
      <c r="G46" s="26">
        <v>16</v>
      </c>
      <c r="H46" s="26">
        <v>49</v>
      </c>
      <c r="I46" s="26">
        <v>22</v>
      </c>
      <c r="K46" s="26">
        <v>179</v>
      </c>
    </row>
    <row r="47" spans="1:11">
      <c r="A47" s="26">
        <v>40</v>
      </c>
      <c r="B47" s="66">
        <v>1641</v>
      </c>
      <c r="C47" s="67" t="s">
        <v>88</v>
      </c>
      <c r="D47" s="67" t="s">
        <v>89</v>
      </c>
      <c r="E47" s="26">
        <v>41</v>
      </c>
      <c r="F47" s="26">
        <v>29</v>
      </c>
      <c r="G47" s="26">
        <v>50</v>
      </c>
      <c r="H47" s="26">
        <v>39</v>
      </c>
      <c r="I47" s="26">
        <v>29</v>
      </c>
      <c r="K47" s="26">
        <v>145</v>
      </c>
    </row>
    <row r="48" spans="1:11">
      <c r="A48" s="26">
        <v>41</v>
      </c>
      <c r="B48" s="66">
        <v>1642</v>
      </c>
      <c r="C48" s="67" t="s">
        <v>90</v>
      </c>
      <c r="D48" s="67" t="s">
        <v>91</v>
      </c>
      <c r="E48" s="26">
        <v>48</v>
      </c>
      <c r="F48" s="26">
        <v>46</v>
      </c>
      <c r="G48" s="26">
        <v>25</v>
      </c>
      <c r="H48" s="26">
        <v>46</v>
      </c>
      <c r="I48" s="26">
        <v>22</v>
      </c>
      <c r="K48" s="26">
        <v>187</v>
      </c>
    </row>
    <row r="49" spans="1:11">
      <c r="A49" s="26">
        <v>42</v>
      </c>
      <c r="B49" s="66">
        <v>1643</v>
      </c>
      <c r="C49" s="67" t="s">
        <v>92</v>
      </c>
      <c r="D49" s="67" t="s">
        <v>46</v>
      </c>
      <c r="E49" s="26">
        <v>49</v>
      </c>
      <c r="F49" s="26">
        <v>50</v>
      </c>
      <c r="G49" s="26">
        <v>23</v>
      </c>
      <c r="H49" s="26">
        <v>50</v>
      </c>
      <c r="I49" s="26">
        <v>23</v>
      </c>
      <c r="K49" s="26">
        <v>195</v>
      </c>
    </row>
    <row r="50" spans="1:11">
      <c r="A50" s="26">
        <v>43</v>
      </c>
      <c r="B50" s="66">
        <v>1644</v>
      </c>
      <c r="C50" s="67" t="s">
        <v>93</v>
      </c>
      <c r="D50" s="67" t="s">
        <v>94</v>
      </c>
      <c r="E50" s="26">
        <v>38</v>
      </c>
      <c r="F50" s="26">
        <v>46</v>
      </c>
      <c r="G50" s="26">
        <v>14</v>
      </c>
      <c r="H50" s="26">
        <v>46</v>
      </c>
      <c r="I50" s="26">
        <v>19</v>
      </c>
      <c r="K50" s="26">
        <v>163</v>
      </c>
    </row>
    <row r="51" spans="1:11">
      <c r="A51" s="26">
        <v>44</v>
      </c>
      <c r="B51" s="66">
        <v>1645</v>
      </c>
      <c r="C51" s="67" t="s">
        <v>95</v>
      </c>
      <c r="D51" s="67" t="s">
        <v>31</v>
      </c>
      <c r="E51" s="26">
        <v>48</v>
      </c>
      <c r="F51" s="26">
        <v>50</v>
      </c>
      <c r="G51" s="26">
        <v>25</v>
      </c>
      <c r="H51" s="26">
        <v>47</v>
      </c>
      <c r="I51" s="26">
        <v>22</v>
      </c>
      <c r="K51" s="26">
        <v>192</v>
      </c>
    </row>
    <row r="52" spans="1:11">
      <c r="A52" s="26">
        <v>45</v>
      </c>
      <c r="B52" s="66">
        <v>1646</v>
      </c>
      <c r="C52" s="67" t="s">
        <v>96</v>
      </c>
      <c r="D52" s="67" t="s">
        <v>97</v>
      </c>
      <c r="E52" s="26">
        <v>48</v>
      </c>
      <c r="F52" s="26">
        <v>49</v>
      </c>
      <c r="G52" s="26">
        <v>25</v>
      </c>
      <c r="H52" s="26">
        <v>50</v>
      </c>
      <c r="I52" s="26">
        <v>20</v>
      </c>
      <c r="K52" s="26">
        <v>192</v>
      </c>
    </row>
    <row r="53" spans="1:4">
      <c r="A53" s="26">
        <v>46</v>
      </c>
      <c r="B53" s="66">
        <v>1647</v>
      </c>
      <c r="C53" s="67" t="s">
        <v>98</v>
      </c>
      <c r="D53" s="67" t="s">
        <v>99</v>
      </c>
    </row>
    <row r="54" spans="1:11">
      <c r="A54" s="26">
        <v>47</v>
      </c>
      <c r="B54" s="66">
        <v>1648</v>
      </c>
      <c r="C54" s="67" t="s">
        <v>100</v>
      </c>
      <c r="D54" s="67" t="s">
        <v>51</v>
      </c>
      <c r="E54" s="26">
        <v>49</v>
      </c>
      <c r="F54" s="26">
        <v>50</v>
      </c>
      <c r="G54" s="26">
        <v>25</v>
      </c>
      <c r="H54" s="26">
        <v>50</v>
      </c>
      <c r="I54" s="26">
        <v>21</v>
      </c>
      <c r="K54" s="26">
        <v>195</v>
      </c>
    </row>
    <row r="55" spans="1:11">
      <c r="A55" s="26">
        <v>48</v>
      </c>
      <c r="B55" s="66">
        <v>1649</v>
      </c>
      <c r="C55" s="67" t="s">
        <v>101</v>
      </c>
      <c r="D55" s="67" t="s">
        <v>102</v>
      </c>
      <c r="E55" s="26">
        <v>24</v>
      </c>
      <c r="F55" s="26">
        <v>31</v>
      </c>
      <c r="G55" s="26">
        <v>39</v>
      </c>
      <c r="H55" s="26">
        <v>28</v>
      </c>
      <c r="I55" s="26">
        <v>20</v>
      </c>
      <c r="K55" s="26">
        <v>116</v>
      </c>
    </row>
    <row r="56" spans="1:11">
      <c r="A56" s="26">
        <v>49</v>
      </c>
      <c r="B56" s="66">
        <v>1650</v>
      </c>
      <c r="C56" s="67" t="s">
        <v>103</v>
      </c>
      <c r="D56" s="67" t="s">
        <v>102</v>
      </c>
      <c r="E56" s="26">
        <v>39</v>
      </c>
      <c r="F56" s="26">
        <v>46</v>
      </c>
      <c r="G56" s="26">
        <v>14</v>
      </c>
      <c r="H56" s="26">
        <v>49</v>
      </c>
      <c r="I56" s="26">
        <v>21</v>
      </c>
      <c r="K56" s="26">
        <v>169</v>
      </c>
    </row>
    <row r="57" spans="1:11">
      <c r="A57" s="26">
        <v>50</v>
      </c>
      <c r="B57" s="66">
        <v>1651</v>
      </c>
      <c r="C57" s="67" t="s">
        <v>104</v>
      </c>
      <c r="D57" s="67" t="s">
        <v>105</v>
      </c>
      <c r="E57" s="26">
        <v>46</v>
      </c>
      <c r="F57" s="26">
        <v>50</v>
      </c>
      <c r="G57" s="26">
        <v>25</v>
      </c>
      <c r="H57" s="26">
        <v>48</v>
      </c>
      <c r="I57" s="26">
        <v>19</v>
      </c>
      <c r="K57" s="26">
        <v>188</v>
      </c>
    </row>
    <row r="58" spans="1:11">
      <c r="A58" s="26">
        <v>51</v>
      </c>
      <c r="B58" s="66">
        <v>1652</v>
      </c>
      <c r="C58" s="67" t="s">
        <v>106</v>
      </c>
      <c r="D58" s="67" t="s">
        <v>83</v>
      </c>
      <c r="E58" s="26">
        <v>49</v>
      </c>
      <c r="F58" s="26">
        <v>49</v>
      </c>
      <c r="G58" s="26">
        <v>45</v>
      </c>
      <c r="H58" s="26">
        <v>46</v>
      </c>
      <c r="I58" s="26">
        <v>23</v>
      </c>
      <c r="K58" s="26">
        <v>192</v>
      </c>
    </row>
    <row r="59" spans="1:11">
      <c r="A59" s="26">
        <v>52</v>
      </c>
      <c r="B59" s="66">
        <v>1653</v>
      </c>
      <c r="C59" s="67" t="s">
        <v>107</v>
      </c>
      <c r="D59" s="67" t="s">
        <v>108</v>
      </c>
      <c r="E59" s="26">
        <v>48</v>
      </c>
      <c r="F59" s="26">
        <v>48</v>
      </c>
      <c r="G59" s="26">
        <v>25</v>
      </c>
      <c r="H59" s="26">
        <v>47</v>
      </c>
      <c r="I59" s="26">
        <v>22</v>
      </c>
      <c r="K59" s="26">
        <v>190</v>
      </c>
    </row>
    <row r="60" spans="1:11">
      <c r="A60" s="26">
        <v>53</v>
      </c>
      <c r="B60" s="66">
        <v>1654</v>
      </c>
      <c r="C60" s="67" t="s">
        <v>109</v>
      </c>
      <c r="D60" s="67" t="s">
        <v>108</v>
      </c>
      <c r="E60" s="26">
        <v>45</v>
      </c>
      <c r="F60" s="26">
        <v>43</v>
      </c>
      <c r="G60" s="26">
        <v>17</v>
      </c>
      <c r="H60" s="26">
        <v>47</v>
      </c>
      <c r="I60" s="26">
        <v>21</v>
      </c>
      <c r="K60" s="26">
        <v>167</v>
      </c>
    </row>
    <row r="61" spans="1:11">
      <c r="A61" s="26">
        <v>54</v>
      </c>
      <c r="B61" s="66">
        <v>1655</v>
      </c>
      <c r="C61" s="67" t="s">
        <v>110</v>
      </c>
      <c r="D61" s="67" t="s">
        <v>108</v>
      </c>
      <c r="E61" s="26">
        <v>49</v>
      </c>
      <c r="F61" s="26">
        <v>46</v>
      </c>
      <c r="G61" s="26">
        <v>25</v>
      </c>
      <c r="H61" s="26">
        <v>46</v>
      </c>
      <c r="I61" s="26">
        <v>21</v>
      </c>
      <c r="K61" s="26">
        <v>187</v>
      </c>
    </row>
    <row r="62" spans="1:11">
      <c r="A62" s="26">
        <v>55</v>
      </c>
      <c r="B62" s="66">
        <v>1656</v>
      </c>
      <c r="C62" s="67" t="s">
        <v>111</v>
      </c>
      <c r="D62" s="67" t="s">
        <v>112</v>
      </c>
      <c r="E62" s="26">
        <v>47</v>
      </c>
      <c r="F62" s="26">
        <v>49</v>
      </c>
      <c r="G62" s="26">
        <v>16</v>
      </c>
      <c r="H62" s="26">
        <v>47</v>
      </c>
      <c r="I62" s="26">
        <v>21</v>
      </c>
      <c r="K62" s="26">
        <v>180</v>
      </c>
    </row>
    <row r="63" spans="1:4">
      <c r="A63" s="26">
        <v>56</v>
      </c>
      <c r="B63" s="66">
        <v>1657</v>
      </c>
      <c r="C63" s="67" t="s">
        <v>113</v>
      </c>
      <c r="D63" s="67" t="s">
        <v>114</v>
      </c>
    </row>
    <row r="64" spans="1:4">
      <c r="A64" s="26">
        <v>57</v>
      </c>
      <c r="B64" s="66">
        <v>1658</v>
      </c>
      <c r="C64" s="67" t="s">
        <v>115</v>
      </c>
      <c r="D64" s="67" t="s">
        <v>116</v>
      </c>
    </row>
    <row r="65" spans="1:4">
      <c r="A65" s="26">
        <v>58</v>
      </c>
      <c r="B65" s="66">
        <v>1659</v>
      </c>
      <c r="C65" s="67" t="s">
        <v>117</v>
      </c>
      <c r="D65" s="67" t="s">
        <v>116</v>
      </c>
    </row>
    <row r="66" spans="1:4">
      <c r="A66" s="26">
        <v>59</v>
      </c>
      <c r="B66" s="66">
        <v>1660</v>
      </c>
      <c r="C66" s="67" t="s">
        <v>118</v>
      </c>
      <c r="D66" s="67" t="s">
        <v>119</v>
      </c>
    </row>
    <row r="67" spans="1:4">
      <c r="A67" s="26">
        <v>60</v>
      </c>
      <c r="B67" s="66">
        <v>1662</v>
      </c>
      <c r="C67" s="67" t="s">
        <v>120</v>
      </c>
      <c r="D67" s="67" t="s">
        <v>121</v>
      </c>
    </row>
    <row r="68" spans="1:4">
      <c r="A68" s="26">
        <v>61</v>
      </c>
      <c r="B68" s="66">
        <v>1663</v>
      </c>
      <c r="C68" s="67" t="s">
        <v>122</v>
      </c>
      <c r="D68" s="67" t="s">
        <v>121</v>
      </c>
    </row>
    <row r="69" spans="1:4">
      <c r="A69" s="26">
        <v>62</v>
      </c>
      <c r="B69" s="66">
        <v>1664</v>
      </c>
      <c r="C69" s="67" t="s">
        <v>123</v>
      </c>
      <c r="D69" s="67" t="s">
        <v>124</v>
      </c>
    </row>
    <row r="70" spans="1:4">
      <c r="A70" s="26">
        <v>63</v>
      </c>
      <c r="B70" s="66">
        <v>1665</v>
      </c>
      <c r="C70" s="67" t="s">
        <v>125</v>
      </c>
      <c r="D70" s="67" t="s">
        <v>126</v>
      </c>
    </row>
    <row r="71" spans="1:4">
      <c r="A71" s="26">
        <v>64</v>
      </c>
      <c r="B71" s="66">
        <v>1666</v>
      </c>
      <c r="C71" s="67" t="s">
        <v>127</v>
      </c>
      <c r="D71" s="67" t="s">
        <v>66</v>
      </c>
    </row>
    <row r="72" spans="1:4">
      <c r="A72" s="26">
        <v>65</v>
      </c>
      <c r="B72" s="66">
        <v>1667</v>
      </c>
      <c r="C72" s="67" t="s">
        <v>128</v>
      </c>
      <c r="D72" s="67" t="s">
        <v>129</v>
      </c>
    </row>
    <row r="73" spans="1:4">
      <c r="A73" s="26">
        <v>66</v>
      </c>
      <c r="B73" s="66">
        <v>1668</v>
      </c>
      <c r="C73" s="67" t="s">
        <v>130</v>
      </c>
      <c r="D73" s="67" t="s">
        <v>131</v>
      </c>
    </row>
    <row r="74" spans="1:4">
      <c r="A74" s="26">
        <v>67</v>
      </c>
      <c r="B74" s="66">
        <v>1669</v>
      </c>
      <c r="C74" s="67" t="s">
        <v>132</v>
      </c>
      <c r="D74" s="67" t="s">
        <v>133</v>
      </c>
    </row>
    <row r="75" spans="1:4">
      <c r="A75" s="26">
        <v>68</v>
      </c>
      <c r="B75" s="66">
        <v>1670</v>
      </c>
      <c r="C75" s="67" t="s">
        <v>134</v>
      </c>
      <c r="D75" s="67" t="s">
        <v>135</v>
      </c>
    </row>
    <row r="76" spans="1:4">
      <c r="A76" s="26">
        <v>69</v>
      </c>
      <c r="B76" s="66">
        <v>1671</v>
      </c>
      <c r="C76" s="67" t="s">
        <v>136</v>
      </c>
      <c r="D76" s="67" t="s">
        <v>137</v>
      </c>
    </row>
    <row r="77" spans="1:4">
      <c r="A77" s="26">
        <v>70</v>
      </c>
      <c r="B77" s="66">
        <v>1672</v>
      </c>
      <c r="C77" s="67" t="s">
        <v>138</v>
      </c>
      <c r="D77" s="67" t="s">
        <v>139</v>
      </c>
    </row>
    <row r="78" spans="1:4">
      <c r="A78" s="26">
        <v>71</v>
      </c>
      <c r="B78" s="66">
        <v>1673</v>
      </c>
      <c r="C78" s="67" t="s">
        <v>140</v>
      </c>
      <c r="D78" s="67" t="s">
        <v>141</v>
      </c>
    </row>
    <row r="79" spans="1:4">
      <c r="A79" s="26">
        <v>72</v>
      </c>
      <c r="B79" s="66">
        <v>1674</v>
      </c>
      <c r="C79" s="67" t="s">
        <v>142</v>
      </c>
      <c r="D79" s="67" t="s">
        <v>23</v>
      </c>
    </row>
    <row r="80" spans="1:4">
      <c r="A80" s="26">
        <v>73</v>
      </c>
      <c r="B80" s="66">
        <v>1675</v>
      </c>
      <c r="C80" s="67" t="s">
        <v>143</v>
      </c>
      <c r="D80" s="67" t="s">
        <v>144</v>
      </c>
    </row>
    <row r="81" spans="1:4">
      <c r="A81" s="26">
        <v>74</v>
      </c>
      <c r="B81" s="66">
        <v>1676</v>
      </c>
      <c r="C81" s="67" t="s">
        <v>145</v>
      </c>
      <c r="D81" s="67" t="s">
        <v>23</v>
      </c>
    </row>
    <row r="82" spans="1:4">
      <c r="A82" s="26">
        <v>75</v>
      </c>
      <c r="B82" s="66">
        <v>1677</v>
      </c>
      <c r="C82" s="67" t="s">
        <v>146</v>
      </c>
      <c r="D82" s="67" t="s">
        <v>147</v>
      </c>
    </row>
    <row r="83" spans="1:4">
      <c r="A83" s="26">
        <v>76</v>
      </c>
      <c r="B83" s="66">
        <v>1678</v>
      </c>
      <c r="C83" s="67" t="s">
        <v>148</v>
      </c>
      <c r="D83" s="67" t="s">
        <v>149</v>
      </c>
    </row>
    <row r="84" spans="1:4">
      <c r="A84" s="26">
        <v>77</v>
      </c>
      <c r="B84" s="66">
        <v>1679</v>
      </c>
      <c r="C84" s="67" t="s">
        <v>150</v>
      </c>
      <c r="D84" s="67" t="s">
        <v>151</v>
      </c>
    </row>
    <row r="85" spans="1:4">
      <c r="A85" s="26">
        <v>78</v>
      </c>
      <c r="B85" s="66">
        <v>1680</v>
      </c>
      <c r="C85" s="67" t="s">
        <v>152</v>
      </c>
      <c r="D85" s="67" t="s">
        <v>151</v>
      </c>
    </row>
    <row r="86" spans="1:4">
      <c r="A86" s="26">
        <v>79</v>
      </c>
      <c r="B86" s="66">
        <v>1681</v>
      </c>
      <c r="C86" s="67" t="s">
        <v>153</v>
      </c>
      <c r="D86" s="67" t="s">
        <v>154</v>
      </c>
    </row>
    <row r="87" spans="1:4">
      <c r="A87" s="26">
        <v>80</v>
      </c>
      <c r="B87" s="66">
        <v>1682</v>
      </c>
      <c r="C87" s="67" t="s">
        <v>155</v>
      </c>
      <c r="D87" s="67" t="s">
        <v>154</v>
      </c>
    </row>
    <row r="88" spans="1:4">
      <c r="A88" s="26">
        <v>81</v>
      </c>
      <c r="B88" s="66">
        <v>1683</v>
      </c>
      <c r="C88" s="67" t="s">
        <v>156</v>
      </c>
      <c r="D88" s="67" t="s">
        <v>157</v>
      </c>
    </row>
    <row r="89" spans="1:4">
      <c r="A89" s="26">
        <v>82</v>
      </c>
      <c r="B89" s="66">
        <v>1684</v>
      </c>
      <c r="C89" s="67" t="s">
        <v>158</v>
      </c>
      <c r="D89" s="67" t="s">
        <v>159</v>
      </c>
    </row>
    <row r="90" spans="1:4">
      <c r="A90" s="26">
        <v>83</v>
      </c>
      <c r="B90" s="66">
        <v>1685</v>
      </c>
      <c r="C90" s="67" t="s">
        <v>160</v>
      </c>
      <c r="D90" s="67" t="s">
        <v>161</v>
      </c>
    </row>
    <row r="91" spans="1:4">
      <c r="A91" s="26">
        <v>84</v>
      </c>
      <c r="B91" s="66">
        <v>1686</v>
      </c>
      <c r="C91" s="67" t="s">
        <v>162</v>
      </c>
      <c r="D91" s="67" t="s">
        <v>163</v>
      </c>
    </row>
    <row r="92" spans="1:4">
      <c r="A92" s="26">
        <v>85</v>
      </c>
      <c r="B92" s="66">
        <v>1687</v>
      </c>
      <c r="C92" s="67" t="s">
        <v>164</v>
      </c>
      <c r="D92" s="67" t="s">
        <v>165</v>
      </c>
    </row>
    <row r="93" spans="1:4">
      <c r="A93" s="26">
        <v>86</v>
      </c>
      <c r="B93" s="66">
        <v>1688</v>
      </c>
      <c r="C93" s="67" t="s">
        <v>166</v>
      </c>
      <c r="D93" s="67" t="s">
        <v>167</v>
      </c>
    </row>
    <row r="94" spans="1:4">
      <c r="A94" s="26">
        <v>87</v>
      </c>
      <c r="B94" s="66">
        <v>1689</v>
      </c>
      <c r="C94" s="67" t="s">
        <v>168</v>
      </c>
      <c r="D94" s="67" t="s">
        <v>167</v>
      </c>
    </row>
    <row r="95" spans="1:4">
      <c r="A95" s="26">
        <v>88</v>
      </c>
      <c r="B95" s="66">
        <v>1690</v>
      </c>
      <c r="C95" s="67" t="s">
        <v>169</v>
      </c>
      <c r="D95" s="67" t="s">
        <v>170</v>
      </c>
    </row>
    <row r="96" spans="1:4">
      <c r="A96" s="26">
        <v>89</v>
      </c>
      <c r="B96" s="66">
        <v>1691</v>
      </c>
      <c r="C96" s="67" t="s">
        <v>171</v>
      </c>
      <c r="D96" s="67" t="s">
        <v>172</v>
      </c>
    </row>
    <row r="97" spans="1:4">
      <c r="A97" s="26">
        <v>90</v>
      </c>
      <c r="B97" s="66">
        <v>1692</v>
      </c>
      <c r="C97" s="67" t="s">
        <v>173</v>
      </c>
      <c r="D97" s="67" t="s">
        <v>174</v>
      </c>
    </row>
    <row r="98" spans="1:4">
      <c r="A98" s="26">
        <v>91</v>
      </c>
      <c r="B98" s="66">
        <v>1693</v>
      </c>
      <c r="C98" s="67" t="s">
        <v>175</v>
      </c>
      <c r="D98" s="67" t="s">
        <v>176</v>
      </c>
    </row>
    <row r="99" spans="1:4">
      <c r="A99" s="26">
        <v>92</v>
      </c>
      <c r="B99" s="66">
        <v>1694</v>
      </c>
      <c r="C99" s="67" t="s">
        <v>177</v>
      </c>
      <c r="D99" s="67" t="s">
        <v>178</v>
      </c>
    </row>
    <row r="100" spans="1:4">
      <c r="A100" s="26">
        <v>93</v>
      </c>
      <c r="B100" s="66">
        <v>1695</v>
      </c>
      <c r="C100" s="67" t="s">
        <v>179</v>
      </c>
      <c r="D100" s="67" t="s">
        <v>178</v>
      </c>
    </row>
    <row r="101" spans="1:4">
      <c r="A101" s="26">
        <v>94</v>
      </c>
      <c r="B101" s="66">
        <v>1696</v>
      </c>
      <c r="C101" s="67" t="s">
        <v>180</v>
      </c>
      <c r="D101" s="67" t="s">
        <v>181</v>
      </c>
    </row>
    <row r="102" spans="1:4">
      <c r="A102" s="26">
        <v>95</v>
      </c>
      <c r="B102" s="66">
        <v>1697</v>
      </c>
      <c r="C102" s="67" t="s">
        <v>182</v>
      </c>
      <c r="D102" s="67" t="s">
        <v>183</v>
      </c>
    </row>
    <row r="103" spans="1:4">
      <c r="A103" s="26">
        <v>96</v>
      </c>
      <c r="B103" s="66">
        <v>1698</v>
      </c>
      <c r="C103" s="67" t="s">
        <v>184</v>
      </c>
      <c r="D103" s="67" t="s">
        <v>185</v>
      </c>
    </row>
    <row r="104" spans="1:4">
      <c r="A104" s="26">
        <v>97</v>
      </c>
      <c r="B104" s="66">
        <v>1699</v>
      </c>
      <c r="C104" s="67" t="s">
        <v>186</v>
      </c>
      <c r="D104" s="67" t="s">
        <v>185</v>
      </c>
    </row>
    <row r="105" spans="1:4">
      <c r="A105" s="26">
        <v>98</v>
      </c>
      <c r="B105" s="66">
        <v>1700</v>
      </c>
      <c r="C105" s="67" t="s">
        <v>187</v>
      </c>
      <c r="D105" s="67" t="s">
        <v>188</v>
      </c>
    </row>
    <row r="106" spans="1:4">
      <c r="A106" s="26">
        <v>99</v>
      </c>
      <c r="B106" s="66">
        <v>1701</v>
      </c>
      <c r="C106" s="67" t="s">
        <v>189</v>
      </c>
      <c r="D106" s="67" t="s">
        <v>190</v>
      </c>
    </row>
    <row r="107" spans="1:4">
      <c r="A107" s="26">
        <v>100</v>
      </c>
      <c r="B107" s="66">
        <v>1702</v>
      </c>
      <c r="C107" s="67" t="s">
        <v>191</v>
      </c>
      <c r="D107" s="67" t="s">
        <v>176</v>
      </c>
    </row>
    <row r="108" spans="1:4">
      <c r="A108" s="26">
        <v>101</v>
      </c>
      <c r="B108" s="66">
        <v>1703</v>
      </c>
      <c r="C108" s="67" t="s">
        <v>192</v>
      </c>
      <c r="D108" s="67" t="s">
        <v>193</v>
      </c>
    </row>
    <row r="109" spans="1:4">
      <c r="A109" s="26">
        <v>102</v>
      </c>
      <c r="B109" s="66">
        <v>1704</v>
      </c>
      <c r="C109" s="67" t="s">
        <v>194</v>
      </c>
      <c r="D109" s="67" t="s">
        <v>195</v>
      </c>
    </row>
    <row r="110" spans="1:4">
      <c r="A110" s="26">
        <v>103</v>
      </c>
      <c r="B110" s="66">
        <v>1705</v>
      </c>
      <c r="C110" s="67" t="s">
        <v>42</v>
      </c>
      <c r="D110" s="67" t="s">
        <v>196</v>
      </c>
    </row>
    <row r="111" spans="1:4">
      <c r="A111" s="26">
        <v>104</v>
      </c>
      <c r="B111" s="66">
        <v>1706</v>
      </c>
      <c r="C111" s="67" t="s">
        <v>197</v>
      </c>
      <c r="D111" s="67" t="s">
        <v>19</v>
      </c>
    </row>
    <row r="112" ht="21" customHeight="1" spans="1:4">
      <c r="A112" s="26">
        <v>105</v>
      </c>
      <c r="B112" s="66">
        <v>1707</v>
      </c>
      <c r="C112" s="72" t="s">
        <v>198</v>
      </c>
      <c r="D112" s="67" t="s">
        <v>199</v>
      </c>
    </row>
    <row r="113" spans="1:4">
      <c r="A113" s="26">
        <v>106</v>
      </c>
      <c r="B113" s="66">
        <v>1708</v>
      </c>
      <c r="C113" s="72" t="s">
        <v>200</v>
      </c>
      <c r="D113" s="67" t="s">
        <v>199</v>
      </c>
    </row>
    <row r="114" spans="1:4">
      <c r="A114" s="26">
        <v>107</v>
      </c>
      <c r="B114" s="66">
        <v>1709</v>
      </c>
      <c r="C114" s="67" t="s">
        <v>201</v>
      </c>
      <c r="D114" s="67" t="s">
        <v>202</v>
      </c>
    </row>
    <row r="115" spans="1:4">
      <c r="A115" s="26">
        <v>108</v>
      </c>
      <c r="B115" s="66">
        <v>1710</v>
      </c>
      <c r="C115" s="67" t="s">
        <v>203</v>
      </c>
      <c r="D115" s="67" t="s">
        <v>204</v>
      </c>
    </row>
    <row r="116" spans="1:4">
      <c r="A116" s="26">
        <v>109</v>
      </c>
      <c r="B116" s="66">
        <v>1711</v>
      </c>
      <c r="C116" s="67" t="s">
        <v>205</v>
      </c>
      <c r="D116" s="67" t="s">
        <v>206</v>
      </c>
    </row>
    <row r="117" spans="1:4">
      <c r="A117" s="26">
        <v>110</v>
      </c>
      <c r="B117" s="66">
        <v>1712</v>
      </c>
      <c r="C117" s="67" t="s">
        <v>207</v>
      </c>
      <c r="D117" s="67" t="s">
        <v>208</v>
      </c>
    </row>
    <row r="118" spans="1:4">
      <c r="A118" s="26">
        <v>111</v>
      </c>
      <c r="B118" s="66">
        <v>1713</v>
      </c>
      <c r="C118" s="67" t="s">
        <v>209</v>
      </c>
      <c r="D118" s="67" t="s">
        <v>210</v>
      </c>
    </row>
    <row r="119" spans="1:4">
      <c r="A119" s="26">
        <v>112</v>
      </c>
      <c r="B119" s="66">
        <v>1714</v>
      </c>
      <c r="C119" s="67" t="s">
        <v>211</v>
      </c>
      <c r="D119" s="67" t="s">
        <v>80</v>
      </c>
    </row>
    <row r="120" spans="1:4">
      <c r="A120" s="26">
        <v>113</v>
      </c>
      <c r="B120" s="66">
        <v>1715</v>
      </c>
      <c r="C120" s="67" t="s">
        <v>212</v>
      </c>
      <c r="D120" s="67" t="s">
        <v>213</v>
      </c>
    </row>
    <row r="121" spans="1:4">
      <c r="A121" s="26">
        <v>114</v>
      </c>
      <c r="B121" s="66">
        <v>1716</v>
      </c>
      <c r="C121" s="67" t="s">
        <v>214</v>
      </c>
      <c r="D121" s="67" t="s">
        <v>215</v>
      </c>
    </row>
    <row r="122" spans="1:4">
      <c r="A122" s="26">
        <v>115</v>
      </c>
      <c r="B122" s="66">
        <v>1717</v>
      </c>
      <c r="C122" s="67" t="s">
        <v>216</v>
      </c>
      <c r="D122" s="67" t="s">
        <v>217</v>
      </c>
    </row>
    <row r="123" spans="1:4">
      <c r="A123" s="26">
        <v>116</v>
      </c>
      <c r="B123" s="66">
        <v>1718</v>
      </c>
      <c r="C123" s="67" t="s">
        <v>218</v>
      </c>
      <c r="D123" s="67" t="s">
        <v>219</v>
      </c>
    </row>
    <row r="124" spans="1:4">
      <c r="A124" s="26">
        <v>117</v>
      </c>
      <c r="B124" s="66">
        <v>1719</v>
      </c>
      <c r="C124" s="67" t="s">
        <v>220</v>
      </c>
      <c r="D124" s="67" t="s">
        <v>219</v>
      </c>
    </row>
    <row r="125" spans="1:4">
      <c r="A125" s="26">
        <v>118</v>
      </c>
      <c r="B125" s="66">
        <v>1720</v>
      </c>
      <c r="C125" s="67" t="s">
        <v>221</v>
      </c>
      <c r="D125" s="67" t="s">
        <v>219</v>
      </c>
    </row>
    <row r="126" spans="1:4">
      <c r="A126" s="26">
        <v>119</v>
      </c>
      <c r="B126" s="66">
        <v>1721</v>
      </c>
      <c r="C126" s="67" t="s">
        <v>222</v>
      </c>
      <c r="D126" s="67" t="s">
        <v>135</v>
      </c>
    </row>
    <row r="127" spans="1:4">
      <c r="A127" s="26">
        <v>120</v>
      </c>
      <c r="B127" s="66">
        <v>1722</v>
      </c>
      <c r="C127" s="67" t="s">
        <v>223</v>
      </c>
      <c r="D127" s="67" t="s">
        <v>224</v>
      </c>
    </row>
    <row r="128" spans="1:4">
      <c r="A128" s="26">
        <v>121</v>
      </c>
      <c r="B128" s="66">
        <v>1723</v>
      </c>
      <c r="C128" s="67" t="s">
        <v>225</v>
      </c>
      <c r="D128" s="67" t="s">
        <v>226</v>
      </c>
    </row>
    <row r="129" spans="1:4">
      <c r="A129" s="26">
        <v>122</v>
      </c>
      <c r="B129" s="66">
        <v>1724</v>
      </c>
      <c r="C129" s="67" t="s">
        <v>227</v>
      </c>
      <c r="D129" s="67" t="s">
        <v>121</v>
      </c>
    </row>
    <row r="130" spans="1:4">
      <c r="A130" s="26">
        <v>123</v>
      </c>
      <c r="B130" s="66">
        <v>1725</v>
      </c>
      <c r="C130" s="67" t="s">
        <v>228</v>
      </c>
      <c r="D130" s="67" t="s">
        <v>229</v>
      </c>
    </row>
    <row r="131" spans="1:4">
      <c r="A131" s="26">
        <v>124</v>
      </c>
      <c r="B131" s="66">
        <v>1726</v>
      </c>
      <c r="C131" s="67" t="s">
        <v>230</v>
      </c>
      <c r="D131" s="67" t="s">
        <v>231</v>
      </c>
    </row>
    <row r="132" spans="1:4">
      <c r="A132" s="26">
        <v>125</v>
      </c>
      <c r="B132" s="66">
        <v>1727</v>
      </c>
      <c r="C132" s="67" t="s">
        <v>232</v>
      </c>
      <c r="D132" s="67" t="s">
        <v>226</v>
      </c>
    </row>
    <row r="133" spans="1:4">
      <c r="A133" s="26">
        <v>126</v>
      </c>
      <c r="B133" s="66">
        <v>1728</v>
      </c>
      <c r="C133" s="67" t="s">
        <v>233</v>
      </c>
      <c r="D133" s="67" t="s">
        <v>234</v>
      </c>
    </row>
    <row r="134" spans="1:4">
      <c r="A134" s="26">
        <v>127</v>
      </c>
      <c r="B134" s="66">
        <v>1729</v>
      </c>
      <c r="C134" s="67" t="s">
        <v>235</v>
      </c>
      <c r="D134" s="67" t="s">
        <v>236</v>
      </c>
    </row>
    <row r="135" spans="1:4">
      <c r="A135" s="26">
        <v>128</v>
      </c>
      <c r="B135" s="66">
        <v>1730</v>
      </c>
      <c r="C135" s="67" t="s">
        <v>237</v>
      </c>
      <c r="D135" s="67" t="s">
        <v>176</v>
      </c>
    </row>
    <row r="136" spans="1:4">
      <c r="A136" s="26">
        <v>129</v>
      </c>
      <c r="B136" s="66">
        <v>1731</v>
      </c>
      <c r="C136" s="67" t="s">
        <v>238</v>
      </c>
      <c r="D136" s="67" t="s">
        <v>239</v>
      </c>
    </row>
    <row r="137" spans="1:4">
      <c r="A137" s="26">
        <v>130</v>
      </c>
      <c r="B137" s="66">
        <v>1732</v>
      </c>
      <c r="C137" s="67" t="s">
        <v>240</v>
      </c>
      <c r="D137" s="67" t="s">
        <v>239</v>
      </c>
    </row>
    <row r="138" spans="1:4">
      <c r="A138" s="26">
        <v>131</v>
      </c>
      <c r="B138" s="66">
        <v>1733</v>
      </c>
      <c r="C138" s="67" t="s">
        <v>88</v>
      </c>
      <c r="D138" s="67" t="s">
        <v>241</v>
      </c>
    </row>
    <row r="139" spans="1:4">
      <c r="A139" s="26">
        <v>132</v>
      </c>
      <c r="B139" s="66">
        <v>1734</v>
      </c>
      <c r="C139" s="67" t="s">
        <v>242</v>
      </c>
      <c r="D139" s="67" t="s">
        <v>243</v>
      </c>
    </row>
    <row r="140" spans="1:4">
      <c r="A140" s="26">
        <v>133</v>
      </c>
      <c r="B140" s="66">
        <v>1735</v>
      </c>
      <c r="C140" s="67" t="s">
        <v>244</v>
      </c>
      <c r="D140" s="67" t="s">
        <v>245</v>
      </c>
    </row>
    <row r="141" spans="1:4">
      <c r="A141" s="26">
        <v>134</v>
      </c>
      <c r="B141" s="66">
        <v>1736</v>
      </c>
      <c r="C141" s="67" t="s">
        <v>246</v>
      </c>
      <c r="D141" s="67" t="s">
        <v>188</v>
      </c>
    </row>
    <row r="142" spans="1:4">
      <c r="A142" s="26">
        <v>135</v>
      </c>
      <c r="B142" s="66">
        <v>1737</v>
      </c>
      <c r="C142" s="67" t="s">
        <v>247</v>
      </c>
      <c r="D142" s="67" t="s">
        <v>248</v>
      </c>
    </row>
    <row r="143" spans="1:4">
      <c r="A143" s="26">
        <v>136</v>
      </c>
      <c r="B143" s="66">
        <v>1738</v>
      </c>
      <c r="C143" s="67" t="s">
        <v>249</v>
      </c>
      <c r="D143" s="67" t="s">
        <v>250</v>
      </c>
    </row>
    <row r="144" spans="1:4">
      <c r="A144" s="26">
        <v>137</v>
      </c>
      <c r="B144" s="66">
        <v>1739</v>
      </c>
      <c r="C144" s="67" t="s">
        <v>251</v>
      </c>
      <c r="D144" s="67" t="s">
        <v>252</v>
      </c>
    </row>
    <row r="145" spans="1:4">
      <c r="A145" s="26">
        <v>138</v>
      </c>
      <c r="B145" s="66">
        <v>1740</v>
      </c>
      <c r="C145" s="67" t="s">
        <v>253</v>
      </c>
      <c r="D145" s="67" t="s">
        <v>252</v>
      </c>
    </row>
    <row r="146" spans="1:4">
      <c r="A146" s="26">
        <v>139</v>
      </c>
      <c r="B146" s="66">
        <v>1741</v>
      </c>
      <c r="C146" s="67" t="s">
        <v>254</v>
      </c>
      <c r="D146" s="67" t="s">
        <v>19</v>
      </c>
    </row>
    <row r="147" spans="1:4">
      <c r="A147" s="26">
        <v>140</v>
      </c>
      <c r="B147" s="66">
        <v>1743</v>
      </c>
      <c r="C147" s="67" t="s">
        <v>255</v>
      </c>
      <c r="D147" s="67" t="s">
        <v>256</v>
      </c>
    </row>
    <row r="148" spans="1:4">
      <c r="A148" s="26">
        <v>141</v>
      </c>
      <c r="B148" s="66">
        <v>1744</v>
      </c>
      <c r="C148" s="67" t="s">
        <v>257</v>
      </c>
      <c r="D148" s="67" t="s">
        <v>258</v>
      </c>
    </row>
    <row r="149" spans="1:4">
      <c r="A149" s="26">
        <v>142</v>
      </c>
      <c r="B149" s="66">
        <v>1745</v>
      </c>
      <c r="C149" s="67" t="s">
        <v>259</v>
      </c>
      <c r="D149" s="67" t="s">
        <v>260</v>
      </c>
    </row>
    <row r="150" spans="1:4">
      <c r="A150" s="26">
        <v>143</v>
      </c>
      <c r="B150" s="73">
        <v>1746</v>
      </c>
      <c r="C150" s="67" t="s">
        <v>261</v>
      </c>
      <c r="D150" s="67" t="s">
        <v>262</v>
      </c>
    </row>
    <row r="151" spans="1:4">
      <c r="A151" s="26">
        <v>144</v>
      </c>
      <c r="B151" s="73">
        <v>1747</v>
      </c>
      <c r="C151" s="67" t="s">
        <v>263</v>
      </c>
      <c r="D151" s="67" t="s">
        <v>264</v>
      </c>
    </row>
    <row r="152" spans="1:4">
      <c r="A152" s="26">
        <v>145</v>
      </c>
      <c r="B152" s="73">
        <v>1749</v>
      </c>
      <c r="C152" s="67" t="s">
        <v>265</v>
      </c>
      <c r="D152" s="67" t="s">
        <v>149</v>
      </c>
    </row>
    <row r="153" spans="1:4">
      <c r="A153" s="26">
        <v>146</v>
      </c>
      <c r="B153" s="67">
        <v>1750</v>
      </c>
      <c r="C153" s="74" t="s">
        <v>266</v>
      </c>
      <c r="D153" s="74" t="s">
        <v>267</v>
      </c>
    </row>
    <row r="154" spans="1:4">
      <c r="A154" s="26">
        <v>147</v>
      </c>
      <c r="B154" s="73">
        <v>1751</v>
      </c>
      <c r="C154" s="67" t="s">
        <v>268</v>
      </c>
      <c r="D154" s="67" t="s">
        <v>269</v>
      </c>
    </row>
    <row r="155" spans="1:4">
      <c r="A155" s="26">
        <v>148</v>
      </c>
      <c r="B155" s="73">
        <v>1752</v>
      </c>
      <c r="C155" s="67" t="s">
        <v>270</v>
      </c>
      <c r="D155" s="67" t="s">
        <v>271</v>
      </c>
    </row>
    <row r="156" spans="1:4">
      <c r="A156" s="26">
        <v>149</v>
      </c>
      <c r="B156" s="74">
        <v>1753</v>
      </c>
      <c r="C156" s="67" t="s">
        <v>272</v>
      </c>
      <c r="D156" s="67" t="s">
        <v>121</v>
      </c>
    </row>
    <row r="157" spans="1:4">
      <c r="A157" s="26">
        <v>150</v>
      </c>
      <c r="B157" s="63">
        <v>1541</v>
      </c>
      <c r="C157" s="75" t="s">
        <v>273</v>
      </c>
      <c r="D157" s="75" t="s">
        <v>57</v>
      </c>
    </row>
    <row r="158" spans="1:4">
      <c r="A158" s="26">
        <v>151</v>
      </c>
      <c r="B158" s="63">
        <v>1542</v>
      </c>
      <c r="C158" s="75" t="s">
        <v>274</v>
      </c>
      <c r="D158" s="75" t="s">
        <v>262</v>
      </c>
    </row>
    <row r="159" spans="1:4">
      <c r="A159" s="26">
        <v>152</v>
      </c>
      <c r="B159" s="63">
        <v>1543</v>
      </c>
      <c r="C159" s="75" t="s">
        <v>275</v>
      </c>
      <c r="D159" s="75" t="s">
        <v>276</v>
      </c>
    </row>
    <row r="160" spans="1:4">
      <c r="A160" s="26">
        <v>153</v>
      </c>
      <c r="B160" s="63">
        <v>1544</v>
      </c>
      <c r="C160" s="75" t="s">
        <v>277</v>
      </c>
      <c r="D160" s="75" t="s">
        <v>183</v>
      </c>
    </row>
    <row r="161" spans="1:4">
      <c r="A161" s="26">
        <v>154</v>
      </c>
      <c r="B161" s="63">
        <v>1545</v>
      </c>
      <c r="C161" s="75" t="s">
        <v>278</v>
      </c>
      <c r="D161" s="75" t="s">
        <v>279</v>
      </c>
    </row>
    <row r="162" spans="1:4">
      <c r="A162" s="26">
        <v>155</v>
      </c>
      <c r="B162" s="63">
        <v>1546</v>
      </c>
      <c r="C162" s="75" t="s">
        <v>280</v>
      </c>
      <c r="D162" s="75" t="s">
        <v>281</v>
      </c>
    </row>
    <row r="163" spans="1:4">
      <c r="A163" s="26">
        <v>156</v>
      </c>
      <c r="B163" s="63">
        <v>1547</v>
      </c>
      <c r="C163" s="75" t="s">
        <v>282</v>
      </c>
      <c r="D163" s="75" t="s">
        <v>283</v>
      </c>
    </row>
    <row r="164" spans="1:4">
      <c r="A164" s="26">
        <v>157</v>
      </c>
      <c r="B164" s="63">
        <v>1548</v>
      </c>
      <c r="C164" s="75" t="s">
        <v>284</v>
      </c>
      <c r="D164" s="75" t="s">
        <v>285</v>
      </c>
    </row>
    <row r="165" spans="1:4">
      <c r="A165" s="26">
        <v>158</v>
      </c>
      <c r="B165" s="63">
        <v>1549</v>
      </c>
      <c r="C165" s="75" t="s">
        <v>286</v>
      </c>
      <c r="D165" s="75" t="s">
        <v>287</v>
      </c>
    </row>
    <row r="166" spans="1:4">
      <c r="A166" s="26">
        <v>159</v>
      </c>
      <c r="B166" s="63">
        <v>1550</v>
      </c>
      <c r="C166" s="75" t="s">
        <v>288</v>
      </c>
      <c r="D166" s="75" t="s">
        <v>289</v>
      </c>
    </row>
    <row r="167" spans="1:4">
      <c r="A167" s="26">
        <v>160</v>
      </c>
      <c r="B167" s="63">
        <v>1551</v>
      </c>
      <c r="C167" s="75" t="s">
        <v>67</v>
      </c>
      <c r="D167" s="75" t="s">
        <v>290</v>
      </c>
    </row>
    <row r="168" spans="1:4">
      <c r="A168" s="26">
        <v>161</v>
      </c>
      <c r="B168" s="63">
        <v>1552</v>
      </c>
      <c r="C168" s="75" t="s">
        <v>291</v>
      </c>
      <c r="D168" s="75" t="s">
        <v>292</v>
      </c>
    </row>
    <row r="169" spans="1:4">
      <c r="A169" s="26">
        <v>162</v>
      </c>
      <c r="B169" s="63">
        <v>1553</v>
      </c>
      <c r="C169" s="75" t="s">
        <v>293</v>
      </c>
      <c r="D169" s="75" t="s">
        <v>208</v>
      </c>
    </row>
    <row r="170" spans="1:4">
      <c r="A170" s="26">
        <v>163</v>
      </c>
      <c r="B170" s="63">
        <v>1554</v>
      </c>
      <c r="C170" s="75" t="s">
        <v>294</v>
      </c>
      <c r="D170" s="75" t="s">
        <v>295</v>
      </c>
    </row>
    <row r="171" spans="1:4">
      <c r="A171" s="26">
        <v>164</v>
      </c>
      <c r="B171" s="63">
        <v>1555</v>
      </c>
      <c r="C171" s="75" t="s">
        <v>296</v>
      </c>
      <c r="D171" s="75" t="s">
        <v>297</v>
      </c>
    </row>
    <row r="172" spans="1:4">
      <c r="A172" s="26">
        <v>165</v>
      </c>
      <c r="B172" s="63">
        <v>1556</v>
      </c>
      <c r="C172" s="75" t="s">
        <v>298</v>
      </c>
      <c r="D172" s="75" t="s">
        <v>188</v>
      </c>
    </row>
    <row r="173" spans="1:4">
      <c r="A173" s="26">
        <v>166</v>
      </c>
      <c r="B173" s="63">
        <v>1557</v>
      </c>
      <c r="C173" s="75" t="s">
        <v>299</v>
      </c>
      <c r="D173" s="75" t="s">
        <v>300</v>
      </c>
    </row>
    <row r="174" spans="1:4">
      <c r="A174" s="26">
        <v>167</v>
      </c>
      <c r="B174" s="63">
        <v>1558</v>
      </c>
      <c r="C174" s="75" t="s">
        <v>263</v>
      </c>
      <c r="D174" s="75" t="s">
        <v>241</v>
      </c>
    </row>
    <row r="175" spans="1:4">
      <c r="A175" s="26">
        <v>168</v>
      </c>
      <c r="B175" s="63">
        <v>1559</v>
      </c>
      <c r="C175" s="75" t="s">
        <v>301</v>
      </c>
      <c r="D175" s="75" t="s">
        <v>176</v>
      </c>
    </row>
    <row r="176" spans="1:4">
      <c r="A176" s="26">
        <v>169</v>
      </c>
      <c r="B176" s="63">
        <v>1560</v>
      </c>
      <c r="C176" s="75" t="s">
        <v>302</v>
      </c>
      <c r="D176" s="75" t="s">
        <v>303</v>
      </c>
    </row>
    <row r="177" spans="1:4">
      <c r="A177" s="26">
        <v>170</v>
      </c>
      <c r="B177" s="63">
        <v>1561</v>
      </c>
      <c r="C177" s="75" t="s">
        <v>304</v>
      </c>
      <c r="D177" s="75" t="s">
        <v>305</v>
      </c>
    </row>
    <row r="178" spans="1:4">
      <c r="A178" s="26">
        <v>171</v>
      </c>
      <c r="B178" s="63">
        <v>1562</v>
      </c>
      <c r="C178" s="75" t="s">
        <v>306</v>
      </c>
      <c r="D178" s="75" t="s">
        <v>305</v>
      </c>
    </row>
    <row r="179" spans="1:4">
      <c r="A179" s="26">
        <v>172</v>
      </c>
      <c r="B179" s="63">
        <v>1563</v>
      </c>
      <c r="C179" s="75" t="s">
        <v>307</v>
      </c>
      <c r="D179" s="75" t="s">
        <v>308</v>
      </c>
    </row>
    <row r="180" spans="1:4">
      <c r="A180" s="26">
        <v>173</v>
      </c>
      <c r="B180" s="63">
        <v>1598</v>
      </c>
      <c r="C180" s="75" t="s">
        <v>309</v>
      </c>
      <c r="D180" s="75" t="s">
        <v>271</v>
      </c>
    </row>
    <row r="181" spans="1:4">
      <c r="A181" s="26">
        <v>174</v>
      </c>
      <c r="B181" s="63">
        <v>1599</v>
      </c>
      <c r="C181" s="75" t="s">
        <v>242</v>
      </c>
      <c r="D181" s="75" t="s">
        <v>310</v>
      </c>
    </row>
    <row r="182" spans="1:13">
      <c r="A182" s="26">
        <v>175</v>
      </c>
      <c r="B182" s="63">
        <v>1499</v>
      </c>
      <c r="C182" s="75" t="s">
        <v>311</v>
      </c>
      <c r="D182" s="75" t="s">
        <v>312</v>
      </c>
      <c r="E182" s="26">
        <v>22</v>
      </c>
      <c r="F182" s="26">
        <v>27</v>
      </c>
      <c r="G182" s="26">
        <v>12</v>
      </c>
      <c r="H182" s="26">
        <v>21</v>
      </c>
      <c r="I182" s="26">
        <v>18</v>
      </c>
      <c r="K182" s="26">
        <v>100</v>
      </c>
      <c r="L182" s="26">
        <v>50</v>
      </c>
      <c r="M182" s="26" t="s">
        <v>313</v>
      </c>
    </row>
    <row r="183" spans="1:13">
      <c r="A183" s="26">
        <v>176</v>
      </c>
      <c r="B183" s="63">
        <v>1500</v>
      </c>
      <c r="C183" s="75" t="s">
        <v>314</v>
      </c>
      <c r="D183" s="75" t="s">
        <v>99</v>
      </c>
      <c r="E183" s="26">
        <v>23</v>
      </c>
      <c r="F183" s="26">
        <v>25</v>
      </c>
      <c r="G183" s="26">
        <v>13</v>
      </c>
      <c r="H183" s="26">
        <v>22</v>
      </c>
      <c r="I183" s="26">
        <v>20</v>
      </c>
      <c r="K183" s="26">
        <v>103</v>
      </c>
      <c r="L183" s="26">
        <v>51.5</v>
      </c>
      <c r="M183" s="26" t="s">
        <v>313</v>
      </c>
    </row>
    <row r="184" spans="1:13">
      <c r="A184" s="26">
        <v>177</v>
      </c>
      <c r="B184" s="63">
        <v>1501</v>
      </c>
      <c r="C184" s="75" t="s">
        <v>315</v>
      </c>
      <c r="D184" s="75" t="s">
        <v>161</v>
      </c>
      <c r="E184" s="26">
        <v>21</v>
      </c>
      <c r="F184" s="26">
        <v>25</v>
      </c>
      <c r="G184" s="26">
        <v>10</v>
      </c>
      <c r="H184" s="26">
        <v>20</v>
      </c>
      <c r="I184" s="26">
        <v>17</v>
      </c>
      <c r="K184" s="26">
        <v>93</v>
      </c>
      <c r="L184" s="26">
        <v>46.5</v>
      </c>
      <c r="M184" s="26" t="s">
        <v>316</v>
      </c>
    </row>
    <row r="185" spans="1:13">
      <c r="A185" s="26">
        <v>178</v>
      </c>
      <c r="B185" s="63">
        <v>1502</v>
      </c>
      <c r="C185" s="75" t="s">
        <v>317</v>
      </c>
      <c r="D185" s="75" t="s">
        <v>161</v>
      </c>
      <c r="E185" s="26">
        <v>22</v>
      </c>
      <c r="F185" s="26">
        <v>24</v>
      </c>
      <c r="G185" s="26">
        <v>12</v>
      </c>
      <c r="H185" s="26">
        <v>22</v>
      </c>
      <c r="I185" s="26">
        <v>12</v>
      </c>
      <c r="K185" s="26">
        <v>92</v>
      </c>
      <c r="L185" s="26">
        <v>46</v>
      </c>
      <c r="M185" s="26" t="s">
        <v>316</v>
      </c>
    </row>
    <row r="186" spans="1:13">
      <c r="A186" s="26">
        <v>179</v>
      </c>
      <c r="B186" s="63">
        <v>1503</v>
      </c>
      <c r="C186" s="75" t="s">
        <v>318</v>
      </c>
      <c r="D186" s="75" t="s">
        <v>319</v>
      </c>
      <c r="E186" s="26">
        <v>21</v>
      </c>
      <c r="F186" s="26">
        <v>27</v>
      </c>
      <c r="G186" s="26">
        <v>13</v>
      </c>
      <c r="H186" s="26">
        <v>25</v>
      </c>
      <c r="I186" s="26">
        <v>18</v>
      </c>
      <c r="K186" s="26">
        <v>104</v>
      </c>
      <c r="L186" s="26">
        <v>52</v>
      </c>
      <c r="M186" s="26" t="s">
        <v>313</v>
      </c>
    </row>
    <row r="187" spans="1:13">
      <c r="A187" s="26">
        <v>180</v>
      </c>
      <c r="B187" s="63">
        <v>1504</v>
      </c>
      <c r="C187" s="75" t="s">
        <v>320</v>
      </c>
      <c r="D187" s="75" t="s">
        <v>319</v>
      </c>
      <c r="E187" s="26">
        <v>23</v>
      </c>
      <c r="F187" s="26">
        <v>27</v>
      </c>
      <c r="G187" s="26">
        <v>15</v>
      </c>
      <c r="H187" s="26">
        <v>25</v>
      </c>
      <c r="I187" s="26">
        <v>20</v>
      </c>
      <c r="K187" s="26">
        <v>110</v>
      </c>
      <c r="L187" s="26">
        <v>55</v>
      </c>
      <c r="M187" s="26" t="s">
        <v>313</v>
      </c>
    </row>
    <row r="188" spans="1:12">
      <c r="A188" s="26">
        <v>181</v>
      </c>
      <c r="B188" s="63">
        <v>1505</v>
      </c>
      <c r="C188" s="75" t="s">
        <v>321</v>
      </c>
      <c r="D188" s="75" t="s">
        <v>322</v>
      </c>
      <c r="E188" s="26" t="s">
        <v>323</v>
      </c>
      <c r="F188" s="26" t="s">
        <v>323</v>
      </c>
      <c r="G188" s="26" t="s">
        <v>323</v>
      </c>
      <c r="H188" s="26" t="s">
        <v>323</v>
      </c>
      <c r="I188" s="26" t="s">
        <v>323</v>
      </c>
      <c r="K188" s="26" t="s">
        <v>323</v>
      </c>
      <c r="L188" s="26" t="s">
        <v>323</v>
      </c>
    </row>
    <row r="189" spans="1:13">
      <c r="A189" s="26">
        <v>182</v>
      </c>
      <c r="B189" s="63">
        <v>1506</v>
      </c>
      <c r="C189" s="75" t="s">
        <v>324</v>
      </c>
      <c r="D189" s="75" t="s">
        <v>41</v>
      </c>
      <c r="E189" s="26">
        <v>21</v>
      </c>
      <c r="F189" s="26">
        <v>22</v>
      </c>
      <c r="G189" s="26">
        <v>10</v>
      </c>
      <c r="H189" s="26">
        <v>21</v>
      </c>
      <c r="I189" s="26">
        <v>16</v>
      </c>
      <c r="K189" s="26">
        <v>90</v>
      </c>
      <c r="L189" s="26">
        <v>45</v>
      </c>
      <c r="M189" s="26" t="s">
        <v>316</v>
      </c>
    </row>
    <row r="190" spans="1:13">
      <c r="A190" s="26">
        <v>183</v>
      </c>
      <c r="B190" s="63">
        <v>1507</v>
      </c>
      <c r="C190" s="75" t="s">
        <v>325</v>
      </c>
      <c r="D190" s="75" t="s">
        <v>326</v>
      </c>
      <c r="E190" s="26">
        <v>22</v>
      </c>
      <c r="F190" s="26">
        <v>25</v>
      </c>
      <c r="G190" s="26">
        <v>12</v>
      </c>
      <c r="H190" s="26">
        <v>21</v>
      </c>
      <c r="I190" s="26">
        <v>16</v>
      </c>
      <c r="K190" s="26">
        <v>96</v>
      </c>
      <c r="L190" s="26">
        <v>48</v>
      </c>
      <c r="M190" s="26" t="s">
        <v>316</v>
      </c>
    </row>
    <row r="191" spans="1:13">
      <c r="A191" s="26">
        <v>184</v>
      </c>
      <c r="B191" s="63">
        <v>1508</v>
      </c>
      <c r="C191" s="75" t="s">
        <v>327</v>
      </c>
      <c r="D191" s="75" t="s">
        <v>328</v>
      </c>
      <c r="E191" s="26">
        <v>22</v>
      </c>
      <c r="F191" s="26">
        <v>24</v>
      </c>
      <c r="G191" s="26">
        <v>12</v>
      </c>
      <c r="H191" s="26">
        <v>26</v>
      </c>
      <c r="I191" s="26">
        <v>16</v>
      </c>
      <c r="K191" s="26">
        <v>100</v>
      </c>
      <c r="L191" s="26">
        <v>50</v>
      </c>
      <c r="M191" s="26" t="s">
        <v>313</v>
      </c>
    </row>
    <row r="192" spans="1:13">
      <c r="A192" s="26">
        <v>185</v>
      </c>
      <c r="B192" s="63">
        <v>1509</v>
      </c>
      <c r="C192" s="75" t="s">
        <v>329</v>
      </c>
      <c r="D192" s="75" t="s">
        <v>330</v>
      </c>
      <c r="E192" s="26">
        <v>20</v>
      </c>
      <c r="F192" s="26">
        <v>25</v>
      </c>
      <c r="G192" s="26">
        <v>13</v>
      </c>
      <c r="H192" s="26">
        <v>19</v>
      </c>
      <c r="I192" s="26">
        <v>13</v>
      </c>
      <c r="K192" s="26">
        <v>90</v>
      </c>
      <c r="L192" s="26">
        <v>45</v>
      </c>
      <c r="M192" s="26" t="s">
        <v>316</v>
      </c>
    </row>
    <row r="193" spans="1:13">
      <c r="A193" s="26">
        <v>186</v>
      </c>
      <c r="B193" s="63">
        <v>1510</v>
      </c>
      <c r="C193" s="75" t="s">
        <v>331</v>
      </c>
      <c r="D193" s="75" t="s">
        <v>332</v>
      </c>
      <c r="E193" s="26">
        <v>28</v>
      </c>
      <c r="F193" s="26">
        <v>33</v>
      </c>
      <c r="G193" s="26">
        <v>18</v>
      </c>
      <c r="H193" s="26">
        <v>25</v>
      </c>
      <c r="I193" s="26">
        <v>21</v>
      </c>
      <c r="K193" s="26">
        <v>124</v>
      </c>
      <c r="L193" s="26">
        <v>62</v>
      </c>
      <c r="M193" s="26" t="s">
        <v>333</v>
      </c>
    </row>
    <row r="194" spans="1:13">
      <c r="A194" s="26">
        <v>187</v>
      </c>
      <c r="B194" s="63">
        <v>1511</v>
      </c>
      <c r="C194" s="75" t="s">
        <v>334</v>
      </c>
      <c r="D194" s="75" t="s">
        <v>289</v>
      </c>
      <c r="E194" s="26">
        <v>22</v>
      </c>
      <c r="F194" s="26">
        <v>27</v>
      </c>
      <c r="G194" s="26">
        <v>13</v>
      </c>
      <c r="H194" s="26">
        <v>27</v>
      </c>
      <c r="I194" s="26">
        <v>18</v>
      </c>
      <c r="K194" s="26">
        <v>107</v>
      </c>
      <c r="L194" s="26">
        <v>53.5</v>
      </c>
      <c r="M194" s="26" t="s">
        <v>313</v>
      </c>
    </row>
    <row r="195" spans="1:13">
      <c r="A195" s="26">
        <v>188</v>
      </c>
      <c r="B195" s="63">
        <v>1512</v>
      </c>
      <c r="C195" s="75" t="s">
        <v>335</v>
      </c>
      <c r="D195" s="75" t="s">
        <v>287</v>
      </c>
      <c r="E195" s="26">
        <v>22</v>
      </c>
      <c r="F195" s="26">
        <v>25</v>
      </c>
      <c r="G195" s="26">
        <v>12</v>
      </c>
      <c r="H195" s="26">
        <v>24</v>
      </c>
      <c r="I195" s="26">
        <v>12</v>
      </c>
      <c r="K195" s="26">
        <v>95</v>
      </c>
      <c r="L195" s="26">
        <v>47.5</v>
      </c>
      <c r="M195" s="26" t="s">
        <v>316</v>
      </c>
    </row>
    <row r="196" spans="1:12">
      <c r="A196" s="26">
        <v>189</v>
      </c>
      <c r="B196" s="63">
        <v>1513</v>
      </c>
      <c r="C196" s="75" t="s">
        <v>336</v>
      </c>
      <c r="D196" s="75" t="s">
        <v>337</v>
      </c>
      <c r="E196" s="26" t="s">
        <v>323</v>
      </c>
      <c r="F196" s="26" t="s">
        <v>323</v>
      </c>
      <c r="G196" s="26" t="s">
        <v>323</v>
      </c>
      <c r="H196" s="26" t="s">
        <v>323</v>
      </c>
      <c r="I196" s="26" t="s">
        <v>323</v>
      </c>
      <c r="K196" s="26" t="s">
        <v>323</v>
      </c>
      <c r="L196" s="26" t="s">
        <v>323</v>
      </c>
    </row>
    <row r="197" spans="1:13">
      <c r="A197" s="26">
        <v>190</v>
      </c>
      <c r="B197" s="63">
        <v>1514</v>
      </c>
      <c r="C197" s="75" t="s">
        <v>338</v>
      </c>
      <c r="D197" s="75" t="s">
        <v>116</v>
      </c>
      <c r="E197" s="26">
        <v>19</v>
      </c>
      <c r="F197" s="26">
        <v>22</v>
      </c>
      <c r="G197" s="26">
        <v>13</v>
      </c>
      <c r="H197" s="26">
        <v>18</v>
      </c>
      <c r="I197" s="26">
        <v>14</v>
      </c>
      <c r="K197" s="26">
        <v>86</v>
      </c>
      <c r="L197" s="26">
        <v>43</v>
      </c>
      <c r="M197" s="26" t="s">
        <v>316</v>
      </c>
    </row>
    <row r="198" spans="1:13">
      <c r="A198" s="26">
        <v>191</v>
      </c>
      <c r="B198" s="63">
        <v>1515</v>
      </c>
      <c r="C198" s="75" t="s">
        <v>339</v>
      </c>
      <c r="D198" s="75" t="s">
        <v>340</v>
      </c>
      <c r="E198" s="26">
        <v>21</v>
      </c>
      <c r="F198" s="26">
        <v>20</v>
      </c>
      <c r="G198" s="26">
        <v>12</v>
      </c>
      <c r="H198" s="26">
        <v>22</v>
      </c>
      <c r="I198" s="26">
        <v>20</v>
      </c>
      <c r="K198" s="26">
        <v>95</v>
      </c>
      <c r="L198" s="26">
        <v>47.5</v>
      </c>
      <c r="M198" s="26" t="s">
        <v>316</v>
      </c>
    </row>
    <row r="199" spans="1:11">
      <c r="A199" s="26">
        <v>192</v>
      </c>
      <c r="B199" s="63">
        <v>1518</v>
      </c>
      <c r="C199" s="75" t="s">
        <v>341</v>
      </c>
      <c r="D199" s="75" t="s">
        <v>105</v>
      </c>
      <c r="E199" s="26">
        <v>17</v>
      </c>
      <c r="F199" s="26">
        <v>21</v>
      </c>
      <c r="G199" s="26">
        <v>10</v>
      </c>
      <c r="H199" s="26">
        <v>18</v>
      </c>
      <c r="I199" s="26">
        <v>10</v>
      </c>
      <c r="K199" s="26">
        <v>76</v>
      </c>
    </row>
    <row r="200" spans="1:13">
      <c r="A200" s="26">
        <v>193</v>
      </c>
      <c r="B200" s="63">
        <v>1519</v>
      </c>
      <c r="C200" s="75" t="s">
        <v>40</v>
      </c>
      <c r="D200" s="75" t="s">
        <v>342</v>
      </c>
      <c r="E200" s="26">
        <v>22</v>
      </c>
      <c r="F200" s="26">
        <v>25</v>
      </c>
      <c r="G200" s="26">
        <v>10</v>
      </c>
      <c r="H200" s="26">
        <v>21</v>
      </c>
      <c r="I200" s="26">
        <v>12</v>
      </c>
      <c r="K200" s="26">
        <v>90</v>
      </c>
      <c r="L200" s="26">
        <v>45</v>
      </c>
      <c r="M200" s="26" t="s">
        <v>316</v>
      </c>
    </row>
    <row r="201" spans="1:12">
      <c r="A201" s="26">
        <v>194</v>
      </c>
      <c r="B201" s="63">
        <v>1520</v>
      </c>
      <c r="C201" s="75" t="s">
        <v>343</v>
      </c>
      <c r="D201" s="75" t="s">
        <v>344</v>
      </c>
      <c r="E201" s="26" t="s">
        <v>323</v>
      </c>
      <c r="F201" s="26" t="s">
        <v>323</v>
      </c>
      <c r="G201" s="26" t="s">
        <v>323</v>
      </c>
      <c r="H201" s="26" t="s">
        <v>323</v>
      </c>
      <c r="I201" s="26" t="s">
        <v>323</v>
      </c>
      <c r="K201" s="26" t="s">
        <v>323</v>
      </c>
      <c r="L201" s="26" t="s">
        <v>323</v>
      </c>
    </row>
    <row r="202" spans="1:12">
      <c r="A202" s="26">
        <v>195</v>
      </c>
      <c r="B202" s="63">
        <v>1521</v>
      </c>
      <c r="C202" s="75" t="s">
        <v>186</v>
      </c>
      <c r="D202" s="75" t="s">
        <v>344</v>
      </c>
      <c r="E202" s="26" t="s">
        <v>323</v>
      </c>
      <c r="F202" s="26" t="s">
        <v>323</v>
      </c>
      <c r="G202" s="26" t="s">
        <v>323</v>
      </c>
      <c r="H202" s="26" t="s">
        <v>323</v>
      </c>
      <c r="I202" s="26" t="s">
        <v>323</v>
      </c>
      <c r="K202" s="26" t="s">
        <v>323</v>
      </c>
      <c r="L202" s="26" t="s">
        <v>323</v>
      </c>
    </row>
    <row r="203" spans="1:13">
      <c r="A203" s="26">
        <v>196</v>
      </c>
      <c r="B203" s="63">
        <v>1522</v>
      </c>
      <c r="C203" s="75" t="s">
        <v>345</v>
      </c>
      <c r="D203" s="75" t="s">
        <v>70</v>
      </c>
      <c r="E203" s="26">
        <v>22</v>
      </c>
      <c r="F203" s="26">
        <v>26</v>
      </c>
      <c r="G203" s="26">
        <v>11</v>
      </c>
      <c r="H203" s="26">
        <v>20</v>
      </c>
      <c r="I203" s="26">
        <v>15</v>
      </c>
      <c r="K203" s="26">
        <v>94</v>
      </c>
      <c r="L203" s="26">
        <v>47</v>
      </c>
      <c r="M203" s="26" t="s">
        <v>316</v>
      </c>
    </row>
    <row r="204" spans="1:13">
      <c r="A204" s="26">
        <v>197</v>
      </c>
      <c r="B204" s="63">
        <v>1523</v>
      </c>
      <c r="C204" s="75" t="s">
        <v>346</v>
      </c>
      <c r="D204" s="75" t="s">
        <v>347</v>
      </c>
      <c r="E204" s="26">
        <v>19</v>
      </c>
      <c r="F204" s="26">
        <v>25</v>
      </c>
      <c r="G204" s="26">
        <v>12</v>
      </c>
      <c r="H204" s="26">
        <v>21</v>
      </c>
      <c r="I204" s="26">
        <v>16</v>
      </c>
      <c r="K204" s="26">
        <v>93</v>
      </c>
      <c r="L204" s="26">
        <v>46.5</v>
      </c>
      <c r="M204" s="26" t="s">
        <v>316</v>
      </c>
    </row>
    <row r="205" spans="1:13">
      <c r="A205" s="26">
        <v>198</v>
      </c>
      <c r="B205" s="63">
        <v>1524</v>
      </c>
      <c r="C205" s="75" t="s">
        <v>348</v>
      </c>
      <c r="D205" s="75" t="s">
        <v>199</v>
      </c>
      <c r="E205" s="26">
        <v>20</v>
      </c>
      <c r="F205" s="26">
        <v>26</v>
      </c>
      <c r="G205" s="26">
        <v>12</v>
      </c>
      <c r="H205" s="26">
        <v>21</v>
      </c>
      <c r="I205" s="26">
        <v>15</v>
      </c>
      <c r="K205" s="26">
        <v>94</v>
      </c>
      <c r="L205" s="26">
        <v>47</v>
      </c>
      <c r="M205" s="26" t="s">
        <v>316</v>
      </c>
    </row>
    <row r="206" spans="1:13">
      <c r="A206" s="26">
        <v>199</v>
      </c>
      <c r="B206" s="63">
        <v>1525</v>
      </c>
      <c r="C206" s="75" t="s">
        <v>349</v>
      </c>
      <c r="D206" s="75" t="s">
        <v>350</v>
      </c>
      <c r="E206" s="26">
        <v>25</v>
      </c>
      <c r="F206" s="26">
        <v>27</v>
      </c>
      <c r="G206" s="26">
        <v>13</v>
      </c>
      <c r="H206" s="26">
        <v>24</v>
      </c>
      <c r="I206" s="26">
        <v>18</v>
      </c>
      <c r="K206" s="26">
        <v>160</v>
      </c>
      <c r="L206" s="26">
        <v>80</v>
      </c>
      <c r="M206" s="26" t="s">
        <v>351</v>
      </c>
    </row>
    <row r="207" spans="1:13">
      <c r="A207" s="26">
        <v>200</v>
      </c>
      <c r="B207" s="63">
        <v>1526</v>
      </c>
      <c r="C207" s="75" t="s">
        <v>352</v>
      </c>
      <c r="D207" s="75" t="s">
        <v>353</v>
      </c>
      <c r="E207" s="26">
        <v>22</v>
      </c>
      <c r="F207" s="26">
        <v>25</v>
      </c>
      <c r="G207" s="26">
        <v>13</v>
      </c>
      <c r="H207" s="26">
        <v>25</v>
      </c>
      <c r="I207" s="26">
        <v>16</v>
      </c>
      <c r="K207" s="26">
        <v>101</v>
      </c>
      <c r="L207" s="26">
        <v>50.5</v>
      </c>
      <c r="M207" s="26" t="s">
        <v>313</v>
      </c>
    </row>
    <row r="208" spans="1:13">
      <c r="A208" s="26">
        <v>201</v>
      </c>
      <c r="B208" s="63">
        <v>1527</v>
      </c>
      <c r="C208" s="75" t="s">
        <v>354</v>
      </c>
      <c r="D208" s="75" t="s">
        <v>355</v>
      </c>
      <c r="E208" s="26">
        <v>21</v>
      </c>
      <c r="F208" s="26">
        <v>20</v>
      </c>
      <c r="G208" s="26">
        <v>10</v>
      </c>
      <c r="H208" s="26">
        <v>22</v>
      </c>
      <c r="I208" s="26">
        <v>16</v>
      </c>
      <c r="K208" s="26">
        <v>89</v>
      </c>
      <c r="L208" s="26">
        <v>44.5</v>
      </c>
      <c r="M208" s="26" t="s">
        <v>316</v>
      </c>
    </row>
    <row r="209" spans="1:12">
      <c r="A209" s="26">
        <v>202</v>
      </c>
      <c r="B209" s="63">
        <v>1528</v>
      </c>
      <c r="C209" s="75" t="s">
        <v>355</v>
      </c>
      <c r="D209" s="75" t="s">
        <v>356</v>
      </c>
      <c r="E209" s="26" t="s">
        <v>323</v>
      </c>
      <c r="F209" s="26" t="s">
        <v>323</v>
      </c>
      <c r="G209" s="26" t="s">
        <v>323</v>
      </c>
      <c r="H209" s="26" t="s">
        <v>323</v>
      </c>
      <c r="I209" s="26" t="s">
        <v>323</v>
      </c>
      <c r="K209" s="26" t="s">
        <v>323</v>
      </c>
      <c r="L209" s="26" t="s">
        <v>323</v>
      </c>
    </row>
    <row r="210" spans="1:13">
      <c r="A210" s="26">
        <v>203</v>
      </c>
      <c r="B210" s="63">
        <v>1529</v>
      </c>
      <c r="C210" s="75" t="s">
        <v>357</v>
      </c>
      <c r="D210" s="75" t="s">
        <v>19</v>
      </c>
      <c r="E210" s="26">
        <v>19</v>
      </c>
      <c r="F210" s="26">
        <v>24</v>
      </c>
      <c r="G210" s="26">
        <v>12</v>
      </c>
      <c r="H210" s="26">
        <v>22</v>
      </c>
      <c r="I210" s="26">
        <v>10</v>
      </c>
      <c r="K210" s="26">
        <v>87</v>
      </c>
      <c r="L210" s="26">
        <v>43.5</v>
      </c>
      <c r="M210" s="26" t="s">
        <v>316</v>
      </c>
    </row>
    <row r="211" spans="1:13">
      <c r="A211" s="26">
        <v>204</v>
      </c>
      <c r="B211" s="63">
        <v>1530</v>
      </c>
      <c r="C211" s="75" t="s">
        <v>358</v>
      </c>
      <c r="D211" s="75" t="s">
        <v>46</v>
      </c>
      <c r="E211" s="26">
        <v>22</v>
      </c>
      <c r="F211" s="26">
        <v>26</v>
      </c>
      <c r="G211" s="26">
        <v>13</v>
      </c>
      <c r="H211" s="26">
        <v>20</v>
      </c>
      <c r="I211" s="26">
        <v>18</v>
      </c>
      <c r="K211" s="26">
        <v>99</v>
      </c>
      <c r="L211" s="26">
        <v>49.5</v>
      </c>
      <c r="M211" s="26" t="s">
        <v>316</v>
      </c>
    </row>
    <row r="212" spans="1:12">
      <c r="A212" s="26">
        <v>205</v>
      </c>
      <c r="B212" s="63">
        <v>1531</v>
      </c>
      <c r="C212" s="75" t="s">
        <v>359</v>
      </c>
      <c r="D212" s="75" t="s">
        <v>360</v>
      </c>
      <c r="E212" s="26" t="s">
        <v>323</v>
      </c>
      <c r="F212" s="26" t="s">
        <v>323</v>
      </c>
      <c r="G212" s="26" t="s">
        <v>323</v>
      </c>
      <c r="H212" s="26" t="s">
        <v>323</v>
      </c>
      <c r="I212" s="26" t="s">
        <v>323</v>
      </c>
      <c r="K212" s="26" t="s">
        <v>323</v>
      </c>
      <c r="L212" s="26" t="s">
        <v>323</v>
      </c>
    </row>
    <row r="213" spans="1:12">
      <c r="A213" s="26">
        <v>206</v>
      </c>
      <c r="B213" s="63">
        <v>1533</v>
      </c>
      <c r="C213" s="75" t="s">
        <v>361</v>
      </c>
      <c r="D213" s="75" t="s">
        <v>181</v>
      </c>
      <c r="E213" s="26" t="s">
        <v>323</v>
      </c>
      <c r="F213" s="26" t="s">
        <v>323</v>
      </c>
      <c r="G213" s="26" t="s">
        <v>323</v>
      </c>
      <c r="H213" s="26" t="s">
        <v>323</v>
      </c>
      <c r="I213" s="26" t="s">
        <v>323</v>
      </c>
      <c r="K213" s="26" t="s">
        <v>323</v>
      </c>
      <c r="L213" s="26" t="s">
        <v>323</v>
      </c>
    </row>
    <row r="214" spans="1:13">
      <c r="A214" s="26">
        <v>207</v>
      </c>
      <c r="B214" s="63">
        <v>1534</v>
      </c>
      <c r="C214" s="75" t="s">
        <v>362</v>
      </c>
      <c r="D214" s="75" t="s">
        <v>347</v>
      </c>
      <c r="E214" s="26">
        <v>19</v>
      </c>
      <c r="F214" s="26">
        <v>22</v>
      </c>
      <c r="G214" s="26">
        <v>10</v>
      </c>
      <c r="H214" s="26">
        <v>22</v>
      </c>
      <c r="I214" s="26">
        <v>13</v>
      </c>
      <c r="K214" s="26">
        <v>86</v>
      </c>
      <c r="L214" s="26">
        <v>43</v>
      </c>
      <c r="M214" s="26" t="s">
        <v>316</v>
      </c>
    </row>
    <row r="215" spans="1:13">
      <c r="A215" s="26">
        <v>208</v>
      </c>
      <c r="B215" s="63">
        <v>1535</v>
      </c>
      <c r="C215" s="75" t="s">
        <v>363</v>
      </c>
      <c r="D215" s="75" t="s">
        <v>364</v>
      </c>
      <c r="E215" s="26">
        <v>20</v>
      </c>
      <c r="F215" s="26">
        <v>25</v>
      </c>
      <c r="G215" s="26">
        <v>12</v>
      </c>
      <c r="H215" s="26">
        <v>26</v>
      </c>
      <c r="I215" s="26">
        <v>20</v>
      </c>
      <c r="K215" s="26">
        <v>103</v>
      </c>
      <c r="L215" s="26">
        <v>51.5</v>
      </c>
      <c r="M215" s="26" t="s">
        <v>333</v>
      </c>
    </row>
    <row r="216" spans="1:13">
      <c r="A216" s="26">
        <v>209</v>
      </c>
      <c r="B216" s="63">
        <v>1536</v>
      </c>
      <c r="C216" s="75" t="s">
        <v>365</v>
      </c>
      <c r="D216" s="75" t="s">
        <v>21</v>
      </c>
      <c r="E216" s="26">
        <v>22</v>
      </c>
      <c r="F216" s="26">
        <v>27</v>
      </c>
      <c r="G216" s="26">
        <v>9</v>
      </c>
      <c r="H216" s="26">
        <v>21</v>
      </c>
      <c r="I216" s="26">
        <v>13</v>
      </c>
      <c r="K216" s="26">
        <v>92</v>
      </c>
      <c r="L216" s="26">
        <v>46</v>
      </c>
      <c r="M216" s="26" t="s">
        <v>316</v>
      </c>
    </row>
    <row r="217" spans="1:13">
      <c r="A217" s="26">
        <v>210</v>
      </c>
      <c r="B217" s="63">
        <v>1537</v>
      </c>
      <c r="C217" s="75" t="s">
        <v>366</v>
      </c>
      <c r="D217" s="75" t="s">
        <v>33</v>
      </c>
      <c r="E217" s="26">
        <v>24</v>
      </c>
      <c r="F217" s="26">
        <v>25</v>
      </c>
      <c r="G217" s="26">
        <v>10</v>
      </c>
      <c r="H217" s="26">
        <v>25</v>
      </c>
      <c r="I217" s="26">
        <v>15</v>
      </c>
      <c r="K217" s="26">
        <v>99</v>
      </c>
      <c r="L217" s="26">
        <v>49.5</v>
      </c>
      <c r="M217" s="26" t="s">
        <v>316</v>
      </c>
    </row>
    <row r="218" spans="1:13">
      <c r="A218" s="26">
        <v>211</v>
      </c>
      <c r="B218" s="63">
        <v>1538</v>
      </c>
      <c r="C218" s="75" t="s">
        <v>41</v>
      </c>
      <c r="D218" s="75" t="s">
        <v>367</v>
      </c>
      <c r="E218" s="26">
        <v>20</v>
      </c>
      <c r="F218" s="26">
        <v>23</v>
      </c>
      <c r="G218" s="26">
        <v>10</v>
      </c>
      <c r="H218" s="26">
        <v>18</v>
      </c>
      <c r="I218" s="26">
        <v>16</v>
      </c>
      <c r="K218" s="26">
        <v>87</v>
      </c>
      <c r="L218" s="26">
        <v>43.5</v>
      </c>
      <c r="M218" s="26" t="s">
        <v>316</v>
      </c>
    </row>
    <row r="219" spans="1:13">
      <c r="A219" s="26">
        <v>212</v>
      </c>
      <c r="B219" s="63">
        <v>1539</v>
      </c>
      <c r="C219" s="75" t="s">
        <v>368</v>
      </c>
      <c r="D219" s="75" t="s">
        <v>305</v>
      </c>
      <c r="E219" s="26">
        <v>20</v>
      </c>
      <c r="F219" s="26">
        <v>24</v>
      </c>
      <c r="G219" s="26">
        <v>15</v>
      </c>
      <c r="H219" s="26">
        <v>27</v>
      </c>
      <c r="I219" s="26">
        <v>20</v>
      </c>
      <c r="K219" s="26">
        <v>106</v>
      </c>
      <c r="L219" s="26">
        <v>53</v>
      </c>
      <c r="M219" s="26" t="s">
        <v>333</v>
      </c>
    </row>
    <row r="220" spans="1:13">
      <c r="A220" s="26">
        <v>213</v>
      </c>
      <c r="B220" s="63">
        <v>1540</v>
      </c>
      <c r="C220" s="75" t="s">
        <v>369</v>
      </c>
      <c r="D220" s="75" t="s">
        <v>370</v>
      </c>
      <c r="E220" s="26">
        <v>22</v>
      </c>
      <c r="F220" s="26">
        <v>23</v>
      </c>
      <c r="G220" s="26">
        <v>9</v>
      </c>
      <c r="H220" s="26">
        <v>24</v>
      </c>
      <c r="I220" s="26">
        <v>12</v>
      </c>
      <c r="K220" s="26">
        <v>90</v>
      </c>
      <c r="L220" s="26">
        <v>45</v>
      </c>
      <c r="M220" s="26" t="s">
        <v>316</v>
      </c>
    </row>
    <row r="221" spans="1:13">
      <c r="A221" s="26">
        <v>214</v>
      </c>
      <c r="B221" s="63">
        <v>1600</v>
      </c>
      <c r="C221" s="75" t="s">
        <v>371</v>
      </c>
      <c r="D221" s="75" t="s">
        <v>217</v>
      </c>
      <c r="E221" s="26">
        <v>22</v>
      </c>
      <c r="F221" s="26">
        <v>24</v>
      </c>
      <c r="G221" s="26">
        <v>10</v>
      </c>
      <c r="H221" s="26">
        <v>17</v>
      </c>
      <c r="I221" s="26">
        <v>13</v>
      </c>
      <c r="K221" s="26">
        <v>86</v>
      </c>
      <c r="L221" s="26">
        <v>43</v>
      </c>
      <c r="M221" s="26" t="s">
        <v>316</v>
      </c>
    </row>
    <row r="222" spans="1:13">
      <c r="A222" s="26">
        <v>215</v>
      </c>
      <c r="B222" s="63">
        <v>1601</v>
      </c>
      <c r="C222" s="75" t="s">
        <v>171</v>
      </c>
      <c r="D222" s="75" t="s">
        <v>372</v>
      </c>
      <c r="E222" s="26">
        <v>22</v>
      </c>
      <c r="F222" s="26">
        <v>26</v>
      </c>
      <c r="G222" s="26">
        <v>12</v>
      </c>
      <c r="H222" s="26">
        <v>22</v>
      </c>
      <c r="I222" s="26">
        <v>18</v>
      </c>
      <c r="K222" s="26">
        <v>100</v>
      </c>
      <c r="L222" s="26">
        <v>50</v>
      </c>
      <c r="M222" s="26" t="s">
        <v>333</v>
      </c>
    </row>
  </sheetData>
  <mergeCells count="5">
    <mergeCell ref="A1:N1"/>
    <mergeCell ref="A2:N2"/>
    <mergeCell ref="A3:N3"/>
    <mergeCell ref="A4:N4"/>
    <mergeCell ref="A5:N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E7" sqref="E7:J7"/>
    </sheetView>
  </sheetViews>
  <sheetFormatPr defaultColWidth="9.14285714285714" defaultRowHeight="15"/>
  <cols>
    <col min="1" max="2" width="9.14285714285714" style="25"/>
    <col min="3" max="3" width="19" style="25" customWidth="1"/>
    <col min="4" max="4" width="22.8571428571429" style="25" customWidth="1"/>
    <col min="5" max="16384" width="9.14285714285714" style="25"/>
  </cols>
  <sheetData>
    <row r="1" spans="1:1">
      <c r="A1" s="25" t="s">
        <v>0</v>
      </c>
    </row>
    <row r="2" spans="1:1">
      <c r="A2" s="25" t="s">
        <v>1</v>
      </c>
    </row>
    <row r="3" spans="1:1">
      <c r="A3" s="25">
        <v>408170079</v>
      </c>
    </row>
    <row r="4" spans="1:1">
      <c r="A4" s="25" t="s">
        <v>2</v>
      </c>
    </row>
    <row r="5" spans="1:1">
      <c r="A5" s="25" t="s">
        <v>373</v>
      </c>
    </row>
    <row r="6" spans="1:14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5" t="s">
        <v>16</v>
      </c>
      <c r="N6" s="25" t="s">
        <v>17</v>
      </c>
    </row>
    <row r="7" spans="5:10">
      <c r="E7" s="25">
        <v>50</v>
      </c>
      <c r="F7" s="25">
        <v>50</v>
      </c>
      <c r="G7" s="25">
        <v>50</v>
      </c>
      <c r="H7" s="25">
        <v>50</v>
      </c>
      <c r="I7" s="25">
        <v>50</v>
      </c>
      <c r="J7" s="25">
        <v>250</v>
      </c>
    </row>
    <row r="8" spans="1:13">
      <c r="A8" s="25">
        <v>1</v>
      </c>
      <c r="B8" s="63">
        <v>1516</v>
      </c>
      <c r="C8" s="64" t="s">
        <v>374</v>
      </c>
      <c r="D8" s="65" t="s">
        <v>213</v>
      </c>
      <c r="E8" s="25">
        <v>33</v>
      </c>
      <c r="F8" s="25">
        <v>45</v>
      </c>
      <c r="G8" s="25">
        <v>20</v>
      </c>
      <c r="H8" s="25">
        <v>22</v>
      </c>
      <c r="I8" s="25">
        <v>38</v>
      </c>
      <c r="K8" s="25">
        <v>158</v>
      </c>
      <c r="L8" s="25">
        <v>63.2</v>
      </c>
      <c r="M8" s="25" t="s">
        <v>333</v>
      </c>
    </row>
    <row r="9" spans="1:13">
      <c r="A9" s="25">
        <v>2</v>
      </c>
      <c r="B9" s="63">
        <v>1517</v>
      </c>
      <c r="C9" s="64" t="s">
        <v>177</v>
      </c>
      <c r="D9" s="65" t="s">
        <v>213</v>
      </c>
      <c r="E9" s="25">
        <v>21</v>
      </c>
      <c r="F9" s="25">
        <v>30</v>
      </c>
      <c r="G9" s="25">
        <v>20</v>
      </c>
      <c r="H9" s="25">
        <v>18</v>
      </c>
      <c r="I9" s="25">
        <v>38</v>
      </c>
      <c r="K9" s="25">
        <v>127</v>
      </c>
      <c r="L9" s="25">
        <v>50.8</v>
      </c>
      <c r="M9" s="25" t="s">
        <v>313</v>
      </c>
    </row>
    <row r="10" spans="1:13">
      <c r="A10" s="25">
        <v>3</v>
      </c>
      <c r="B10" s="63">
        <v>1532</v>
      </c>
      <c r="C10" s="64" t="s">
        <v>314</v>
      </c>
      <c r="D10" s="65" t="s">
        <v>37</v>
      </c>
      <c r="E10" s="25">
        <v>40</v>
      </c>
      <c r="F10" s="25">
        <v>46</v>
      </c>
      <c r="G10" s="25">
        <v>24</v>
      </c>
      <c r="H10" s="25">
        <v>43</v>
      </c>
      <c r="I10" s="25">
        <v>44</v>
      </c>
      <c r="K10" s="25">
        <v>197</v>
      </c>
      <c r="L10" s="25">
        <v>78.8</v>
      </c>
      <c r="M10" s="25" t="s">
        <v>351</v>
      </c>
    </row>
    <row r="11" spans="1:13">
      <c r="A11" s="25">
        <v>4</v>
      </c>
      <c r="B11" s="63">
        <v>1564</v>
      </c>
      <c r="C11" s="63" t="s">
        <v>375</v>
      </c>
      <c r="D11" s="63" t="s">
        <v>376</v>
      </c>
      <c r="E11" s="25">
        <v>45</v>
      </c>
      <c r="F11" s="25">
        <v>48</v>
      </c>
      <c r="G11" s="25">
        <v>28</v>
      </c>
      <c r="H11" s="25">
        <v>43</v>
      </c>
      <c r="I11" s="25">
        <v>44</v>
      </c>
      <c r="K11" s="25">
        <v>208</v>
      </c>
      <c r="L11" s="25">
        <v>83.2</v>
      </c>
      <c r="M11" s="25" t="s">
        <v>351</v>
      </c>
    </row>
    <row r="12" spans="1:13">
      <c r="A12" s="25">
        <v>5</v>
      </c>
      <c r="B12" s="63">
        <v>1565</v>
      </c>
      <c r="C12" s="63" t="s">
        <v>20</v>
      </c>
      <c r="D12" s="63" t="s">
        <v>377</v>
      </c>
      <c r="E12" s="25">
        <v>30</v>
      </c>
      <c r="F12" s="25">
        <v>42</v>
      </c>
      <c r="G12" s="25">
        <v>18</v>
      </c>
      <c r="H12" s="25">
        <v>28</v>
      </c>
      <c r="I12" s="25">
        <v>36</v>
      </c>
      <c r="K12" s="25">
        <v>154</v>
      </c>
      <c r="L12" s="25">
        <v>61.6</v>
      </c>
      <c r="M12" s="25" t="s">
        <v>333</v>
      </c>
    </row>
    <row r="13" spans="1:13">
      <c r="A13" s="25">
        <v>6</v>
      </c>
      <c r="B13" s="63">
        <v>1566</v>
      </c>
      <c r="C13" s="63" t="s">
        <v>378</v>
      </c>
      <c r="D13" s="63" t="s">
        <v>379</v>
      </c>
      <c r="E13" s="25">
        <v>36</v>
      </c>
      <c r="F13" s="25">
        <v>44</v>
      </c>
      <c r="G13" s="25">
        <v>18</v>
      </c>
      <c r="H13" s="25">
        <v>30</v>
      </c>
      <c r="I13" s="25">
        <v>32</v>
      </c>
      <c r="K13" s="25">
        <v>160</v>
      </c>
      <c r="L13" s="25">
        <v>64</v>
      </c>
      <c r="M13" s="25" t="s">
        <v>333</v>
      </c>
    </row>
    <row r="14" spans="1:13">
      <c r="A14" s="25">
        <v>7</v>
      </c>
      <c r="B14" s="63">
        <v>1567</v>
      </c>
      <c r="C14" s="63" t="s">
        <v>380</v>
      </c>
      <c r="D14" s="63" t="s">
        <v>381</v>
      </c>
      <c r="E14" s="25">
        <v>38</v>
      </c>
      <c r="F14" s="25">
        <v>46</v>
      </c>
      <c r="G14" s="25">
        <v>20</v>
      </c>
      <c r="H14" s="25">
        <v>40</v>
      </c>
      <c r="I14" s="25">
        <v>40</v>
      </c>
      <c r="K14" s="25">
        <v>184</v>
      </c>
      <c r="L14" s="25">
        <v>73.6</v>
      </c>
      <c r="M14" s="25" t="s">
        <v>351</v>
      </c>
    </row>
    <row r="15" spans="1:13">
      <c r="A15" s="25">
        <v>8</v>
      </c>
      <c r="B15" s="63">
        <v>1568</v>
      </c>
      <c r="C15" s="63" t="s">
        <v>187</v>
      </c>
      <c r="D15" s="63" t="s">
        <v>37</v>
      </c>
      <c r="E15" s="25">
        <v>46</v>
      </c>
      <c r="F15" s="25">
        <v>40</v>
      </c>
      <c r="G15" s="25">
        <v>22</v>
      </c>
      <c r="H15" s="25">
        <v>32</v>
      </c>
      <c r="I15" s="25">
        <v>38</v>
      </c>
      <c r="K15" s="25">
        <v>178</v>
      </c>
      <c r="L15" s="25">
        <v>71.2</v>
      </c>
      <c r="M15" s="25" t="s">
        <v>351</v>
      </c>
    </row>
    <row r="16" spans="1:13">
      <c r="A16" s="25">
        <v>9</v>
      </c>
      <c r="B16" s="63">
        <v>1569</v>
      </c>
      <c r="C16" s="63" t="s">
        <v>382</v>
      </c>
      <c r="D16" s="63" t="s">
        <v>383</v>
      </c>
      <c r="E16" s="25">
        <v>30</v>
      </c>
      <c r="F16" s="25">
        <v>36</v>
      </c>
      <c r="G16" s="25">
        <v>17</v>
      </c>
      <c r="H16" s="25">
        <v>17</v>
      </c>
      <c r="I16" s="25">
        <v>32</v>
      </c>
      <c r="K16" s="25">
        <v>132</v>
      </c>
      <c r="L16" s="25">
        <v>52.8</v>
      </c>
      <c r="M16" s="25" t="s">
        <v>313</v>
      </c>
    </row>
    <row r="17" spans="1:13">
      <c r="A17" s="25">
        <v>10</v>
      </c>
      <c r="B17" s="63">
        <v>1570</v>
      </c>
      <c r="C17" s="63" t="s">
        <v>384</v>
      </c>
      <c r="D17" s="63" t="s">
        <v>385</v>
      </c>
      <c r="E17" s="25">
        <v>30</v>
      </c>
      <c r="F17" s="25">
        <v>42</v>
      </c>
      <c r="G17" s="25">
        <v>18</v>
      </c>
      <c r="H17" s="25">
        <v>26</v>
      </c>
      <c r="I17" s="25">
        <v>38</v>
      </c>
      <c r="K17" s="25">
        <v>154</v>
      </c>
      <c r="L17" s="25">
        <v>61.6</v>
      </c>
      <c r="M17" s="25" t="s">
        <v>333</v>
      </c>
    </row>
    <row r="18" spans="1:13">
      <c r="A18" s="25">
        <v>11</v>
      </c>
      <c r="B18" s="63">
        <v>1571</v>
      </c>
      <c r="C18" s="63" t="s">
        <v>258</v>
      </c>
      <c r="D18" s="63" t="s">
        <v>202</v>
      </c>
      <c r="E18" s="25">
        <v>27</v>
      </c>
      <c r="F18" s="25">
        <v>36</v>
      </c>
      <c r="G18" s="25">
        <v>18</v>
      </c>
      <c r="H18" s="25">
        <v>38</v>
      </c>
      <c r="I18" s="25">
        <v>40</v>
      </c>
      <c r="K18" s="25">
        <v>159</v>
      </c>
      <c r="L18" s="25">
        <v>63.6</v>
      </c>
      <c r="M18" s="25" t="s">
        <v>333</v>
      </c>
    </row>
    <row r="19" spans="1:13">
      <c r="A19" s="25">
        <v>12</v>
      </c>
      <c r="B19" s="63">
        <v>1572</v>
      </c>
      <c r="C19" s="63" t="s">
        <v>386</v>
      </c>
      <c r="D19" s="63" t="s">
        <v>387</v>
      </c>
      <c r="E19" s="25">
        <v>33</v>
      </c>
      <c r="F19" s="25">
        <v>40</v>
      </c>
      <c r="G19" s="25">
        <v>18</v>
      </c>
      <c r="H19" s="25">
        <v>28</v>
      </c>
      <c r="I19" s="25">
        <v>36</v>
      </c>
      <c r="K19" s="25">
        <v>155</v>
      </c>
      <c r="L19" s="25">
        <v>62</v>
      </c>
      <c r="M19" s="25" t="s">
        <v>333</v>
      </c>
    </row>
    <row r="20" spans="1:13">
      <c r="A20" s="25">
        <v>13</v>
      </c>
      <c r="B20" s="63">
        <v>1573</v>
      </c>
      <c r="C20" s="63" t="s">
        <v>388</v>
      </c>
      <c r="D20" s="63" t="s">
        <v>387</v>
      </c>
      <c r="E20" s="25">
        <v>41</v>
      </c>
      <c r="F20" s="25">
        <v>40</v>
      </c>
      <c r="G20" s="25">
        <v>20</v>
      </c>
      <c r="H20" s="25">
        <v>32</v>
      </c>
      <c r="I20" s="25">
        <v>34</v>
      </c>
      <c r="K20" s="25">
        <v>167</v>
      </c>
      <c r="L20" s="25">
        <v>66.8</v>
      </c>
      <c r="M20" s="25" t="s">
        <v>333</v>
      </c>
    </row>
    <row r="21" spans="1:13">
      <c r="A21" s="25">
        <v>14</v>
      </c>
      <c r="B21" s="63">
        <v>1574</v>
      </c>
      <c r="C21" s="63" t="s">
        <v>389</v>
      </c>
      <c r="D21" s="63" t="s">
        <v>245</v>
      </c>
      <c r="E21" s="25">
        <v>48</v>
      </c>
      <c r="F21" s="25">
        <v>44</v>
      </c>
      <c r="G21" s="25">
        <v>32</v>
      </c>
      <c r="H21" s="25">
        <v>46</v>
      </c>
      <c r="I21" s="25">
        <v>44</v>
      </c>
      <c r="K21" s="25">
        <v>216</v>
      </c>
      <c r="L21" s="25">
        <v>86.4</v>
      </c>
      <c r="M21" s="25" t="s">
        <v>351</v>
      </c>
    </row>
    <row r="22" spans="1:13">
      <c r="A22" s="25">
        <v>15</v>
      </c>
      <c r="B22" s="63">
        <v>1575</v>
      </c>
      <c r="C22" s="63" t="s">
        <v>390</v>
      </c>
      <c r="D22" s="63" t="s">
        <v>245</v>
      </c>
      <c r="E22" s="25">
        <v>36</v>
      </c>
      <c r="F22" s="25">
        <v>46</v>
      </c>
      <c r="G22" s="25">
        <v>24</v>
      </c>
      <c r="H22" s="25">
        <v>46</v>
      </c>
      <c r="I22" s="25">
        <v>44</v>
      </c>
      <c r="K22" s="25">
        <v>196</v>
      </c>
      <c r="L22" s="25">
        <v>78.4</v>
      </c>
      <c r="M22" s="25" t="s">
        <v>351</v>
      </c>
    </row>
    <row r="23" spans="1:13">
      <c r="A23" s="25">
        <v>16</v>
      </c>
      <c r="B23" s="63">
        <v>1576</v>
      </c>
      <c r="C23" s="63" t="s">
        <v>391</v>
      </c>
      <c r="D23" s="63" t="s">
        <v>392</v>
      </c>
      <c r="E23" s="25">
        <v>40</v>
      </c>
      <c r="F23" s="25">
        <v>46</v>
      </c>
      <c r="G23" s="25">
        <v>20</v>
      </c>
      <c r="H23" s="25">
        <v>24</v>
      </c>
      <c r="I23" s="25">
        <v>40</v>
      </c>
      <c r="K23" s="25">
        <v>170</v>
      </c>
      <c r="L23" s="25">
        <v>68</v>
      </c>
      <c r="M23" s="25" t="s">
        <v>333</v>
      </c>
    </row>
    <row r="24" spans="1:13">
      <c r="A24" s="25">
        <v>17</v>
      </c>
      <c r="B24" s="63">
        <v>1597</v>
      </c>
      <c r="C24" s="63" t="s">
        <v>393</v>
      </c>
      <c r="D24" s="63" t="s">
        <v>394</v>
      </c>
      <c r="E24" s="25">
        <v>36</v>
      </c>
      <c r="F24" s="25">
        <v>42</v>
      </c>
      <c r="G24" s="25">
        <v>22</v>
      </c>
      <c r="H24" s="25">
        <v>36</v>
      </c>
      <c r="I24" s="25">
        <v>38</v>
      </c>
      <c r="K24" s="25">
        <v>174</v>
      </c>
      <c r="L24" s="25">
        <v>69.6</v>
      </c>
      <c r="M24" s="25" t="s">
        <v>333</v>
      </c>
    </row>
    <row r="25" spans="1:13">
      <c r="A25" s="25">
        <v>18</v>
      </c>
      <c r="B25" s="63">
        <v>1577</v>
      </c>
      <c r="C25" s="63" t="s">
        <v>395</v>
      </c>
      <c r="D25" s="63" t="s">
        <v>396</v>
      </c>
      <c r="E25" s="25">
        <v>39</v>
      </c>
      <c r="F25" s="25">
        <v>30</v>
      </c>
      <c r="G25" s="25">
        <v>18</v>
      </c>
      <c r="H25" s="25">
        <v>20</v>
      </c>
      <c r="I25" s="25">
        <v>32</v>
      </c>
      <c r="K25" s="25">
        <v>139</v>
      </c>
      <c r="L25" s="25">
        <v>55.6</v>
      </c>
      <c r="M25" s="25" t="s">
        <v>313</v>
      </c>
    </row>
    <row r="26" spans="1:13">
      <c r="A26" s="25">
        <v>19</v>
      </c>
      <c r="B26" s="63">
        <v>1578</v>
      </c>
      <c r="C26" s="63" t="s">
        <v>397</v>
      </c>
      <c r="D26" s="63" t="s">
        <v>35</v>
      </c>
      <c r="E26" s="25">
        <v>18</v>
      </c>
      <c r="F26" s="25">
        <v>24</v>
      </c>
      <c r="G26" s="25">
        <v>17</v>
      </c>
      <c r="H26" s="25">
        <v>17</v>
      </c>
      <c r="I26" s="25">
        <v>32</v>
      </c>
      <c r="K26" s="25">
        <v>108</v>
      </c>
      <c r="L26" s="25">
        <v>43.2</v>
      </c>
      <c r="M26" s="25" t="s">
        <v>316</v>
      </c>
    </row>
    <row r="27" spans="1:13">
      <c r="A27" s="25">
        <v>20</v>
      </c>
      <c r="B27" s="63">
        <v>1579</v>
      </c>
      <c r="C27" s="63" t="s">
        <v>398</v>
      </c>
      <c r="D27" s="63" t="s">
        <v>35</v>
      </c>
      <c r="E27" s="25">
        <v>26</v>
      </c>
      <c r="F27" s="25">
        <v>20</v>
      </c>
      <c r="G27" s="25">
        <v>17</v>
      </c>
      <c r="H27" s="25">
        <v>18</v>
      </c>
      <c r="I27" s="25">
        <v>36</v>
      </c>
      <c r="K27" s="25">
        <v>117</v>
      </c>
      <c r="L27" s="25">
        <v>46.8</v>
      </c>
      <c r="M27" s="25" t="s">
        <v>316</v>
      </c>
    </row>
    <row r="28" spans="1:13">
      <c r="A28" s="25">
        <v>21</v>
      </c>
      <c r="B28" s="63">
        <v>1580</v>
      </c>
      <c r="C28" s="63" t="s">
        <v>399</v>
      </c>
      <c r="D28" s="63" t="s">
        <v>400</v>
      </c>
      <c r="E28" s="25">
        <v>25</v>
      </c>
      <c r="F28" s="25">
        <v>30</v>
      </c>
      <c r="G28" s="25">
        <v>18</v>
      </c>
      <c r="H28" s="25">
        <v>24</v>
      </c>
      <c r="I28" s="25">
        <v>32</v>
      </c>
      <c r="K28" s="25">
        <v>129</v>
      </c>
      <c r="L28" s="25">
        <v>51.6</v>
      </c>
      <c r="M28" s="25" t="s">
        <v>313</v>
      </c>
    </row>
    <row r="29" spans="1:13">
      <c r="A29" s="25">
        <v>22</v>
      </c>
      <c r="B29" s="63">
        <v>1581</v>
      </c>
      <c r="C29" s="63" t="s">
        <v>401</v>
      </c>
      <c r="D29" s="63" t="s">
        <v>402</v>
      </c>
      <c r="E29" s="25">
        <v>24</v>
      </c>
      <c r="F29" s="25">
        <v>30</v>
      </c>
      <c r="G29" s="25">
        <v>18</v>
      </c>
      <c r="H29" s="25">
        <v>40</v>
      </c>
      <c r="I29" s="25">
        <v>34</v>
      </c>
      <c r="K29" s="25">
        <v>146</v>
      </c>
      <c r="L29" s="25">
        <v>58.4</v>
      </c>
      <c r="M29" s="25" t="s">
        <v>313</v>
      </c>
    </row>
    <row r="30" spans="1:13">
      <c r="A30" s="25">
        <v>23</v>
      </c>
      <c r="B30" s="63">
        <v>1582</v>
      </c>
      <c r="C30" s="63" t="s">
        <v>259</v>
      </c>
      <c r="D30" s="63" t="s">
        <v>202</v>
      </c>
      <c r="E30" s="25">
        <v>23</v>
      </c>
      <c r="F30" s="25">
        <v>18</v>
      </c>
      <c r="G30" s="25">
        <v>17</v>
      </c>
      <c r="H30" s="25">
        <v>18</v>
      </c>
      <c r="I30" s="25">
        <v>34</v>
      </c>
      <c r="K30" s="25">
        <v>110</v>
      </c>
      <c r="L30" s="25">
        <v>44</v>
      </c>
      <c r="M30" s="25" t="s">
        <v>316</v>
      </c>
    </row>
    <row r="31" spans="1:13">
      <c r="A31" s="25">
        <v>24</v>
      </c>
      <c r="B31" s="63">
        <v>1583</v>
      </c>
      <c r="C31" s="63" t="s">
        <v>403</v>
      </c>
      <c r="D31" s="63" t="s">
        <v>364</v>
      </c>
      <c r="E31" s="25">
        <v>48</v>
      </c>
      <c r="F31" s="25">
        <v>40</v>
      </c>
      <c r="G31" s="25">
        <v>22</v>
      </c>
      <c r="H31" s="25">
        <v>48</v>
      </c>
      <c r="I31" s="25">
        <v>44</v>
      </c>
      <c r="K31" s="25">
        <v>202</v>
      </c>
      <c r="L31" s="25">
        <v>88</v>
      </c>
      <c r="M31" s="25" t="s">
        <v>351</v>
      </c>
    </row>
    <row r="32" spans="1:13">
      <c r="A32" s="25">
        <v>25</v>
      </c>
      <c r="B32" s="63">
        <v>1584</v>
      </c>
      <c r="C32" s="63" t="s">
        <v>404</v>
      </c>
      <c r="D32" s="63" t="s">
        <v>405</v>
      </c>
      <c r="E32" s="25">
        <v>40</v>
      </c>
      <c r="F32" s="25">
        <v>36</v>
      </c>
      <c r="G32" s="25">
        <v>20</v>
      </c>
      <c r="H32" s="25">
        <v>32</v>
      </c>
      <c r="I32" s="25">
        <v>40</v>
      </c>
      <c r="K32" s="25">
        <v>168</v>
      </c>
      <c r="L32" s="25">
        <v>67.2</v>
      </c>
      <c r="M32" s="25" t="s">
        <v>333</v>
      </c>
    </row>
    <row r="33" spans="1:13">
      <c r="A33" s="25">
        <v>26</v>
      </c>
      <c r="B33" s="63">
        <v>1585</v>
      </c>
      <c r="C33" s="63" t="s">
        <v>406</v>
      </c>
      <c r="D33" s="63" t="s">
        <v>407</v>
      </c>
      <c r="E33" s="25">
        <v>39</v>
      </c>
      <c r="F33" s="25">
        <v>26</v>
      </c>
      <c r="G33" s="25">
        <v>18</v>
      </c>
      <c r="H33" s="25">
        <v>30</v>
      </c>
      <c r="I33" s="25">
        <v>36</v>
      </c>
      <c r="K33" s="25">
        <v>149</v>
      </c>
      <c r="L33" s="25">
        <v>59.6</v>
      </c>
      <c r="M33" s="25" t="s">
        <v>313</v>
      </c>
    </row>
    <row r="34" spans="1:13">
      <c r="A34" s="25">
        <v>27</v>
      </c>
      <c r="B34" s="63">
        <v>1586</v>
      </c>
      <c r="C34" s="63" t="s">
        <v>408</v>
      </c>
      <c r="D34" s="63" t="s">
        <v>21</v>
      </c>
      <c r="E34" s="25">
        <v>41</v>
      </c>
      <c r="F34" s="25">
        <v>42</v>
      </c>
      <c r="G34" s="25">
        <v>18</v>
      </c>
      <c r="H34" s="25">
        <v>38</v>
      </c>
      <c r="I34" s="25">
        <v>40</v>
      </c>
      <c r="K34" s="25">
        <v>179</v>
      </c>
      <c r="L34" s="25">
        <v>71.6</v>
      </c>
      <c r="M34" s="25" t="s">
        <v>351</v>
      </c>
    </row>
    <row r="35" spans="1:13">
      <c r="A35" s="25">
        <v>28</v>
      </c>
      <c r="B35" s="63">
        <v>1587</v>
      </c>
      <c r="C35" s="63" t="s">
        <v>409</v>
      </c>
      <c r="D35" s="63" t="s">
        <v>410</v>
      </c>
      <c r="E35" s="25">
        <v>40</v>
      </c>
      <c r="F35" s="25">
        <v>45</v>
      </c>
      <c r="G35" s="25">
        <v>22</v>
      </c>
      <c r="H35" s="25">
        <v>22</v>
      </c>
      <c r="I35" s="25">
        <v>40</v>
      </c>
      <c r="K35" s="25">
        <v>169</v>
      </c>
      <c r="L35" s="25">
        <v>67.6</v>
      </c>
      <c r="M35" s="25" t="s">
        <v>333</v>
      </c>
    </row>
    <row r="36" spans="1:13">
      <c r="A36" s="25">
        <v>29</v>
      </c>
      <c r="B36" s="63">
        <v>1588</v>
      </c>
      <c r="C36" s="63" t="s">
        <v>411</v>
      </c>
      <c r="D36" s="63" t="s">
        <v>412</v>
      </c>
      <c r="E36" s="25">
        <v>50</v>
      </c>
      <c r="F36" s="25">
        <v>50</v>
      </c>
      <c r="G36" s="25">
        <v>46</v>
      </c>
      <c r="H36" s="25">
        <v>48</v>
      </c>
      <c r="I36" s="25">
        <v>48</v>
      </c>
      <c r="K36" s="25">
        <v>242</v>
      </c>
      <c r="L36" s="25">
        <v>96.8</v>
      </c>
      <c r="M36" s="25" t="s">
        <v>351</v>
      </c>
    </row>
    <row r="37" spans="1:13">
      <c r="A37" s="25">
        <v>30</v>
      </c>
      <c r="B37" s="63">
        <v>1589</v>
      </c>
      <c r="C37" s="63" t="s">
        <v>413</v>
      </c>
      <c r="D37" s="63" t="s">
        <v>39</v>
      </c>
      <c r="E37" s="25">
        <v>49</v>
      </c>
      <c r="F37" s="25">
        <v>48</v>
      </c>
      <c r="G37" s="25">
        <v>40</v>
      </c>
      <c r="H37" s="25">
        <v>50</v>
      </c>
      <c r="I37" s="25">
        <v>46</v>
      </c>
      <c r="K37" s="25">
        <v>233</v>
      </c>
      <c r="L37" s="25">
        <v>93.2</v>
      </c>
      <c r="M37" s="25" t="s">
        <v>351</v>
      </c>
    </row>
    <row r="38" spans="1:13">
      <c r="A38" s="25">
        <v>31</v>
      </c>
      <c r="B38" s="63">
        <v>1590</v>
      </c>
      <c r="C38" s="63" t="s">
        <v>270</v>
      </c>
      <c r="D38" s="63" t="s">
        <v>414</v>
      </c>
      <c r="E38" s="25">
        <v>38</v>
      </c>
      <c r="F38" s="25">
        <v>35</v>
      </c>
      <c r="G38" s="25">
        <v>20</v>
      </c>
      <c r="H38" s="25">
        <v>42</v>
      </c>
      <c r="I38" s="25">
        <v>40</v>
      </c>
      <c r="K38" s="25">
        <v>175</v>
      </c>
      <c r="L38" s="25">
        <v>70</v>
      </c>
      <c r="M38" s="25" t="s">
        <v>351</v>
      </c>
    </row>
    <row r="39" spans="1:13">
      <c r="A39" s="25">
        <v>32</v>
      </c>
      <c r="B39" s="63">
        <v>1591</v>
      </c>
      <c r="C39" s="63" t="s">
        <v>404</v>
      </c>
      <c r="D39" s="63" t="s">
        <v>185</v>
      </c>
      <c r="E39" s="25">
        <v>47</v>
      </c>
      <c r="F39" s="25">
        <v>44</v>
      </c>
      <c r="G39" s="25">
        <v>20</v>
      </c>
      <c r="H39" s="25">
        <v>48</v>
      </c>
      <c r="I39" s="25">
        <v>40</v>
      </c>
      <c r="K39" s="25">
        <v>199</v>
      </c>
      <c r="L39" s="25">
        <v>79.6</v>
      </c>
      <c r="M39" s="25" t="s">
        <v>351</v>
      </c>
    </row>
    <row r="40" spans="1:13">
      <c r="A40" s="25">
        <v>33</v>
      </c>
      <c r="B40" s="63">
        <v>1592</v>
      </c>
      <c r="C40" s="63" t="s">
        <v>415</v>
      </c>
      <c r="D40" s="63" t="s">
        <v>416</v>
      </c>
      <c r="E40" s="25">
        <v>40</v>
      </c>
      <c r="F40" s="25">
        <v>34</v>
      </c>
      <c r="G40" s="25">
        <v>18</v>
      </c>
      <c r="H40" s="25">
        <v>36</v>
      </c>
      <c r="I40" s="25">
        <v>36</v>
      </c>
      <c r="K40" s="25">
        <v>164</v>
      </c>
      <c r="L40" s="25">
        <v>65.6</v>
      </c>
      <c r="M40" s="25" t="s">
        <v>333</v>
      </c>
    </row>
    <row r="41" spans="1:13">
      <c r="A41" s="25">
        <v>34</v>
      </c>
      <c r="B41" s="63">
        <v>1593</v>
      </c>
      <c r="C41" s="63" t="s">
        <v>266</v>
      </c>
      <c r="D41" s="63" t="s">
        <v>417</v>
      </c>
      <c r="E41" s="25" t="s">
        <v>323</v>
      </c>
      <c r="F41" s="25" t="s">
        <v>323</v>
      </c>
      <c r="G41" s="25" t="s">
        <v>323</v>
      </c>
      <c r="H41" s="25" t="s">
        <v>323</v>
      </c>
      <c r="I41" s="25" t="s">
        <v>323</v>
      </c>
      <c r="K41" s="25" t="s">
        <v>323</v>
      </c>
      <c r="L41" s="25" t="s">
        <v>323</v>
      </c>
      <c r="M41" s="25" t="s">
        <v>323</v>
      </c>
    </row>
    <row r="42" spans="1:13">
      <c r="A42" s="25">
        <v>35</v>
      </c>
      <c r="B42" s="63">
        <v>1594</v>
      </c>
      <c r="C42" s="63" t="s">
        <v>418</v>
      </c>
      <c r="D42" s="63" t="s">
        <v>419</v>
      </c>
      <c r="E42" s="25">
        <v>39</v>
      </c>
      <c r="F42" s="25">
        <v>36</v>
      </c>
      <c r="G42" s="25">
        <v>18</v>
      </c>
      <c r="H42" s="25">
        <v>28</v>
      </c>
      <c r="I42" s="25">
        <v>40</v>
      </c>
      <c r="K42" s="25">
        <v>161</v>
      </c>
      <c r="L42" s="25">
        <v>64.4</v>
      </c>
      <c r="M42" s="25" t="s">
        <v>333</v>
      </c>
    </row>
    <row r="43" spans="1:13">
      <c r="A43" s="25">
        <v>36</v>
      </c>
      <c r="B43" s="63">
        <v>1595</v>
      </c>
      <c r="C43" s="63" t="s">
        <v>420</v>
      </c>
      <c r="D43" s="63" t="s">
        <v>421</v>
      </c>
      <c r="E43" s="25">
        <v>40</v>
      </c>
      <c r="F43" s="25">
        <v>34</v>
      </c>
      <c r="G43" s="25">
        <v>18</v>
      </c>
      <c r="H43" s="25">
        <v>30</v>
      </c>
      <c r="I43" s="25">
        <v>38</v>
      </c>
      <c r="K43" s="25">
        <v>160</v>
      </c>
      <c r="L43" s="25">
        <v>64</v>
      </c>
      <c r="M43" s="25" t="s">
        <v>333</v>
      </c>
    </row>
    <row r="44" spans="1:13">
      <c r="A44" s="25">
        <v>37</v>
      </c>
      <c r="B44" s="63">
        <v>1596</v>
      </c>
      <c r="C44" s="63" t="s">
        <v>422</v>
      </c>
      <c r="D44" s="63" t="s">
        <v>423</v>
      </c>
      <c r="E44" s="25">
        <v>32</v>
      </c>
      <c r="F44" s="25">
        <v>32</v>
      </c>
      <c r="G44" s="25">
        <v>18</v>
      </c>
      <c r="H44" s="25">
        <v>24</v>
      </c>
      <c r="I44" s="25">
        <v>40</v>
      </c>
      <c r="K44" s="25">
        <v>138</v>
      </c>
      <c r="L44" s="25">
        <v>55.2</v>
      </c>
      <c r="M44" s="25" t="s">
        <v>313</v>
      </c>
    </row>
  </sheetData>
  <mergeCells count="5">
    <mergeCell ref="A1:N1"/>
    <mergeCell ref="A2:N2"/>
    <mergeCell ref="A3:N3"/>
    <mergeCell ref="A4:N4"/>
    <mergeCell ref="A5:N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"/>
  <sheetViews>
    <sheetView workbookViewId="0">
      <selection activeCell="E7" sqref="E7:J7"/>
    </sheetView>
  </sheetViews>
  <sheetFormatPr defaultColWidth="9.14285714285714" defaultRowHeight="15"/>
  <cols>
    <col min="1" max="2" width="9.14285714285714" style="25"/>
    <col min="3" max="3" width="20.7142857142857" style="25" customWidth="1"/>
    <col min="4" max="4" width="24.7142857142857" style="25" customWidth="1"/>
    <col min="5" max="16384" width="9.14285714285714" style="25"/>
  </cols>
  <sheetData>
    <row r="1" spans="1:1">
      <c r="A1" s="25" t="s">
        <v>0</v>
      </c>
    </row>
    <row r="2" spans="1:1">
      <c r="A2" s="25" t="s">
        <v>1</v>
      </c>
    </row>
    <row r="3" spans="1:1">
      <c r="A3" s="25">
        <v>408170079</v>
      </c>
    </row>
    <row r="4" spans="1:1">
      <c r="A4" s="25" t="s">
        <v>2</v>
      </c>
    </row>
    <row r="5" spans="1:1">
      <c r="A5" s="25" t="s">
        <v>424</v>
      </c>
    </row>
    <row r="6" spans="1:14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425</v>
      </c>
      <c r="G6" s="25" t="s">
        <v>9</v>
      </c>
      <c r="H6" s="25" t="s">
        <v>11</v>
      </c>
      <c r="I6" s="25" t="s">
        <v>426</v>
      </c>
      <c r="J6" s="25" t="s">
        <v>13</v>
      </c>
      <c r="K6" s="25" t="s">
        <v>14</v>
      </c>
      <c r="L6" s="25" t="s">
        <v>15</v>
      </c>
      <c r="M6" s="25" t="s">
        <v>16</v>
      </c>
      <c r="N6" s="25" t="s">
        <v>17</v>
      </c>
    </row>
    <row r="7" spans="5:10">
      <c r="E7" s="25">
        <v>50</v>
      </c>
      <c r="F7" s="25">
        <v>50</v>
      </c>
      <c r="G7" s="25">
        <v>50</v>
      </c>
      <c r="H7" s="25">
        <v>50</v>
      </c>
      <c r="I7" s="25">
        <v>50</v>
      </c>
      <c r="J7" s="25">
        <v>250</v>
      </c>
    </row>
    <row r="8" spans="1:13">
      <c r="A8" s="25">
        <v>1</v>
      </c>
      <c r="B8" s="63">
        <v>1393</v>
      </c>
      <c r="C8" s="63" t="s">
        <v>427</v>
      </c>
      <c r="D8" s="63" t="s">
        <v>428</v>
      </c>
      <c r="E8" s="25">
        <v>45</v>
      </c>
      <c r="F8" s="25">
        <v>39</v>
      </c>
      <c r="G8" s="25">
        <v>44</v>
      </c>
      <c r="H8" s="25">
        <v>19</v>
      </c>
      <c r="I8" s="25">
        <v>48</v>
      </c>
      <c r="K8" s="25">
        <v>195</v>
      </c>
      <c r="L8" s="25">
        <v>55.7</v>
      </c>
      <c r="M8" s="25" t="s">
        <v>313</v>
      </c>
    </row>
    <row r="9" spans="1:13">
      <c r="A9" s="25">
        <v>2</v>
      </c>
      <c r="B9" s="63">
        <v>1394</v>
      </c>
      <c r="C9" s="63" t="s">
        <v>429</v>
      </c>
      <c r="D9" s="63" t="s">
        <v>428</v>
      </c>
      <c r="E9" s="25">
        <v>49</v>
      </c>
      <c r="F9" s="25">
        <v>47</v>
      </c>
      <c r="G9" s="25">
        <v>41</v>
      </c>
      <c r="H9" s="25">
        <v>48</v>
      </c>
      <c r="I9" s="25">
        <v>49</v>
      </c>
      <c r="K9" s="25">
        <v>234</v>
      </c>
      <c r="L9" s="25">
        <v>66.8</v>
      </c>
      <c r="M9" s="25" t="s">
        <v>333</v>
      </c>
    </row>
    <row r="10" spans="1:13">
      <c r="A10" s="25">
        <v>3</v>
      </c>
      <c r="B10" s="63">
        <v>1395</v>
      </c>
      <c r="C10" s="63" t="s">
        <v>430</v>
      </c>
      <c r="D10" s="63" t="s">
        <v>61</v>
      </c>
      <c r="E10" s="25">
        <v>22</v>
      </c>
      <c r="F10" s="25">
        <v>18</v>
      </c>
      <c r="G10" s="25">
        <v>39</v>
      </c>
      <c r="H10" s="25">
        <v>27</v>
      </c>
      <c r="I10" s="25">
        <v>47</v>
      </c>
      <c r="K10" s="25">
        <v>153</v>
      </c>
      <c r="L10" s="25">
        <v>43.7</v>
      </c>
      <c r="M10" s="25" t="s">
        <v>316</v>
      </c>
    </row>
    <row r="11" spans="1:13">
      <c r="A11" s="25">
        <v>4</v>
      </c>
      <c r="B11" s="63">
        <v>1396</v>
      </c>
      <c r="C11" s="63" t="s">
        <v>431</v>
      </c>
      <c r="D11" s="63" t="s">
        <v>151</v>
      </c>
      <c r="E11" s="25">
        <v>20</v>
      </c>
      <c r="F11" s="25">
        <v>41</v>
      </c>
      <c r="G11" s="25">
        <v>32</v>
      </c>
      <c r="H11" s="25">
        <v>29</v>
      </c>
      <c r="I11" s="25">
        <v>48</v>
      </c>
      <c r="K11" s="25">
        <v>170</v>
      </c>
      <c r="L11" s="25">
        <v>48.5</v>
      </c>
      <c r="M11" s="25" t="s">
        <v>316</v>
      </c>
    </row>
    <row r="12" spans="1:13">
      <c r="A12" s="25">
        <v>5</v>
      </c>
      <c r="B12" s="63">
        <v>1397</v>
      </c>
      <c r="C12" s="63" t="s">
        <v>432</v>
      </c>
      <c r="D12" s="63" t="s">
        <v>433</v>
      </c>
      <c r="E12" s="25">
        <v>19</v>
      </c>
      <c r="F12" s="25">
        <v>41</v>
      </c>
      <c r="G12" s="25">
        <v>35</v>
      </c>
      <c r="H12" s="25">
        <v>34</v>
      </c>
      <c r="I12" s="25">
        <v>47</v>
      </c>
      <c r="K12" s="25">
        <v>176</v>
      </c>
      <c r="L12" s="25">
        <v>50.2</v>
      </c>
      <c r="M12" s="25" t="s">
        <v>313</v>
      </c>
    </row>
    <row r="13" spans="1:13">
      <c r="A13" s="25">
        <v>6</v>
      </c>
      <c r="B13" s="63">
        <v>1398</v>
      </c>
      <c r="C13" s="63" t="s">
        <v>434</v>
      </c>
      <c r="D13" s="63" t="s">
        <v>435</v>
      </c>
      <c r="E13" s="25" t="s">
        <v>323</v>
      </c>
      <c r="F13" s="25" t="s">
        <v>323</v>
      </c>
      <c r="G13" s="25" t="s">
        <v>323</v>
      </c>
      <c r="H13" s="25" t="s">
        <v>323</v>
      </c>
      <c r="I13" s="25" t="s">
        <v>323</v>
      </c>
      <c r="J13" s="25" t="s">
        <v>323</v>
      </c>
      <c r="K13" s="25" t="s">
        <v>323</v>
      </c>
      <c r="L13" s="25" t="s">
        <v>323</v>
      </c>
      <c r="M13" s="58" t="s">
        <v>323</v>
      </c>
    </row>
    <row r="14" spans="1:13">
      <c r="A14" s="25">
        <v>7</v>
      </c>
      <c r="B14" s="63">
        <v>1399</v>
      </c>
      <c r="C14" s="63" t="s">
        <v>73</v>
      </c>
      <c r="D14" s="63" t="s">
        <v>297</v>
      </c>
      <c r="E14" s="25">
        <v>43</v>
      </c>
      <c r="F14" s="25">
        <v>29</v>
      </c>
      <c r="G14" s="25">
        <v>47</v>
      </c>
      <c r="H14" s="25">
        <v>45</v>
      </c>
      <c r="I14" s="25">
        <v>48</v>
      </c>
      <c r="K14" s="25">
        <v>212</v>
      </c>
      <c r="L14" s="25">
        <v>60.5</v>
      </c>
      <c r="M14" s="58" t="s">
        <v>333</v>
      </c>
    </row>
    <row r="15" spans="1:13">
      <c r="A15" s="25">
        <v>8</v>
      </c>
      <c r="B15" s="63">
        <v>1400</v>
      </c>
      <c r="C15" s="63" t="s">
        <v>273</v>
      </c>
      <c r="D15" s="63" t="s">
        <v>377</v>
      </c>
      <c r="E15" s="25">
        <v>44</v>
      </c>
      <c r="F15" s="25">
        <v>45</v>
      </c>
      <c r="G15" s="25">
        <v>47</v>
      </c>
      <c r="H15" s="25">
        <v>42</v>
      </c>
      <c r="I15" s="25">
        <v>49</v>
      </c>
      <c r="K15" s="25">
        <v>227</v>
      </c>
      <c r="L15" s="25">
        <v>64.8</v>
      </c>
      <c r="M15" s="58" t="s">
        <v>333</v>
      </c>
    </row>
    <row r="16" spans="1:13">
      <c r="A16" s="25">
        <v>9</v>
      </c>
      <c r="B16" s="63">
        <v>1401</v>
      </c>
      <c r="C16" s="63" t="s">
        <v>275</v>
      </c>
      <c r="D16" s="63" t="s">
        <v>377</v>
      </c>
      <c r="E16" s="25">
        <v>44</v>
      </c>
      <c r="F16" s="25">
        <v>28</v>
      </c>
      <c r="G16" s="25">
        <v>34</v>
      </c>
      <c r="H16" s="25">
        <v>41</v>
      </c>
      <c r="I16" s="25">
        <v>47</v>
      </c>
      <c r="K16" s="25">
        <v>194</v>
      </c>
      <c r="L16" s="25">
        <v>55.4</v>
      </c>
      <c r="M16" s="58" t="s">
        <v>313</v>
      </c>
    </row>
    <row r="17" spans="1:13">
      <c r="A17" s="25">
        <v>10</v>
      </c>
      <c r="B17" s="63">
        <v>1402</v>
      </c>
      <c r="C17" s="63" t="s">
        <v>436</v>
      </c>
      <c r="D17" s="63" t="s">
        <v>419</v>
      </c>
      <c r="E17" s="25">
        <v>37</v>
      </c>
      <c r="F17" s="25">
        <v>41</v>
      </c>
      <c r="G17" s="25">
        <v>46</v>
      </c>
      <c r="H17" s="25">
        <v>43</v>
      </c>
      <c r="I17" s="25">
        <v>49</v>
      </c>
      <c r="K17" s="25">
        <v>216</v>
      </c>
      <c r="L17" s="25">
        <v>61.7</v>
      </c>
      <c r="M17" s="58" t="s">
        <v>333</v>
      </c>
    </row>
    <row r="18" spans="1:13">
      <c r="A18" s="25">
        <v>11</v>
      </c>
      <c r="B18" s="63">
        <v>1404</v>
      </c>
      <c r="C18" s="63" t="s">
        <v>275</v>
      </c>
      <c r="D18" s="63" t="s">
        <v>437</v>
      </c>
      <c r="E18" s="25">
        <v>26</v>
      </c>
      <c r="F18" s="25">
        <v>28</v>
      </c>
      <c r="G18" s="25">
        <v>23</v>
      </c>
      <c r="H18" s="25">
        <v>36</v>
      </c>
      <c r="I18" s="25">
        <v>47</v>
      </c>
      <c r="K18" s="25">
        <v>160</v>
      </c>
      <c r="L18" s="25">
        <v>45.7</v>
      </c>
      <c r="M18" s="58"/>
    </row>
    <row r="19" spans="1:13">
      <c r="A19" s="25">
        <v>12</v>
      </c>
      <c r="B19" s="63">
        <v>1405</v>
      </c>
      <c r="C19" s="63" t="s">
        <v>438</v>
      </c>
      <c r="D19" s="63" t="s">
        <v>215</v>
      </c>
      <c r="E19" s="25" t="s">
        <v>323</v>
      </c>
      <c r="F19" s="25" t="s">
        <v>323</v>
      </c>
      <c r="G19" s="25" t="s">
        <v>323</v>
      </c>
      <c r="H19" s="25" t="s">
        <v>323</v>
      </c>
      <c r="I19" s="25" t="s">
        <v>323</v>
      </c>
      <c r="J19" s="25" t="s">
        <v>323</v>
      </c>
      <c r="K19" s="25" t="s">
        <v>323</v>
      </c>
      <c r="L19" s="25" t="s">
        <v>323</v>
      </c>
      <c r="M19" s="58" t="s">
        <v>323</v>
      </c>
    </row>
    <row r="20" spans="1:13">
      <c r="A20" s="25">
        <v>13</v>
      </c>
      <c r="B20" s="63">
        <v>1430</v>
      </c>
      <c r="C20" s="63" t="s">
        <v>439</v>
      </c>
      <c r="D20" s="63" t="s">
        <v>440</v>
      </c>
      <c r="E20" s="25">
        <v>44</v>
      </c>
      <c r="F20" s="25">
        <v>31</v>
      </c>
      <c r="G20" s="25">
        <v>47</v>
      </c>
      <c r="H20" s="25">
        <v>43</v>
      </c>
      <c r="I20" s="25">
        <v>48</v>
      </c>
      <c r="K20" s="25">
        <v>213</v>
      </c>
      <c r="L20" s="25">
        <v>60.8</v>
      </c>
      <c r="M20" s="58" t="s">
        <v>333</v>
      </c>
    </row>
    <row r="21" spans="1:13">
      <c r="A21" s="25">
        <v>14</v>
      </c>
      <c r="B21" s="63">
        <v>1432</v>
      </c>
      <c r="C21" s="63" t="s">
        <v>441</v>
      </c>
      <c r="D21" s="63" t="s">
        <v>25</v>
      </c>
      <c r="E21" s="25">
        <v>49</v>
      </c>
      <c r="F21" s="25">
        <v>50</v>
      </c>
      <c r="G21" s="25">
        <v>50</v>
      </c>
      <c r="H21" s="25">
        <v>47</v>
      </c>
      <c r="I21" s="25">
        <v>48</v>
      </c>
      <c r="K21" s="25">
        <v>244</v>
      </c>
      <c r="L21" s="25">
        <v>69.7</v>
      </c>
      <c r="M21" s="58" t="s">
        <v>333</v>
      </c>
    </row>
    <row r="22" spans="1:13">
      <c r="A22" s="25">
        <v>15</v>
      </c>
      <c r="B22" s="63">
        <v>1433</v>
      </c>
      <c r="C22" s="63" t="s">
        <v>442</v>
      </c>
      <c r="D22" s="63" t="s">
        <v>85</v>
      </c>
      <c r="E22" s="25">
        <v>44</v>
      </c>
      <c r="F22" s="25">
        <v>47</v>
      </c>
      <c r="G22" s="25">
        <v>50</v>
      </c>
      <c r="H22" s="25">
        <v>41</v>
      </c>
      <c r="I22" s="25">
        <v>48</v>
      </c>
      <c r="K22" s="25">
        <v>230</v>
      </c>
      <c r="L22" s="25">
        <v>65.7</v>
      </c>
      <c r="M22" s="58" t="s">
        <v>333</v>
      </c>
    </row>
    <row r="23" spans="1:13">
      <c r="A23" s="25">
        <v>16</v>
      </c>
      <c r="B23" s="63">
        <v>1434</v>
      </c>
      <c r="C23" s="63" t="s">
        <v>443</v>
      </c>
      <c r="D23" s="63" t="s">
        <v>444</v>
      </c>
      <c r="E23" s="25">
        <v>48</v>
      </c>
      <c r="F23" s="25">
        <v>50</v>
      </c>
      <c r="G23" s="25">
        <v>49</v>
      </c>
      <c r="H23" s="25">
        <v>48</v>
      </c>
      <c r="I23" s="25">
        <v>50</v>
      </c>
      <c r="K23" s="25">
        <v>245</v>
      </c>
      <c r="L23" s="25">
        <v>70</v>
      </c>
      <c r="M23" s="58" t="s">
        <v>351</v>
      </c>
    </row>
    <row r="24" spans="1:13">
      <c r="A24" s="25">
        <v>17</v>
      </c>
      <c r="B24" s="63">
        <v>1435</v>
      </c>
      <c r="C24" s="63" t="s">
        <v>445</v>
      </c>
      <c r="D24" s="63" t="s">
        <v>444</v>
      </c>
      <c r="E24" s="25">
        <v>50</v>
      </c>
      <c r="F24" s="25">
        <v>50</v>
      </c>
      <c r="G24" s="25">
        <v>49</v>
      </c>
      <c r="H24" s="25">
        <v>50</v>
      </c>
      <c r="I24" s="25">
        <v>50</v>
      </c>
      <c r="K24" s="25">
        <v>249</v>
      </c>
      <c r="L24" s="25">
        <v>71.1</v>
      </c>
      <c r="M24" s="58" t="s">
        <v>351</v>
      </c>
    </row>
    <row r="25" spans="1:13">
      <c r="A25" s="25">
        <v>18</v>
      </c>
      <c r="B25" s="63">
        <v>1436</v>
      </c>
      <c r="C25" s="63" t="s">
        <v>446</v>
      </c>
      <c r="D25" s="63" t="s">
        <v>161</v>
      </c>
      <c r="E25" s="25">
        <v>49</v>
      </c>
      <c r="F25" s="25">
        <v>50</v>
      </c>
      <c r="G25" s="25">
        <v>50</v>
      </c>
      <c r="H25" s="25">
        <v>43</v>
      </c>
      <c r="I25" s="25">
        <v>50</v>
      </c>
      <c r="K25" s="25">
        <v>242</v>
      </c>
      <c r="L25" s="25">
        <v>96.8</v>
      </c>
      <c r="M25" s="58" t="s">
        <v>351</v>
      </c>
    </row>
    <row r="26" spans="1:13">
      <c r="A26" s="25">
        <v>19</v>
      </c>
      <c r="B26" s="63">
        <v>1437</v>
      </c>
      <c r="C26" s="63" t="s">
        <v>447</v>
      </c>
      <c r="D26" s="63" t="s">
        <v>377</v>
      </c>
      <c r="E26" s="25">
        <v>44</v>
      </c>
      <c r="F26" s="25">
        <v>23</v>
      </c>
      <c r="G26" s="25">
        <v>30</v>
      </c>
      <c r="H26" s="25">
        <v>43</v>
      </c>
      <c r="I26" s="25">
        <v>47</v>
      </c>
      <c r="K26" s="25">
        <v>187</v>
      </c>
      <c r="L26" s="25">
        <v>74.8</v>
      </c>
      <c r="M26" s="58" t="s">
        <v>351</v>
      </c>
    </row>
    <row r="27" spans="1:13">
      <c r="A27" s="25">
        <v>20</v>
      </c>
      <c r="B27" s="63">
        <v>1438</v>
      </c>
      <c r="C27" s="63" t="s">
        <v>448</v>
      </c>
      <c r="D27" s="63" t="s">
        <v>449</v>
      </c>
      <c r="E27" s="25">
        <v>44</v>
      </c>
      <c r="F27" s="25">
        <v>22</v>
      </c>
      <c r="G27" s="25">
        <v>24</v>
      </c>
      <c r="H27" s="25">
        <v>31</v>
      </c>
      <c r="I27" s="25">
        <v>48</v>
      </c>
      <c r="K27" s="25">
        <v>169</v>
      </c>
      <c r="L27" s="25">
        <v>67.6</v>
      </c>
      <c r="M27" s="58" t="s">
        <v>333</v>
      </c>
    </row>
    <row r="28" spans="1:13">
      <c r="A28" s="25">
        <v>21</v>
      </c>
      <c r="B28" s="63">
        <v>1439</v>
      </c>
      <c r="C28" s="63" t="s">
        <v>450</v>
      </c>
      <c r="D28" s="63" t="s">
        <v>379</v>
      </c>
      <c r="E28" s="25">
        <v>47</v>
      </c>
      <c r="F28" s="25">
        <v>50</v>
      </c>
      <c r="G28" s="25">
        <v>50</v>
      </c>
      <c r="H28" s="25">
        <v>46</v>
      </c>
      <c r="I28" s="25">
        <v>48</v>
      </c>
      <c r="K28" s="25">
        <v>241</v>
      </c>
      <c r="L28" s="25">
        <v>96.4</v>
      </c>
      <c r="M28" s="58" t="s">
        <v>351</v>
      </c>
    </row>
    <row r="29" spans="1:13">
      <c r="A29" s="25">
        <v>22</v>
      </c>
      <c r="B29" s="63">
        <v>1442</v>
      </c>
      <c r="C29" s="63" t="s">
        <v>451</v>
      </c>
      <c r="D29" s="63" t="s">
        <v>452</v>
      </c>
      <c r="E29" s="25">
        <v>34</v>
      </c>
      <c r="F29" s="25">
        <v>41</v>
      </c>
      <c r="G29" s="25">
        <v>34</v>
      </c>
      <c r="H29" s="25">
        <v>37</v>
      </c>
      <c r="I29" s="25">
        <v>47</v>
      </c>
      <c r="K29" s="25">
        <v>193</v>
      </c>
      <c r="L29" s="25">
        <v>77.2</v>
      </c>
      <c r="M29" s="58" t="s">
        <v>351</v>
      </c>
    </row>
    <row r="30" spans="1:13">
      <c r="A30" s="25">
        <v>23</v>
      </c>
      <c r="B30" s="63">
        <v>1443</v>
      </c>
      <c r="C30" s="63" t="s">
        <v>453</v>
      </c>
      <c r="D30" s="63" t="s">
        <v>454</v>
      </c>
      <c r="E30" s="25">
        <v>33</v>
      </c>
      <c r="F30" s="25">
        <v>42</v>
      </c>
      <c r="G30" s="25">
        <v>34</v>
      </c>
      <c r="H30" s="25">
        <v>43</v>
      </c>
      <c r="I30" s="25">
        <v>47</v>
      </c>
      <c r="K30" s="25">
        <v>199</v>
      </c>
      <c r="L30" s="25">
        <v>79.6</v>
      </c>
      <c r="M30" s="58" t="s">
        <v>351</v>
      </c>
    </row>
    <row r="31" spans="1:13">
      <c r="A31" s="25">
        <v>24</v>
      </c>
      <c r="B31" s="63">
        <v>1444</v>
      </c>
      <c r="C31" s="63" t="s">
        <v>415</v>
      </c>
      <c r="D31" s="63" t="s">
        <v>455</v>
      </c>
      <c r="E31" s="25">
        <v>43</v>
      </c>
      <c r="F31" s="25">
        <v>42</v>
      </c>
      <c r="G31" s="25">
        <v>27</v>
      </c>
      <c r="H31" s="25">
        <v>40</v>
      </c>
      <c r="I31" s="25">
        <v>48</v>
      </c>
      <c r="K31" s="25">
        <v>200</v>
      </c>
      <c r="L31" s="25">
        <v>80</v>
      </c>
      <c r="M31" s="58" t="s">
        <v>351</v>
      </c>
    </row>
    <row r="32" spans="1:13">
      <c r="A32" s="25">
        <v>25</v>
      </c>
      <c r="B32" s="63">
        <v>1445</v>
      </c>
      <c r="C32" s="63" t="s">
        <v>439</v>
      </c>
      <c r="D32" s="63" t="s">
        <v>326</v>
      </c>
      <c r="E32" s="25">
        <v>47</v>
      </c>
      <c r="F32" s="25">
        <v>41</v>
      </c>
      <c r="G32" s="25">
        <v>49</v>
      </c>
      <c r="H32" s="25">
        <v>42</v>
      </c>
      <c r="I32" s="25">
        <v>48</v>
      </c>
      <c r="K32" s="25">
        <v>227</v>
      </c>
      <c r="L32" s="25">
        <v>90.8</v>
      </c>
      <c r="M32" s="58" t="s">
        <v>351</v>
      </c>
    </row>
    <row r="33" spans="1:13">
      <c r="A33" s="25">
        <v>26</v>
      </c>
      <c r="B33" s="63">
        <v>1446</v>
      </c>
      <c r="C33" s="63" t="s">
        <v>456</v>
      </c>
      <c r="D33" s="63" t="s">
        <v>457</v>
      </c>
      <c r="E33" s="25" t="s">
        <v>323</v>
      </c>
      <c r="F33" s="25" t="s">
        <v>323</v>
      </c>
      <c r="G33" s="25" t="s">
        <v>323</v>
      </c>
      <c r="H33" s="25" t="s">
        <v>323</v>
      </c>
      <c r="I33" s="25" t="s">
        <v>323</v>
      </c>
      <c r="J33" s="25" t="s">
        <v>323</v>
      </c>
      <c r="K33" s="25" t="s">
        <v>323</v>
      </c>
      <c r="L33" s="25" t="s">
        <v>323</v>
      </c>
      <c r="M33" s="58" t="s">
        <v>323</v>
      </c>
    </row>
    <row r="34" spans="1:13">
      <c r="A34" s="25">
        <v>27</v>
      </c>
      <c r="B34" s="63">
        <v>1447</v>
      </c>
      <c r="C34" s="63" t="s">
        <v>432</v>
      </c>
      <c r="D34" s="63" t="s">
        <v>454</v>
      </c>
      <c r="E34" s="25">
        <v>43</v>
      </c>
      <c r="F34" s="25">
        <v>46</v>
      </c>
      <c r="G34" s="25">
        <v>22</v>
      </c>
      <c r="H34" s="25">
        <v>48</v>
      </c>
      <c r="I34" s="25">
        <v>47</v>
      </c>
      <c r="K34" s="25">
        <v>196</v>
      </c>
      <c r="L34" s="25">
        <v>78.4</v>
      </c>
      <c r="M34" s="58" t="s">
        <v>351</v>
      </c>
    </row>
    <row r="35" spans="1:13">
      <c r="A35" s="25">
        <v>28</v>
      </c>
      <c r="B35" s="63">
        <v>1448</v>
      </c>
      <c r="C35" s="63" t="s">
        <v>458</v>
      </c>
      <c r="D35" s="63" t="s">
        <v>459</v>
      </c>
      <c r="E35" s="25">
        <v>34</v>
      </c>
      <c r="F35" s="25">
        <v>17</v>
      </c>
      <c r="G35" s="25">
        <v>46</v>
      </c>
      <c r="H35" s="25">
        <v>21</v>
      </c>
      <c r="I35" s="25">
        <v>48</v>
      </c>
      <c r="K35" s="25">
        <v>166</v>
      </c>
      <c r="L35" s="25">
        <v>66.4</v>
      </c>
      <c r="M35" s="58" t="s">
        <v>333</v>
      </c>
    </row>
    <row r="36" spans="1:13">
      <c r="A36" s="25">
        <v>29</v>
      </c>
      <c r="B36" s="63">
        <v>1449</v>
      </c>
      <c r="C36" s="63" t="s">
        <v>460</v>
      </c>
      <c r="D36" s="63" t="s">
        <v>461</v>
      </c>
      <c r="E36" s="25">
        <v>37</v>
      </c>
      <c r="F36" s="25">
        <v>41</v>
      </c>
      <c r="G36" s="25">
        <v>40</v>
      </c>
      <c r="H36" s="25">
        <v>41</v>
      </c>
      <c r="I36" s="25">
        <v>48</v>
      </c>
      <c r="K36" s="25">
        <v>207</v>
      </c>
      <c r="L36" s="25">
        <v>82.8</v>
      </c>
      <c r="M36" s="58" t="s">
        <v>351</v>
      </c>
    </row>
    <row r="37" spans="1:13">
      <c r="A37" s="25">
        <v>30</v>
      </c>
      <c r="B37" s="63">
        <v>1450</v>
      </c>
      <c r="C37" s="63" t="s">
        <v>462</v>
      </c>
      <c r="D37" s="63" t="s">
        <v>463</v>
      </c>
      <c r="E37" s="25">
        <v>47</v>
      </c>
      <c r="F37" s="25">
        <v>48</v>
      </c>
      <c r="G37" s="25">
        <v>50</v>
      </c>
      <c r="H37" s="25">
        <v>47</v>
      </c>
      <c r="I37" s="25">
        <v>48</v>
      </c>
      <c r="K37" s="25">
        <v>240</v>
      </c>
      <c r="L37" s="25">
        <v>96</v>
      </c>
      <c r="M37" s="58" t="s">
        <v>351</v>
      </c>
    </row>
    <row r="38" spans="1:13">
      <c r="A38" s="25">
        <v>31</v>
      </c>
      <c r="B38" s="63">
        <v>1451</v>
      </c>
      <c r="C38" s="63" t="s">
        <v>464</v>
      </c>
      <c r="D38" s="63" t="s">
        <v>465</v>
      </c>
      <c r="E38" s="25" t="s">
        <v>323</v>
      </c>
      <c r="F38" s="25" t="s">
        <v>323</v>
      </c>
      <c r="G38" s="25" t="s">
        <v>323</v>
      </c>
      <c r="H38" s="25" t="s">
        <v>323</v>
      </c>
      <c r="I38" s="25" t="s">
        <v>323</v>
      </c>
      <c r="J38" s="25" t="s">
        <v>323</v>
      </c>
      <c r="K38" s="25" t="s">
        <v>323</v>
      </c>
      <c r="L38" s="25" t="s">
        <v>323</v>
      </c>
      <c r="M38" s="58" t="s">
        <v>323</v>
      </c>
    </row>
    <row r="39" spans="1:13">
      <c r="A39" s="25">
        <v>32</v>
      </c>
      <c r="B39" s="63">
        <v>1453</v>
      </c>
      <c r="C39" s="63" t="s">
        <v>466</v>
      </c>
      <c r="D39" s="63" t="s">
        <v>467</v>
      </c>
      <c r="E39" s="25" t="s">
        <v>323</v>
      </c>
      <c r="F39" s="25" t="s">
        <v>323</v>
      </c>
      <c r="G39" s="25" t="s">
        <v>323</v>
      </c>
      <c r="H39" s="25" t="s">
        <v>323</v>
      </c>
      <c r="I39" s="25" t="s">
        <v>323</v>
      </c>
      <c r="J39" s="25" t="s">
        <v>323</v>
      </c>
      <c r="K39" s="25" t="s">
        <v>323</v>
      </c>
      <c r="L39" s="25" t="s">
        <v>323</v>
      </c>
      <c r="M39" s="25" t="s">
        <v>323</v>
      </c>
    </row>
    <row r="40" spans="1:13">
      <c r="A40" s="25">
        <v>33</v>
      </c>
      <c r="B40" s="63">
        <v>1475</v>
      </c>
      <c r="C40" s="63" t="s">
        <v>468</v>
      </c>
      <c r="D40" s="63" t="s">
        <v>469</v>
      </c>
      <c r="E40" s="25" t="s">
        <v>323</v>
      </c>
      <c r="F40" s="25" t="s">
        <v>323</v>
      </c>
      <c r="G40" s="25" t="s">
        <v>323</v>
      </c>
      <c r="H40" s="25" t="s">
        <v>323</v>
      </c>
      <c r="I40" s="25" t="s">
        <v>323</v>
      </c>
      <c r="J40" s="25" t="s">
        <v>323</v>
      </c>
      <c r="K40" s="25" t="s">
        <v>323</v>
      </c>
      <c r="L40" s="25" t="s">
        <v>323</v>
      </c>
      <c r="M40" s="25" t="s">
        <v>323</v>
      </c>
    </row>
    <row r="41" spans="1:13">
      <c r="A41" s="25">
        <v>34</v>
      </c>
      <c r="B41" s="63">
        <v>1489</v>
      </c>
      <c r="C41" s="63" t="s">
        <v>470</v>
      </c>
      <c r="D41" s="63" t="s">
        <v>119</v>
      </c>
      <c r="E41" s="25" t="s">
        <v>323</v>
      </c>
      <c r="F41" s="25" t="s">
        <v>323</v>
      </c>
      <c r="G41" s="25" t="s">
        <v>323</v>
      </c>
      <c r="H41" s="25" t="s">
        <v>323</v>
      </c>
      <c r="I41" s="25" t="s">
        <v>323</v>
      </c>
      <c r="J41" s="25" t="s">
        <v>323</v>
      </c>
      <c r="K41" s="25" t="s">
        <v>323</v>
      </c>
      <c r="L41" s="25" t="s">
        <v>323</v>
      </c>
      <c r="M41" s="25" t="s">
        <v>323</v>
      </c>
    </row>
    <row r="42" spans="1:13">
      <c r="A42" s="25">
        <v>35</v>
      </c>
      <c r="B42" s="63">
        <v>1407</v>
      </c>
      <c r="C42" s="63" t="s">
        <v>150</v>
      </c>
      <c r="D42" s="63" t="s">
        <v>471</v>
      </c>
      <c r="E42" s="25">
        <v>26</v>
      </c>
      <c r="F42" s="25">
        <v>27</v>
      </c>
      <c r="G42" s="25">
        <v>47</v>
      </c>
      <c r="H42" s="25">
        <v>35</v>
      </c>
      <c r="I42" s="25">
        <v>48</v>
      </c>
      <c r="K42" s="25">
        <v>203</v>
      </c>
      <c r="L42" s="25">
        <v>81.2</v>
      </c>
      <c r="M42" s="25" t="s">
        <v>351</v>
      </c>
    </row>
    <row r="43" spans="1:13">
      <c r="A43" s="25">
        <v>36</v>
      </c>
      <c r="B43" s="63">
        <v>1408</v>
      </c>
      <c r="C43" s="63" t="s">
        <v>472</v>
      </c>
      <c r="D43" s="63" t="s">
        <v>471</v>
      </c>
      <c r="E43" s="25">
        <v>38</v>
      </c>
      <c r="F43" s="25">
        <v>30</v>
      </c>
      <c r="G43" s="25">
        <v>40</v>
      </c>
      <c r="H43" s="25">
        <v>25</v>
      </c>
      <c r="I43" s="25">
        <v>48</v>
      </c>
      <c r="K43" s="25">
        <v>181</v>
      </c>
      <c r="L43" s="25">
        <v>72.4</v>
      </c>
      <c r="M43" s="25" t="s">
        <v>351</v>
      </c>
    </row>
    <row r="44" spans="1:13">
      <c r="A44" s="25">
        <v>37</v>
      </c>
      <c r="B44" s="63">
        <v>1410</v>
      </c>
      <c r="C44" s="63" t="s">
        <v>473</v>
      </c>
      <c r="D44" s="63" t="s">
        <v>474</v>
      </c>
      <c r="E44" s="25" t="s">
        <v>323</v>
      </c>
      <c r="F44" s="25" t="s">
        <v>323</v>
      </c>
      <c r="G44" s="25" t="s">
        <v>323</v>
      </c>
      <c r="H44" s="25" t="s">
        <v>323</v>
      </c>
      <c r="I44" s="25" t="s">
        <v>323</v>
      </c>
      <c r="J44" s="25" t="s">
        <v>323</v>
      </c>
      <c r="K44" s="25" t="s">
        <v>323</v>
      </c>
      <c r="L44" s="25" t="s">
        <v>323</v>
      </c>
      <c r="M44" s="25" t="s">
        <v>323</v>
      </c>
    </row>
    <row r="45" spans="1:13">
      <c r="A45" s="25">
        <v>38</v>
      </c>
      <c r="B45" s="63">
        <v>1411</v>
      </c>
      <c r="C45" s="63" t="s">
        <v>475</v>
      </c>
      <c r="D45" s="63" t="s">
        <v>102</v>
      </c>
      <c r="E45" s="25">
        <v>22</v>
      </c>
      <c r="F45" s="25">
        <v>45</v>
      </c>
      <c r="G45" s="25">
        <v>35</v>
      </c>
      <c r="H45" s="25">
        <v>50</v>
      </c>
      <c r="I45" s="25">
        <v>48</v>
      </c>
      <c r="K45" s="25">
        <v>200</v>
      </c>
      <c r="L45" s="25">
        <v>80</v>
      </c>
      <c r="M45" s="25" t="s">
        <v>351</v>
      </c>
    </row>
    <row r="46" spans="1:13">
      <c r="A46" s="25">
        <v>39</v>
      </c>
      <c r="B46" s="63">
        <v>1412</v>
      </c>
      <c r="C46" s="63" t="s">
        <v>476</v>
      </c>
      <c r="D46" s="63" t="s">
        <v>154</v>
      </c>
      <c r="E46" s="25">
        <v>38</v>
      </c>
      <c r="F46" s="25">
        <v>37</v>
      </c>
      <c r="G46" s="25">
        <v>35</v>
      </c>
      <c r="H46" s="25">
        <v>37</v>
      </c>
      <c r="I46" s="25">
        <v>47</v>
      </c>
      <c r="K46" s="25">
        <v>194</v>
      </c>
      <c r="L46" s="25">
        <v>77.6</v>
      </c>
      <c r="M46" s="25" t="s">
        <v>351</v>
      </c>
    </row>
    <row r="47" spans="1:13">
      <c r="A47" s="25">
        <v>40</v>
      </c>
      <c r="B47" s="63">
        <v>1414</v>
      </c>
      <c r="C47" s="63" t="s">
        <v>477</v>
      </c>
      <c r="D47" s="63" t="s">
        <v>478</v>
      </c>
      <c r="E47" s="25">
        <v>49</v>
      </c>
      <c r="F47" s="25">
        <v>47</v>
      </c>
      <c r="G47" s="25">
        <v>50</v>
      </c>
      <c r="H47" s="25">
        <v>45</v>
      </c>
      <c r="I47" s="25">
        <v>47</v>
      </c>
      <c r="K47" s="25">
        <v>238</v>
      </c>
      <c r="L47" s="25">
        <v>95.2</v>
      </c>
      <c r="M47" s="25" t="s">
        <v>351</v>
      </c>
    </row>
    <row r="48" spans="1:13">
      <c r="A48" s="25">
        <v>41</v>
      </c>
      <c r="B48" s="63">
        <v>1415</v>
      </c>
      <c r="C48" s="63" t="s">
        <v>479</v>
      </c>
      <c r="D48" s="63" t="s">
        <v>217</v>
      </c>
      <c r="E48" s="25">
        <v>17</v>
      </c>
      <c r="F48" s="25">
        <v>31</v>
      </c>
      <c r="G48" s="25">
        <v>32</v>
      </c>
      <c r="H48" s="25">
        <v>27</v>
      </c>
      <c r="I48" s="25">
        <v>50</v>
      </c>
      <c r="K48" s="25">
        <v>155</v>
      </c>
      <c r="L48" s="25">
        <v>62</v>
      </c>
      <c r="M48" s="25" t="s">
        <v>333</v>
      </c>
    </row>
    <row r="49" spans="1:13">
      <c r="A49" s="25">
        <v>42</v>
      </c>
      <c r="B49" s="63">
        <v>1417</v>
      </c>
      <c r="C49" s="63" t="s">
        <v>186</v>
      </c>
      <c r="D49" s="63" t="s">
        <v>480</v>
      </c>
      <c r="E49" s="25" t="s">
        <v>323</v>
      </c>
      <c r="F49" s="25" t="s">
        <v>323</v>
      </c>
      <c r="G49" s="25" t="s">
        <v>323</v>
      </c>
      <c r="H49" s="25" t="s">
        <v>323</v>
      </c>
      <c r="I49" s="25" t="s">
        <v>323</v>
      </c>
      <c r="J49" s="25" t="s">
        <v>323</v>
      </c>
      <c r="K49" s="25" t="s">
        <v>323</v>
      </c>
      <c r="L49" s="25" t="s">
        <v>323</v>
      </c>
      <c r="M49" s="25" t="s">
        <v>323</v>
      </c>
    </row>
    <row r="50" spans="1:13">
      <c r="A50" s="25">
        <v>43</v>
      </c>
      <c r="B50" s="63">
        <v>1418</v>
      </c>
      <c r="C50" s="63" t="s">
        <v>449</v>
      </c>
      <c r="D50" s="63" t="s">
        <v>480</v>
      </c>
      <c r="E50" s="25" t="s">
        <v>323</v>
      </c>
      <c r="F50" s="25" t="s">
        <v>323</v>
      </c>
      <c r="G50" s="25" t="s">
        <v>323</v>
      </c>
      <c r="H50" s="25" t="s">
        <v>323</v>
      </c>
      <c r="I50" s="25" t="s">
        <v>323</v>
      </c>
      <c r="J50" s="25" t="s">
        <v>323</v>
      </c>
      <c r="K50" s="25" t="s">
        <v>323</v>
      </c>
      <c r="L50" s="25" t="s">
        <v>323</v>
      </c>
      <c r="M50" s="25" t="s">
        <v>323</v>
      </c>
    </row>
    <row r="51" spans="1:13">
      <c r="A51" s="25">
        <v>44</v>
      </c>
      <c r="B51" s="63">
        <v>1419</v>
      </c>
      <c r="C51" s="63" t="s">
        <v>297</v>
      </c>
      <c r="D51" s="63" t="s">
        <v>137</v>
      </c>
      <c r="E51" s="25">
        <v>49</v>
      </c>
      <c r="F51" s="25">
        <v>50</v>
      </c>
      <c r="G51" s="25">
        <v>37</v>
      </c>
      <c r="H51" s="25">
        <v>48</v>
      </c>
      <c r="I51" s="25">
        <v>48</v>
      </c>
      <c r="K51" s="25">
        <v>232</v>
      </c>
      <c r="L51" s="25">
        <v>92.8</v>
      </c>
      <c r="M51" s="25" t="s">
        <v>351</v>
      </c>
    </row>
    <row r="52" spans="1:13">
      <c r="A52" s="25">
        <v>45</v>
      </c>
      <c r="B52" s="63">
        <v>1454</v>
      </c>
      <c r="C52" s="63" t="s">
        <v>314</v>
      </c>
      <c r="D52" s="63" t="s">
        <v>287</v>
      </c>
      <c r="E52" s="25">
        <v>50</v>
      </c>
      <c r="F52" s="25">
        <v>45</v>
      </c>
      <c r="G52" s="25">
        <v>50</v>
      </c>
      <c r="H52" s="25">
        <v>41</v>
      </c>
      <c r="I52" s="25">
        <v>48</v>
      </c>
      <c r="K52" s="25">
        <v>234</v>
      </c>
      <c r="L52" s="25">
        <v>93.6</v>
      </c>
      <c r="M52" s="25" t="s">
        <v>351</v>
      </c>
    </row>
    <row r="53" spans="1:13">
      <c r="A53" s="25">
        <v>46</v>
      </c>
      <c r="B53" s="63">
        <v>1455</v>
      </c>
      <c r="C53" s="63" t="s">
        <v>481</v>
      </c>
      <c r="D53" s="63" t="s">
        <v>482</v>
      </c>
      <c r="E53" s="25">
        <v>49</v>
      </c>
      <c r="F53" s="25">
        <v>46</v>
      </c>
      <c r="G53" s="25">
        <v>38</v>
      </c>
      <c r="H53" s="25">
        <v>35</v>
      </c>
      <c r="I53" s="25">
        <v>48</v>
      </c>
      <c r="K53" s="25">
        <v>216</v>
      </c>
      <c r="L53" s="25">
        <v>86.4</v>
      </c>
      <c r="M53" s="25" t="s">
        <v>351</v>
      </c>
    </row>
    <row r="54" spans="1:13">
      <c r="A54" s="25">
        <v>47</v>
      </c>
      <c r="B54" s="63">
        <v>1457</v>
      </c>
      <c r="C54" s="63" t="s">
        <v>483</v>
      </c>
      <c r="D54" s="63" t="s">
        <v>484</v>
      </c>
      <c r="E54" s="25" t="s">
        <v>323</v>
      </c>
      <c r="F54" s="25" t="s">
        <v>323</v>
      </c>
      <c r="G54" s="25" t="s">
        <v>323</v>
      </c>
      <c r="H54" s="25" t="s">
        <v>323</v>
      </c>
      <c r="I54" s="25" t="s">
        <v>323</v>
      </c>
      <c r="J54" s="25" t="s">
        <v>323</v>
      </c>
      <c r="K54" s="25" t="s">
        <v>323</v>
      </c>
      <c r="L54" s="25" t="s">
        <v>323</v>
      </c>
      <c r="M54" s="25" t="s">
        <v>323</v>
      </c>
    </row>
    <row r="55" spans="1:13">
      <c r="A55" s="25">
        <v>48</v>
      </c>
      <c r="B55" s="63">
        <v>1458</v>
      </c>
      <c r="C55" s="63" t="s">
        <v>485</v>
      </c>
      <c r="D55" s="63" t="s">
        <v>31</v>
      </c>
      <c r="E55" s="25">
        <v>40</v>
      </c>
      <c r="F55" s="25">
        <v>50</v>
      </c>
      <c r="G55" s="25">
        <v>37</v>
      </c>
      <c r="H55" s="25">
        <v>40</v>
      </c>
      <c r="I55" s="25">
        <v>49</v>
      </c>
      <c r="K55" s="25">
        <v>216</v>
      </c>
      <c r="L55" s="25">
        <v>86.4</v>
      </c>
      <c r="M55" s="25" t="s">
        <v>351</v>
      </c>
    </row>
    <row r="56" spans="1:13">
      <c r="A56" s="25">
        <v>49</v>
      </c>
      <c r="B56" s="63">
        <v>1459</v>
      </c>
      <c r="C56" s="63" t="s">
        <v>486</v>
      </c>
      <c r="D56" s="63" t="s">
        <v>487</v>
      </c>
      <c r="E56" s="25" t="s">
        <v>323</v>
      </c>
      <c r="F56" s="25" t="s">
        <v>323</v>
      </c>
      <c r="G56" s="25" t="s">
        <v>323</v>
      </c>
      <c r="H56" s="25" t="s">
        <v>323</v>
      </c>
      <c r="I56" s="25" t="s">
        <v>323</v>
      </c>
      <c r="J56" s="25" t="s">
        <v>323</v>
      </c>
      <c r="K56" s="25" t="s">
        <v>323</v>
      </c>
      <c r="L56" s="25" t="s">
        <v>323</v>
      </c>
      <c r="M56" s="25" t="s">
        <v>323</v>
      </c>
    </row>
    <row r="57" spans="1:13">
      <c r="A57" s="25">
        <v>50</v>
      </c>
      <c r="B57" s="63">
        <v>1461</v>
      </c>
      <c r="C57" s="63" t="s">
        <v>488</v>
      </c>
      <c r="D57" s="63" t="s">
        <v>281</v>
      </c>
      <c r="E57" s="25" t="s">
        <v>323</v>
      </c>
      <c r="F57" s="25" t="s">
        <v>323</v>
      </c>
      <c r="G57" s="25" t="s">
        <v>323</v>
      </c>
      <c r="H57" s="25" t="s">
        <v>323</v>
      </c>
      <c r="I57" s="25" t="s">
        <v>323</v>
      </c>
      <c r="J57" s="25" t="s">
        <v>323</v>
      </c>
      <c r="K57" s="25" t="s">
        <v>323</v>
      </c>
      <c r="L57" s="25" t="s">
        <v>323</v>
      </c>
      <c r="M57" s="25" t="s">
        <v>323</v>
      </c>
    </row>
    <row r="58" spans="1:13">
      <c r="A58" s="25">
        <v>51</v>
      </c>
      <c r="B58" s="63">
        <v>1462</v>
      </c>
      <c r="C58" s="63" t="s">
        <v>489</v>
      </c>
      <c r="D58" s="63" t="s">
        <v>490</v>
      </c>
      <c r="E58" s="25" t="s">
        <v>323</v>
      </c>
      <c r="F58" s="25" t="s">
        <v>323</v>
      </c>
      <c r="G58" s="25" t="s">
        <v>323</v>
      </c>
      <c r="H58" s="25" t="s">
        <v>323</v>
      </c>
      <c r="I58" s="25" t="s">
        <v>323</v>
      </c>
      <c r="J58" s="25" t="s">
        <v>323</v>
      </c>
      <c r="K58" s="25" t="s">
        <v>323</v>
      </c>
      <c r="L58" s="25" t="s">
        <v>323</v>
      </c>
      <c r="M58" s="25" t="s">
        <v>323</v>
      </c>
    </row>
    <row r="59" spans="1:13">
      <c r="A59" s="25">
        <v>52</v>
      </c>
      <c r="B59" s="63">
        <v>1463</v>
      </c>
      <c r="C59" s="63" t="s">
        <v>491</v>
      </c>
      <c r="D59" s="63" t="s">
        <v>161</v>
      </c>
      <c r="E59" s="25">
        <v>47</v>
      </c>
      <c r="F59" s="25">
        <v>49</v>
      </c>
      <c r="G59" s="25">
        <v>50</v>
      </c>
      <c r="H59" s="25">
        <v>47</v>
      </c>
      <c r="I59" s="25">
        <v>50</v>
      </c>
      <c r="K59" s="25">
        <v>243</v>
      </c>
      <c r="L59" s="25">
        <v>97.2</v>
      </c>
      <c r="M59" s="25" t="s">
        <v>351</v>
      </c>
    </row>
    <row r="60" spans="1:13">
      <c r="A60" s="25">
        <v>53</v>
      </c>
      <c r="B60" s="63">
        <v>1464</v>
      </c>
      <c r="C60" s="63" t="s">
        <v>492</v>
      </c>
      <c r="D60" s="63" t="s">
        <v>465</v>
      </c>
      <c r="E60" s="25">
        <v>39</v>
      </c>
      <c r="F60" s="25">
        <v>29</v>
      </c>
      <c r="G60" s="25">
        <v>35</v>
      </c>
      <c r="H60" s="25">
        <v>30</v>
      </c>
      <c r="I60" s="25">
        <v>49</v>
      </c>
      <c r="K60" s="25">
        <v>182</v>
      </c>
      <c r="L60" s="25">
        <v>72.8</v>
      </c>
      <c r="M60" s="25" t="s">
        <v>351</v>
      </c>
    </row>
    <row r="61" spans="1:13">
      <c r="A61" s="25">
        <v>54</v>
      </c>
      <c r="B61" s="63">
        <v>1466</v>
      </c>
      <c r="C61" s="63" t="s">
        <v>493</v>
      </c>
      <c r="D61" s="63" t="s">
        <v>494</v>
      </c>
      <c r="E61" s="25" t="s">
        <v>323</v>
      </c>
      <c r="F61" s="25" t="s">
        <v>323</v>
      </c>
      <c r="G61" s="25" t="s">
        <v>323</v>
      </c>
      <c r="H61" s="25" t="s">
        <v>323</v>
      </c>
      <c r="I61" s="25" t="s">
        <v>323</v>
      </c>
      <c r="J61" s="25" t="s">
        <v>323</v>
      </c>
      <c r="K61" s="25" t="s">
        <v>323</v>
      </c>
      <c r="L61" s="25" t="s">
        <v>323</v>
      </c>
      <c r="M61" s="25" t="s">
        <v>323</v>
      </c>
    </row>
    <row r="62" spans="1:13">
      <c r="A62" s="25">
        <v>55</v>
      </c>
      <c r="B62" s="63">
        <v>1468</v>
      </c>
      <c r="C62" s="63" t="s">
        <v>495</v>
      </c>
      <c r="D62" s="63" t="s">
        <v>24</v>
      </c>
      <c r="E62" s="25">
        <v>24</v>
      </c>
      <c r="F62" s="25">
        <v>39</v>
      </c>
      <c r="G62" s="25">
        <v>50</v>
      </c>
      <c r="H62" s="25">
        <v>36</v>
      </c>
      <c r="I62" s="25">
        <v>49</v>
      </c>
      <c r="K62" s="25">
        <v>198</v>
      </c>
      <c r="L62" s="25">
        <v>79.2</v>
      </c>
      <c r="M62" s="25" t="s">
        <v>351</v>
      </c>
    </row>
    <row r="63" spans="1:13">
      <c r="A63" s="25">
        <v>56</v>
      </c>
      <c r="B63" s="63">
        <v>1469</v>
      </c>
      <c r="C63" s="63" t="s">
        <v>496</v>
      </c>
      <c r="D63" s="63" t="s">
        <v>497</v>
      </c>
      <c r="E63" s="25">
        <v>45</v>
      </c>
      <c r="F63" s="25">
        <v>47</v>
      </c>
      <c r="G63" s="25">
        <v>50</v>
      </c>
      <c r="H63" s="25">
        <v>44</v>
      </c>
      <c r="I63" s="25">
        <v>49</v>
      </c>
      <c r="K63" s="25">
        <v>235</v>
      </c>
      <c r="L63" s="25">
        <v>94</v>
      </c>
      <c r="M63" s="25" t="s">
        <v>351</v>
      </c>
    </row>
    <row r="64" spans="1:13">
      <c r="A64" s="25">
        <v>57</v>
      </c>
      <c r="B64" s="63">
        <v>1474</v>
      </c>
      <c r="C64" s="63" t="s">
        <v>498</v>
      </c>
      <c r="D64" s="63" t="s">
        <v>499</v>
      </c>
      <c r="E64" s="25" t="s">
        <v>323</v>
      </c>
      <c r="F64" s="25" t="s">
        <v>323</v>
      </c>
      <c r="G64" s="25" t="s">
        <v>323</v>
      </c>
      <c r="H64" s="25" t="s">
        <v>323</v>
      </c>
      <c r="I64" s="25" t="s">
        <v>323</v>
      </c>
      <c r="J64" s="25" t="s">
        <v>323</v>
      </c>
      <c r="K64" s="25" t="s">
        <v>323</v>
      </c>
      <c r="L64" s="25" t="s">
        <v>323</v>
      </c>
      <c r="M64" s="25" t="s">
        <v>323</v>
      </c>
    </row>
    <row r="65" spans="1:13">
      <c r="A65" s="25">
        <v>58</v>
      </c>
      <c r="B65" s="63">
        <v>1476</v>
      </c>
      <c r="C65" s="63" t="s">
        <v>500</v>
      </c>
      <c r="D65" s="63" t="s">
        <v>501</v>
      </c>
      <c r="E65" s="25">
        <v>48</v>
      </c>
      <c r="F65" s="25">
        <v>50</v>
      </c>
      <c r="G65" s="25">
        <v>49</v>
      </c>
      <c r="H65" s="25">
        <v>47</v>
      </c>
      <c r="I65" s="25">
        <v>48</v>
      </c>
      <c r="K65" s="25">
        <v>242</v>
      </c>
      <c r="L65" s="25">
        <v>96.8</v>
      </c>
      <c r="M65" s="25" t="s">
        <v>351</v>
      </c>
    </row>
  </sheetData>
  <mergeCells count="5">
    <mergeCell ref="A1:N1"/>
    <mergeCell ref="A2:N2"/>
    <mergeCell ref="A3:N3"/>
    <mergeCell ref="A4:N4"/>
    <mergeCell ref="A5:N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workbookViewId="0">
      <selection activeCell="A11" sqref="A11"/>
    </sheetView>
  </sheetViews>
  <sheetFormatPr defaultColWidth="13.1428571428571" defaultRowHeight="15"/>
  <cols>
    <col min="1" max="1" width="8.71428571428571" style="25" customWidth="1"/>
    <col min="2" max="2" width="10" style="25" customWidth="1"/>
    <col min="3" max="3" width="18.1428571428571" style="25" customWidth="1"/>
    <col min="4" max="4" width="20" style="25" customWidth="1"/>
    <col min="5" max="16383" width="13.1428571428571" style="25" customWidth="1"/>
    <col min="16384" max="16384" width="13.1428571428571" style="25"/>
  </cols>
  <sheetData>
    <row r="1" spans="1:1">
      <c r="A1" s="25" t="s">
        <v>0</v>
      </c>
    </row>
    <row r="2" spans="1:1">
      <c r="A2" s="25" t="s">
        <v>1</v>
      </c>
    </row>
    <row r="3" spans="1:1">
      <c r="A3" s="25">
        <v>408170079</v>
      </c>
    </row>
    <row r="4" spans="1:1">
      <c r="A4" s="25" t="s">
        <v>2</v>
      </c>
    </row>
    <row r="5" spans="1:1">
      <c r="A5" s="25" t="s">
        <v>502</v>
      </c>
    </row>
    <row r="6" spans="1:16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425</v>
      </c>
      <c r="G6" s="25" t="s">
        <v>9</v>
      </c>
      <c r="H6" s="25" t="s">
        <v>503</v>
      </c>
      <c r="I6" s="25" t="s">
        <v>504</v>
      </c>
      <c r="J6" s="25" t="s">
        <v>11</v>
      </c>
      <c r="K6" s="25" t="s">
        <v>12</v>
      </c>
      <c r="L6" s="25" t="s">
        <v>13</v>
      </c>
      <c r="M6" s="25" t="s">
        <v>14</v>
      </c>
      <c r="N6" s="25" t="s">
        <v>15</v>
      </c>
      <c r="O6" s="25" t="s">
        <v>16</v>
      </c>
      <c r="P6" s="25" t="s">
        <v>17</v>
      </c>
    </row>
    <row r="7" spans="5:12">
      <c r="E7" s="25">
        <v>50</v>
      </c>
      <c r="F7" s="25">
        <v>50</v>
      </c>
      <c r="G7" s="25">
        <v>50</v>
      </c>
      <c r="H7" s="25">
        <v>50</v>
      </c>
      <c r="I7" s="25">
        <v>50</v>
      </c>
      <c r="J7" s="25">
        <v>50</v>
      </c>
      <c r="K7" s="25">
        <v>50</v>
      </c>
      <c r="L7" s="25">
        <v>350</v>
      </c>
    </row>
    <row r="8" spans="1:15">
      <c r="A8" s="25">
        <v>1</v>
      </c>
      <c r="B8" s="63">
        <v>1347</v>
      </c>
      <c r="C8" s="63" t="s">
        <v>505</v>
      </c>
      <c r="D8" s="63" t="s">
        <v>467</v>
      </c>
      <c r="E8" s="25">
        <v>50</v>
      </c>
      <c r="F8" s="25">
        <v>49</v>
      </c>
      <c r="G8" s="25">
        <v>49</v>
      </c>
      <c r="H8" s="25">
        <v>49</v>
      </c>
      <c r="I8" s="25">
        <v>50</v>
      </c>
      <c r="J8" s="25">
        <v>49</v>
      </c>
      <c r="K8" s="25">
        <v>48</v>
      </c>
      <c r="L8" s="25">
        <v>350</v>
      </c>
      <c r="M8" s="25">
        <v>344</v>
      </c>
      <c r="N8" s="25">
        <v>98.2</v>
      </c>
      <c r="O8" s="25" t="s">
        <v>351</v>
      </c>
    </row>
    <row r="9" spans="1:15">
      <c r="A9" s="25">
        <v>2</v>
      </c>
      <c r="B9" s="63">
        <v>1348</v>
      </c>
      <c r="C9" s="63" t="s">
        <v>506</v>
      </c>
      <c r="D9" s="63" t="s">
        <v>507</v>
      </c>
      <c r="E9" s="25">
        <v>50</v>
      </c>
      <c r="F9" s="25">
        <v>49</v>
      </c>
      <c r="G9" s="25">
        <v>49</v>
      </c>
      <c r="H9" s="25">
        <v>49</v>
      </c>
      <c r="I9" s="25">
        <v>50</v>
      </c>
      <c r="J9" s="25">
        <v>47</v>
      </c>
      <c r="K9" s="25">
        <v>38</v>
      </c>
      <c r="L9" s="25">
        <v>350</v>
      </c>
      <c r="M9" s="25">
        <v>291</v>
      </c>
      <c r="N9" s="25">
        <v>83.1</v>
      </c>
      <c r="O9" s="25" t="s">
        <v>351</v>
      </c>
    </row>
    <row r="10" spans="1:15">
      <c r="A10" s="25">
        <v>3</v>
      </c>
      <c r="B10" s="63">
        <v>1349</v>
      </c>
      <c r="C10" s="63" t="s">
        <v>508</v>
      </c>
      <c r="D10" s="63" t="s">
        <v>509</v>
      </c>
      <c r="E10" s="25">
        <v>49</v>
      </c>
      <c r="F10" s="25">
        <v>48</v>
      </c>
      <c r="G10" s="25">
        <v>50</v>
      </c>
      <c r="H10" s="25">
        <v>37</v>
      </c>
      <c r="I10" s="25">
        <v>50</v>
      </c>
      <c r="J10" s="25">
        <v>48</v>
      </c>
      <c r="K10" s="25">
        <v>44</v>
      </c>
      <c r="L10" s="25">
        <v>350</v>
      </c>
      <c r="M10" s="25">
        <v>326</v>
      </c>
      <c r="N10" s="25">
        <v>93.1</v>
      </c>
      <c r="O10" s="25" t="s">
        <v>351</v>
      </c>
    </row>
    <row r="11" spans="1:15">
      <c r="A11" s="25">
        <v>4</v>
      </c>
      <c r="B11" s="63">
        <v>1350</v>
      </c>
      <c r="C11" s="63" t="s">
        <v>510</v>
      </c>
      <c r="D11" s="63" t="s">
        <v>509</v>
      </c>
      <c r="E11" s="25">
        <v>23</v>
      </c>
      <c r="F11" s="25">
        <v>40</v>
      </c>
      <c r="G11" s="25">
        <v>39</v>
      </c>
      <c r="H11" s="25">
        <v>43</v>
      </c>
      <c r="I11" s="25">
        <v>48</v>
      </c>
      <c r="J11" s="25">
        <v>47</v>
      </c>
      <c r="K11" s="25">
        <v>38</v>
      </c>
      <c r="L11" s="25">
        <v>350</v>
      </c>
      <c r="M11" s="25">
        <v>278</v>
      </c>
      <c r="N11" s="25">
        <v>79.4</v>
      </c>
      <c r="O11" s="25" t="s">
        <v>333</v>
      </c>
    </row>
    <row r="12" spans="1:15">
      <c r="A12" s="25">
        <v>5</v>
      </c>
      <c r="B12" s="63">
        <v>1352</v>
      </c>
      <c r="C12" s="63" t="s">
        <v>511</v>
      </c>
      <c r="D12" s="63" t="s">
        <v>297</v>
      </c>
      <c r="E12" s="25">
        <v>38</v>
      </c>
      <c r="F12" s="25">
        <v>48</v>
      </c>
      <c r="G12" s="25">
        <v>39</v>
      </c>
      <c r="H12" s="25">
        <v>44</v>
      </c>
      <c r="I12" s="25">
        <v>49</v>
      </c>
      <c r="J12" s="25">
        <v>50</v>
      </c>
      <c r="K12" s="25">
        <v>45</v>
      </c>
      <c r="L12" s="25">
        <v>350</v>
      </c>
      <c r="M12" s="25">
        <v>313</v>
      </c>
      <c r="N12" s="25">
        <v>89.4</v>
      </c>
      <c r="O12" s="25" t="s">
        <v>351</v>
      </c>
    </row>
    <row r="13" spans="1:15">
      <c r="A13" s="25">
        <v>6</v>
      </c>
      <c r="B13" s="63">
        <v>1355</v>
      </c>
      <c r="C13" s="63" t="s">
        <v>512</v>
      </c>
      <c r="D13" s="63" t="s">
        <v>513</v>
      </c>
      <c r="E13" s="25">
        <v>33</v>
      </c>
      <c r="F13" s="25">
        <v>45</v>
      </c>
      <c r="G13" s="25">
        <v>38</v>
      </c>
      <c r="H13" s="25">
        <v>36</v>
      </c>
      <c r="I13" s="25">
        <v>49</v>
      </c>
      <c r="J13" s="25">
        <v>46</v>
      </c>
      <c r="K13" s="25">
        <v>30</v>
      </c>
      <c r="L13" s="25">
        <v>350</v>
      </c>
      <c r="M13" s="25">
        <v>277</v>
      </c>
      <c r="N13" s="25">
        <v>79.1</v>
      </c>
      <c r="O13" s="25" t="s">
        <v>351</v>
      </c>
    </row>
    <row r="14" spans="1:15">
      <c r="A14" s="25">
        <v>7</v>
      </c>
      <c r="B14" s="63">
        <v>1356</v>
      </c>
      <c r="C14" s="63" t="s">
        <v>514</v>
      </c>
      <c r="D14" s="63" t="s">
        <v>151</v>
      </c>
      <c r="E14" s="25">
        <v>32</v>
      </c>
      <c r="F14" s="25">
        <v>34</v>
      </c>
      <c r="G14" s="25">
        <v>31</v>
      </c>
      <c r="H14" s="25">
        <v>45</v>
      </c>
      <c r="I14" s="25">
        <v>48</v>
      </c>
      <c r="J14" s="25">
        <v>33</v>
      </c>
      <c r="K14" s="25">
        <v>40</v>
      </c>
      <c r="L14" s="25">
        <v>350</v>
      </c>
      <c r="M14" s="25">
        <v>263</v>
      </c>
      <c r="N14" s="25">
        <v>75.1</v>
      </c>
      <c r="O14" s="25" t="s">
        <v>351</v>
      </c>
    </row>
    <row r="15" spans="1:15">
      <c r="A15" s="25">
        <v>8</v>
      </c>
      <c r="B15" s="63">
        <v>1361</v>
      </c>
      <c r="C15" s="63" t="s">
        <v>515</v>
      </c>
      <c r="D15" s="63" t="s">
        <v>516</v>
      </c>
      <c r="E15" s="25">
        <v>28</v>
      </c>
      <c r="F15" s="25">
        <v>29</v>
      </c>
      <c r="G15" s="25">
        <v>43</v>
      </c>
      <c r="H15" s="25">
        <v>47</v>
      </c>
      <c r="I15" s="25">
        <v>49</v>
      </c>
      <c r="J15" s="25">
        <v>34</v>
      </c>
      <c r="K15" s="25">
        <v>41</v>
      </c>
      <c r="L15" s="25">
        <v>350</v>
      </c>
      <c r="M15" s="25">
        <v>271</v>
      </c>
      <c r="N15" s="25">
        <v>77.4</v>
      </c>
      <c r="O15" s="25" t="s">
        <v>351</v>
      </c>
    </row>
    <row r="16" spans="1:15">
      <c r="A16" s="25">
        <v>9</v>
      </c>
      <c r="B16" s="63">
        <v>1362</v>
      </c>
      <c r="C16" s="63" t="s">
        <v>517</v>
      </c>
      <c r="D16" s="63" t="s">
        <v>518</v>
      </c>
      <c r="E16" s="25">
        <v>41</v>
      </c>
      <c r="F16" s="25">
        <v>49</v>
      </c>
      <c r="G16" s="25">
        <v>49</v>
      </c>
      <c r="H16" s="25">
        <v>38</v>
      </c>
      <c r="I16" s="25">
        <v>50</v>
      </c>
      <c r="J16" s="25">
        <v>48</v>
      </c>
      <c r="K16" s="25">
        <v>49</v>
      </c>
      <c r="L16" s="25">
        <v>350</v>
      </c>
      <c r="M16" s="25">
        <v>324</v>
      </c>
      <c r="N16" s="25">
        <v>92.5</v>
      </c>
      <c r="O16" s="25" t="s">
        <v>351</v>
      </c>
    </row>
    <row r="17" spans="1:15">
      <c r="A17" s="25">
        <v>10</v>
      </c>
      <c r="B17" s="63">
        <v>1364</v>
      </c>
      <c r="C17" s="63" t="s">
        <v>324</v>
      </c>
      <c r="D17" s="63" t="s">
        <v>482</v>
      </c>
      <c r="E17" s="25" t="s">
        <v>323</v>
      </c>
      <c r="F17" s="25" t="s">
        <v>323</v>
      </c>
      <c r="G17" s="25" t="s">
        <v>323</v>
      </c>
      <c r="H17" s="25" t="s">
        <v>323</v>
      </c>
      <c r="I17" s="25" t="s">
        <v>323</v>
      </c>
      <c r="J17" s="25" t="s">
        <v>323</v>
      </c>
      <c r="K17" s="25" t="s">
        <v>323</v>
      </c>
      <c r="L17" s="25" t="s">
        <v>323</v>
      </c>
      <c r="M17" s="25" t="s">
        <v>323</v>
      </c>
      <c r="N17" s="25" t="s">
        <v>323</v>
      </c>
      <c r="O17" s="25" t="s">
        <v>323</v>
      </c>
    </row>
    <row r="18" spans="1:15">
      <c r="A18" s="25">
        <v>11</v>
      </c>
      <c r="B18" s="63">
        <v>1422</v>
      </c>
      <c r="C18" s="63" t="s">
        <v>519</v>
      </c>
      <c r="D18" s="63" t="s">
        <v>180</v>
      </c>
      <c r="E18" s="25" t="s">
        <v>323</v>
      </c>
      <c r="F18" s="25" t="s">
        <v>323</v>
      </c>
      <c r="G18" s="25" t="s">
        <v>323</v>
      </c>
      <c r="H18" s="25" t="s">
        <v>323</v>
      </c>
      <c r="I18" s="25" t="s">
        <v>323</v>
      </c>
      <c r="J18" s="25" t="s">
        <v>323</v>
      </c>
      <c r="K18" s="25" t="s">
        <v>323</v>
      </c>
      <c r="L18" s="25" t="s">
        <v>323</v>
      </c>
      <c r="M18" s="25" t="s">
        <v>323</v>
      </c>
      <c r="N18" s="25" t="s">
        <v>323</v>
      </c>
      <c r="O18" s="25" t="s">
        <v>323</v>
      </c>
    </row>
    <row r="19" spans="1:15">
      <c r="A19" s="25">
        <v>12</v>
      </c>
      <c r="B19" s="63">
        <v>1423</v>
      </c>
      <c r="C19" s="63" t="s">
        <v>520</v>
      </c>
      <c r="D19" s="63" t="s">
        <v>521</v>
      </c>
      <c r="E19" s="25">
        <v>50</v>
      </c>
      <c r="F19" s="25">
        <v>50</v>
      </c>
      <c r="G19" s="25">
        <v>49</v>
      </c>
      <c r="H19" s="25">
        <v>49</v>
      </c>
      <c r="I19" s="25">
        <v>49</v>
      </c>
      <c r="J19" s="25">
        <v>49</v>
      </c>
      <c r="K19" s="25">
        <v>49</v>
      </c>
      <c r="L19" s="25">
        <v>350</v>
      </c>
      <c r="M19" s="25">
        <v>345</v>
      </c>
      <c r="N19" s="25">
        <v>98.5</v>
      </c>
      <c r="O19" s="25" t="s">
        <v>351</v>
      </c>
    </row>
    <row r="20" spans="1:15">
      <c r="A20" s="25">
        <v>13</v>
      </c>
      <c r="B20" s="63">
        <v>1425</v>
      </c>
      <c r="C20" s="63" t="s">
        <v>522</v>
      </c>
      <c r="D20" s="63" t="s">
        <v>474</v>
      </c>
      <c r="E20" s="25">
        <v>46</v>
      </c>
      <c r="F20" s="25">
        <v>49</v>
      </c>
      <c r="G20" s="25">
        <v>40</v>
      </c>
      <c r="H20" s="25">
        <v>47</v>
      </c>
      <c r="I20" s="25">
        <v>50</v>
      </c>
      <c r="J20" s="25">
        <v>49</v>
      </c>
      <c r="K20" s="25">
        <v>46</v>
      </c>
      <c r="L20" s="25">
        <v>350</v>
      </c>
      <c r="M20" s="25">
        <v>327</v>
      </c>
      <c r="N20" s="25">
        <v>93.4</v>
      </c>
      <c r="O20" s="25" t="s">
        <v>351</v>
      </c>
    </row>
    <row r="21" spans="1:15">
      <c r="A21" s="25">
        <v>14</v>
      </c>
      <c r="B21" s="63">
        <v>1426</v>
      </c>
      <c r="C21" s="63" t="s">
        <v>523</v>
      </c>
      <c r="D21" s="63" t="s">
        <v>419</v>
      </c>
      <c r="E21" s="25">
        <v>27</v>
      </c>
      <c r="F21" s="25">
        <v>48</v>
      </c>
      <c r="G21" s="25">
        <v>46</v>
      </c>
      <c r="H21" s="25">
        <v>36</v>
      </c>
      <c r="I21" s="25">
        <v>44</v>
      </c>
      <c r="J21" s="25">
        <v>47</v>
      </c>
      <c r="K21" s="25">
        <v>46</v>
      </c>
      <c r="L21" s="25">
        <v>350</v>
      </c>
      <c r="M21" s="25">
        <v>284</v>
      </c>
      <c r="N21" s="25">
        <v>81.1</v>
      </c>
      <c r="O21" s="25" t="s">
        <v>351</v>
      </c>
    </row>
    <row r="22" spans="1:15">
      <c r="A22" s="25">
        <v>15</v>
      </c>
      <c r="B22" s="63">
        <v>1427</v>
      </c>
      <c r="C22" s="63" t="s">
        <v>177</v>
      </c>
      <c r="D22" s="63" t="s">
        <v>51</v>
      </c>
      <c r="E22" s="25">
        <v>35</v>
      </c>
      <c r="F22" s="25">
        <v>49</v>
      </c>
      <c r="G22" s="25">
        <v>45</v>
      </c>
      <c r="H22" s="25">
        <v>45</v>
      </c>
      <c r="I22" s="25">
        <v>47</v>
      </c>
      <c r="J22" s="25">
        <v>39</v>
      </c>
      <c r="K22" s="25">
        <v>42</v>
      </c>
      <c r="L22" s="25">
        <v>350</v>
      </c>
      <c r="M22" s="25">
        <v>302</v>
      </c>
      <c r="N22" s="25">
        <v>86.2</v>
      </c>
      <c r="O22" s="25" t="s">
        <v>351</v>
      </c>
    </row>
    <row r="23" spans="1:15">
      <c r="A23" s="25">
        <v>16</v>
      </c>
      <c r="B23" s="63">
        <v>1495</v>
      </c>
      <c r="C23" s="63" t="s">
        <v>126</v>
      </c>
      <c r="D23" s="63" t="s">
        <v>85</v>
      </c>
      <c r="E23" s="25">
        <v>32</v>
      </c>
      <c r="F23" s="25">
        <v>46</v>
      </c>
      <c r="G23" s="25">
        <v>47</v>
      </c>
      <c r="H23" s="25">
        <v>42</v>
      </c>
      <c r="I23" s="25">
        <v>48</v>
      </c>
      <c r="J23" s="25">
        <v>45</v>
      </c>
      <c r="K23" s="25">
        <v>49</v>
      </c>
      <c r="L23" s="25">
        <v>350</v>
      </c>
      <c r="M23" s="25">
        <v>309</v>
      </c>
      <c r="N23" s="25">
        <v>88.2</v>
      </c>
      <c r="O23" s="25" t="s">
        <v>351</v>
      </c>
    </row>
    <row r="24" spans="1:15">
      <c r="A24" s="25">
        <v>17</v>
      </c>
      <c r="B24" s="63">
        <v>1365</v>
      </c>
      <c r="C24" s="63" t="s">
        <v>524</v>
      </c>
      <c r="D24" s="63" t="s">
        <v>525</v>
      </c>
      <c r="E24" s="25">
        <v>41</v>
      </c>
      <c r="F24" s="25">
        <v>45</v>
      </c>
      <c r="G24" s="25">
        <v>45</v>
      </c>
      <c r="H24" s="25">
        <v>43</v>
      </c>
      <c r="I24" s="25">
        <v>49</v>
      </c>
      <c r="J24" s="25">
        <v>47</v>
      </c>
      <c r="K24" s="25">
        <v>49</v>
      </c>
      <c r="L24" s="25">
        <v>350</v>
      </c>
      <c r="M24" s="25">
        <v>319</v>
      </c>
      <c r="N24" s="25">
        <v>91.1</v>
      </c>
      <c r="O24" s="25" t="s">
        <v>351</v>
      </c>
    </row>
    <row r="25" spans="1:15">
      <c r="A25" s="25">
        <v>18</v>
      </c>
      <c r="B25" s="63">
        <v>1367</v>
      </c>
      <c r="C25" s="63" t="s">
        <v>422</v>
      </c>
      <c r="D25" s="63" t="s">
        <v>297</v>
      </c>
      <c r="E25" s="25">
        <v>47</v>
      </c>
      <c r="F25" s="25">
        <v>49</v>
      </c>
      <c r="G25" s="25">
        <v>36</v>
      </c>
      <c r="H25" s="25">
        <v>48</v>
      </c>
      <c r="I25" s="25">
        <v>49</v>
      </c>
      <c r="J25" s="25">
        <v>45</v>
      </c>
      <c r="K25" s="25">
        <v>47</v>
      </c>
      <c r="L25" s="25">
        <v>350</v>
      </c>
      <c r="M25" s="25">
        <v>321</v>
      </c>
      <c r="N25" s="25">
        <v>91.7</v>
      </c>
      <c r="O25" s="25" t="s">
        <v>351</v>
      </c>
    </row>
    <row r="26" spans="1:15">
      <c r="A26" s="25">
        <v>19</v>
      </c>
      <c r="B26" s="63">
        <v>1371</v>
      </c>
      <c r="C26" s="63" t="s">
        <v>526</v>
      </c>
      <c r="D26" s="63" t="s">
        <v>102</v>
      </c>
      <c r="E26" s="25">
        <v>30</v>
      </c>
      <c r="F26" s="25">
        <v>39</v>
      </c>
      <c r="G26" s="25">
        <v>34</v>
      </c>
      <c r="H26" s="25">
        <v>42</v>
      </c>
      <c r="I26" s="25">
        <v>47</v>
      </c>
      <c r="J26" s="25">
        <v>36</v>
      </c>
      <c r="K26" s="25">
        <v>44</v>
      </c>
      <c r="L26" s="25">
        <v>350</v>
      </c>
      <c r="M26" s="25">
        <v>272</v>
      </c>
      <c r="N26" s="25">
        <v>77.7</v>
      </c>
      <c r="O26" s="25" t="s">
        <v>351</v>
      </c>
    </row>
    <row r="27" spans="1:15">
      <c r="A27" s="25">
        <v>20</v>
      </c>
      <c r="B27" s="63">
        <v>1372</v>
      </c>
      <c r="C27" s="63" t="s">
        <v>527</v>
      </c>
      <c r="D27" s="63" t="s">
        <v>528</v>
      </c>
      <c r="E27" s="25">
        <v>24</v>
      </c>
      <c r="F27" s="25">
        <v>44</v>
      </c>
      <c r="G27" s="25">
        <v>27</v>
      </c>
      <c r="H27" s="25">
        <v>34</v>
      </c>
      <c r="I27" s="25">
        <v>44</v>
      </c>
      <c r="J27" s="25">
        <v>33</v>
      </c>
      <c r="K27" s="25">
        <v>40</v>
      </c>
      <c r="L27" s="25">
        <v>350</v>
      </c>
      <c r="M27" s="25">
        <v>246</v>
      </c>
      <c r="N27" s="25">
        <v>70.2</v>
      </c>
      <c r="O27" s="25" t="s">
        <v>351</v>
      </c>
    </row>
    <row r="28" spans="1:15">
      <c r="A28" s="25">
        <v>21</v>
      </c>
      <c r="B28" s="63">
        <v>1373</v>
      </c>
      <c r="C28" s="63" t="s">
        <v>529</v>
      </c>
      <c r="D28" s="63" t="s">
        <v>279</v>
      </c>
      <c r="E28" s="25">
        <v>27</v>
      </c>
      <c r="F28" s="25">
        <v>47</v>
      </c>
      <c r="G28" s="25">
        <v>33</v>
      </c>
      <c r="H28" s="25">
        <v>37</v>
      </c>
      <c r="I28" s="25">
        <v>49</v>
      </c>
      <c r="J28" s="25">
        <v>43</v>
      </c>
      <c r="K28" s="25">
        <v>41</v>
      </c>
      <c r="L28" s="25">
        <v>350</v>
      </c>
      <c r="M28" s="25">
        <v>277</v>
      </c>
      <c r="N28" s="25">
        <v>79.1</v>
      </c>
      <c r="O28" s="25" t="s">
        <v>351</v>
      </c>
    </row>
    <row r="29" spans="1:15">
      <c r="A29" s="25">
        <v>22</v>
      </c>
      <c r="B29" s="63">
        <v>1375</v>
      </c>
      <c r="C29" s="63" t="s">
        <v>530</v>
      </c>
      <c r="D29" s="63" t="s">
        <v>269</v>
      </c>
      <c r="E29" s="25">
        <v>27</v>
      </c>
      <c r="F29" s="25">
        <v>38</v>
      </c>
      <c r="G29" s="25">
        <v>36</v>
      </c>
      <c r="H29" s="25">
        <v>37</v>
      </c>
      <c r="I29" s="25">
        <v>37</v>
      </c>
      <c r="J29" s="25">
        <v>31</v>
      </c>
      <c r="K29" s="25">
        <v>35</v>
      </c>
      <c r="L29" s="25">
        <v>350</v>
      </c>
      <c r="M29" s="25">
        <v>241</v>
      </c>
      <c r="N29" s="25">
        <v>68.8</v>
      </c>
      <c r="O29" s="58" t="s">
        <v>333</v>
      </c>
    </row>
    <row r="30" spans="1:15">
      <c r="A30" s="25">
        <v>23</v>
      </c>
      <c r="B30" s="63">
        <v>1378</v>
      </c>
      <c r="C30" s="63" t="s">
        <v>531</v>
      </c>
      <c r="D30" s="63" t="s">
        <v>133</v>
      </c>
      <c r="E30" s="25">
        <v>25</v>
      </c>
      <c r="F30" s="25">
        <v>27</v>
      </c>
      <c r="G30" s="25">
        <v>35</v>
      </c>
      <c r="H30" s="25">
        <v>30</v>
      </c>
      <c r="I30" s="25">
        <v>33</v>
      </c>
      <c r="J30" s="25">
        <v>21</v>
      </c>
      <c r="K30" s="25">
        <v>44</v>
      </c>
      <c r="L30" s="25">
        <v>350</v>
      </c>
      <c r="M30" s="25">
        <v>215</v>
      </c>
      <c r="N30" s="25">
        <v>61.4</v>
      </c>
      <c r="O30" s="58" t="s">
        <v>333</v>
      </c>
    </row>
    <row r="31" spans="1:15">
      <c r="A31" s="25">
        <v>24</v>
      </c>
      <c r="B31" s="63">
        <v>1379</v>
      </c>
      <c r="C31" s="63" t="s">
        <v>532</v>
      </c>
      <c r="D31" s="63" t="s">
        <v>533</v>
      </c>
      <c r="E31" s="25">
        <v>38</v>
      </c>
      <c r="F31" s="25">
        <v>24</v>
      </c>
      <c r="G31" s="25">
        <v>39</v>
      </c>
      <c r="H31" s="25">
        <v>37</v>
      </c>
      <c r="I31" s="25">
        <v>25</v>
      </c>
      <c r="J31" s="25">
        <v>32</v>
      </c>
      <c r="K31" s="25">
        <v>34</v>
      </c>
      <c r="L31" s="25">
        <v>350</v>
      </c>
      <c r="M31" s="25">
        <v>229</v>
      </c>
      <c r="N31" s="25">
        <v>65.4</v>
      </c>
      <c r="O31" s="58" t="s">
        <v>333</v>
      </c>
    </row>
    <row r="32" spans="1:15">
      <c r="A32" s="25">
        <v>25</v>
      </c>
      <c r="B32" s="63">
        <v>1380</v>
      </c>
      <c r="C32" s="63" t="s">
        <v>534</v>
      </c>
      <c r="D32" s="63" t="s">
        <v>535</v>
      </c>
      <c r="E32" s="25">
        <v>20</v>
      </c>
      <c r="F32" s="25">
        <v>42</v>
      </c>
      <c r="G32" s="25">
        <v>18</v>
      </c>
      <c r="H32" s="25">
        <v>31</v>
      </c>
      <c r="I32" s="25">
        <v>19</v>
      </c>
      <c r="J32" s="25">
        <v>29</v>
      </c>
      <c r="K32" s="25">
        <v>26</v>
      </c>
      <c r="L32" s="25">
        <v>350</v>
      </c>
      <c r="M32" s="25">
        <v>185</v>
      </c>
      <c r="N32" s="25">
        <v>52.8</v>
      </c>
      <c r="O32" s="25" t="s">
        <v>313</v>
      </c>
    </row>
    <row r="33" spans="1:15">
      <c r="A33" s="25">
        <v>26</v>
      </c>
      <c r="B33" s="63">
        <v>1421</v>
      </c>
      <c r="C33" s="63" t="s">
        <v>536</v>
      </c>
      <c r="D33" s="63" t="s">
        <v>537</v>
      </c>
      <c r="E33" s="25" t="s">
        <v>323</v>
      </c>
      <c r="F33" s="25" t="s">
        <v>323</v>
      </c>
      <c r="G33" s="25" t="s">
        <v>323</v>
      </c>
      <c r="H33" s="25" t="s">
        <v>323</v>
      </c>
      <c r="I33" s="25" t="s">
        <v>323</v>
      </c>
      <c r="J33" s="25" t="s">
        <v>323</v>
      </c>
      <c r="K33" s="25" t="s">
        <v>323</v>
      </c>
      <c r="L33" s="25" t="s">
        <v>323</v>
      </c>
      <c r="M33" s="25" t="s">
        <v>323</v>
      </c>
      <c r="N33" s="25" t="s">
        <v>323</v>
      </c>
      <c r="O33" s="25" t="s">
        <v>323</v>
      </c>
    </row>
    <row r="34" spans="1:15">
      <c r="A34" s="25">
        <v>27</v>
      </c>
      <c r="B34" s="63">
        <v>1431</v>
      </c>
      <c r="C34" s="63" t="s">
        <v>538</v>
      </c>
      <c r="D34" s="63" t="s">
        <v>539</v>
      </c>
      <c r="E34" s="25">
        <v>22</v>
      </c>
      <c r="F34" s="25">
        <v>26</v>
      </c>
      <c r="G34" s="25">
        <v>24</v>
      </c>
      <c r="H34" s="25">
        <v>39</v>
      </c>
      <c r="I34" s="25">
        <v>33</v>
      </c>
      <c r="J34" s="25">
        <v>27</v>
      </c>
      <c r="K34" s="25">
        <v>42</v>
      </c>
      <c r="L34" s="25">
        <v>350</v>
      </c>
      <c r="M34" s="25">
        <v>213</v>
      </c>
      <c r="N34" s="25">
        <v>60.8</v>
      </c>
      <c r="O34" s="25" t="s">
        <v>333</v>
      </c>
    </row>
    <row r="35" spans="1:15">
      <c r="A35" s="25">
        <v>28</v>
      </c>
      <c r="B35" s="63">
        <v>1494</v>
      </c>
      <c r="C35" s="63" t="s">
        <v>540</v>
      </c>
      <c r="D35" s="63" t="s">
        <v>85</v>
      </c>
      <c r="E35" s="25">
        <v>25</v>
      </c>
      <c r="F35" s="25">
        <v>39</v>
      </c>
      <c r="G35" s="25">
        <v>37</v>
      </c>
      <c r="H35" s="25">
        <v>42</v>
      </c>
      <c r="I35" s="25">
        <v>42</v>
      </c>
      <c r="J35" s="25">
        <v>41</v>
      </c>
      <c r="K35" s="25">
        <v>46</v>
      </c>
      <c r="L35" s="25">
        <v>350</v>
      </c>
      <c r="M35" s="25">
        <v>272</v>
      </c>
      <c r="N35" s="25">
        <v>77.7</v>
      </c>
      <c r="O35" s="25" t="s">
        <v>351</v>
      </c>
    </row>
    <row r="36" spans="1:15">
      <c r="A36" s="25">
        <v>29</v>
      </c>
      <c r="B36" s="63">
        <v>1429</v>
      </c>
      <c r="C36" s="63" t="s">
        <v>541</v>
      </c>
      <c r="D36" s="63" t="s">
        <v>542</v>
      </c>
      <c r="E36" s="25">
        <v>38</v>
      </c>
      <c r="F36" s="25">
        <v>49</v>
      </c>
      <c r="G36" s="25">
        <v>47</v>
      </c>
      <c r="H36" s="25">
        <v>45</v>
      </c>
      <c r="I36" s="25">
        <v>41</v>
      </c>
      <c r="J36" s="25">
        <v>42</v>
      </c>
      <c r="K36" s="25">
        <v>38</v>
      </c>
      <c r="L36" s="25">
        <v>350</v>
      </c>
      <c r="M36" s="25">
        <v>300</v>
      </c>
      <c r="N36" s="25">
        <v>85.7</v>
      </c>
      <c r="O36" s="25" t="s">
        <v>351</v>
      </c>
    </row>
  </sheetData>
  <mergeCells count="5">
    <mergeCell ref="A1:P1"/>
    <mergeCell ref="A2:P2"/>
    <mergeCell ref="A3:P3"/>
    <mergeCell ref="A4:P4"/>
    <mergeCell ref="A5:P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opLeftCell="A4" workbookViewId="0">
      <selection activeCell="Q16" sqref="Q16"/>
    </sheetView>
  </sheetViews>
  <sheetFormatPr defaultColWidth="9.14285714285714" defaultRowHeight="15"/>
  <cols>
    <col min="1" max="1" width="9.14285714285714" style="26"/>
    <col min="2" max="2" width="10.5714285714286" style="26" customWidth="1"/>
    <col min="3" max="3" width="18.7142857142857" style="26" customWidth="1"/>
    <col min="4" max="4" width="19.2857142857143" style="26" customWidth="1"/>
    <col min="5" max="16384" width="9.14285714285714" style="26"/>
  </cols>
  <sheetData>
    <row r="1" spans="1:17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A3" s="25">
        <v>408170079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>
      <c r="A5" s="25" t="s">
        <v>543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>
      <c r="A6" s="26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425</v>
      </c>
      <c r="G6" s="25" t="s">
        <v>9</v>
      </c>
      <c r="H6" s="25" t="s">
        <v>544</v>
      </c>
      <c r="I6" s="25" t="s">
        <v>545</v>
      </c>
      <c r="J6" s="25" t="s">
        <v>546</v>
      </c>
      <c r="K6" s="25" t="s">
        <v>11</v>
      </c>
      <c r="L6" s="25" t="s">
        <v>12</v>
      </c>
      <c r="M6" s="25" t="s">
        <v>13</v>
      </c>
      <c r="N6" s="25" t="s">
        <v>14</v>
      </c>
      <c r="O6" s="25" t="s">
        <v>15</v>
      </c>
      <c r="P6" s="25" t="s">
        <v>16</v>
      </c>
      <c r="Q6" s="26" t="s">
        <v>17</v>
      </c>
    </row>
    <row r="7" spans="2:16">
      <c r="B7" s="25"/>
      <c r="C7" s="25"/>
      <c r="D7" s="25"/>
      <c r="E7" s="25">
        <v>100</v>
      </c>
      <c r="F7" s="25">
        <v>100</v>
      </c>
      <c r="G7" s="25">
        <v>100</v>
      </c>
      <c r="H7" s="25">
        <v>100</v>
      </c>
      <c r="I7" s="25">
        <v>100</v>
      </c>
      <c r="J7" s="25">
        <v>100</v>
      </c>
      <c r="K7" s="25">
        <v>100</v>
      </c>
      <c r="L7" s="25">
        <v>100</v>
      </c>
      <c r="M7" s="25">
        <f>E7+F7+G7+H7+I7+J7+K7</f>
        <v>700</v>
      </c>
      <c r="N7" s="25"/>
      <c r="O7" s="25"/>
      <c r="P7" s="25"/>
    </row>
    <row r="8" spans="1:16">
      <c r="A8" s="26">
        <v>1</v>
      </c>
      <c r="B8" s="63">
        <v>1132</v>
      </c>
      <c r="C8" s="63" t="s">
        <v>317</v>
      </c>
      <c r="D8" s="63" t="s">
        <v>269</v>
      </c>
      <c r="E8" s="25">
        <v>98</v>
      </c>
      <c r="F8" s="25">
        <v>58</v>
      </c>
      <c r="G8" s="25">
        <v>100</v>
      </c>
      <c r="H8" s="25">
        <v>64</v>
      </c>
      <c r="I8" s="25">
        <v>72</v>
      </c>
      <c r="J8" s="25">
        <v>68</v>
      </c>
      <c r="K8" s="25">
        <v>68</v>
      </c>
      <c r="L8" s="25">
        <v>72</v>
      </c>
      <c r="M8" s="25">
        <v>700</v>
      </c>
      <c r="N8" s="25">
        <v>600</v>
      </c>
      <c r="O8" s="25">
        <v>85.7</v>
      </c>
      <c r="P8" s="25" t="s">
        <v>351</v>
      </c>
    </row>
    <row r="9" spans="1:16">
      <c r="A9" s="26">
        <v>2</v>
      </c>
      <c r="B9" s="63">
        <v>1216</v>
      </c>
      <c r="C9" s="63" t="s">
        <v>469</v>
      </c>
      <c r="D9" s="63" t="s">
        <v>547</v>
      </c>
      <c r="E9" s="25">
        <v>92</v>
      </c>
      <c r="F9" s="25">
        <v>42</v>
      </c>
      <c r="G9" s="25">
        <v>60</v>
      </c>
      <c r="H9" s="25">
        <v>40</v>
      </c>
      <c r="I9" s="25">
        <v>66</v>
      </c>
      <c r="J9" s="25">
        <v>64</v>
      </c>
      <c r="K9" s="25">
        <v>56</v>
      </c>
      <c r="L9" s="25">
        <v>62</v>
      </c>
      <c r="M9" s="25">
        <v>700</v>
      </c>
      <c r="N9" s="25">
        <v>482</v>
      </c>
      <c r="O9" s="25">
        <v>68.8</v>
      </c>
      <c r="P9" s="25" t="s">
        <v>333</v>
      </c>
    </row>
    <row r="10" spans="1:16">
      <c r="A10" s="26">
        <v>3</v>
      </c>
      <c r="B10" s="63">
        <v>1218</v>
      </c>
      <c r="C10" s="63" t="s">
        <v>548</v>
      </c>
      <c r="D10" s="63" t="s">
        <v>342</v>
      </c>
      <c r="E10" s="25">
        <v>96</v>
      </c>
      <c r="F10" s="25">
        <v>42</v>
      </c>
      <c r="G10" s="25">
        <v>54</v>
      </c>
      <c r="H10" s="25">
        <v>36</v>
      </c>
      <c r="I10" s="25">
        <v>64</v>
      </c>
      <c r="J10" s="25">
        <v>64</v>
      </c>
      <c r="K10" s="25">
        <v>60</v>
      </c>
      <c r="L10" s="25">
        <v>56</v>
      </c>
      <c r="M10" s="25">
        <v>700</v>
      </c>
      <c r="N10" s="25">
        <v>472</v>
      </c>
      <c r="O10" s="25">
        <v>67.4</v>
      </c>
      <c r="P10" s="25" t="s">
        <v>333</v>
      </c>
    </row>
    <row r="11" spans="1:16">
      <c r="A11" s="26">
        <v>4</v>
      </c>
      <c r="B11" s="63">
        <v>1316</v>
      </c>
      <c r="C11" s="63" t="s">
        <v>40</v>
      </c>
      <c r="D11" s="63" t="s">
        <v>549</v>
      </c>
      <c r="E11" s="25">
        <v>52</v>
      </c>
      <c r="F11" s="25">
        <v>42</v>
      </c>
      <c r="G11" s="25">
        <v>72</v>
      </c>
      <c r="H11" s="25">
        <v>36</v>
      </c>
      <c r="I11" s="25">
        <v>60</v>
      </c>
      <c r="J11" s="25">
        <v>64</v>
      </c>
      <c r="K11" s="25">
        <v>58</v>
      </c>
      <c r="L11" s="25">
        <v>62</v>
      </c>
      <c r="M11" s="25">
        <v>700</v>
      </c>
      <c r="N11" s="25">
        <v>446</v>
      </c>
      <c r="O11" s="25">
        <v>63.7</v>
      </c>
      <c r="P11" s="25" t="s">
        <v>333</v>
      </c>
    </row>
    <row r="12" spans="1:16">
      <c r="A12" s="26">
        <v>5</v>
      </c>
      <c r="B12" s="63">
        <v>1324</v>
      </c>
      <c r="C12" s="63" t="s">
        <v>206</v>
      </c>
      <c r="D12" s="63" t="s">
        <v>550</v>
      </c>
      <c r="E12" s="25">
        <v>96</v>
      </c>
      <c r="F12" s="25">
        <v>46</v>
      </c>
      <c r="G12" s="25">
        <v>88</v>
      </c>
      <c r="H12" s="25">
        <v>44</v>
      </c>
      <c r="I12" s="25">
        <v>68</v>
      </c>
      <c r="J12" s="25">
        <v>64</v>
      </c>
      <c r="K12" s="25">
        <v>60</v>
      </c>
      <c r="L12" s="25">
        <v>62</v>
      </c>
      <c r="M12" s="25">
        <v>700</v>
      </c>
      <c r="N12" s="25">
        <v>528</v>
      </c>
      <c r="O12" s="25">
        <v>75.4</v>
      </c>
      <c r="P12" s="25" t="s">
        <v>351</v>
      </c>
    </row>
    <row r="13" spans="1:16">
      <c r="A13" s="26">
        <v>6</v>
      </c>
      <c r="B13" s="63">
        <v>1326</v>
      </c>
      <c r="C13" s="63" t="s">
        <v>551</v>
      </c>
      <c r="D13" s="63" t="s">
        <v>421</v>
      </c>
      <c r="E13" s="25">
        <v>98</v>
      </c>
      <c r="F13" s="25">
        <v>42</v>
      </c>
      <c r="G13" s="25">
        <v>74</v>
      </c>
      <c r="H13" s="25">
        <v>40</v>
      </c>
      <c r="I13" s="25">
        <v>66</v>
      </c>
      <c r="J13" s="25">
        <v>62</v>
      </c>
      <c r="K13" s="25">
        <v>58</v>
      </c>
      <c r="L13" s="25">
        <v>54</v>
      </c>
      <c r="M13" s="25">
        <v>700</v>
      </c>
      <c r="N13" s="25">
        <v>494</v>
      </c>
      <c r="O13" s="25">
        <v>70.5</v>
      </c>
      <c r="P13" s="25" t="s">
        <v>351</v>
      </c>
    </row>
    <row r="14" spans="1:16">
      <c r="A14" s="26">
        <v>7</v>
      </c>
      <c r="B14" s="63">
        <v>1327</v>
      </c>
      <c r="C14" s="63" t="s">
        <v>552</v>
      </c>
      <c r="D14" s="63" t="s">
        <v>553</v>
      </c>
      <c r="E14" s="25">
        <v>94</v>
      </c>
      <c r="F14" s="25">
        <v>34</v>
      </c>
      <c r="G14" s="25">
        <v>72</v>
      </c>
      <c r="H14" s="25">
        <v>38</v>
      </c>
      <c r="I14" s="25">
        <v>62</v>
      </c>
      <c r="J14" s="25">
        <v>66</v>
      </c>
      <c r="K14" s="25">
        <v>58</v>
      </c>
      <c r="L14" s="25">
        <v>66</v>
      </c>
      <c r="M14" s="25">
        <v>700</v>
      </c>
      <c r="N14" s="25">
        <v>490</v>
      </c>
      <c r="O14" s="25">
        <v>70</v>
      </c>
      <c r="P14" s="25" t="s">
        <v>351</v>
      </c>
    </row>
    <row r="15" spans="1:16">
      <c r="A15" s="26">
        <v>8</v>
      </c>
      <c r="B15" s="63">
        <v>1329</v>
      </c>
      <c r="C15" s="63" t="s">
        <v>125</v>
      </c>
      <c r="D15" s="63" t="s">
        <v>364</v>
      </c>
      <c r="E15" s="25">
        <v>98</v>
      </c>
      <c r="F15" s="25">
        <v>44</v>
      </c>
      <c r="G15" s="25">
        <v>50</v>
      </c>
      <c r="H15" s="25">
        <v>46</v>
      </c>
      <c r="I15" s="25">
        <v>64</v>
      </c>
      <c r="J15" s="25">
        <v>66</v>
      </c>
      <c r="K15" s="25">
        <v>62</v>
      </c>
      <c r="L15" s="25">
        <v>66</v>
      </c>
      <c r="M15" s="25">
        <v>700</v>
      </c>
      <c r="N15" s="25">
        <v>496</v>
      </c>
      <c r="O15" s="25">
        <v>70.8</v>
      </c>
      <c r="P15" s="25" t="s">
        <v>351</v>
      </c>
    </row>
    <row r="16" spans="1:16">
      <c r="A16" s="26">
        <v>9</v>
      </c>
      <c r="B16" s="63">
        <v>1171</v>
      </c>
      <c r="C16" s="63" t="s">
        <v>554</v>
      </c>
      <c r="D16" s="63" t="s">
        <v>355</v>
      </c>
      <c r="E16" s="25">
        <v>92</v>
      </c>
      <c r="F16" s="25">
        <v>42</v>
      </c>
      <c r="G16" s="25">
        <v>44</v>
      </c>
      <c r="H16" s="25">
        <v>36</v>
      </c>
      <c r="I16" s="25">
        <v>64</v>
      </c>
      <c r="J16" s="25">
        <v>66</v>
      </c>
      <c r="K16" s="25">
        <v>64</v>
      </c>
      <c r="L16" s="25">
        <v>62</v>
      </c>
      <c r="M16" s="25">
        <v>700</v>
      </c>
      <c r="N16" s="25">
        <v>470</v>
      </c>
      <c r="O16" s="25">
        <v>67.1</v>
      </c>
      <c r="P16" s="25" t="s">
        <v>333</v>
      </c>
    </row>
    <row r="17" spans="1:16">
      <c r="A17" s="26">
        <v>10</v>
      </c>
      <c r="B17" s="63">
        <v>1478</v>
      </c>
      <c r="C17" s="63" t="s">
        <v>555</v>
      </c>
      <c r="D17" s="63" t="s">
        <v>556</v>
      </c>
      <c r="E17" s="25">
        <v>96</v>
      </c>
      <c r="F17" s="25">
        <v>44</v>
      </c>
      <c r="G17" s="25">
        <v>80</v>
      </c>
      <c r="H17" s="25">
        <v>42</v>
      </c>
      <c r="I17" s="25">
        <v>68</v>
      </c>
      <c r="J17" s="25">
        <v>66</v>
      </c>
      <c r="K17" s="25">
        <v>60</v>
      </c>
      <c r="L17" s="25">
        <v>60</v>
      </c>
      <c r="M17" s="25">
        <v>700</v>
      </c>
      <c r="N17" s="25">
        <v>516</v>
      </c>
      <c r="O17" s="25">
        <v>73.7</v>
      </c>
      <c r="P17" s="25" t="s">
        <v>351</v>
      </c>
    </row>
    <row r="18" spans="1:16">
      <c r="A18" s="26">
        <v>11</v>
      </c>
      <c r="B18" s="63">
        <v>1487</v>
      </c>
      <c r="C18" s="63" t="s">
        <v>557</v>
      </c>
      <c r="D18" s="63" t="s">
        <v>123</v>
      </c>
      <c r="E18" s="25">
        <v>92</v>
      </c>
      <c r="F18" s="25">
        <v>48</v>
      </c>
      <c r="G18" s="25">
        <v>78</v>
      </c>
      <c r="H18" s="25">
        <v>50</v>
      </c>
      <c r="I18" s="25">
        <v>66</v>
      </c>
      <c r="J18" s="25">
        <v>60</v>
      </c>
      <c r="K18" s="25">
        <v>60</v>
      </c>
      <c r="L18" s="25">
        <v>70</v>
      </c>
      <c r="M18" s="25">
        <v>700</v>
      </c>
      <c r="N18" s="25">
        <v>524</v>
      </c>
      <c r="O18" s="25">
        <v>74.8</v>
      </c>
      <c r="P18" s="25" t="s">
        <v>351</v>
      </c>
    </row>
    <row r="19" spans="1:16">
      <c r="A19" s="26">
        <v>12</v>
      </c>
      <c r="B19" s="63">
        <v>1754</v>
      </c>
      <c r="C19" s="63" t="s">
        <v>558</v>
      </c>
      <c r="D19" s="63" t="s">
        <v>559</v>
      </c>
      <c r="E19" s="25" t="s">
        <v>323</v>
      </c>
      <c r="F19" s="25" t="s">
        <v>323</v>
      </c>
      <c r="G19" s="25" t="s">
        <v>323</v>
      </c>
      <c r="H19" s="25" t="s">
        <v>323</v>
      </c>
      <c r="I19" s="25" t="s">
        <v>323</v>
      </c>
      <c r="J19" s="25" t="s">
        <v>323</v>
      </c>
      <c r="K19" s="25" t="s">
        <v>323</v>
      </c>
      <c r="L19" s="25" t="s">
        <v>323</v>
      </c>
      <c r="M19" s="25" t="s">
        <v>323</v>
      </c>
      <c r="N19" s="25" t="s">
        <v>323</v>
      </c>
      <c r="O19" s="25" t="s">
        <v>323</v>
      </c>
      <c r="P19" s="25" t="s">
        <v>323</v>
      </c>
    </row>
    <row r="20" spans="1:16">
      <c r="A20" s="26">
        <v>13</v>
      </c>
      <c r="B20" s="63">
        <v>1310</v>
      </c>
      <c r="C20" s="63" t="s">
        <v>560</v>
      </c>
      <c r="D20" s="63" t="s">
        <v>555</v>
      </c>
      <c r="E20" s="25">
        <v>92</v>
      </c>
      <c r="F20" s="25">
        <v>48</v>
      </c>
      <c r="G20" s="25">
        <v>76</v>
      </c>
      <c r="H20" s="25">
        <v>46</v>
      </c>
      <c r="I20" s="25">
        <v>64</v>
      </c>
      <c r="J20" s="25">
        <v>58</v>
      </c>
      <c r="K20" s="25">
        <v>66</v>
      </c>
      <c r="L20" s="25">
        <v>66</v>
      </c>
      <c r="M20" s="25">
        <v>700</v>
      </c>
      <c r="N20" s="25">
        <v>516</v>
      </c>
      <c r="O20" s="25">
        <v>73.7</v>
      </c>
      <c r="P20" s="25" t="s">
        <v>351</v>
      </c>
    </row>
    <row r="21" spans="1:16">
      <c r="A21" s="26">
        <v>14</v>
      </c>
      <c r="B21" s="63">
        <v>1340</v>
      </c>
      <c r="C21" s="63" t="s">
        <v>561</v>
      </c>
      <c r="D21" s="63" t="s">
        <v>269</v>
      </c>
      <c r="E21" s="25">
        <v>100</v>
      </c>
      <c r="F21" s="25">
        <v>66</v>
      </c>
      <c r="G21" s="25">
        <v>72</v>
      </c>
      <c r="H21" s="25">
        <v>54</v>
      </c>
      <c r="I21" s="25">
        <v>68</v>
      </c>
      <c r="J21" s="25">
        <v>66</v>
      </c>
      <c r="K21" s="25">
        <v>70</v>
      </c>
      <c r="L21" s="25">
        <v>62</v>
      </c>
      <c r="M21" s="25">
        <v>700</v>
      </c>
      <c r="N21" s="25">
        <v>558</v>
      </c>
      <c r="O21" s="25">
        <v>79.7</v>
      </c>
      <c r="P21" s="25" t="s">
        <v>351</v>
      </c>
    </row>
    <row r="22" spans="1:16">
      <c r="A22" s="26">
        <v>15</v>
      </c>
      <c r="B22" s="63">
        <v>1341</v>
      </c>
      <c r="C22" s="63" t="s">
        <v>562</v>
      </c>
      <c r="D22" s="63" t="s">
        <v>563</v>
      </c>
      <c r="E22" s="25">
        <v>98</v>
      </c>
      <c r="F22" s="25">
        <v>66</v>
      </c>
      <c r="G22" s="25">
        <v>44</v>
      </c>
      <c r="H22" s="25">
        <v>60</v>
      </c>
      <c r="I22" s="25">
        <v>70</v>
      </c>
      <c r="J22" s="25">
        <v>68</v>
      </c>
      <c r="K22" s="25">
        <v>66</v>
      </c>
      <c r="L22" s="25">
        <v>60</v>
      </c>
      <c r="M22" s="25">
        <v>700</v>
      </c>
      <c r="N22" s="25">
        <v>532</v>
      </c>
      <c r="O22" s="25">
        <v>76</v>
      </c>
      <c r="P22" s="25" t="s">
        <v>351</v>
      </c>
    </row>
    <row r="23" spans="1:16">
      <c r="A23" s="26">
        <v>16</v>
      </c>
      <c r="B23" s="63">
        <v>1742</v>
      </c>
      <c r="C23" s="63" t="s">
        <v>564</v>
      </c>
      <c r="D23" s="63" t="s">
        <v>480</v>
      </c>
      <c r="E23" s="25">
        <v>98</v>
      </c>
      <c r="F23" s="25">
        <v>42</v>
      </c>
      <c r="G23" s="25">
        <v>56</v>
      </c>
      <c r="H23" s="25">
        <v>62</v>
      </c>
      <c r="I23" s="25">
        <v>64</v>
      </c>
      <c r="J23" s="25">
        <v>58</v>
      </c>
      <c r="K23" s="25">
        <v>56</v>
      </c>
      <c r="L23" s="25">
        <v>62</v>
      </c>
      <c r="M23" s="25">
        <v>700</v>
      </c>
      <c r="N23" s="25">
        <v>478</v>
      </c>
      <c r="O23" s="25">
        <v>68.2</v>
      </c>
      <c r="P23" s="25" t="s">
        <v>333</v>
      </c>
    </row>
    <row r="24" spans="1:16">
      <c r="A24" s="26">
        <v>17</v>
      </c>
      <c r="B24" s="63">
        <v>1477</v>
      </c>
      <c r="C24" s="63" t="s">
        <v>565</v>
      </c>
      <c r="D24" s="63" t="s">
        <v>566</v>
      </c>
      <c r="E24" s="25">
        <v>92</v>
      </c>
      <c r="F24" s="25">
        <v>36</v>
      </c>
      <c r="G24" s="25">
        <v>98</v>
      </c>
      <c r="H24" s="25">
        <v>40</v>
      </c>
      <c r="I24" s="25">
        <v>62</v>
      </c>
      <c r="J24" s="25">
        <v>62</v>
      </c>
      <c r="K24" s="25">
        <v>60</v>
      </c>
      <c r="L24" s="25">
        <v>62</v>
      </c>
      <c r="M24" s="25">
        <v>700</v>
      </c>
      <c r="N24" s="25">
        <v>512</v>
      </c>
      <c r="O24" s="25">
        <v>73.1</v>
      </c>
      <c r="P24" s="25" t="s">
        <v>351</v>
      </c>
    </row>
    <row r="25" spans="1:16">
      <c r="A25" s="26">
        <v>18</v>
      </c>
      <c r="B25" s="63">
        <v>1748</v>
      </c>
      <c r="C25" s="63" t="s">
        <v>567</v>
      </c>
      <c r="D25" s="63" t="s">
        <v>353</v>
      </c>
      <c r="E25" s="25">
        <v>100</v>
      </c>
      <c r="F25" s="25">
        <v>56</v>
      </c>
      <c r="G25" s="25">
        <v>68</v>
      </c>
      <c r="H25" s="25">
        <v>52</v>
      </c>
      <c r="I25" s="25">
        <v>68</v>
      </c>
      <c r="J25" s="25">
        <v>70</v>
      </c>
      <c r="K25" s="25">
        <v>68</v>
      </c>
      <c r="L25" s="25">
        <v>74</v>
      </c>
      <c r="M25" s="25">
        <v>700</v>
      </c>
      <c r="N25" s="25">
        <v>556</v>
      </c>
      <c r="O25" s="25">
        <v>79.4</v>
      </c>
      <c r="P25" s="25" t="s">
        <v>351</v>
      </c>
    </row>
  </sheetData>
  <mergeCells count="5">
    <mergeCell ref="A1:Q1"/>
    <mergeCell ref="A2:Q2"/>
    <mergeCell ref="A3:Q3"/>
    <mergeCell ref="A4:Q4"/>
    <mergeCell ref="A5:Q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P18" sqref="P18"/>
    </sheetView>
  </sheetViews>
  <sheetFormatPr defaultColWidth="9.14285714285714" defaultRowHeight="15"/>
  <cols>
    <col min="1" max="2" width="9.14285714285714" style="26"/>
    <col min="3" max="3" width="15.4285714285714" style="26" customWidth="1"/>
    <col min="4" max="4" width="17" style="26" customWidth="1"/>
    <col min="5" max="16384" width="9.14285714285714" style="26"/>
  </cols>
  <sheetData>
    <row r="1" spans="1:17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A3" s="25">
        <v>408170079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>
      <c r="A5" s="25" t="s">
        <v>568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425</v>
      </c>
      <c r="G6" s="25" t="s">
        <v>9</v>
      </c>
      <c r="H6" s="25" t="s">
        <v>544</v>
      </c>
      <c r="I6" s="25" t="s">
        <v>545</v>
      </c>
      <c r="J6" s="25" t="s">
        <v>503</v>
      </c>
      <c r="K6" s="25" t="s">
        <v>11</v>
      </c>
      <c r="L6" s="25" t="s">
        <v>12</v>
      </c>
      <c r="M6" s="25" t="s">
        <v>13</v>
      </c>
      <c r="N6" s="25" t="s">
        <v>14</v>
      </c>
      <c r="O6" s="25" t="s">
        <v>15</v>
      </c>
      <c r="P6" s="25" t="s">
        <v>16</v>
      </c>
      <c r="Q6" s="25" t="s">
        <v>17</v>
      </c>
    </row>
    <row r="7" spans="1:17">
      <c r="A7" s="25"/>
      <c r="B7" s="25"/>
      <c r="C7" s="25"/>
      <c r="D7" s="25"/>
      <c r="E7" s="25">
        <v>100</v>
      </c>
      <c r="F7" s="25">
        <v>100</v>
      </c>
      <c r="G7" s="25">
        <v>100</v>
      </c>
      <c r="H7" s="25">
        <v>100</v>
      </c>
      <c r="I7" s="25">
        <v>100</v>
      </c>
      <c r="J7" s="25">
        <v>100</v>
      </c>
      <c r="K7" s="25">
        <v>100</v>
      </c>
      <c r="L7" s="25">
        <v>100</v>
      </c>
      <c r="M7" s="25">
        <v>800</v>
      </c>
      <c r="N7" s="25"/>
      <c r="O7" s="25"/>
      <c r="P7" s="25"/>
      <c r="Q7" s="25"/>
    </row>
    <row r="8" spans="1:17">
      <c r="A8" s="25">
        <v>1</v>
      </c>
      <c r="B8" s="63">
        <v>1115</v>
      </c>
      <c r="C8" s="63" t="s">
        <v>569</v>
      </c>
      <c r="D8" s="63" t="s">
        <v>570</v>
      </c>
      <c r="E8" s="25">
        <v>92</v>
      </c>
      <c r="F8" s="25">
        <v>38</v>
      </c>
      <c r="G8" s="25">
        <v>38</v>
      </c>
      <c r="H8" s="25">
        <v>36</v>
      </c>
      <c r="I8" s="25">
        <v>58</v>
      </c>
      <c r="J8" s="25">
        <v>58</v>
      </c>
      <c r="K8" s="25">
        <v>56</v>
      </c>
      <c r="L8" s="25">
        <v>62</v>
      </c>
      <c r="M8" s="25">
        <v>800</v>
      </c>
      <c r="N8" s="25">
        <v>438</v>
      </c>
      <c r="O8" s="25">
        <v>62.7</v>
      </c>
      <c r="P8" s="25" t="s">
        <v>333</v>
      </c>
      <c r="Q8" s="25"/>
    </row>
    <row r="9" spans="1:17">
      <c r="A9" s="25">
        <v>2</v>
      </c>
      <c r="B9" s="63">
        <v>1247</v>
      </c>
      <c r="C9" s="63" t="s">
        <v>419</v>
      </c>
      <c r="D9" s="63" t="s">
        <v>571</v>
      </c>
      <c r="E9" s="25">
        <v>94</v>
      </c>
      <c r="F9" s="25">
        <v>52</v>
      </c>
      <c r="G9" s="25">
        <v>38</v>
      </c>
      <c r="H9" s="25">
        <v>70</v>
      </c>
      <c r="I9" s="25">
        <v>62</v>
      </c>
      <c r="J9" s="25">
        <v>60</v>
      </c>
      <c r="K9" s="25">
        <v>56</v>
      </c>
      <c r="L9" s="25">
        <v>62</v>
      </c>
      <c r="M9" s="25">
        <v>800</v>
      </c>
      <c r="N9" s="25">
        <v>494</v>
      </c>
      <c r="O9" s="25">
        <v>70.5</v>
      </c>
      <c r="P9" s="25" t="s">
        <v>351</v>
      </c>
      <c r="Q9" s="25"/>
    </row>
    <row r="10" spans="1:17">
      <c r="A10" s="25">
        <v>3</v>
      </c>
      <c r="B10" s="63">
        <v>1321</v>
      </c>
      <c r="C10" s="63" t="s">
        <v>572</v>
      </c>
      <c r="D10" s="63" t="s">
        <v>485</v>
      </c>
      <c r="E10" s="25">
        <v>98</v>
      </c>
      <c r="F10" s="25">
        <v>40</v>
      </c>
      <c r="G10" s="25">
        <v>56</v>
      </c>
      <c r="H10" s="25">
        <v>38</v>
      </c>
      <c r="I10" s="25">
        <v>56</v>
      </c>
      <c r="J10" s="25">
        <v>54</v>
      </c>
      <c r="K10" s="25">
        <v>58</v>
      </c>
      <c r="L10" s="25">
        <v>52</v>
      </c>
      <c r="M10" s="25">
        <v>800</v>
      </c>
      <c r="N10" s="25">
        <v>432</v>
      </c>
      <c r="O10" s="25">
        <v>61.7</v>
      </c>
      <c r="P10" s="25" t="s">
        <v>333</v>
      </c>
      <c r="Q10" s="25"/>
    </row>
    <row r="11" spans="1:17">
      <c r="A11" s="25">
        <v>4</v>
      </c>
      <c r="B11" s="63">
        <v>1322</v>
      </c>
      <c r="C11" s="63" t="s">
        <v>352</v>
      </c>
      <c r="D11" s="63" t="s">
        <v>51</v>
      </c>
      <c r="E11" s="25">
        <v>100</v>
      </c>
      <c r="F11" s="25">
        <v>52</v>
      </c>
      <c r="G11" s="25">
        <v>56</v>
      </c>
      <c r="H11" s="25">
        <v>52</v>
      </c>
      <c r="I11" s="25">
        <v>66</v>
      </c>
      <c r="J11" s="25">
        <v>58</v>
      </c>
      <c r="K11" s="25">
        <v>56</v>
      </c>
      <c r="L11" s="25">
        <v>62</v>
      </c>
      <c r="M11" s="25">
        <v>800</v>
      </c>
      <c r="N11" s="25">
        <v>502</v>
      </c>
      <c r="O11" s="25">
        <v>71.7</v>
      </c>
      <c r="P11" s="25" t="s">
        <v>351</v>
      </c>
      <c r="Q11" s="25"/>
    </row>
    <row r="12" spans="1:17">
      <c r="A12" s="25">
        <v>5</v>
      </c>
      <c r="B12" s="63">
        <v>1484</v>
      </c>
      <c r="C12" s="63" t="s">
        <v>573</v>
      </c>
      <c r="D12" s="63" t="s">
        <v>574</v>
      </c>
      <c r="E12" s="25">
        <v>100</v>
      </c>
      <c r="F12" s="25">
        <v>40</v>
      </c>
      <c r="G12" s="25">
        <v>36</v>
      </c>
      <c r="H12" s="25">
        <v>42</v>
      </c>
      <c r="I12" s="25">
        <v>64</v>
      </c>
      <c r="J12" s="25">
        <v>56</v>
      </c>
      <c r="K12" s="25">
        <v>56</v>
      </c>
      <c r="L12" s="25">
        <v>58</v>
      </c>
      <c r="M12" s="25">
        <v>800</v>
      </c>
      <c r="N12" s="25">
        <v>452</v>
      </c>
      <c r="O12" s="25">
        <v>64.5</v>
      </c>
      <c r="P12" s="25" t="s">
        <v>333</v>
      </c>
      <c r="Q12" s="25"/>
    </row>
    <row r="13" spans="1:17">
      <c r="A13" s="25">
        <v>6</v>
      </c>
      <c r="B13" s="63">
        <v>1182</v>
      </c>
      <c r="C13" s="63" t="s">
        <v>575</v>
      </c>
      <c r="D13" s="63" t="s">
        <v>570</v>
      </c>
      <c r="E13" s="25">
        <v>100</v>
      </c>
      <c r="F13" s="25">
        <v>100</v>
      </c>
      <c r="G13" s="25">
        <v>42</v>
      </c>
      <c r="H13" s="25">
        <v>40</v>
      </c>
      <c r="I13" s="25">
        <v>58</v>
      </c>
      <c r="J13" s="25">
        <v>58</v>
      </c>
      <c r="K13" s="25">
        <v>54</v>
      </c>
      <c r="L13" s="25">
        <v>62</v>
      </c>
      <c r="M13" s="25">
        <v>800</v>
      </c>
      <c r="N13" s="25">
        <v>454</v>
      </c>
      <c r="O13" s="25">
        <v>64.8</v>
      </c>
      <c r="P13" s="25" t="s">
        <v>333</v>
      </c>
      <c r="Q13" s="25"/>
    </row>
    <row r="14" spans="1:17">
      <c r="A14" s="25">
        <v>7</v>
      </c>
      <c r="B14" s="63">
        <v>1290</v>
      </c>
      <c r="C14" s="63" t="s">
        <v>438</v>
      </c>
      <c r="D14" s="63" t="s">
        <v>576</v>
      </c>
      <c r="E14" s="25">
        <v>88</v>
      </c>
      <c r="F14" s="25">
        <v>88</v>
      </c>
      <c r="G14" s="25">
        <v>42</v>
      </c>
      <c r="H14" s="25">
        <v>44</v>
      </c>
      <c r="I14" s="25">
        <v>64</v>
      </c>
      <c r="J14" s="25">
        <v>58</v>
      </c>
      <c r="K14" s="25">
        <v>62</v>
      </c>
      <c r="L14" s="25">
        <v>60</v>
      </c>
      <c r="M14" s="25">
        <v>800</v>
      </c>
      <c r="N14" s="25">
        <v>456</v>
      </c>
      <c r="O14" s="25">
        <v>65.1</v>
      </c>
      <c r="P14" s="25" t="s">
        <v>333</v>
      </c>
      <c r="Q14" s="25"/>
    </row>
    <row r="15" spans="1:17">
      <c r="A15" s="25">
        <v>8</v>
      </c>
      <c r="B15" s="63">
        <v>1320</v>
      </c>
      <c r="C15" s="63" t="s">
        <v>565</v>
      </c>
      <c r="D15" s="63" t="s">
        <v>370</v>
      </c>
      <c r="E15" s="25">
        <v>100</v>
      </c>
      <c r="F15" s="25">
        <v>100</v>
      </c>
      <c r="G15" s="25">
        <v>38</v>
      </c>
      <c r="H15" s="25">
        <v>38</v>
      </c>
      <c r="I15" s="25">
        <v>62</v>
      </c>
      <c r="J15" s="25">
        <v>60</v>
      </c>
      <c r="K15" s="25">
        <v>58</v>
      </c>
      <c r="L15" s="25">
        <v>64</v>
      </c>
      <c r="M15" s="25">
        <v>800</v>
      </c>
      <c r="N15" s="25">
        <v>460</v>
      </c>
      <c r="O15" s="25">
        <v>65.7</v>
      </c>
      <c r="P15" s="25" t="s">
        <v>333</v>
      </c>
      <c r="Q15" s="25"/>
    </row>
    <row r="16" spans="1:17">
      <c r="A16" s="25">
        <v>9</v>
      </c>
      <c r="B16" s="63">
        <v>1288</v>
      </c>
      <c r="C16" s="63" t="s">
        <v>460</v>
      </c>
      <c r="D16" s="63" t="s">
        <v>46</v>
      </c>
      <c r="E16" s="25" t="s">
        <v>323</v>
      </c>
      <c r="F16" s="25" t="s">
        <v>323</v>
      </c>
      <c r="G16" s="25" t="s">
        <v>323</v>
      </c>
      <c r="H16" s="25" t="s">
        <v>323</v>
      </c>
      <c r="I16" s="25" t="s">
        <v>323</v>
      </c>
      <c r="J16" s="25" t="s">
        <v>323</v>
      </c>
      <c r="K16" s="25" t="s">
        <v>323</v>
      </c>
      <c r="L16" s="25" t="s">
        <v>323</v>
      </c>
      <c r="M16" s="25" t="s">
        <v>323</v>
      </c>
      <c r="N16" s="25" t="s">
        <v>323</v>
      </c>
      <c r="O16" s="25" t="s">
        <v>323</v>
      </c>
      <c r="P16" s="25" t="s">
        <v>333</v>
      </c>
      <c r="Q16" s="25"/>
    </row>
    <row r="17" spans="1:17">
      <c r="A17" s="25">
        <v>10</v>
      </c>
      <c r="B17" s="63">
        <v>1481</v>
      </c>
      <c r="C17" s="63" t="s">
        <v>577</v>
      </c>
      <c r="D17" s="63" t="s">
        <v>578</v>
      </c>
      <c r="E17" s="25">
        <v>100</v>
      </c>
      <c r="F17" s="25">
        <v>72</v>
      </c>
      <c r="G17" s="25">
        <v>100</v>
      </c>
      <c r="H17" s="25">
        <v>74</v>
      </c>
      <c r="I17" s="25">
        <v>66</v>
      </c>
      <c r="J17" s="25">
        <v>62</v>
      </c>
      <c r="K17" s="25">
        <v>56</v>
      </c>
      <c r="L17" s="25">
        <v>72</v>
      </c>
      <c r="M17" s="25">
        <v>800</v>
      </c>
      <c r="N17" s="25">
        <v>662</v>
      </c>
      <c r="O17" s="25">
        <v>94.5</v>
      </c>
      <c r="P17" s="25" t="s">
        <v>351</v>
      </c>
      <c r="Q17" s="25"/>
    </row>
    <row r="18" spans="1:17">
      <c r="A18" s="25">
        <v>11</v>
      </c>
      <c r="B18" s="63">
        <v>1482</v>
      </c>
      <c r="C18" s="63" t="s">
        <v>242</v>
      </c>
      <c r="D18" s="63" t="s">
        <v>579</v>
      </c>
      <c r="E18" s="25">
        <v>100</v>
      </c>
      <c r="F18" s="25">
        <v>40</v>
      </c>
      <c r="G18" s="25">
        <v>72</v>
      </c>
      <c r="H18" s="25">
        <v>42</v>
      </c>
      <c r="I18" s="25">
        <v>62</v>
      </c>
      <c r="J18" s="25">
        <v>56</v>
      </c>
      <c r="K18" s="25">
        <v>54</v>
      </c>
      <c r="L18" s="25">
        <v>58</v>
      </c>
      <c r="M18" s="25">
        <v>800</v>
      </c>
      <c r="N18" s="25">
        <v>484</v>
      </c>
      <c r="O18" s="25">
        <v>69.1</v>
      </c>
      <c r="P18" s="25" t="s">
        <v>333</v>
      </c>
      <c r="Q18" s="25"/>
    </row>
    <row r="19" spans="1:17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1:17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</sheetData>
  <mergeCells count="5">
    <mergeCell ref="A1:Q1"/>
    <mergeCell ref="A2:Q2"/>
    <mergeCell ref="A3:Q3"/>
    <mergeCell ref="A4:Q4"/>
    <mergeCell ref="A5:Q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30"/>
  <sheetViews>
    <sheetView topLeftCell="B4" workbookViewId="0">
      <selection activeCell="D7" sqref="D7"/>
    </sheetView>
  </sheetViews>
  <sheetFormatPr defaultColWidth="9.14285714285714" defaultRowHeight="15"/>
  <cols>
    <col min="1" max="3" width="9.14285714285714" style="26"/>
    <col min="4" max="4" width="29" style="26" customWidth="1"/>
    <col min="5" max="5" width="13.1428571428571" style="26" customWidth="1"/>
    <col min="6" max="6" width="12.4285714285714" style="26" customWidth="1"/>
    <col min="7" max="7" width="31.7142857142857" style="26" customWidth="1"/>
    <col min="8" max="8" width="11.8571428571429" style="26" customWidth="1"/>
    <col min="9" max="9" width="16.2857142857143" style="26" customWidth="1"/>
    <col min="10" max="10" width="14.7142857142857" style="26" customWidth="1"/>
    <col min="11" max="11" width="11.2857142857143" style="26" customWidth="1"/>
    <col min="12" max="12" width="11.7142857142857" style="26" customWidth="1"/>
    <col min="13" max="13" width="11.5714285714286" style="26" customWidth="1"/>
    <col min="14" max="16384" width="9.14285714285714" style="26"/>
  </cols>
  <sheetData>
    <row r="3" spans="2:17">
      <c r="B3" s="24" t="s">
        <v>580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2:17">
      <c r="B4" s="24" t="s">
        <v>581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2:17">
      <c r="B5" s="24" t="s">
        <v>582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2:17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3:13">
      <c r="C7" s="57" t="s">
        <v>583</v>
      </c>
      <c r="D7" s="57" t="s">
        <v>584</v>
      </c>
      <c r="E7" s="57" t="s">
        <v>585</v>
      </c>
      <c r="F7" s="57" t="s">
        <v>586</v>
      </c>
      <c r="G7" s="57" t="s">
        <v>587</v>
      </c>
      <c r="H7" s="57" t="s">
        <v>588</v>
      </c>
      <c r="I7" s="57" t="s">
        <v>589</v>
      </c>
      <c r="J7" s="57" t="s">
        <v>590</v>
      </c>
      <c r="K7" s="57" t="s">
        <v>591</v>
      </c>
      <c r="L7" s="57" t="s">
        <v>592</v>
      </c>
      <c r="M7" s="57" t="s">
        <v>593</v>
      </c>
    </row>
    <row r="8" spans="3:13">
      <c r="C8" s="57">
        <v>1</v>
      </c>
      <c r="D8" s="25" t="s">
        <v>199</v>
      </c>
      <c r="E8" s="25"/>
      <c r="F8" s="58" t="s">
        <v>594</v>
      </c>
      <c r="G8" s="59"/>
      <c r="H8" s="59" t="s">
        <v>595</v>
      </c>
      <c r="I8" s="58" t="s">
        <v>596</v>
      </c>
      <c r="J8" s="58" t="s">
        <v>597</v>
      </c>
      <c r="K8" s="57"/>
      <c r="L8" s="57"/>
      <c r="M8" s="57"/>
    </row>
    <row r="9" ht="15.75" spans="3:13">
      <c r="C9" s="57">
        <v>2</v>
      </c>
      <c r="D9" s="60" t="s">
        <v>598</v>
      </c>
      <c r="E9" s="25"/>
      <c r="F9" s="58" t="s">
        <v>599</v>
      </c>
      <c r="G9" s="59" t="s">
        <v>600</v>
      </c>
      <c r="H9" s="59" t="s">
        <v>595</v>
      </c>
      <c r="I9" s="58" t="s">
        <v>601</v>
      </c>
      <c r="J9" s="58" t="s">
        <v>597</v>
      </c>
      <c r="K9" s="57"/>
      <c r="L9" s="57"/>
      <c r="M9" s="57"/>
    </row>
    <row r="10" ht="15.75" spans="3:11">
      <c r="C10" s="26">
        <v>3</v>
      </c>
      <c r="D10" s="60" t="s">
        <v>602</v>
      </c>
      <c r="E10" s="26" t="s">
        <v>603</v>
      </c>
      <c r="F10" s="58" t="s">
        <v>599</v>
      </c>
      <c r="G10" s="61" t="s">
        <v>604</v>
      </c>
      <c r="H10" s="61" t="s">
        <v>595</v>
      </c>
      <c r="I10" s="58" t="s">
        <v>601</v>
      </c>
      <c r="J10" s="58" t="s">
        <v>597</v>
      </c>
      <c r="K10" s="62"/>
    </row>
    <row r="11" ht="15.75" spans="3:11">
      <c r="C11" s="26">
        <v>4</v>
      </c>
      <c r="D11" s="60" t="s">
        <v>605</v>
      </c>
      <c r="E11" s="26" t="s">
        <v>603</v>
      </c>
      <c r="F11" s="58" t="s">
        <v>599</v>
      </c>
      <c r="G11" s="61" t="s">
        <v>600</v>
      </c>
      <c r="H11" s="61" t="s">
        <v>595</v>
      </c>
      <c r="I11" s="58" t="s">
        <v>601</v>
      </c>
      <c r="J11" s="58" t="s">
        <v>597</v>
      </c>
      <c r="K11" s="62"/>
    </row>
    <row r="12" ht="15.75" spans="3:11">
      <c r="C12" s="26">
        <v>5</v>
      </c>
      <c r="D12" s="60" t="s">
        <v>606</v>
      </c>
      <c r="E12" s="26" t="s">
        <v>603</v>
      </c>
      <c r="F12" s="58" t="s">
        <v>599</v>
      </c>
      <c r="G12" s="61" t="s">
        <v>600</v>
      </c>
      <c r="H12" s="61" t="s">
        <v>595</v>
      </c>
      <c r="I12" s="58" t="s">
        <v>601</v>
      </c>
      <c r="J12" s="58" t="s">
        <v>597</v>
      </c>
      <c r="K12" s="62"/>
    </row>
    <row r="13" ht="15.75" spans="3:11">
      <c r="C13" s="26">
        <v>6</v>
      </c>
      <c r="D13" s="60" t="s">
        <v>607</v>
      </c>
      <c r="E13" s="26" t="s">
        <v>603</v>
      </c>
      <c r="F13" s="58" t="s">
        <v>599</v>
      </c>
      <c r="G13" s="61" t="s">
        <v>608</v>
      </c>
      <c r="H13" s="61" t="s">
        <v>595</v>
      </c>
      <c r="I13" s="58" t="s">
        <v>609</v>
      </c>
      <c r="J13" s="58" t="s">
        <v>597</v>
      </c>
      <c r="K13" s="62"/>
    </row>
    <row r="14" ht="18" customHeight="1" spans="3:11">
      <c r="C14" s="26">
        <v>7</v>
      </c>
      <c r="D14" s="60" t="s">
        <v>610</v>
      </c>
      <c r="E14" s="26" t="s">
        <v>603</v>
      </c>
      <c r="F14" s="58" t="s">
        <v>599</v>
      </c>
      <c r="G14" s="61" t="s">
        <v>604</v>
      </c>
      <c r="H14" s="61" t="s">
        <v>595</v>
      </c>
      <c r="I14" s="58" t="s">
        <v>601</v>
      </c>
      <c r="J14" s="58" t="s">
        <v>597</v>
      </c>
      <c r="K14" s="62"/>
    </row>
    <row r="15" ht="18" customHeight="1" spans="3:11">
      <c r="C15" s="26">
        <v>8</v>
      </c>
      <c r="D15" s="60" t="s">
        <v>611</v>
      </c>
      <c r="E15" s="26" t="s">
        <v>603</v>
      </c>
      <c r="F15" s="58" t="s">
        <v>599</v>
      </c>
      <c r="G15" s="61" t="s">
        <v>612</v>
      </c>
      <c r="H15" s="61" t="s">
        <v>595</v>
      </c>
      <c r="I15" s="58" t="s">
        <v>601</v>
      </c>
      <c r="J15" s="58" t="s">
        <v>597</v>
      </c>
      <c r="K15" s="62"/>
    </row>
    <row r="16" ht="15.75" spans="3:13">
      <c r="C16" s="26">
        <v>9</v>
      </c>
      <c r="D16" s="60" t="s">
        <v>613</v>
      </c>
      <c r="E16" s="26" t="s">
        <v>603</v>
      </c>
      <c r="F16" s="62" t="s">
        <v>614</v>
      </c>
      <c r="G16" s="61"/>
      <c r="H16" s="61" t="s">
        <v>595</v>
      </c>
      <c r="I16" s="58" t="s">
        <v>615</v>
      </c>
      <c r="J16" s="58" t="s">
        <v>597</v>
      </c>
      <c r="K16" s="62"/>
      <c r="M16" s="62"/>
    </row>
    <row r="17" spans="11:11">
      <c r="K17" s="62"/>
    </row>
    <row r="18" spans="11:11">
      <c r="K18" s="62"/>
    </row>
    <row r="21" ht="15.75" spans="4:4">
      <c r="D21" s="60"/>
    </row>
    <row r="24" ht="15.75" spans="4:4">
      <c r="D24" s="60"/>
    </row>
    <row r="27" ht="15.75" spans="4:4">
      <c r="D27" s="60"/>
    </row>
    <row r="30" ht="15.75" spans="4:4">
      <c r="D30" s="60"/>
    </row>
  </sheetData>
  <mergeCells count="3">
    <mergeCell ref="B3:Q3"/>
    <mergeCell ref="B4:Q4"/>
    <mergeCell ref="B5:Q5"/>
  </mergeCell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49"/>
  <sheetViews>
    <sheetView view="pageBreakPreview" zoomScaleNormal="100" topLeftCell="A31" workbookViewId="0">
      <selection activeCell="D47" sqref="D47"/>
    </sheetView>
  </sheetViews>
  <sheetFormatPr defaultColWidth="9.14285714285714" defaultRowHeight="15"/>
  <cols>
    <col min="2" max="2" width="15.5714285714286" customWidth="1"/>
    <col min="3" max="3" width="11.1428571428571" customWidth="1"/>
    <col min="4" max="4" width="16.5714285714286" customWidth="1"/>
    <col min="5" max="5" width="18.1428571428571" customWidth="1"/>
    <col min="6" max="6" width="14.8571428571429" customWidth="1"/>
    <col min="7" max="7" width="18" customWidth="1"/>
    <col min="8" max="8" width="18.4285714285714" customWidth="1"/>
  </cols>
  <sheetData>
    <row r="3" ht="21" spans="1:8">
      <c r="A3" s="56" t="s">
        <v>580</v>
      </c>
      <c r="B3" s="56"/>
      <c r="C3" s="56"/>
      <c r="D3" s="56"/>
      <c r="E3" s="56"/>
      <c r="F3" s="56"/>
      <c r="G3" s="56"/>
      <c r="H3" s="56"/>
    </row>
    <row r="4" ht="21" spans="1:8">
      <c r="A4" s="56" t="s">
        <v>616</v>
      </c>
      <c r="B4" s="56"/>
      <c r="C4" s="56"/>
      <c r="D4" s="56"/>
      <c r="E4" s="56"/>
      <c r="F4" s="56"/>
      <c r="G4" s="56"/>
      <c r="H4" s="56"/>
    </row>
    <row r="5" ht="21" spans="1:8">
      <c r="A5" s="56" t="s">
        <v>617</v>
      </c>
      <c r="B5" s="56"/>
      <c r="C5" s="56"/>
      <c r="D5" s="56"/>
      <c r="E5" s="56"/>
      <c r="F5" s="56"/>
      <c r="G5" s="56"/>
      <c r="H5" s="56"/>
    </row>
    <row r="6" spans="1:7">
      <c r="A6" s="2"/>
      <c r="B6" s="2"/>
      <c r="C6" s="2"/>
      <c r="D6" s="2"/>
      <c r="E6" s="2"/>
      <c r="F6" s="2"/>
      <c r="G6" s="2"/>
    </row>
    <row r="7" spans="1:7">
      <c r="A7" s="24" t="s">
        <v>618</v>
      </c>
      <c r="B7" s="24"/>
      <c r="C7" s="24" t="s">
        <v>619</v>
      </c>
      <c r="D7" s="24" t="s">
        <v>620</v>
      </c>
      <c r="E7" s="24"/>
      <c r="F7" s="24" t="s">
        <v>619</v>
      </c>
      <c r="G7" s="24" t="s">
        <v>620</v>
      </c>
    </row>
    <row r="8" spans="1:7">
      <c r="A8" s="31" t="s">
        <v>621</v>
      </c>
      <c r="B8" s="47" t="s">
        <v>622</v>
      </c>
      <c r="C8" s="25" t="s">
        <v>623</v>
      </c>
      <c r="D8" s="25">
        <v>5</v>
      </c>
      <c r="E8" s="47" t="s">
        <v>624</v>
      </c>
      <c r="F8" s="25" t="s">
        <v>623</v>
      </c>
      <c r="G8" s="25">
        <v>1</v>
      </c>
    </row>
    <row r="9" spans="1:7">
      <c r="A9" s="51"/>
      <c r="B9" s="50"/>
      <c r="C9" s="25" t="s">
        <v>625</v>
      </c>
      <c r="D9" s="25" t="s">
        <v>626</v>
      </c>
      <c r="E9" s="50"/>
      <c r="F9" s="25" t="s">
        <v>625</v>
      </c>
      <c r="G9" s="25" t="s">
        <v>626</v>
      </c>
    </row>
    <row r="10" spans="1:7">
      <c r="A10" s="51"/>
      <c r="B10" s="50"/>
      <c r="C10" s="25" t="s">
        <v>627</v>
      </c>
      <c r="D10" s="25" t="s">
        <v>626</v>
      </c>
      <c r="E10" s="50"/>
      <c r="F10" s="25" t="s">
        <v>627</v>
      </c>
      <c r="G10" s="25" t="s">
        <v>626</v>
      </c>
    </row>
    <row r="11" spans="1:7">
      <c r="A11" s="32"/>
      <c r="B11" s="49"/>
      <c r="C11" s="25" t="s">
        <v>628</v>
      </c>
      <c r="D11" s="25" t="s">
        <v>626</v>
      </c>
      <c r="E11" s="49"/>
      <c r="F11" s="25" t="s">
        <v>628</v>
      </c>
      <c r="G11" s="25" t="s">
        <v>626</v>
      </c>
    </row>
    <row r="12" spans="1:7">
      <c r="A12" s="24" t="s">
        <v>618</v>
      </c>
      <c r="B12" s="24"/>
      <c r="C12" s="24" t="s">
        <v>619</v>
      </c>
      <c r="D12" s="24" t="s">
        <v>620</v>
      </c>
      <c r="E12" s="24"/>
      <c r="F12" s="24" t="s">
        <v>619</v>
      </c>
      <c r="G12" s="24" t="s">
        <v>620</v>
      </c>
    </row>
    <row r="13" spans="1:7">
      <c r="A13" s="31" t="s">
        <v>629</v>
      </c>
      <c r="B13" s="47" t="s">
        <v>622</v>
      </c>
      <c r="C13" s="25" t="s">
        <v>623</v>
      </c>
      <c r="D13" s="25">
        <v>8</v>
      </c>
      <c r="E13" s="47" t="s">
        <v>624</v>
      </c>
      <c r="F13" s="25" t="s">
        <v>623</v>
      </c>
      <c r="G13" s="25">
        <v>1</v>
      </c>
    </row>
    <row r="14" spans="1:7">
      <c r="A14" s="51"/>
      <c r="B14" s="50"/>
      <c r="C14" s="25" t="s">
        <v>625</v>
      </c>
      <c r="D14" s="25" t="s">
        <v>626</v>
      </c>
      <c r="E14" s="50"/>
      <c r="F14" s="25" t="s">
        <v>625</v>
      </c>
      <c r="G14" s="25" t="s">
        <v>626</v>
      </c>
    </row>
    <row r="15" spans="1:7">
      <c r="A15" s="51"/>
      <c r="B15" s="50"/>
      <c r="C15" s="25" t="s">
        <v>627</v>
      </c>
      <c r="D15" s="25" t="s">
        <v>626</v>
      </c>
      <c r="E15" s="50"/>
      <c r="F15" s="25" t="s">
        <v>627</v>
      </c>
      <c r="G15" s="25" t="s">
        <v>626</v>
      </c>
    </row>
    <row r="16" spans="1:7">
      <c r="A16" s="32"/>
      <c r="B16" s="49"/>
      <c r="C16" s="25" t="s">
        <v>628</v>
      </c>
      <c r="D16" s="25" t="s">
        <v>626</v>
      </c>
      <c r="E16" s="49"/>
      <c r="F16" s="25" t="s">
        <v>628</v>
      </c>
      <c r="G16" s="25" t="s">
        <v>626</v>
      </c>
    </row>
    <row r="17" spans="1:7">
      <c r="A17" s="24" t="s">
        <v>618</v>
      </c>
      <c r="B17" s="24"/>
      <c r="C17" s="24" t="s">
        <v>619</v>
      </c>
      <c r="D17" s="24" t="s">
        <v>620</v>
      </c>
      <c r="E17" s="24"/>
      <c r="F17" s="24" t="s">
        <v>619</v>
      </c>
      <c r="G17" s="24" t="s">
        <v>620</v>
      </c>
    </row>
    <row r="18" spans="1:7">
      <c r="A18" s="31" t="s">
        <v>630</v>
      </c>
      <c r="B18" s="47" t="s">
        <v>622</v>
      </c>
      <c r="C18" s="25" t="s">
        <v>623</v>
      </c>
      <c r="D18" s="25">
        <v>8</v>
      </c>
      <c r="E18" s="47" t="s">
        <v>624</v>
      </c>
      <c r="F18" s="25" t="s">
        <v>623</v>
      </c>
      <c r="G18" s="25">
        <v>1</v>
      </c>
    </row>
    <row r="19" spans="1:7">
      <c r="A19" s="51"/>
      <c r="B19" s="50"/>
      <c r="C19" s="25" t="s">
        <v>625</v>
      </c>
      <c r="D19" s="25" t="s">
        <v>626</v>
      </c>
      <c r="E19" s="50"/>
      <c r="F19" s="25" t="s">
        <v>625</v>
      </c>
      <c r="G19" s="25" t="s">
        <v>626</v>
      </c>
    </row>
    <row r="20" spans="1:7">
      <c r="A20" s="51"/>
      <c r="B20" s="50"/>
      <c r="C20" s="25" t="s">
        <v>627</v>
      </c>
      <c r="D20" s="25" t="s">
        <v>626</v>
      </c>
      <c r="E20" s="50"/>
      <c r="F20" s="25" t="s">
        <v>627</v>
      </c>
      <c r="G20" s="25" t="s">
        <v>626</v>
      </c>
    </row>
    <row r="21" spans="1:7">
      <c r="A21" s="32"/>
      <c r="B21" s="49"/>
      <c r="C21" s="25" t="s">
        <v>628</v>
      </c>
      <c r="D21" s="25" t="s">
        <v>626</v>
      </c>
      <c r="E21" s="49"/>
      <c r="F21" s="25" t="s">
        <v>628</v>
      </c>
      <c r="G21" s="25" t="s">
        <v>626</v>
      </c>
    </row>
    <row r="22" spans="1:7">
      <c r="A22" s="24" t="s">
        <v>618</v>
      </c>
      <c r="B22" s="24"/>
      <c r="C22" s="24" t="s">
        <v>619</v>
      </c>
      <c r="D22" s="24" t="s">
        <v>620</v>
      </c>
      <c r="E22" s="24"/>
      <c r="F22" s="24" t="s">
        <v>619</v>
      </c>
      <c r="G22" s="24" t="s">
        <v>620</v>
      </c>
    </row>
    <row r="23" spans="1:10">
      <c r="A23" s="31" t="s">
        <v>631</v>
      </c>
      <c r="B23" s="47" t="s">
        <v>622</v>
      </c>
      <c r="C23" s="25" t="s">
        <v>623</v>
      </c>
      <c r="D23" s="25">
        <v>8</v>
      </c>
      <c r="E23" s="47" t="s">
        <v>624</v>
      </c>
      <c r="F23" s="25" t="s">
        <v>623</v>
      </c>
      <c r="G23" s="25">
        <v>1</v>
      </c>
      <c r="J23">
        <f ca="1">E6:J23</f>
        <v>0</v>
      </c>
    </row>
    <row r="24" spans="1:7">
      <c r="A24" s="51"/>
      <c r="B24" s="50"/>
      <c r="C24" s="25" t="s">
        <v>625</v>
      </c>
      <c r="D24" s="25" t="s">
        <v>626</v>
      </c>
      <c r="E24" s="50"/>
      <c r="F24" s="25" t="s">
        <v>625</v>
      </c>
      <c r="G24" s="25" t="s">
        <v>626</v>
      </c>
    </row>
    <row r="25" spans="1:7">
      <c r="A25" s="51"/>
      <c r="B25" s="50"/>
      <c r="C25" s="25" t="s">
        <v>627</v>
      </c>
      <c r="D25" s="25" t="s">
        <v>626</v>
      </c>
      <c r="E25" s="50"/>
      <c r="F25" s="25" t="s">
        <v>627</v>
      </c>
      <c r="G25" s="25" t="s">
        <v>626</v>
      </c>
    </row>
    <row r="26" spans="1:7">
      <c r="A26" s="32"/>
      <c r="B26" s="49"/>
      <c r="C26" s="25" t="s">
        <v>628</v>
      </c>
      <c r="D26" s="25" t="s">
        <v>626</v>
      </c>
      <c r="E26" s="49"/>
      <c r="F26" s="25" t="s">
        <v>628</v>
      </c>
      <c r="G26" s="25" t="s">
        <v>626</v>
      </c>
    </row>
    <row r="27" spans="1:7">
      <c r="A27" s="31" t="s">
        <v>632</v>
      </c>
      <c r="B27" s="47" t="s">
        <v>622</v>
      </c>
      <c r="C27" s="25" t="s">
        <v>623</v>
      </c>
      <c r="D27" s="25">
        <v>9</v>
      </c>
      <c r="E27" s="47" t="s">
        <v>624</v>
      </c>
      <c r="F27" s="25" t="s">
        <v>623</v>
      </c>
      <c r="G27" s="25">
        <v>1</v>
      </c>
    </row>
    <row r="28" spans="1:7">
      <c r="A28" s="51"/>
      <c r="B28" s="50"/>
      <c r="C28" s="25" t="s">
        <v>625</v>
      </c>
      <c r="D28" s="25" t="s">
        <v>626</v>
      </c>
      <c r="E28" s="50"/>
      <c r="F28" s="25" t="s">
        <v>625</v>
      </c>
      <c r="G28" s="25" t="s">
        <v>626</v>
      </c>
    </row>
    <row r="29" spans="1:7">
      <c r="A29" s="51"/>
      <c r="B29" s="50"/>
      <c r="C29" s="25" t="s">
        <v>627</v>
      </c>
      <c r="D29" s="25" t="s">
        <v>626</v>
      </c>
      <c r="E29" s="50"/>
      <c r="F29" s="25" t="s">
        <v>627</v>
      </c>
      <c r="G29" s="25" t="s">
        <v>626</v>
      </c>
    </row>
    <row r="30" spans="1:7">
      <c r="A30" s="32"/>
      <c r="B30" s="49"/>
      <c r="C30" s="25" t="s">
        <v>628</v>
      </c>
      <c r="D30" s="25" t="s">
        <v>626</v>
      </c>
      <c r="E30" s="49"/>
      <c r="F30" s="25" t="s">
        <v>628</v>
      </c>
      <c r="G30" s="25" t="s">
        <v>626</v>
      </c>
    </row>
    <row r="31" spans="1:7">
      <c r="A31" s="24" t="s">
        <v>618</v>
      </c>
      <c r="B31" s="24"/>
      <c r="C31" s="24" t="s">
        <v>619</v>
      </c>
      <c r="D31" s="24" t="s">
        <v>620</v>
      </c>
      <c r="E31" s="24"/>
      <c r="F31" s="24" t="s">
        <v>619</v>
      </c>
      <c r="G31" s="24" t="s">
        <v>620</v>
      </c>
    </row>
    <row r="32" spans="1:7">
      <c r="A32" s="31" t="s">
        <v>633</v>
      </c>
      <c r="B32" s="47" t="s">
        <v>622</v>
      </c>
      <c r="C32" s="25" t="s">
        <v>623</v>
      </c>
      <c r="D32" s="25">
        <v>8</v>
      </c>
      <c r="E32" s="47" t="s">
        <v>624</v>
      </c>
      <c r="F32" s="25" t="s">
        <v>623</v>
      </c>
      <c r="G32" s="25">
        <v>1</v>
      </c>
    </row>
    <row r="33" spans="1:7">
      <c r="A33" s="51"/>
      <c r="B33" s="50"/>
      <c r="C33" s="25" t="s">
        <v>625</v>
      </c>
      <c r="D33" s="25" t="s">
        <v>626</v>
      </c>
      <c r="E33" s="50"/>
      <c r="F33" s="25" t="s">
        <v>625</v>
      </c>
      <c r="G33" s="25" t="s">
        <v>626</v>
      </c>
    </row>
    <row r="34" spans="1:7">
      <c r="A34" s="51"/>
      <c r="B34" s="50"/>
      <c r="C34" s="25" t="s">
        <v>627</v>
      </c>
      <c r="D34" s="25" t="s">
        <v>626</v>
      </c>
      <c r="E34" s="50"/>
      <c r="F34" s="25" t="s">
        <v>627</v>
      </c>
      <c r="G34" s="25" t="s">
        <v>626</v>
      </c>
    </row>
    <row r="35" spans="1:7">
      <c r="A35" s="32"/>
      <c r="B35" s="49"/>
      <c r="C35" s="25" t="s">
        <v>628</v>
      </c>
      <c r="D35" s="25" t="s">
        <v>626</v>
      </c>
      <c r="E35" s="49"/>
      <c r="F35" s="25" t="s">
        <v>628</v>
      </c>
      <c r="G35" s="25" t="s">
        <v>626</v>
      </c>
    </row>
    <row r="36" spans="1:7">
      <c r="A36" s="24" t="s">
        <v>618</v>
      </c>
      <c r="B36" s="24"/>
      <c r="C36" s="24" t="s">
        <v>619</v>
      </c>
      <c r="D36" s="24" t="s">
        <v>620</v>
      </c>
      <c r="E36" s="24"/>
      <c r="F36" s="24" t="s">
        <v>619</v>
      </c>
      <c r="G36" s="24" t="s">
        <v>620</v>
      </c>
    </row>
    <row r="37" spans="1:7">
      <c r="A37" s="31" t="s">
        <v>634</v>
      </c>
      <c r="B37" s="47" t="s">
        <v>622</v>
      </c>
      <c r="C37" s="25" t="s">
        <v>623</v>
      </c>
      <c r="D37" s="25">
        <v>9</v>
      </c>
      <c r="E37" s="47" t="s">
        <v>624</v>
      </c>
      <c r="F37" s="25" t="s">
        <v>623</v>
      </c>
      <c r="G37" s="25">
        <v>1</v>
      </c>
    </row>
    <row r="38" spans="1:7">
      <c r="A38" s="51"/>
      <c r="B38" s="50"/>
      <c r="C38" s="25" t="s">
        <v>625</v>
      </c>
      <c r="D38" s="25" t="s">
        <v>626</v>
      </c>
      <c r="E38" s="50"/>
      <c r="F38" s="25" t="s">
        <v>625</v>
      </c>
      <c r="G38" s="25" t="s">
        <v>626</v>
      </c>
    </row>
    <row r="39" spans="1:7">
      <c r="A39" s="51"/>
      <c r="B39" s="50"/>
      <c r="C39" s="25" t="s">
        <v>627</v>
      </c>
      <c r="D39" s="25" t="s">
        <v>626</v>
      </c>
      <c r="E39" s="50"/>
      <c r="F39" s="25" t="s">
        <v>627</v>
      </c>
      <c r="G39" s="25" t="s">
        <v>626</v>
      </c>
    </row>
    <row r="40" spans="1:7">
      <c r="A40" s="32"/>
      <c r="B40" s="49"/>
      <c r="C40" s="25" t="s">
        <v>628</v>
      </c>
      <c r="D40" s="25" t="s">
        <v>626</v>
      </c>
      <c r="E40" s="49"/>
      <c r="F40" s="25" t="s">
        <v>628</v>
      </c>
      <c r="G40" s="25" t="s">
        <v>626</v>
      </c>
    </row>
    <row r="41" spans="1:7">
      <c r="A41" s="31" t="s">
        <v>635</v>
      </c>
      <c r="B41" s="47" t="s">
        <v>622</v>
      </c>
      <c r="C41" s="25" t="s">
        <v>623</v>
      </c>
      <c r="D41" s="25">
        <v>8</v>
      </c>
      <c r="E41" s="47" t="s">
        <v>624</v>
      </c>
      <c r="F41" s="25" t="s">
        <v>623</v>
      </c>
      <c r="G41" s="25">
        <v>1</v>
      </c>
    </row>
    <row r="42" spans="1:7">
      <c r="A42" s="51"/>
      <c r="B42" s="50"/>
      <c r="C42" s="25" t="s">
        <v>625</v>
      </c>
      <c r="D42" s="25">
        <v>1</v>
      </c>
      <c r="E42" s="50"/>
      <c r="F42" s="25" t="s">
        <v>625</v>
      </c>
      <c r="G42" s="25" t="s">
        <v>626</v>
      </c>
    </row>
    <row r="43" spans="1:7">
      <c r="A43" s="51"/>
      <c r="B43" s="50"/>
      <c r="C43" s="25" t="s">
        <v>627</v>
      </c>
      <c r="D43" s="25" t="s">
        <v>626</v>
      </c>
      <c r="E43" s="50"/>
      <c r="F43" s="25" t="s">
        <v>627</v>
      </c>
      <c r="G43" s="25" t="s">
        <v>626</v>
      </c>
    </row>
    <row r="44" spans="1:7">
      <c r="A44" s="32"/>
      <c r="B44" s="49"/>
      <c r="C44" s="25" t="s">
        <v>628</v>
      </c>
      <c r="D44" s="25" t="s">
        <v>626</v>
      </c>
      <c r="E44" s="49"/>
      <c r="F44" s="25" t="s">
        <v>628</v>
      </c>
      <c r="G44" s="25" t="s">
        <v>626</v>
      </c>
    </row>
    <row r="45" spans="1:7">
      <c r="A45" s="24" t="s">
        <v>618</v>
      </c>
      <c r="B45" s="24"/>
      <c r="C45" s="24" t="s">
        <v>619</v>
      </c>
      <c r="D45" s="24" t="s">
        <v>620</v>
      </c>
      <c r="E45" s="24"/>
      <c r="F45" s="24" t="s">
        <v>619</v>
      </c>
      <c r="G45" s="24" t="s">
        <v>620</v>
      </c>
    </row>
    <row r="46" spans="1:7">
      <c r="A46" s="31" t="s">
        <v>636</v>
      </c>
      <c r="B46" s="47" t="s">
        <v>622</v>
      </c>
      <c r="C46" s="25" t="s">
        <v>623</v>
      </c>
      <c r="D46" s="25">
        <v>7</v>
      </c>
      <c r="E46" s="47" t="s">
        <v>624</v>
      </c>
      <c r="F46" s="25" t="s">
        <v>623</v>
      </c>
      <c r="G46" s="25">
        <v>1</v>
      </c>
    </row>
    <row r="47" spans="1:7">
      <c r="A47" s="51"/>
      <c r="B47" s="50"/>
      <c r="C47" s="25" t="s">
        <v>625</v>
      </c>
      <c r="D47" s="25">
        <v>1</v>
      </c>
      <c r="E47" s="50"/>
      <c r="F47" s="25" t="s">
        <v>625</v>
      </c>
      <c r="G47" s="25" t="s">
        <v>626</v>
      </c>
    </row>
    <row r="48" spans="1:7">
      <c r="A48" s="51"/>
      <c r="B48" s="50"/>
      <c r="C48" s="25" t="s">
        <v>627</v>
      </c>
      <c r="D48" s="25" t="s">
        <v>626</v>
      </c>
      <c r="E48" s="50"/>
      <c r="F48" s="25" t="s">
        <v>627</v>
      </c>
      <c r="G48" s="25" t="s">
        <v>626</v>
      </c>
    </row>
    <row r="49" spans="1:7">
      <c r="A49" s="32"/>
      <c r="B49" s="49"/>
      <c r="C49" s="25" t="s">
        <v>628</v>
      </c>
      <c r="D49" s="25" t="s">
        <v>626</v>
      </c>
      <c r="E49" s="49"/>
      <c r="F49" s="25" t="s">
        <v>628</v>
      </c>
      <c r="G49" s="25" t="s">
        <v>626</v>
      </c>
    </row>
  </sheetData>
  <mergeCells count="30">
    <mergeCell ref="A3:H3"/>
    <mergeCell ref="A4:H4"/>
    <mergeCell ref="A5:H5"/>
    <mergeCell ref="A8:A11"/>
    <mergeCell ref="A13:A16"/>
    <mergeCell ref="A18:A21"/>
    <mergeCell ref="A23:A26"/>
    <mergeCell ref="A27:A30"/>
    <mergeCell ref="A32:A35"/>
    <mergeCell ref="A37:A40"/>
    <mergeCell ref="A41:A44"/>
    <mergeCell ref="A46:A49"/>
    <mergeCell ref="B8:B11"/>
    <mergeCell ref="B13:B16"/>
    <mergeCell ref="B18:B21"/>
    <mergeCell ref="B23:B26"/>
    <mergeCell ref="B27:B30"/>
    <mergeCell ref="B32:B35"/>
    <mergeCell ref="B37:B40"/>
    <mergeCell ref="B41:B44"/>
    <mergeCell ref="B46:B49"/>
    <mergeCell ref="E8:E11"/>
    <mergeCell ref="E13:E16"/>
    <mergeCell ref="E18:E21"/>
    <mergeCell ref="E23:E26"/>
    <mergeCell ref="E27:E30"/>
    <mergeCell ref="E32:E35"/>
    <mergeCell ref="E37:E40"/>
    <mergeCell ref="E41:E44"/>
    <mergeCell ref="E46:E49"/>
  </mergeCells>
  <pageMargins left="0" right="0" top="0" bottom="0" header="0" footer="0"/>
  <pageSetup paperSize="1" scale="54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65"/>
  <sheetViews>
    <sheetView view="pageBreakPreview" zoomScaleNormal="100" topLeftCell="A40" workbookViewId="0">
      <selection activeCell="F69" sqref="F69"/>
    </sheetView>
  </sheetViews>
  <sheetFormatPr defaultColWidth="9.14285714285714" defaultRowHeight="15" outlineLevelCol="7"/>
  <cols>
    <col min="1" max="3" width="9.14285714285714" style="2"/>
    <col min="4" max="4" width="26" style="2" customWidth="1"/>
    <col min="5" max="5" width="31.1428571428571" style="2" customWidth="1"/>
    <col min="6" max="6" width="26.8571428571429" style="2" customWidth="1"/>
    <col min="7" max="7" width="27" style="2" customWidth="1"/>
    <col min="8" max="8" width="29.8571428571429" style="2" customWidth="1"/>
    <col min="9" max="16384" width="9.14285714285714" style="2"/>
  </cols>
  <sheetData>
    <row r="2" ht="51" customHeight="1" spans="2:8">
      <c r="B2" s="4" t="s">
        <v>637</v>
      </c>
      <c r="C2" s="4"/>
      <c r="D2" s="4"/>
      <c r="E2" s="4"/>
      <c r="F2" s="4"/>
      <c r="G2" s="4"/>
      <c r="H2" s="4"/>
    </row>
    <row r="3" ht="50.1" customHeight="1" spans="3:8">
      <c r="C3" s="24" t="s">
        <v>638</v>
      </c>
      <c r="D3" s="24" t="s">
        <v>639</v>
      </c>
      <c r="E3" s="24" t="s">
        <v>640</v>
      </c>
      <c r="F3" s="24" t="s">
        <v>641</v>
      </c>
      <c r="G3" s="24" t="s">
        <v>642</v>
      </c>
      <c r="H3" s="24" t="s">
        <v>643</v>
      </c>
    </row>
    <row r="4" ht="50.1" customHeight="1" spans="3:8">
      <c r="C4" s="25" t="s">
        <v>644</v>
      </c>
      <c r="D4" s="25">
        <v>211</v>
      </c>
      <c r="E4" s="25">
        <v>211</v>
      </c>
      <c r="F4" s="25" t="s">
        <v>626</v>
      </c>
      <c r="G4" s="25" t="s">
        <v>645</v>
      </c>
      <c r="H4" s="25"/>
    </row>
    <row r="5" ht="50.1" customHeight="1" spans="3:8">
      <c r="C5" s="25" t="s">
        <v>646</v>
      </c>
      <c r="D5" s="25">
        <v>37</v>
      </c>
      <c r="E5" s="25">
        <v>37</v>
      </c>
      <c r="F5" s="25" t="s">
        <v>626</v>
      </c>
      <c r="G5" s="25" t="s">
        <v>645</v>
      </c>
      <c r="H5" s="25"/>
    </row>
    <row r="6" ht="50.1" customHeight="1" spans="3:8">
      <c r="C6" s="25" t="s">
        <v>647</v>
      </c>
      <c r="D6" s="25">
        <v>61</v>
      </c>
      <c r="E6" s="25" t="s">
        <v>648</v>
      </c>
      <c r="F6" s="25" t="s">
        <v>626</v>
      </c>
      <c r="G6" s="25" t="s">
        <v>645</v>
      </c>
      <c r="H6" s="25"/>
    </row>
    <row r="7" ht="50.1" customHeight="1" spans="3:8">
      <c r="C7" s="25" t="s">
        <v>649</v>
      </c>
      <c r="D7" s="25">
        <v>29</v>
      </c>
      <c r="E7" s="25" t="s">
        <v>648</v>
      </c>
      <c r="F7" s="25" t="s">
        <v>626</v>
      </c>
      <c r="G7" s="25" t="s">
        <v>645</v>
      </c>
      <c r="H7" s="25"/>
    </row>
    <row r="8" ht="50.1" customHeight="1" spans="3:8">
      <c r="C8" s="25" t="s">
        <v>650</v>
      </c>
      <c r="D8" s="25">
        <v>19</v>
      </c>
      <c r="E8" s="25">
        <v>2</v>
      </c>
      <c r="F8" s="25" t="s">
        <v>626</v>
      </c>
      <c r="G8" s="25" t="s">
        <v>645</v>
      </c>
      <c r="H8" s="25"/>
    </row>
    <row r="9" ht="50.1" customHeight="1" spans="3:8">
      <c r="C9" s="25" t="s">
        <v>651</v>
      </c>
      <c r="D9" s="25">
        <v>11</v>
      </c>
      <c r="E9" s="25" t="s">
        <v>648</v>
      </c>
      <c r="F9" s="25" t="s">
        <v>626</v>
      </c>
      <c r="G9" s="25" t="s">
        <v>645</v>
      </c>
      <c r="H9" s="25"/>
    </row>
    <row r="10" ht="50.1" customHeight="1" spans="2:8">
      <c r="B10" s="4" t="s">
        <v>652</v>
      </c>
      <c r="C10" s="4"/>
      <c r="D10" s="4"/>
      <c r="E10" s="4"/>
      <c r="F10" s="4"/>
      <c r="G10" s="4"/>
      <c r="H10" s="4"/>
    </row>
    <row r="11" ht="50.1" customHeight="1" spans="3:8">
      <c r="C11" s="24" t="s">
        <v>638</v>
      </c>
      <c r="D11" s="24" t="s">
        <v>639</v>
      </c>
      <c r="E11" s="24" t="s">
        <v>640</v>
      </c>
      <c r="F11" s="24" t="s">
        <v>641</v>
      </c>
      <c r="G11" s="24" t="s">
        <v>642</v>
      </c>
      <c r="H11" s="24" t="s">
        <v>643</v>
      </c>
    </row>
    <row r="12" ht="50.1" customHeight="1" spans="3:8">
      <c r="C12" s="25" t="s">
        <v>644</v>
      </c>
      <c r="D12" s="25">
        <v>211</v>
      </c>
      <c r="E12" s="25">
        <v>211</v>
      </c>
      <c r="F12" s="25" t="s">
        <v>626</v>
      </c>
      <c r="G12" s="25" t="s">
        <v>645</v>
      </c>
      <c r="H12" s="25"/>
    </row>
    <row r="13" ht="50.1" customHeight="1" spans="3:8">
      <c r="C13" s="25" t="s">
        <v>646</v>
      </c>
      <c r="D13" s="25">
        <v>37</v>
      </c>
      <c r="E13" s="25">
        <v>37</v>
      </c>
      <c r="F13" s="25" t="s">
        <v>626</v>
      </c>
      <c r="G13" s="25" t="s">
        <v>645</v>
      </c>
      <c r="H13" s="25"/>
    </row>
    <row r="14" ht="50.1" customHeight="1" spans="3:8">
      <c r="C14" s="25" t="s">
        <v>647</v>
      </c>
      <c r="D14" s="25">
        <v>61</v>
      </c>
      <c r="E14" s="25" t="s">
        <v>648</v>
      </c>
      <c r="F14" s="25" t="s">
        <v>626</v>
      </c>
      <c r="G14" s="25" t="s">
        <v>645</v>
      </c>
      <c r="H14" s="25"/>
    </row>
    <row r="15" ht="50.1" customHeight="1" spans="3:8">
      <c r="C15" s="25" t="s">
        <v>649</v>
      </c>
      <c r="D15" s="25">
        <v>29</v>
      </c>
      <c r="E15" s="25" t="s">
        <v>648</v>
      </c>
      <c r="F15" s="25" t="s">
        <v>626</v>
      </c>
      <c r="G15" s="25" t="s">
        <v>645</v>
      </c>
      <c r="H15" s="25"/>
    </row>
    <row r="16" ht="50.1" customHeight="1" spans="3:8">
      <c r="C16" s="25" t="s">
        <v>650</v>
      </c>
      <c r="D16" s="25">
        <v>19</v>
      </c>
      <c r="E16" s="25">
        <v>2</v>
      </c>
      <c r="F16" s="25" t="s">
        <v>626</v>
      </c>
      <c r="G16" s="25" t="s">
        <v>645</v>
      </c>
      <c r="H16" s="25"/>
    </row>
    <row r="17" ht="50.1" customHeight="1" spans="3:8">
      <c r="C17" s="25" t="s">
        <v>651</v>
      </c>
      <c r="D17" s="25">
        <v>11</v>
      </c>
      <c r="E17" s="25" t="s">
        <v>648</v>
      </c>
      <c r="F17" s="25" t="s">
        <v>626</v>
      </c>
      <c r="G17" s="25" t="s">
        <v>645</v>
      </c>
      <c r="H17" s="25"/>
    </row>
    <row r="18" ht="50.1" customHeight="1" spans="2:8">
      <c r="B18" s="4" t="s">
        <v>653</v>
      </c>
      <c r="C18" s="4"/>
      <c r="D18" s="4"/>
      <c r="E18" s="4"/>
      <c r="F18" s="4"/>
      <c r="G18" s="4"/>
      <c r="H18" s="4"/>
    </row>
    <row r="19" ht="50.1" customHeight="1" spans="3:8">
      <c r="C19" s="24" t="s">
        <v>638</v>
      </c>
      <c r="D19" s="24" t="s">
        <v>639</v>
      </c>
      <c r="E19" s="24" t="s">
        <v>640</v>
      </c>
      <c r="F19" s="24" t="s">
        <v>641</v>
      </c>
      <c r="G19" s="24" t="s">
        <v>642</v>
      </c>
      <c r="H19" s="24" t="s">
        <v>643</v>
      </c>
    </row>
    <row r="20" ht="50.1" customHeight="1" spans="3:8">
      <c r="C20" s="25" t="s">
        <v>644</v>
      </c>
      <c r="D20" s="25">
        <v>211</v>
      </c>
      <c r="E20" s="25">
        <v>211</v>
      </c>
      <c r="F20" s="25" t="s">
        <v>626</v>
      </c>
      <c r="G20" s="25" t="s">
        <v>645</v>
      </c>
      <c r="H20" s="25"/>
    </row>
    <row r="21" ht="50.1" customHeight="1" spans="3:8">
      <c r="C21" s="25" t="s">
        <v>646</v>
      </c>
      <c r="D21" s="25">
        <v>37</v>
      </c>
      <c r="E21" s="25">
        <v>37</v>
      </c>
      <c r="F21" s="25" t="s">
        <v>626</v>
      </c>
      <c r="G21" s="25" t="s">
        <v>645</v>
      </c>
      <c r="H21" s="25"/>
    </row>
    <row r="22" ht="50.1" customHeight="1" spans="3:8">
      <c r="C22" s="25" t="s">
        <v>647</v>
      </c>
      <c r="D22" s="25">
        <v>61</v>
      </c>
      <c r="E22" s="25" t="s">
        <v>648</v>
      </c>
      <c r="F22" s="25" t="s">
        <v>626</v>
      </c>
      <c r="G22" s="25" t="s">
        <v>645</v>
      </c>
      <c r="H22" s="25"/>
    </row>
    <row r="23" ht="50.1" customHeight="1" spans="3:8">
      <c r="C23" s="25" t="s">
        <v>649</v>
      </c>
      <c r="D23" s="25">
        <v>29</v>
      </c>
      <c r="E23" s="25" t="s">
        <v>648</v>
      </c>
      <c r="F23" s="25" t="s">
        <v>626</v>
      </c>
      <c r="G23" s="25" t="s">
        <v>645</v>
      </c>
      <c r="H23" s="25"/>
    </row>
    <row r="24" ht="50.1" customHeight="1" spans="3:8">
      <c r="C24" s="25" t="s">
        <v>650</v>
      </c>
      <c r="D24" s="25">
        <v>19</v>
      </c>
      <c r="E24" s="25">
        <v>2</v>
      </c>
      <c r="F24" s="25" t="s">
        <v>626</v>
      </c>
      <c r="G24" s="25" t="s">
        <v>645</v>
      </c>
      <c r="H24" s="25"/>
    </row>
    <row r="25" ht="50.1" customHeight="1" spans="3:8">
      <c r="C25" s="25" t="s">
        <v>651</v>
      </c>
      <c r="D25" s="25">
        <v>11</v>
      </c>
      <c r="E25" s="25" t="s">
        <v>648</v>
      </c>
      <c r="F25" s="25" t="s">
        <v>626</v>
      </c>
      <c r="G25" s="25" t="s">
        <v>645</v>
      </c>
      <c r="H25" s="25"/>
    </row>
    <row r="26" ht="50.1" customHeight="1" spans="3:8">
      <c r="C26" s="25"/>
      <c r="D26" s="25"/>
      <c r="E26" s="54" t="s">
        <v>654</v>
      </c>
      <c r="F26" s="55"/>
      <c r="G26" s="25"/>
      <c r="H26" s="25"/>
    </row>
    <row r="27" ht="50.1" customHeight="1" spans="3:8">
      <c r="C27" s="24" t="s">
        <v>638</v>
      </c>
      <c r="D27" s="24" t="s">
        <v>639</v>
      </c>
      <c r="E27" s="24" t="s">
        <v>640</v>
      </c>
      <c r="F27" s="24" t="s">
        <v>641</v>
      </c>
      <c r="G27" s="24" t="s">
        <v>642</v>
      </c>
      <c r="H27" s="24" t="s">
        <v>643</v>
      </c>
    </row>
    <row r="28" ht="50.1" customHeight="1" spans="3:8">
      <c r="C28" s="25" t="s">
        <v>644</v>
      </c>
      <c r="D28" s="25">
        <v>211</v>
      </c>
      <c r="E28" s="25" t="s">
        <v>626</v>
      </c>
      <c r="F28" s="25" t="s">
        <v>626</v>
      </c>
      <c r="G28" s="25" t="s">
        <v>645</v>
      </c>
      <c r="H28" s="25"/>
    </row>
    <row r="29" ht="50.1" customHeight="1" spans="3:8">
      <c r="C29" s="25" t="s">
        <v>646</v>
      </c>
      <c r="D29" s="25">
        <v>37</v>
      </c>
      <c r="E29" s="25" t="s">
        <v>626</v>
      </c>
      <c r="F29" s="25" t="s">
        <v>626</v>
      </c>
      <c r="G29" s="25" t="s">
        <v>645</v>
      </c>
      <c r="H29" s="25"/>
    </row>
    <row r="30" ht="50.1" customHeight="1" spans="3:8">
      <c r="C30" s="25" t="s">
        <v>647</v>
      </c>
      <c r="D30" s="25">
        <v>57</v>
      </c>
      <c r="E30" s="25">
        <v>4</v>
      </c>
      <c r="F30" s="25" t="s">
        <v>626</v>
      </c>
      <c r="G30" s="25" t="s">
        <v>645</v>
      </c>
      <c r="H30" s="25"/>
    </row>
    <row r="31" ht="50.1" customHeight="1" spans="3:8">
      <c r="C31" s="25" t="s">
        <v>649</v>
      </c>
      <c r="D31" s="25">
        <v>29</v>
      </c>
      <c r="E31" s="25" t="s">
        <v>626</v>
      </c>
      <c r="F31" s="25" t="s">
        <v>626</v>
      </c>
      <c r="G31" s="25" t="s">
        <v>645</v>
      </c>
      <c r="H31" s="25"/>
    </row>
    <row r="32" ht="50.1" customHeight="1" spans="3:8">
      <c r="C32" s="25" t="s">
        <v>650</v>
      </c>
      <c r="D32" s="25">
        <v>18</v>
      </c>
      <c r="E32" s="25">
        <v>1</v>
      </c>
      <c r="F32" s="25" t="s">
        <v>626</v>
      </c>
      <c r="G32" s="25" t="s">
        <v>645</v>
      </c>
      <c r="H32" s="25"/>
    </row>
    <row r="33" ht="50.1" customHeight="1" spans="3:8">
      <c r="C33" s="25" t="s">
        <v>651</v>
      </c>
      <c r="D33" s="25">
        <v>11</v>
      </c>
      <c r="E33" s="25" t="s">
        <v>626</v>
      </c>
      <c r="F33" s="25" t="s">
        <v>626</v>
      </c>
      <c r="G33" s="25" t="s">
        <v>645</v>
      </c>
      <c r="H33" s="25"/>
    </row>
    <row r="34" ht="50.1" customHeight="1" spans="3:8">
      <c r="C34" s="25"/>
      <c r="D34" s="25"/>
      <c r="E34" s="54" t="s">
        <v>655</v>
      </c>
      <c r="F34" s="55"/>
      <c r="G34" s="25"/>
      <c r="H34" s="25"/>
    </row>
    <row r="35" ht="50.1" customHeight="1" spans="3:8">
      <c r="C35" s="24" t="s">
        <v>638</v>
      </c>
      <c r="D35" s="24" t="s">
        <v>639</v>
      </c>
      <c r="E35" s="24" t="s">
        <v>640</v>
      </c>
      <c r="F35" s="24" t="s">
        <v>641</v>
      </c>
      <c r="G35" s="24" t="s">
        <v>642</v>
      </c>
      <c r="H35" s="24" t="s">
        <v>643</v>
      </c>
    </row>
    <row r="36" ht="50.1" customHeight="1" spans="3:8">
      <c r="C36" s="25" t="s">
        <v>644</v>
      </c>
      <c r="D36" s="25">
        <v>196</v>
      </c>
      <c r="E36" s="25">
        <v>15</v>
      </c>
      <c r="F36" s="25" t="s">
        <v>626</v>
      </c>
      <c r="G36" s="25" t="s">
        <v>645</v>
      </c>
      <c r="H36" s="25"/>
    </row>
    <row r="37" ht="50.1" customHeight="1" spans="3:8">
      <c r="C37" s="25" t="s">
        <v>646</v>
      </c>
      <c r="D37" s="25">
        <v>37</v>
      </c>
      <c r="E37" s="25" t="s">
        <v>626</v>
      </c>
      <c r="F37" s="25" t="s">
        <v>626</v>
      </c>
      <c r="G37" s="25" t="s">
        <v>645</v>
      </c>
      <c r="H37" s="25"/>
    </row>
    <row r="38" ht="50.1" customHeight="1" spans="3:8">
      <c r="C38" s="25" t="s">
        <v>647</v>
      </c>
      <c r="D38" s="25">
        <v>57</v>
      </c>
      <c r="E38" s="25" t="s">
        <v>626</v>
      </c>
      <c r="F38" s="25">
        <v>20</v>
      </c>
      <c r="G38" s="25" t="s">
        <v>645</v>
      </c>
      <c r="H38" s="25"/>
    </row>
    <row r="39" ht="50.1" customHeight="1" spans="3:8">
      <c r="C39" s="25" t="s">
        <v>649</v>
      </c>
      <c r="D39" s="25">
        <v>29</v>
      </c>
      <c r="E39" s="25" t="s">
        <v>626</v>
      </c>
      <c r="F39" s="25">
        <v>11</v>
      </c>
      <c r="G39" s="25" t="s">
        <v>645</v>
      </c>
      <c r="H39" s="25"/>
    </row>
    <row r="40" ht="50.1" customHeight="1" spans="3:8">
      <c r="C40" s="25" t="s">
        <v>650</v>
      </c>
      <c r="D40" s="25">
        <v>18</v>
      </c>
      <c r="E40" s="25" t="s">
        <v>626</v>
      </c>
      <c r="F40" s="25" t="s">
        <v>626</v>
      </c>
      <c r="G40" s="25" t="s">
        <v>645</v>
      </c>
      <c r="H40" s="25"/>
    </row>
    <row r="41" ht="50.1" customHeight="1" spans="3:8">
      <c r="C41" s="25" t="s">
        <v>651</v>
      </c>
      <c r="D41" s="25">
        <v>11</v>
      </c>
      <c r="E41" s="25" t="s">
        <v>626</v>
      </c>
      <c r="F41" s="25" t="s">
        <v>626</v>
      </c>
      <c r="G41" s="25" t="s">
        <v>645</v>
      </c>
      <c r="H41" s="25"/>
    </row>
    <row r="42" ht="50.1" customHeight="1" spans="3:8">
      <c r="C42" s="25"/>
      <c r="D42" s="25"/>
      <c r="E42" s="54" t="s">
        <v>656</v>
      </c>
      <c r="F42" s="55"/>
      <c r="G42" s="25"/>
      <c r="H42" s="25"/>
    </row>
    <row r="43" ht="50.1" customHeight="1" spans="3:8">
      <c r="C43" s="24" t="s">
        <v>638</v>
      </c>
      <c r="D43" s="24" t="s">
        <v>639</v>
      </c>
      <c r="E43" s="24" t="s">
        <v>640</v>
      </c>
      <c r="F43" s="24" t="s">
        <v>641</v>
      </c>
      <c r="G43" s="24" t="s">
        <v>642</v>
      </c>
      <c r="H43" s="24" t="s">
        <v>643</v>
      </c>
    </row>
    <row r="44" ht="50.1" customHeight="1" spans="3:8">
      <c r="C44" s="25" t="s">
        <v>644</v>
      </c>
      <c r="D44" s="25">
        <v>196</v>
      </c>
      <c r="E44" s="25" t="s">
        <v>626</v>
      </c>
      <c r="F44" s="25"/>
      <c r="G44" s="25" t="s">
        <v>645</v>
      </c>
      <c r="H44" s="25"/>
    </row>
    <row r="45" ht="50.1" customHeight="1" spans="3:8">
      <c r="C45" s="25" t="s">
        <v>646</v>
      </c>
      <c r="D45" s="25">
        <v>33</v>
      </c>
      <c r="E45" s="25">
        <v>4</v>
      </c>
      <c r="F45" s="25"/>
      <c r="G45" s="25" t="s">
        <v>645</v>
      </c>
      <c r="H45" s="25"/>
    </row>
    <row r="46" ht="39" customHeight="1" spans="3:8">
      <c r="C46" s="25" t="s">
        <v>647</v>
      </c>
      <c r="D46" s="25">
        <v>77</v>
      </c>
      <c r="E46" s="25" t="s">
        <v>626</v>
      </c>
      <c r="F46" s="25"/>
      <c r="G46" s="25" t="s">
        <v>645</v>
      </c>
      <c r="H46" s="25"/>
    </row>
    <row r="47" ht="45.95" customHeight="1" spans="3:8">
      <c r="C47" s="25" t="s">
        <v>649</v>
      </c>
      <c r="D47" s="25">
        <v>40</v>
      </c>
      <c r="E47" s="25" t="s">
        <v>626</v>
      </c>
      <c r="F47" s="25"/>
      <c r="G47" s="25" t="s">
        <v>645</v>
      </c>
      <c r="H47" s="25"/>
    </row>
    <row r="48" ht="42.95" customHeight="1" spans="3:8">
      <c r="C48" s="25" t="s">
        <v>650</v>
      </c>
      <c r="D48" s="25">
        <v>18</v>
      </c>
      <c r="E48" s="25" t="s">
        <v>626</v>
      </c>
      <c r="F48" s="25"/>
      <c r="G48" s="25" t="s">
        <v>645</v>
      </c>
      <c r="H48" s="25"/>
    </row>
    <row r="49" ht="45" customHeight="1" spans="3:8">
      <c r="C49" s="25" t="s">
        <v>651</v>
      </c>
      <c r="D49" s="25">
        <v>11</v>
      </c>
      <c r="E49" s="25" t="s">
        <v>626</v>
      </c>
      <c r="F49" s="25"/>
      <c r="G49" s="25" t="s">
        <v>645</v>
      </c>
      <c r="H49" s="25"/>
    </row>
    <row r="50" spans="3:8">
      <c r="C50" s="25"/>
      <c r="D50" s="25"/>
      <c r="E50" s="54" t="s">
        <v>657</v>
      </c>
      <c r="F50" s="55"/>
      <c r="G50" s="25"/>
      <c r="H50" s="25"/>
    </row>
    <row r="51" spans="3:8">
      <c r="C51" s="24" t="s">
        <v>638</v>
      </c>
      <c r="D51" s="24" t="s">
        <v>639</v>
      </c>
      <c r="E51" s="24" t="s">
        <v>640</v>
      </c>
      <c r="F51" s="24" t="s">
        <v>641</v>
      </c>
      <c r="G51" s="25" t="s">
        <v>645</v>
      </c>
      <c r="H51" s="24" t="s">
        <v>643</v>
      </c>
    </row>
    <row r="52" spans="3:8">
      <c r="C52" s="25" t="s">
        <v>644</v>
      </c>
      <c r="D52" s="25">
        <v>196</v>
      </c>
      <c r="E52" s="25" t="s">
        <v>626</v>
      </c>
      <c r="F52" s="25" t="s">
        <v>626</v>
      </c>
      <c r="G52" s="25" t="s">
        <v>645</v>
      </c>
      <c r="H52" s="25"/>
    </row>
    <row r="53" spans="3:8">
      <c r="C53" s="25" t="s">
        <v>646</v>
      </c>
      <c r="D53" s="25">
        <v>33</v>
      </c>
      <c r="E53" s="25" t="s">
        <v>626</v>
      </c>
      <c r="F53" s="25" t="s">
        <v>626</v>
      </c>
      <c r="G53" s="25" t="s">
        <v>645</v>
      </c>
      <c r="H53" s="25"/>
    </row>
    <row r="54" spans="3:8">
      <c r="C54" s="25" t="s">
        <v>647</v>
      </c>
      <c r="D54" s="25">
        <v>77</v>
      </c>
      <c r="E54" s="25" t="s">
        <v>626</v>
      </c>
      <c r="F54" s="25" t="s">
        <v>626</v>
      </c>
      <c r="G54" s="25" t="s">
        <v>645</v>
      </c>
      <c r="H54" s="25"/>
    </row>
    <row r="55" spans="3:8">
      <c r="C55" s="25" t="s">
        <v>649</v>
      </c>
      <c r="D55" s="25">
        <v>40</v>
      </c>
      <c r="E55" s="25" t="s">
        <v>626</v>
      </c>
      <c r="F55" s="25" t="s">
        <v>626</v>
      </c>
      <c r="G55" s="25" t="s">
        <v>645</v>
      </c>
      <c r="H55" s="25"/>
    </row>
    <row r="56" spans="3:8">
      <c r="C56" s="25" t="s">
        <v>650</v>
      </c>
      <c r="D56" s="25">
        <v>15</v>
      </c>
      <c r="E56" s="25">
        <v>3</v>
      </c>
      <c r="F56" s="25" t="s">
        <v>626</v>
      </c>
      <c r="G56" s="25" t="s">
        <v>645</v>
      </c>
      <c r="H56" s="25"/>
    </row>
    <row r="57" spans="3:8">
      <c r="C57" s="25" t="s">
        <v>651</v>
      </c>
      <c r="D57" s="25">
        <v>11</v>
      </c>
      <c r="E57" s="25" t="s">
        <v>626</v>
      </c>
      <c r="F57" s="25" t="s">
        <v>626</v>
      </c>
      <c r="G57" s="25" t="s">
        <v>645</v>
      </c>
      <c r="H57" s="25"/>
    </row>
    <row r="58" spans="3:8">
      <c r="C58" s="25"/>
      <c r="D58" s="25"/>
      <c r="E58" s="54" t="s">
        <v>658</v>
      </c>
      <c r="F58" s="55"/>
      <c r="G58" s="25"/>
      <c r="H58" s="25"/>
    </row>
    <row r="59" spans="3:8">
      <c r="C59" s="24" t="s">
        <v>638</v>
      </c>
      <c r="D59" s="24" t="s">
        <v>639</v>
      </c>
      <c r="E59" s="24" t="s">
        <v>640</v>
      </c>
      <c r="F59" s="24" t="s">
        <v>641</v>
      </c>
      <c r="G59" s="24" t="s">
        <v>642</v>
      </c>
      <c r="H59" s="24" t="s">
        <v>643</v>
      </c>
    </row>
    <row r="60" spans="3:8">
      <c r="C60" s="25" t="s">
        <v>644</v>
      </c>
      <c r="D60" s="25">
        <v>169</v>
      </c>
      <c r="E60" s="25">
        <v>27</v>
      </c>
      <c r="F60" s="25"/>
      <c r="G60" s="25" t="s">
        <v>645</v>
      </c>
      <c r="H60" s="25"/>
    </row>
    <row r="61" spans="3:8">
      <c r="C61" s="25" t="s">
        <v>646</v>
      </c>
      <c r="D61" s="25">
        <v>29</v>
      </c>
      <c r="E61" s="25">
        <v>4</v>
      </c>
      <c r="F61" s="25"/>
      <c r="G61" s="25" t="s">
        <v>645</v>
      </c>
      <c r="H61" s="25"/>
    </row>
    <row r="62" spans="3:8">
      <c r="C62" s="25" t="s">
        <v>647</v>
      </c>
      <c r="D62" s="25">
        <v>77</v>
      </c>
      <c r="E62" s="25" t="s">
        <v>648</v>
      </c>
      <c r="F62" s="25"/>
      <c r="G62" s="25" t="s">
        <v>645</v>
      </c>
      <c r="H62" s="25"/>
    </row>
    <row r="63" spans="3:8">
      <c r="C63" s="25" t="s">
        <v>649</v>
      </c>
      <c r="D63" s="25">
        <v>40</v>
      </c>
      <c r="E63" s="25" t="s">
        <v>648</v>
      </c>
      <c r="F63" s="25"/>
      <c r="G63" s="25" t="s">
        <v>645</v>
      </c>
      <c r="H63" s="25"/>
    </row>
    <row r="64" spans="3:8">
      <c r="C64" s="25" t="s">
        <v>650</v>
      </c>
      <c r="D64" s="25">
        <v>15</v>
      </c>
      <c r="E64" s="25" t="s">
        <v>648</v>
      </c>
      <c r="F64" s="25"/>
      <c r="G64" s="25" t="s">
        <v>645</v>
      </c>
      <c r="H64" s="25"/>
    </row>
    <row r="65" spans="3:8">
      <c r="C65" s="25" t="s">
        <v>651</v>
      </c>
      <c r="D65" s="25">
        <v>11</v>
      </c>
      <c r="E65" s="25" t="s">
        <v>648</v>
      </c>
      <c r="F65" s="25"/>
      <c r="G65" s="25" t="s">
        <v>645</v>
      </c>
      <c r="H65" s="25"/>
    </row>
  </sheetData>
  <mergeCells count="8">
    <mergeCell ref="B2:H2"/>
    <mergeCell ref="B10:H10"/>
    <mergeCell ref="B18:H18"/>
    <mergeCell ref="E26:F26"/>
    <mergeCell ref="E34:F34"/>
    <mergeCell ref="E42:F42"/>
    <mergeCell ref="E50:F50"/>
    <mergeCell ref="E58:F58"/>
  </mergeCells>
  <pageMargins left="0" right="0" top="0" bottom="0" header="0" footer="0"/>
  <pageSetup paperSize="1" scale="30" orientation="portrait"/>
  <headerFooter/>
  <rowBreaks count="1" manualBreakCount="1">
    <brk id="66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8"/>
  <sheetViews>
    <sheetView tabSelected="1" view="pageBreakPreview" zoomScaleNormal="100" topLeftCell="B1" workbookViewId="0">
      <selection activeCell="E22" sqref="E22:G28"/>
    </sheetView>
  </sheetViews>
  <sheetFormatPr defaultColWidth="9.14285714285714" defaultRowHeight="15"/>
  <cols>
    <col min="4" max="4" width="26" customWidth="1"/>
    <col min="5" max="5" width="31.1428571428571" customWidth="1"/>
    <col min="6" max="6" width="35.7142857142857" customWidth="1"/>
    <col min="7" max="7" width="27" customWidth="1"/>
    <col min="8" max="8" width="29.8571428571429" customWidth="1"/>
  </cols>
  <sheetData>
    <row r="2" ht="51" customHeight="1" spans="1:15">
      <c r="A2" s="3"/>
      <c r="B2" s="4" t="s">
        <v>659</v>
      </c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</row>
    <row r="3" ht="50.1" customHeight="1" spans="3:8">
      <c r="C3" s="24" t="s">
        <v>618</v>
      </c>
      <c r="D3" s="24"/>
      <c r="E3" s="24" t="s">
        <v>660</v>
      </c>
      <c r="F3" s="24" t="s">
        <v>661</v>
      </c>
      <c r="G3" s="24" t="s">
        <v>662</v>
      </c>
      <c r="H3" s="24" t="s">
        <v>663</v>
      </c>
    </row>
    <row r="4" ht="50.1" customHeight="1" spans="3:8">
      <c r="C4" s="47" t="s">
        <v>621</v>
      </c>
      <c r="D4" s="26" t="s">
        <v>664</v>
      </c>
      <c r="F4" s="26"/>
      <c r="G4" s="48">
        <v>0.9556</v>
      </c>
      <c r="H4" s="31"/>
    </row>
    <row r="5" ht="50.1" customHeight="1" spans="3:8">
      <c r="C5" s="49"/>
      <c r="D5" s="26" t="s">
        <v>614</v>
      </c>
      <c r="F5" s="26"/>
      <c r="G5" s="48">
        <v>0.9435</v>
      </c>
      <c r="H5" s="32"/>
    </row>
    <row r="6" ht="50.1" customHeight="1" spans="3:8">
      <c r="C6" s="25"/>
      <c r="D6" s="26"/>
      <c r="E6" s="26"/>
      <c r="F6" s="26"/>
      <c r="G6" s="26"/>
      <c r="H6" s="26"/>
    </row>
    <row r="7" ht="50.1" customHeight="1" spans="3:8">
      <c r="C7" s="47" t="s">
        <v>665</v>
      </c>
      <c r="D7" s="26" t="s">
        <v>664</v>
      </c>
      <c r="E7" s="48">
        <v>0.9556</v>
      </c>
      <c r="G7" s="48">
        <v>0.9444</v>
      </c>
      <c r="H7" s="31"/>
    </row>
    <row r="8" ht="50.1" customHeight="1" spans="3:8">
      <c r="C8" s="49"/>
      <c r="D8" s="26" t="s">
        <v>614</v>
      </c>
      <c r="E8" s="48">
        <v>0.9435</v>
      </c>
      <c r="G8" s="48">
        <v>0.9962</v>
      </c>
      <c r="H8" s="32"/>
    </row>
    <row r="9" ht="50.1" customHeight="1" spans="3:8">
      <c r="C9" s="25"/>
      <c r="D9" s="26"/>
      <c r="E9" s="26"/>
      <c r="F9" s="26"/>
      <c r="G9" s="26"/>
      <c r="H9" s="26"/>
    </row>
    <row r="10" ht="50.1" customHeight="1" spans="3:8">
      <c r="C10" s="47" t="s">
        <v>630</v>
      </c>
      <c r="D10" s="26" t="s">
        <v>664</v>
      </c>
      <c r="E10" s="48">
        <v>0.9444</v>
      </c>
      <c r="F10" s="26"/>
      <c r="G10" s="48">
        <v>0.9274</v>
      </c>
      <c r="H10" s="31"/>
    </row>
    <row r="11" ht="50.1" customHeight="1" spans="3:8">
      <c r="C11" s="49"/>
      <c r="D11" s="26" t="s">
        <v>614</v>
      </c>
      <c r="E11" s="48">
        <v>0.9962</v>
      </c>
      <c r="F11" s="26"/>
      <c r="G11" s="48">
        <v>0.9919</v>
      </c>
      <c r="H11" s="32"/>
    </row>
    <row r="12" ht="50.1" customHeight="1" spans="3:8">
      <c r="C12" s="50"/>
      <c r="D12" s="26"/>
      <c r="E12" s="26"/>
      <c r="F12" s="26"/>
      <c r="G12" s="26"/>
      <c r="H12" s="51"/>
    </row>
    <row r="13" ht="50.1" customHeight="1" spans="3:8">
      <c r="C13" s="47" t="s">
        <v>631</v>
      </c>
      <c r="D13" s="26" t="s">
        <v>664</v>
      </c>
      <c r="E13" s="48">
        <v>0.9274</v>
      </c>
      <c r="F13" s="26"/>
      <c r="G13" s="48">
        <v>0.941</v>
      </c>
      <c r="H13" s="31"/>
    </row>
    <row r="14" ht="50.1" customHeight="1" spans="3:8">
      <c r="C14" s="49"/>
      <c r="D14" s="26" t="s">
        <v>614</v>
      </c>
      <c r="E14" s="48">
        <v>0.9919</v>
      </c>
      <c r="F14" s="26"/>
      <c r="G14" s="48">
        <v>0.9919</v>
      </c>
      <c r="H14" s="32"/>
    </row>
    <row r="15" ht="50.1" customHeight="1" spans="3:8">
      <c r="C15" s="25"/>
      <c r="D15" s="26"/>
      <c r="E15" s="26"/>
      <c r="F15" s="26"/>
      <c r="G15" s="26"/>
      <c r="H15" s="26"/>
    </row>
    <row r="16" ht="50.1" customHeight="1" spans="3:8">
      <c r="C16" s="47" t="s">
        <v>632</v>
      </c>
      <c r="D16" s="26" t="s">
        <v>664</v>
      </c>
      <c r="E16" s="48">
        <v>0.941</v>
      </c>
      <c r="F16" s="26"/>
      <c r="G16" s="48">
        <v>0.928</v>
      </c>
      <c r="H16" s="31"/>
    </row>
    <row r="17" ht="50.1" customHeight="1" spans="3:8">
      <c r="C17" s="49"/>
      <c r="D17" s="26" t="s">
        <v>614</v>
      </c>
      <c r="E17" s="48">
        <v>0.9919</v>
      </c>
      <c r="F17" s="26"/>
      <c r="G17" s="48">
        <v>0.9919</v>
      </c>
      <c r="H17" s="32"/>
    </row>
    <row r="18" ht="50.1" customHeight="1" spans="3:8">
      <c r="C18" s="25"/>
      <c r="D18" s="26"/>
      <c r="E18" s="26"/>
      <c r="F18" s="26"/>
      <c r="G18" s="26"/>
      <c r="H18" s="26"/>
    </row>
    <row r="19" ht="50.1" customHeight="1" spans="3:8">
      <c r="C19" s="47" t="s">
        <v>633</v>
      </c>
      <c r="D19" s="26" t="s">
        <v>664</v>
      </c>
      <c r="E19" s="48">
        <v>0.928</v>
      </c>
      <c r="F19" s="26"/>
      <c r="G19" s="48">
        <v>0.9462</v>
      </c>
      <c r="H19" s="31"/>
    </row>
    <row r="20" ht="50.1" customHeight="1" spans="3:8">
      <c r="C20" s="49"/>
      <c r="D20" s="26" t="s">
        <v>614</v>
      </c>
      <c r="E20" s="48">
        <v>0.9919</v>
      </c>
      <c r="F20" s="26"/>
      <c r="G20" s="48">
        <v>0.9919</v>
      </c>
      <c r="H20" s="32"/>
    </row>
    <row r="21" ht="50.1" customHeight="1" spans="3:8">
      <c r="C21" s="25"/>
      <c r="D21" s="26"/>
      <c r="E21" s="26"/>
      <c r="F21" s="26"/>
      <c r="G21" s="26"/>
      <c r="H21" s="26"/>
    </row>
    <row r="22" ht="50.1" customHeight="1" spans="3:8">
      <c r="C22" s="47" t="s">
        <v>634</v>
      </c>
      <c r="D22" s="26" t="s">
        <v>664</v>
      </c>
      <c r="E22" s="48">
        <v>0.928</v>
      </c>
      <c r="F22" s="26"/>
      <c r="G22" s="48">
        <v>0.9354</v>
      </c>
      <c r="H22" s="31"/>
    </row>
    <row r="23" ht="50.1" customHeight="1" spans="3:8">
      <c r="C23" s="49"/>
      <c r="D23" s="26" t="s">
        <v>614</v>
      </c>
      <c r="E23" s="48">
        <v>0.9919</v>
      </c>
      <c r="F23" s="26"/>
      <c r="G23" s="52">
        <v>0.98</v>
      </c>
      <c r="H23" s="32"/>
    </row>
    <row r="24" ht="50.1" customHeight="1" spans="3:8">
      <c r="C24" s="25"/>
      <c r="D24" s="26"/>
      <c r="E24" s="26"/>
      <c r="F24" s="26"/>
      <c r="G24" s="26"/>
      <c r="H24" s="26"/>
    </row>
    <row r="25" ht="50.1" customHeight="1" spans="3:8">
      <c r="C25" s="47" t="s">
        <v>635</v>
      </c>
      <c r="D25" s="26" t="s">
        <v>664</v>
      </c>
      <c r="E25" s="48">
        <v>0.8854</v>
      </c>
      <c r="F25" s="26"/>
      <c r="G25" s="48">
        <v>0.889</v>
      </c>
      <c r="H25" s="31"/>
    </row>
    <row r="26" ht="50.1" customHeight="1" spans="3:8">
      <c r="C26" s="49"/>
      <c r="D26" s="26" t="s">
        <v>614</v>
      </c>
      <c r="E26" s="52">
        <v>0.98</v>
      </c>
      <c r="F26" s="26"/>
      <c r="G26" s="48">
        <v>0.9919</v>
      </c>
      <c r="H26" s="32"/>
    </row>
    <row r="27" ht="36.75" customHeight="1" spans="3:8">
      <c r="C27" s="53" t="s">
        <v>636</v>
      </c>
      <c r="D27" s="26" t="s">
        <v>664</v>
      </c>
      <c r="E27" s="48">
        <v>0.875</v>
      </c>
      <c r="F27" s="26"/>
      <c r="G27" s="48">
        <v>0.879</v>
      </c>
      <c r="H27" s="31"/>
    </row>
    <row r="28" ht="24" customHeight="1" spans="3:8">
      <c r="C28" s="49"/>
      <c r="D28" s="26" t="s">
        <v>614</v>
      </c>
      <c r="E28" s="52">
        <v>0.98</v>
      </c>
      <c r="F28" s="26"/>
      <c r="G28" s="48">
        <v>0.9919</v>
      </c>
      <c r="H28" s="32"/>
    </row>
  </sheetData>
  <mergeCells count="19">
    <mergeCell ref="B2:H2"/>
    <mergeCell ref="C4:C5"/>
    <mergeCell ref="C7:C8"/>
    <mergeCell ref="C10:C11"/>
    <mergeCell ref="C13:C14"/>
    <mergeCell ref="C16:C17"/>
    <mergeCell ref="C19:C20"/>
    <mergeCell ref="C22:C23"/>
    <mergeCell ref="C25:C26"/>
    <mergeCell ref="C27:C28"/>
    <mergeCell ref="H4:H5"/>
    <mergeCell ref="H7:H8"/>
    <mergeCell ref="H10:H11"/>
    <mergeCell ref="H13:H14"/>
    <mergeCell ref="H16:H17"/>
    <mergeCell ref="H19:H20"/>
    <mergeCell ref="H22:H23"/>
    <mergeCell ref="H25:H26"/>
    <mergeCell ref="H27:H28"/>
  </mergeCells>
  <pageMargins left="0" right="0" top="0" bottom="0" header="0" footer="0"/>
  <pageSetup paperSize="1" scale="55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49"/>
  <sheetViews>
    <sheetView view="pageBreakPreview" zoomScaleNormal="100" topLeftCell="A28" workbookViewId="0">
      <selection activeCell="G45" sqref="G45"/>
    </sheetView>
  </sheetViews>
  <sheetFormatPr defaultColWidth="9.14285714285714" defaultRowHeight="34.5" customHeight="1"/>
  <cols>
    <col min="1" max="3" width="9.14285714285714" style="2"/>
    <col min="4" max="4" width="27.5714285714286" style="2" customWidth="1"/>
    <col min="5" max="5" width="31.1428571428571" style="2" customWidth="1"/>
    <col min="6" max="6" width="35.7142857142857" style="2" customWidth="1"/>
    <col min="7" max="7" width="27" style="2" customWidth="1"/>
    <col min="8" max="16384" width="9.14285714285714" style="2"/>
  </cols>
  <sheetData>
    <row r="2" customHeight="1" spans="2:7">
      <c r="B2" s="4" t="s">
        <v>666</v>
      </c>
      <c r="C2" s="4"/>
      <c r="D2" s="4"/>
      <c r="E2" s="4"/>
      <c r="F2" s="4"/>
      <c r="G2" s="4"/>
    </row>
    <row r="3" customHeight="1" spans="2:7">
      <c r="B3" s="4"/>
      <c r="C3" s="35" t="s">
        <v>621</v>
      </c>
      <c r="D3" s="24" t="s">
        <v>667</v>
      </c>
      <c r="E3" s="24"/>
      <c r="F3" s="24"/>
      <c r="G3" s="24"/>
    </row>
    <row r="4" customHeight="1" spans="2:7">
      <c r="B4" s="4"/>
      <c r="C4" s="36"/>
      <c r="D4" s="37" t="s">
        <v>668</v>
      </c>
      <c r="E4" s="24" t="s">
        <v>669</v>
      </c>
      <c r="F4" s="24"/>
      <c r="G4" s="38">
        <v>45519</v>
      </c>
    </row>
    <row r="5" customHeight="1" spans="3:7">
      <c r="C5" s="36"/>
      <c r="D5" s="24" t="s">
        <v>670</v>
      </c>
      <c r="E5" s="24" t="s">
        <v>669</v>
      </c>
      <c r="F5" s="24"/>
      <c r="G5" s="38">
        <v>45525</v>
      </c>
    </row>
    <row r="6" customHeight="1" spans="3:7">
      <c r="C6" s="36"/>
      <c r="D6" s="24" t="s">
        <v>671</v>
      </c>
      <c r="E6" s="24" t="s">
        <v>672</v>
      </c>
      <c r="F6" s="24"/>
      <c r="G6" s="24" t="s">
        <v>672</v>
      </c>
    </row>
    <row r="7" customHeight="1" spans="3:7">
      <c r="C7" s="39"/>
      <c r="D7" s="24" t="s">
        <v>673</v>
      </c>
      <c r="E7" s="24"/>
      <c r="F7" s="24"/>
      <c r="G7" s="24"/>
    </row>
    <row r="8" customHeight="1" spans="3:7">
      <c r="C8" s="35" t="s">
        <v>665</v>
      </c>
      <c r="D8" s="37" t="s">
        <v>674</v>
      </c>
      <c r="E8" s="24" t="s">
        <v>672</v>
      </c>
      <c r="F8" s="24"/>
      <c r="G8" s="24" t="s">
        <v>672</v>
      </c>
    </row>
    <row r="9" customHeight="1" spans="3:7">
      <c r="C9" s="36"/>
      <c r="D9" s="24" t="s">
        <v>675</v>
      </c>
      <c r="E9" s="24" t="s">
        <v>669</v>
      </c>
      <c r="F9" s="24"/>
      <c r="G9" s="38">
        <v>45541</v>
      </c>
    </row>
    <row r="10" customHeight="1" spans="3:10">
      <c r="C10" s="36"/>
      <c r="D10" s="24" t="s">
        <v>671</v>
      </c>
      <c r="E10" s="24" t="s">
        <v>672</v>
      </c>
      <c r="F10" s="24"/>
      <c r="G10" s="24" t="s">
        <v>672</v>
      </c>
      <c r="J10" s="2" t="s">
        <v>676</v>
      </c>
    </row>
    <row r="11" customHeight="1" spans="3:7">
      <c r="C11" s="39"/>
      <c r="D11" s="24" t="s">
        <v>677</v>
      </c>
      <c r="E11" s="24" t="s">
        <v>669</v>
      </c>
      <c r="F11" s="24"/>
      <c r="G11" s="24"/>
    </row>
    <row r="12" customHeight="1" spans="3:7">
      <c r="C12" s="35" t="s">
        <v>630</v>
      </c>
      <c r="D12" s="37" t="s">
        <v>674</v>
      </c>
      <c r="E12" s="24"/>
      <c r="F12" s="24"/>
      <c r="G12" s="24"/>
    </row>
    <row r="13" customHeight="1" spans="3:7">
      <c r="C13" s="36"/>
      <c r="D13" s="24" t="s">
        <v>678</v>
      </c>
      <c r="E13" s="24" t="s">
        <v>669</v>
      </c>
      <c r="F13" s="24"/>
      <c r="G13" s="38">
        <v>45572</v>
      </c>
    </row>
    <row r="14" customHeight="1" spans="3:7">
      <c r="C14" s="36"/>
      <c r="D14" s="24" t="s">
        <v>679</v>
      </c>
      <c r="E14" s="24" t="s">
        <v>669</v>
      </c>
      <c r="F14" s="24"/>
      <c r="G14" s="38">
        <v>45579</v>
      </c>
    </row>
    <row r="15" customHeight="1" spans="3:7">
      <c r="C15" s="39"/>
      <c r="D15" s="24" t="s">
        <v>671</v>
      </c>
      <c r="E15" s="24" t="s">
        <v>680</v>
      </c>
      <c r="F15" s="24"/>
      <c r="G15" s="24" t="s">
        <v>680</v>
      </c>
    </row>
    <row r="16" customHeight="1" spans="3:7">
      <c r="C16" s="35" t="s">
        <v>631</v>
      </c>
      <c r="D16" s="37" t="s">
        <v>674</v>
      </c>
      <c r="E16" s="24" t="s">
        <v>680</v>
      </c>
      <c r="F16" s="24"/>
      <c r="G16" s="24" t="s">
        <v>680</v>
      </c>
    </row>
    <row r="17" customHeight="1" spans="3:7">
      <c r="C17" s="36"/>
      <c r="D17" s="24" t="s">
        <v>681</v>
      </c>
      <c r="E17" s="24" t="s">
        <v>669</v>
      </c>
      <c r="F17" s="24"/>
      <c r="G17" s="38">
        <v>45607</v>
      </c>
    </row>
    <row r="18" customHeight="1" spans="3:7">
      <c r="C18" s="36"/>
      <c r="D18" s="24" t="s">
        <v>682</v>
      </c>
      <c r="E18" s="24" t="s">
        <v>669</v>
      </c>
      <c r="F18" s="24"/>
      <c r="G18" s="38">
        <v>45614</v>
      </c>
    </row>
    <row r="19" customHeight="1" spans="3:7">
      <c r="C19" s="39"/>
      <c r="D19" s="24" t="s">
        <v>671</v>
      </c>
      <c r="E19" s="24" t="s">
        <v>680</v>
      </c>
      <c r="F19" s="24"/>
      <c r="G19" s="24" t="s">
        <v>680</v>
      </c>
    </row>
    <row r="20" customHeight="1" spans="3:7">
      <c r="C20" s="35" t="s">
        <v>632</v>
      </c>
      <c r="D20" s="37" t="s">
        <v>674</v>
      </c>
      <c r="E20" s="24" t="s">
        <v>680</v>
      </c>
      <c r="F20" s="24"/>
      <c r="G20" s="24" t="s">
        <v>680</v>
      </c>
    </row>
    <row r="21" customHeight="1" spans="3:7">
      <c r="C21" s="36"/>
      <c r="D21" s="24" t="s">
        <v>683</v>
      </c>
      <c r="E21" s="24" t="s">
        <v>669</v>
      </c>
      <c r="F21" s="24"/>
      <c r="G21" s="38">
        <v>45630</v>
      </c>
    </row>
    <row r="22" customHeight="1" spans="3:7">
      <c r="C22" s="36"/>
      <c r="D22" s="24" t="s">
        <v>684</v>
      </c>
      <c r="E22" s="24" t="s">
        <v>669</v>
      </c>
      <c r="F22" s="24"/>
      <c r="G22" s="38">
        <v>45635</v>
      </c>
    </row>
    <row r="23" customHeight="1" spans="3:7">
      <c r="C23" s="36"/>
      <c r="D23" s="24" t="s">
        <v>685</v>
      </c>
      <c r="E23" s="24" t="s">
        <v>686</v>
      </c>
      <c r="F23" s="24"/>
      <c r="G23" s="38">
        <v>45637</v>
      </c>
    </row>
    <row r="24" customHeight="1" spans="3:7">
      <c r="C24" s="39"/>
      <c r="D24" s="24" t="s">
        <v>687</v>
      </c>
      <c r="E24" s="24" t="s">
        <v>672</v>
      </c>
      <c r="F24" s="24"/>
      <c r="G24" s="24" t="s">
        <v>672</v>
      </c>
    </row>
    <row r="25" customHeight="1" spans="3:7">
      <c r="C25" s="35" t="s">
        <v>633</v>
      </c>
      <c r="D25" s="24" t="s">
        <v>688</v>
      </c>
      <c r="E25" s="24"/>
      <c r="F25" s="24"/>
      <c r="G25" s="24"/>
    </row>
    <row r="26" customHeight="1" spans="3:7">
      <c r="C26" s="36"/>
      <c r="D26" s="37" t="s">
        <v>689</v>
      </c>
      <c r="E26" s="37" t="s">
        <v>690</v>
      </c>
      <c r="F26" s="24"/>
      <c r="G26" s="38">
        <v>45299</v>
      </c>
    </row>
    <row r="27" customHeight="1" spans="3:7">
      <c r="C27" s="36"/>
      <c r="D27" s="37" t="s">
        <v>691</v>
      </c>
      <c r="E27" s="24" t="s">
        <v>669</v>
      </c>
      <c r="F27" s="24"/>
      <c r="G27" s="38">
        <v>45297</v>
      </c>
    </row>
    <row r="28" customHeight="1" spans="3:7">
      <c r="C28" s="39"/>
      <c r="D28" s="37" t="s">
        <v>671</v>
      </c>
      <c r="E28" s="24" t="s">
        <v>672</v>
      </c>
      <c r="F28" s="24"/>
      <c r="G28" s="24" t="s">
        <v>672</v>
      </c>
    </row>
    <row r="29" customHeight="1" spans="3:7">
      <c r="C29" s="35" t="s">
        <v>634</v>
      </c>
      <c r="D29" s="37" t="s">
        <v>674</v>
      </c>
      <c r="E29" s="24" t="s">
        <v>672</v>
      </c>
      <c r="F29" s="24"/>
      <c r="G29" s="24" t="s">
        <v>672</v>
      </c>
    </row>
    <row r="30" customHeight="1" spans="3:7">
      <c r="C30" s="36"/>
      <c r="D30" s="24" t="s">
        <v>687</v>
      </c>
      <c r="E30" s="24" t="s">
        <v>669</v>
      </c>
      <c r="F30" s="24"/>
      <c r="G30" s="24" t="s">
        <v>692</v>
      </c>
    </row>
    <row r="31" customHeight="1" spans="3:7">
      <c r="C31" s="36"/>
      <c r="D31" s="24" t="s">
        <v>693</v>
      </c>
      <c r="E31" s="24" t="s">
        <v>669</v>
      </c>
      <c r="F31" s="24"/>
      <c r="G31" s="38">
        <v>45338</v>
      </c>
    </row>
    <row r="32" customHeight="1" spans="3:7">
      <c r="C32" s="39"/>
      <c r="D32" s="24" t="s">
        <v>671</v>
      </c>
      <c r="E32" s="24" t="s">
        <v>672</v>
      </c>
      <c r="F32" s="24"/>
      <c r="G32" s="24" t="s">
        <v>672</v>
      </c>
    </row>
    <row r="33" customHeight="1" spans="3:7">
      <c r="C33" s="35" t="s">
        <v>635</v>
      </c>
      <c r="D33" s="37" t="s">
        <v>674</v>
      </c>
      <c r="E33" s="24" t="s">
        <v>672</v>
      </c>
      <c r="F33" s="24"/>
      <c r="G33" s="24" t="s">
        <v>672</v>
      </c>
    </row>
    <row r="34" customHeight="1" spans="3:7">
      <c r="C34" s="39"/>
      <c r="D34" s="24" t="s">
        <v>671</v>
      </c>
      <c r="E34" s="24" t="s">
        <v>686</v>
      </c>
      <c r="F34" s="24"/>
      <c r="G34" s="38">
        <v>45376</v>
      </c>
    </row>
    <row r="35" customHeight="1" spans="3:7">
      <c r="C35" s="35" t="s">
        <v>694</v>
      </c>
      <c r="D35" s="40" t="s">
        <v>674</v>
      </c>
      <c r="E35" s="41" t="s">
        <v>686</v>
      </c>
      <c r="F35" s="41"/>
      <c r="G35" s="42">
        <v>45383</v>
      </c>
    </row>
    <row r="36" customHeight="1" spans="3:7">
      <c r="C36" s="39"/>
      <c r="D36" s="24" t="s">
        <v>695</v>
      </c>
      <c r="E36" s="24" t="s">
        <v>686</v>
      </c>
      <c r="F36" s="24"/>
      <c r="G36" s="38">
        <v>45400</v>
      </c>
    </row>
    <row r="48" s="2" customFormat="1" customHeight="1" spans="3:7">
      <c r="C48" s="43"/>
      <c r="D48" s="44"/>
      <c r="E48" s="45"/>
      <c r="F48" s="45"/>
      <c r="G48" s="46"/>
    </row>
    <row r="49" s="2" customFormat="1" customHeight="1" spans="3:7">
      <c r="C49" s="43"/>
      <c r="D49" s="44"/>
      <c r="E49" s="45"/>
      <c r="F49" s="45"/>
      <c r="G49" s="46"/>
    </row>
  </sheetData>
  <mergeCells count="10">
    <mergeCell ref="B2:G2"/>
    <mergeCell ref="C3:C7"/>
    <mergeCell ref="C8:C11"/>
    <mergeCell ref="C12:C15"/>
    <mergeCell ref="C16:C19"/>
    <mergeCell ref="C20:C24"/>
    <mergeCell ref="C25:C28"/>
    <mergeCell ref="C29:C32"/>
    <mergeCell ref="C33:C34"/>
    <mergeCell ref="C35:C36"/>
  </mergeCells>
  <pageMargins left="0" right="0" top="0" bottom="0" header="0" footer="0"/>
  <pageSetup paperSize="1" scale="48" orientation="portrait"/>
  <headerFooter/>
  <rowBreaks count="1" manualBreakCount="1">
    <brk id="51" max="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5"/>
  <sheetViews>
    <sheetView view="pageBreakPreview" zoomScaleNormal="100" workbookViewId="0">
      <selection activeCell="I11" sqref="I11"/>
    </sheetView>
  </sheetViews>
  <sheetFormatPr defaultColWidth="9.14285714285714" defaultRowHeight="15"/>
  <cols>
    <col min="4" max="4" width="26" customWidth="1"/>
    <col min="5" max="5" width="31.1428571428571" customWidth="1"/>
    <col min="6" max="6" width="26.8571428571429" customWidth="1"/>
    <col min="7" max="7" width="31.8571428571429" customWidth="1"/>
  </cols>
  <sheetData>
    <row r="2" ht="51" customHeight="1" spans="1:14">
      <c r="A2" s="3"/>
      <c r="B2" s="16" t="s">
        <v>696</v>
      </c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</row>
    <row r="3" ht="50.1" customHeight="1" spans="3:7">
      <c r="C3" s="24" t="s">
        <v>638</v>
      </c>
      <c r="D3" s="24" t="s">
        <v>697</v>
      </c>
      <c r="E3" s="24" t="s">
        <v>698</v>
      </c>
      <c r="F3" s="24" t="s">
        <v>699</v>
      </c>
      <c r="G3" s="24" t="s">
        <v>700</v>
      </c>
    </row>
    <row r="4" ht="50.1" customHeight="1" spans="3:7">
      <c r="C4" s="25" t="s">
        <v>644</v>
      </c>
      <c r="D4" s="26">
        <v>113</v>
      </c>
      <c r="E4" s="26">
        <v>98</v>
      </c>
      <c r="F4" s="26">
        <v>211</v>
      </c>
      <c r="G4" s="27">
        <f>SUM(F4)</f>
        <v>211</v>
      </c>
    </row>
    <row r="5" ht="50.1" customHeight="1" spans="3:7">
      <c r="C5" s="25" t="s">
        <v>646</v>
      </c>
      <c r="D5" s="26">
        <v>17</v>
      </c>
      <c r="E5" s="26">
        <v>20</v>
      </c>
      <c r="F5" s="26">
        <v>37</v>
      </c>
      <c r="G5" s="28">
        <f>(F5+F6+F7+F8+F9)</f>
        <v>157</v>
      </c>
    </row>
    <row r="6" ht="50.1" customHeight="1" spans="3:7">
      <c r="C6" s="25" t="s">
        <v>647</v>
      </c>
      <c r="D6" s="26">
        <v>24</v>
      </c>
      <c r="E6" s="26">
        <v>37</v>
      </c>
      <c r="F6" s="26">
        <v>61</v>
      </c>
      <c r="G6" s="29"/>
    </row>
    <row r="7" ht="50.1" customHeight="1" spans="3:7">
      <c r="C7" s="25" t="s">
        <v>649</v>
      </c>
      <c r="D7" s="26">
        <v>16</v>
      </c>
      <c r="E7" s="26">
        <v>13</v>
      </c>
      <c r="F7" s="26">
        <v>29</v>
      </c>
      <c r="G7" s="29"/>
    </row>
    <row r="8" ht="50.1" customHeight="1" spans="3:7">
      <c r="C8" s="25" t="s">
        <v>650</v>
      </c>
      <c r="D8" s="26">
        <v>13</v>
      </c>
      <c r="E8" s="26">
        <v>6</v>
      </c>
      <c r="F8" s="26">
        <v>19</v>
      </c>
      <c r="G8" s="29"/>
    </row>
    <row r="9" ht="50.1" customHeight="1" spans="3:7">
      <c r="C9" s="25" t="s">
        <v>651</v>
      </c>
      <c r="D9" s="26">
        <v>5</v>
      </c>
      <c r="E9" s="26">
        <v>6</v>
      </c>
      <c r="F9" s="26">
        <f>SUM(D9:E9)</f>
        <v>11</v>
      </c>
      <c r="G9" s="30"/>
    </row>
    <row r="10" ht="50.1" customHeight="1" spans="3:7">
      <c r="C10" s="25" t="s">
        <v>701</v>
      </c>
      <c r="D10" s="26"/>
      <c r="E10" s="26"/>
      <c r="F10" s="26"/>
      <c r="G10" s="28"/>
    </row>
    <row r="11" ht="50.1" customHeight="1" spans="3:7">
      <c r="C11" s="25" t="s">
        <v>702</v>
      </c>
      <c r="D11" s="26"/>
      <c r="E11" s="26"/>
      <c r="F11" s="26"/>
      <c r="G11" s="29"/>
    </row>
    <row r="12" ht="50.1" customHeight="1" spans="3:7">
      <c r="C12" s="25" t="s">
        <v>703</v>
      </c>
      <c r="D12" s="26"/>
      <c r="E12" s="26"/>
      <c r="F12" s="26"/>
      <c r="G12" s="30"/>
    </row>
    <row r="13" ht="50.1" customHeight="1" spans="3:7">
      <c r="C13" s="25" t="s">
        <v>704</v>
      </c>
      <c r="D13" s="26"/>
      <c r="E13" s="26"/>
      <c r="F13" s="26"/>
      <c r="G13" s="31"/>
    </row>
    <row r="14" ht="50.1" customHeight="1" spans="3:7">
      <c r="C14" s="25" t="s">
        <v>705</v>
      </c>
      <c r="D14" s="26"/>
      <c r="E14" s="26"/>
      <c r="F14" s="26"/>
      <c r="G14" s="32"/>
    </row>
    <row r="15" ht="50.1" customHeight="1" spans="3:7">
      <c r="C15" s="33" t="s">
        <v>699</v>
      </c>
      <c r="D15" s="34">
        <v>188</v>
      </c>
      <c r="E15" s="34">
        <v>180</v>
      </c>
      <c r="F15" s="34">
        <v>368</v>
      </c>
      <c r="G15" s="26"/>
    </row>
  </sheetData>
  <mergeCells count="4">
    <mergeCell ref="B2:G2"/>
    <mergeCell ref="G5:G9"/>
    <mergeCell ref="G10:G12"/>
    <mergeCell ref="G13:G14"/>
  </mergeCells>
  <pageMargins left="0" right="0" top="0" bottom="0" header="0" footer="0"/>
  <pageSetup paperSize="1" scale="5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3"/>
  <sheetViews>
    <sheetView view="pageBreakPreview" zoomScaleNormal="100" topLeftCell="A7" workbookViewId="0">
      <selection activeCell="N35" sqref="N35"/>
    </sheetView>
  </sheetViews>
  <sheetFormatPr defaultColWidth="9.14285714285714" defaultRowHeight="15"/>
  <cols>
    <col min="4" max="12" width="15.7142857142857" customWidth="1"/>
  </cols>
  <sheetData>
    <row r="2" ht="51" customHeight="1" spans="1:15">
      <c r="A2" s="3"/>
      <c r="B2" s="16" t="s">
        <v>706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</row>
    <row r="3" ht="30.95" customHeight="1" spans="1: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</row>
    <row r="4" ht="51" customHeight="1" spans="1:15">
      <c r="A4" s="3"/>
      <c r="B4" s="4"/>
      <c r="C4" s="6" t="s">
        <v>707</v>
      </c>
      <c r="D4" s="17" t="s">
        <v>621</v>
      </c>
      <c r="E4" s="18"/>
      <c r="F4" s="19"/>
      <c r="G4" s="17" t="s">
        <v>665</v>
      </c>
      <c r="H4" s="18"/>
      <c r="I4" s="19"/>
      <c r="J4" s="21" t="s">
        <v>630</v>
      </c>
      <c r="K4" s="22"/>
      <c r="L4" s="23"/>
      <c r="M4" s="3"/>
      <c r="N4" s="3"/>
      <c r="O4" s="3"/>
    </row>
    <row r="5" ht="50.1" customHeight="1" spans="3:12">
      <c r="C5" s="8"/>
      <c r="D5" s="8" t="s">
        <v>697</v>
      </c>
      <c r="E5" s="8" t="s">
        <v>698</v>
      </c>
      <c r="F5" s="8" t="s">
        <v>708</v>
      </c>
      <c r="G5" s="8" t="s">
        <v>697</v>
      </c>
      <c r="H5" s="8" t="s">
        <v>698</v>
      </c>
      <c r="I5" s="8" t="s">
        <v>708</v>
      </c>
      <c r="J5" s="8" t="s">
        <v>697</v>
      </c>
      <c r="K5" s="8" t="s">
        <v>698</v>
      </c>
      <c r="L5" s="8" t="s">
        <v>708</v>
      </c>
    </row>
    <row r="6" ht="50.1" customHeight="1" spans="3:12">
      <c r="C6" s="11" t="s">
        <v>644</v>
      </c>
      <c r="D6" s="20">
        <v>0.64</v>
      </c>
      <c r="E6" s="20">
        <v>0.532</v>
      </c>
      <c r="F6" s="20">
        <f>85/105</f>
        <v>0.80952380952381</v>
      </c>
      <c r="G6" s="20">
        <f>50/59</f>
        <v>0.847457627118644</v>
      </c>
      <c r="H6" s="20">
        <f>(39/46)</f>
        <v>0.847826086956522</v>
      </c>
      <c r="I6" s="20">
        <f>89/105</f>
        <v>0.847619047619048</v>
      </c>
      <c r="J6" s="20">
        <f>(33+24)/(37+28)</f>
        <v>0.876923076923077</v>
      </c>
      <c r="K6" s="20">
        <f>(21+24)/(26+27)</f>
        <v>0.849056603773585</v>
      </c>
      <c r="L6" s="20">
        <f>(57+45)/(55+63)</f>
        <v>0.864406779661017</v>
      </c>
    </row>
    <row r="7" ht="50.1" customHeight="1" spans="3:12">
      <c r="C7" s="11" t="s">
        <v>646</v>
      </c>
      <c r="D7" s="20">
        <f>15/19</f>
        <v>0.789473684210526</v>
      </c>
      <c r="E7" s="20">
        <f>17/21</f>
        <v>0.80952380952381</v>
      </c>
      <c r="F7" s="20">
        <f>32/40</f>
        <v>0.8</v>
      </c>
      <c r="G7" s="20">
        <f>14/19</f>
        <v>0.736842105263158</v>
      </c>
      <c r="H7" s="20">
        <f>17/21</f>
        <v>0.80952380952381</v>
      </c>
      <c r="I7" s="20">
        <f>31/40</f>
        <v>0.775</v>
      </c>
      <c r="J7" s="20">
        <f>21/23</f>
        <v>0.91304347826087</v>
      </c>
      <c r="K7" s="20">
        <f>19/21</f>
        <v>0.904761904761905</v>
      </c>
      <c r="L7" s="20">
        <f>40/44</f>
        <v>0.909090909090909</v>
      </c>
    </row>
    <row r="8" ht="50.1" customHeight="1" spans="3:12">
      <c r="C8" s="11" t="s">
        <v>647</v>
      </c>
      <c r="D8" s="20">
        <f>16/21</f>
        <v>0.761904761904762</v>
      </c>
      <c r="E8" s="20">
        <f>16/20</f>
        <v>0.8</v>
      </c>
      <c r="F8" s="20">
        <f>32/41</f>
        <v>0.780487804878049</v>
      </c>
      <c r="G8" s="20">
        <f>16/21</f>
        <v>0.761904761904762</v>
      </c>
      <c r="H8" s="20">
        <f>15/20</f>
        <v>0.75</v>
      </c>
      <c r="I8" s="20">
        <f>31/41</f>
        <v>0.75609756097561</v>
      </c>
      <c r="J8" s="20">
        <f>22/26</f>
        <v>0.846153846153846</v>
      </c>
      <c r="K8" s="20">
        <f>18/21</f>
        <v>0.857142857142857</v>
      </c>
      <c r="L8" s="20">
        <f>40/47</f>
        <v>0.851063829787234</v>
      </c>
    </row>
    <row r="9" ht="50.1" customHeight="1" spans="3:12">
      <c r="C9" s="11" t="s">
        <v>649</v>
      </c>
      <c r="D9" s="20">
        <f>10/13</f>
        <v>0.769230769230769</v>
      </c>
      <c r="E9" s="20">
        <f>20/26</f>
        <v>0.769230769230769</v>
      </c>
      <c r="F9" s="20">
        <f>30/39</f>
        <v>0.769230769230769</v>
      </c>
      <c r="G9" s="20">
        <f>12/14</f>
        <v>0.857142857142857</v>
      </c>
      <c r="H9" s="20">
        <f>20/26</f>
        <v>0.769230769230769</v>
      </c>
      <c r="I9" s="20">
        <f>32/40</f>
        <v>0.8</v>
      </c>
      <c r="J9" s="20">
        <f>11/13</f>
        <v>0.846153846153846</v>
      </c>
      <c r="K9" s="20">
        <f>25/30</f>
        <v>0.833333333333333</v>
      </c>
      <c r="L9" s="20">
        <f>36/43</f>
        <v>0.837209302325581</v>
      </c>
    </row>
    <row r="10" ht="50.1" customHeight="1" spans="3:12">
      <c r="C10" s="11" t="s">
        <v>650</v>
      </c>
      <c r="D10" s="20">
        <f>18/22</f>
        <v>0.818181818181818</v>
      </c>
      <c r="E10" s="20">
        <f>20/25</f>
        <v>0.8</v>
      </c>
      <c r="F10" s="20">
        <f>38/47</f>
        <v>0.808510638297872</v>
      </c>
      <c r="G10" s="20">
        <f>19/23</f>
        <v>0.826086956521739</v>
      </c>
      <c r="H10" s="20">
        <f>20/25</f>
        <v>0.8</v>
      </c>
      <c r="I10" s="20">
        <f>39/48</f>
        <v>0.8125</v>
      </c>
      <c r="J10" s="20">
        <f>21/24</f>
        <v>0.875</v>
      </c>
      <c r="K10" s="20">
        <f>20/25</f>
        <v>0.8</v>
      </c>
      <c r="L10" s="20">
        <f>41/49</f>
        <v>0.836734693877551</v>
      </c>
    </row>
    <row r="11" ht="50.1" customHeight="1" spans="3:12">
      <c r="C11" s="11" t="s">
        <v>651</v>
      </c>
      <c r="D11" s="20">
        <f>16/21</f>
        <v>0.761904761904762</v>
      </c>
      <c r="E11" s="20">
        <f>20/25</f>
        <v>0.8</v>
      </c>
      <c r="F11" s="20">
        <f>36/41</f>
        <v>0.878048780487805</v>
      </c>
      <c r="G11" s="20">
        <f>12/16</f>
        <v>0.75</v>
      </c>
      <c r="H11" s="20">
        <f>19/25</f>
        <v>0.76</v>
      </c>
      <c r="I11" s="20">
        <f>31/41</f>
        <v>0.75609756097561</v>
      </c>
      <c r="J11" s="20">
        <f>14/16</f>
        <v>0.875</v>
      </c>
      <c r="K11" s="20">
        <f>23/25</f>
        <v>0.92</v>
      </c>
      <c r="L11" s="20">
        <f>37/41</f>
        <v>0.902439024390244</v>
      </c>
    </row>
    <row r="12" ht="15.75"/>
    <row r="13" ht="61.5" customHeight="1" spans="3:12">
      <c r="C13" s="6" t="s">
        <v>707</v>
      </c>
      <c r="D13" s="17" t="s">
        <v>631</v>
      </c>
      <c r="E13" s="18"/>
      <c r="F13" s="19"/>
      <c r="G13" s="17" t="s">
        <v>632</v>
      </c>
      <c r="H13" s="18"/>
      <c r="I13" s="19"/>
      <c r="J13" s="21" t="s">
        <v>633</v>
      </c>
      <c r="K13" s="22"/>
      <c r="L13" s="23"/>
    </row>
    <row r="14" ht="15.75" spans="3:12">
      <c r="C14" s="8"/>
      <c r="D14" s="8" t="s">
        <v>697</v>
      </c>
      <c r="E14" s="8" t="s">
        <v>698</v>
      </c>
      <c r="F14" s="8" t="s">
        <v>708</v>
      </c>
      <c r="G14" s="8" t="s">
        <v>697</v>
      </c>
      <c r="H14" s="8" t="s">
        <v>698</v>
      </c>
      <c r="I14" s="8" t="s">
        <v>708</v>
      </c>
      <c r="J14" s="8" t="s">
        <v>697</v>
      </c>
      <c r="K14" s="8" t="s">
        <v>698</v>
      </c>
      <c r="L14" s="8" t="s">
        <v>708</v>
      </c>
    </row>
    <row r="15" ht="32.25" customHeight="1" spans="3:12">
      <c r="C15" s="11" t="s">
        <v>644</v>
      </c>
      <c r="D15" s="20">
        <f>48/59</f>
        <v>0.813559322033898</v>
      </c>
      <c r="E15" s="20">
        <f>(37)/46</f>
        <v>0.804347826086957</v>
      </c>
      <c r="F15" s="20">
        <f>85/105</f>
        <v>0.80952380952381</v>
      </c>
      <c r="G15" s="20">
        <f>50/59</f>
        <v>0.847457627118644</v>
      </c>
      <c r="H15" s="20">
        <f>(39/46)</f>
        <v>0.847826086956522</v>
      </c>
      <c r="I15" s="20">
        <f>89/105</f>
        <v>0.847619047619048</v>
      </c>
      <c r="J15" s="20">
        <f>(33+24)/(37+28)</f>
        <v>0.876923076923077</v>
      </c>
      <c r="K15" s="20">
        <f>(21+24)/(26+27)</f>
        <v>0.849056603773585</v>
      </c>
      <c r="L15" s="20">
        <f>(57+45)/(55+63)</f>
        <v>0.864406779661017</v>
      </c>
    </row>
    <row r="16" ht="42" customHeight="1" spans="3:12">
      <c r="C16" s="11" t="s">
        <v>646</v>
      </c>
      <c r="D16" s="20">
        <f>15/19</f>
        <v>0.789473684210526</v>
      </c>
      <c r="E16" s="20">
        <f>17/21</f>
        <v>0.80952380952381</v>
      </c>
      <c r="F16" s="20">
        <f>32/40</f>
        <v>0.8</v>
      </c>
      <c r="G16" s="20">
        <f>14/19</f>
        <v>0.736842105263158</v>
      </c>
      <c r="H16" s="20">
        <f>17/21</f>
        <v>0.80952380952381</v>
      </c>
      <c r="I16" s="20">
        <f>31/40</f>
        <v>0.775</v>
      </c>
      <c r="J16" s="20">
        <f>21/23</f>
        <v>0.91304347826087</v>
      </c>
      <c r="K16" s="20">
        <f>19/21</f>
        <v>0.904761904761905</v>
      </c>
      <c r="L16" s="20">
        <f>40/44</f>
        <v>0.909090909090909</v>
      </c>
    </row>
    <row r="17" ht="45" customHeight="1" spans="3:12">
      <c r="C17" s="11" t="s">
        <v>647</v>
      </c>
      <c r="D17" s="20">
        <f>16/21</f>
        <v>0.761904761904762</v>
      </c>
      <c r="E17" s="20">
        <f>16/20</f>
        <v>0.8</v>
      </c>
      <c r="F17" s="20">
        <f>32/41</f>
        <v>0.780487804878049</v>
      </c>
      <c r="G17" s="20">
        <f>16/21</f>
        <v>0.761904761904762</v>
      </c>
      <c r="H17" s="20">
        <f>15/20</f>
        <v>0.75</v>
      </c>
      <c r="I17" s="20">
        <f>31/41</f>
        <v>0.75609756097561</v>
      </c>
      <c r="J17" s="20">
        <f>22/26</f>
        <v>0.846153846153846</v>
      </c>
      <c r="K17" s="20">
        <f>18/21</f>
        <v>0.857142857142857</v>
      </c>
      <c r="L17" s="20">
        <f>40/47</f>
        <v>0.851063829787234</v>
      </c>
    </row>
    <row r="18" ht="51.75" customHeight="1" spans="3:12">
      <c r="C18" s="11" t="s">
        <v>649</v>
      </c>
      <c r="D18" s="20">
        <f>10/13</f>
        <v>0.769230769230769</v>
      </c>
      <c r="E18" s="20">
        <f>20/26</f>
        <v>0.769230769230769</v>
      </c>
      <c r="F18" s="20">
        <f>30/39</f>
        <v>0.769230769230769</v>
      </c>
      <c r="G18" s="20">
        <f>12/14</f>
        <v>0.857142857142857</v>
      </c>
      <c r="H18" s="20">
        <f>20/26</f>
        <v>0.769230769230769</v>
      </c>
      <c r="I18" s="20">
        <f>32/40</f>
        <v>0.8</v>
      </c>
      <c r="J18" s="20">
        <f>11/13</f>
        <v>0.846153846153846</v>
      </c>
      <c r="K18" s="20">
        <f>25/30</f>
        <v>0.833333333333333</v>
      </c>
      <c r="L18" s="20">
        <f>36/43</f>
        <v>0.837209302325581</v>
      </c>
    </row>
    <row r="19" ht="40.5" customHeight="1" spans="3:12">
      <c r="C19" s="11" t="s">
        <v>650</v>
      </c>
      <c r="D19" s="20">
        <f>18/22</f>
        <v>0.818181818181818</v>
      </c>
      <c r="E19" s="20">
        <f>20/25</f>
        <v>0.8</v>
      </c>
      <c r="F19" s="20">
        <f>38/47</f>
        <v>0.808510638297872</v>
      </c>
      <c r="G19" s="20">
        <f>19/23</f>
        <v>0.826086956521739</v>
      </c>
      <c r="H19" s="20">
        <f>20/25</f>
        <v>0.8</v>
      </c>
      <c r="I19" s="20">
        <f>39/48</f>
        <v>0.8125</v>
      </c>
      <c r="J19" s="20">
        <f>21/24</f>
        <v>0.875</v>
      </c>
      <c r="K19" s="20">
        <f>20/25</f>
        <v>0.8</v>
      </c>
      <c r="L19" s="20">
        <f>41/49</f>
        <v>0.836734693877551</v>
      </c>
    </row>
    <row r="20" ht="45.75" customHeight="1" spans="3:12">
      <c r="C20" s="11" t="s">
        <v>651</v>
      </c>
      <c r="D20" s="20">
        <f>16/21</f>
        <v>0.761904761904762</v>
      </c>
      <c r="E20" s="20">
        <f>20/25</f>
        <v>0.8</v>
      </c>
      <c r="F20" s="20">
        <f>36/41</f>
        <v>0.878048780487805</v>
      </c>
      <c r="G20" s="20">
        <f>12/16</f>
        <v>0.75</v>
      </c>
      <c r="H20" s="20">
        <f>19/25</f>
        <v>0.76</v>
      </c>
      <c r="I20" s="20">
        <f>31/41</f>
        <v>0.75609756097561</v>
      </c>
      <c r="J20" s="20">
        <f>14/16</f>
        <v>0.875</v>
      </c>
      <c r="K20" s="20">
        <f>23/25</f>
        <v>0.92</v>
      </c>
      <c r="L20" s="20">
        <f>37/41</f>
        <v>0.902439024390244</v>
      </c>
    </row>
    <row r="25" ht="15.75"/>
    <row r="26" ht="15.75" spans="4:12">
      <c r="D26" s="17" t="s">
        <v>634</v>
      </c>
      <c r="E26" s="18"/>
      <c r="F26" s="19"/>
      <c r="G26" s="21" t="s">
        <v>635</v>
      </c>
      <c r="H26" s="22"/>
      <c r="I26" s="23"/>
      <c r="J26" s="21" t="s">
        <v>636</v>
      </c>
      <c r="K26" s="22"/>
      <c r="L26" s="23"/>
    </row>
    <row r="27" ht="29.25" customHeight="1" spans="4:12">
      <c r="D27" s="8" t="s">
        <v>697</v>
      </c>
      <c r="E27" s="8" t="s">
        <v>698</v>
      </c>
      <c r="F27" s="8" t="s">
        <v>708</v>
      </c>
      <c r="G27" s="8" t="s">
        <v>697</v>
      </c>
      <c r="H27" s="8" t="s">
        <v>698</v>
      </c>
      <c r="I27" s="8" t="s">
        <v>708</v>
      </c>
      <c r="J27" s="8" t="s">
        <v>697</v>
      </c>
      <c r="K27" s="8" t="s">
        <v>698</v>
      </c>
      <c r="L27" s="8" t="s">
        <v>708</v>
      </c>
    </row>
    <row r="28" ht="35.25" customHeight="1" spans="3:12">
      <c r="C28" s="11" t="s">
        <v>644</v>
      </c>
      <c r="D28" s="20">
        <f>50/59</f>
        <v>0.847457627118644</v>
      </c>
      <c r="E28" s="20">
        <f>(39/46)</f>
        <v>0.847826086956522</v>
      </c>
      <c r="F28" s="20">
        <f>89/105</f>
        <v>0.847619047619048</v>
      </c>
      <c r="G28" s="20">
        <f>(33+24)/(37+28)</f>
        <v>0.876923076923077</v>
      </c>
      <c r="H28" s="20">
        <f>(21+24)/(26+27)</f>
        <v>0.849056603773585</v>
      </c>
      <c r="I28" s="20">
        <f>(57+45)/(55+63)</f>
        <v>0.864406779661017</v>
      </c>
      <c r="J28" s="20">
        <v>0.477</v>
      </c>
      <c r="K28" s="20">
        <v>0.551</v>
      </c>
      <c r="L28" s="20">
        <v>0.511</v>
      </c>
    </row>
    <row r="29" ht="33" customHeight="1" spans="3:12">
      <c r="C29" s="11" t="s">
        <v>646</v>
      </c>
      <c r="D29" s="20">
        <f>14/19</f>
        <v>0.736842105263158</v>
      </c>
      <c r="E29" s="20">
        <f>17/21</f>
        <v>0.80952380952381</v>
      </c>
      <c r="F29" s="20">
        <f>31/40</f>
        <v>0.775</v>
      </c>
      <c r="G29" s="20">
        <f>21/23</f>
        <v>0.91304347826087</v>
      </c>
      <c r="H29" s="20">
        <f>19/21</f>
        <v>0.904761904761905</v>
      </c>
      <c r="I29" s="20">
        <f>40/44</f>
        <v>0.909090909090909</v>
      </c>
      <c r="J29" s="20">
        <v>0.705</v>
      </c>
      <c r="K29" s="20">
        <v>0.65</v>
      </c>
      <c r="L29" s="20">
        <v>0.675</v>
      </c>
    </row>
    <row r="30" ht="32.25" customHeight="1" spans="3:12">
      <c r="C30" s="11" t="s">
        <v>647</v>
      </c>
      <c r="D30" s="20">
        <f>16/21</f>
        <v>0.761904761904762</v>
      </c>
      <c r="E30" s="20">
        <f>15/20</f>
        <v>0.75</v>
      </c>
      <c r="F30" s="20">
        <f>31/41</f>
        <v>0.75609756097561</v>
      </c>
      <c r="G30" s="20">
        <f>22/26</f>
        <v>0.846153846153846</v>
      </c>
      <c r="H30" s="20">
        <f>18/21</f>
        <v>0.857142857142857</v>
      </c>
      <c r="I30" s="20">
        <f>40/47</f>
        <v>0.851063829787234</v>
      </c>
      <c r="J30" s="20">
        <v>0.567</v>
      </c>
      <c r="K30" s="20">
        <v>0.375</v>
      </c>
      <c r="L30" s="20">
        <v>0.491</v>
      </c>
    </row>
    <row r="31" ht="29.25" customHeight="1" spans="3:12">
      <c r="C31" s="11" t="s">
        <v>649</v>
      </c>
      <c r="D31" s="20">
        <f>12/14</f>
        <v>0.857142857142857</v>
      </c>
      <c r="E31" s="20">
        <f>20/26</f>
        <v>0.769230769230769</v>
      </c>
      <c r="F31" s="20">
        <f>32/40</f>
        <v>0.8</v>
      </c>
      <c r="G31" s="20">
        <f>11/13</f>
        <v>0.846153846153846</v>
      </c>
      <c r="H31" s="20">
        <f>25/30</f>
        <v>0.833333333333333</v>
      </c>
      <c r="I31" s="20">
        <f>36/43</f>
        <v>0.837209302325581</v>
      </c>
      <c r="J31" s="20">
        <v>0.384</v>
      </c>
      <c r="K31" s="20">
        <v>0.5</v>
      </c>
      <c r="L31" s="20">
        <f>36/43</f>
        <v>0.837209302325581</v>
      </c>
    </row>
    <row r="32" ht="37.5" customHeight="1" spans="3:12">
      <c r="C32" s="11" t="s">
        <v>650</v>
      </c>
      <c r="D32" s="20">
        <f>19/23</f>
        <v>0.826086956521739</v>
      </c>
      <c r="E32" s="20">
        <f>20/25</f>
        <v>0.8</v>
      </c>
      <c r="F32" s="20">
        <f>39/48</f>
        <v>0.8125</v>
      </c>
      <c r="G32" s="20">
        <f>21/24</f>
        <v>0.875</v>
      </c>
      <c r="H32" s="20">
        <f>20/25</f>
        <v>0.8</v>
      </c>
      <c r="I32" s="20">
        <f>41/49</f>
        <v>0.836734693877551</v>
      </c>
      <c r="J32" s="20">
        <v>0.923</v>
      </c>
      <c r="K32" s="20">
        <v>0.666</v>
      </c>
      <c r="L32" s="20">
        <v>0.842</v>
      </c>
    </row>
    <row r="33" ht="38.25" customHeight="1" spans="3:12">
      <c r="C33" s="11" t="s">
        <v>651</v>
      </c>
      <c r="D33" s="20">
        <f>12/16</f>
        <v>0.75</v>
      </c>
      <c r="E33" s="20">
        <f>19/25</f>
        <v>0.76</v>
      </c>
      <c r="F33" s="20">
        <f>31/41</f>
        <v>0.75609756097561</v>
      </c>
      <c r="G33" s="20">
        <f>14/16</f>
        <v>0.875</v>
      </c>
      <c r="H33" s="20">
        <f>23/25</f>
        <v>0.92</v>
      </c>
      <c r="I33" s="20">
        <f>37/41</f>
        <v>0.902439024390244</v>
      </c>
      <c r="J33" s="20">
        <v>0.8</v>
      </c>
      <c r="K33" s="20">
        <v>1</v>
      </c>
      <c r="L33" s="20">
        <v>0.909</v>
      </c>
    </row>
  </sheetData>
  <mergeCells count="10">
    <mergeCell ref="B2:K2"/>
    <mergeCell ref="D4:F4"/>
    <mergeCell ref="G4:I4"/>
    <mergeCell ref="J4:L4"/>
    <mergeCell ref="D13:F13"/>
    <mergeCell ref="G13:I13"/>
    <mergeCell ref="J13:L13"/>
    <mergeCell ref="D26:F26"/>
    <mergeCell ref="G26:I26"/>
    <mergeCell ref="J26:L26"/>
  </mergeCells>
  <pageMargins left="0" right="0" top="0" bottom="0" header="0" footer="0"/>
  <pageSetup paperSize="1" scale="47" orientation="portrait"/>
  <headerFooter/>
  <rowBreaks count="1" manualBreakCount="1">
    <brk id="62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2"/>
  <sheetViews>
    <sheetView view="pageBreakPreview" zoomScaleNormal="100" workbookViewId="0">
      <selection activeCell="H6" sqref="H6"/>
    </sheetView>
  </sheetViews>
  <sheetFormatPr defaultColWidth="9.14285714285714" defaultRowHeight="15"/>
  <cols>
    <col min="2" max="2" width="14.5714285714286" customWidth="1"/>
    <col min="3" max="3" width="17.1428571428571" customWidth="1"/>
    <col min="4" max="4" width="11" customWidth="1"/>
    <col min="5" max="12" width="15.7142857142857" customWidth="1"/>
  </cols>
  <sheetData>
    <row r="2" ht="51" customHeight="1" spans="1:15">
      <c r="A2" s="3"/>
      <c r="B2" s="4" t="s">
        <v>709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</row>
    <row r="3" ht="30.95" customHeight="1" spans="1: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</row>
    <row r="4" ht="50.1" customHeight="1" spans="3:12">
      <c r="C4" s="5"/>
      <c r="D4" s="5" t="s">
        <v>710</v>
      </c>
      <c r="E4" s="5" t="s">
        <v>711</v>
      </c>
      <c r="F4" s="5" t="s">
        <v>351</v>
      </c>
      <c r="G4" s="5" t="s">
        <v>333</v>
      </c>
      <c r="H4" s="5" t="s">
        <v>313</v>
      </c>
      <c r="I4" s="5" t="s">
        <v>316</v>
      </c>
      <c r="J4" s="5" t="s">
        <v>712</v>
      </c>
      <c r="K4" s="5" t="s">
        <v>713</v>
      </c>
      <c r="L4" s="5" t="s">
        <v>714</v>
      </c>
    </row>
    <row r="5" ht="50.1" customHeight="1" spans="2:12">
      <c r="B5" s="2" t="s">
        <v>715</v>
      </c>
      <c r="C5" s="8" t="s">
        <v>704</v>
      </c>
      <c r="D5" s="8"/>
      <c r="E5" s="8"/>
      <c r="F5" s="8"/>
      <c r="G5" s="8"/>
      <c r="H5" s="8"/>
      <c r="I5" s="8"/>
      <c r="J5" s="8"/>
      <c r="K5" s="8"/>
      <c r="L5" s="8"/>
    </row>
    <row r="6" ht="50.1" customHeight="1" spans="2:12">
      <c r="B6" s="2"/>
      <c r="C6" s="8" t="s">
        <v>705</v>
      </c>
      <c r="D6" s="8"/>
      <c r="E6" s="8"/>
      <c r="F6" s="8"/>
      <c r="G6" s="8"/>
      <c r="H6" s="8"/>
      <c r="I6" s="8"/>
      <c r="J6" s="8"/>
      <c r="K6" s="8"/>
      <c r="L6" s="8"/>
    </row>
    <row r="7" ht="50.1" customHeight="1" spans="2:12">
      <c r="B7" s="2" t="s">
        <v>716</v>
      </c>
      <c r="C7" s="11" t="s">
        <v>704</v>
      </c>
      <c r="D7" s="11"/>
      <c r="E7" s="13"/>
      <c r="F7" s="13"/>
      <c r="G7" s="13"/>
      <c r="H7" s="13"/>
      <c r="I7" s="13"/>
      <c r="J7" s="13"/>
      <c r="K7" s="13"/>
      <c r="L7" s="13"/>
    </row>
    <row r="8" ht="50.1" customHeight="1" spans="2:12">
      <c r="B8" s="2"/>
      <c r="C8" s="11" t="s">
        <v>705</v>
      </c>
      <c r="D8" s="11"/>
      <c r="E8" s="13"/>
      <c r="F8" s="13"/>
      <c r="G8" s="13"/>
      <c r="H8" s="13"/>
      <c r="I8" s="13"/>
      <c r="J8" s="13"/>
      <c r="K8" s="13"/>
      <c r="L8" s="13"/>
    </row>
    <row r="9" ht="50.1" customHeight="1" spans="2:12">
      <c r="B9" s="2" t="s">
        <v>717</v>
      </c>
      <c r="C9" s="11" t="s">
        <v>704</v>
      </c>
      <c r="D9" s="11"/>
      <c r="E9" s="13"/>
      <c r="F9" s="13"/>
      <c r="G9" s="13"/>
      <c r="H9" s="13"/>
      <c r="I9" s="13"/>
      <c r="J9" s="13"/>
      <c r="K9" s="13"/>
      <c r="L9" s="13"/>
    </row>
    <row r="10" ht="50.1" customHeight="1" spans="2:12">
      <c r="B10" s="2"/>
      <c r="C10" s="11" t="s">
        <v>705</v>
      </c>
      <c r="D10" s="11"/>
      <c r="E10" s="13"/>
      <c r="F10" s="13"/>
      <c r="G10" s="13"/>
      <c r="H10" s="13"/>
      <c r="I10" s="13"/>
      <c r="J10" s="13"/>
      <c r="K10" s="13"/>
      <c r="L10" s="13"/>
    </row>
    <row r="11" ht="50.1" customHeight="1" spans="2:12">
      <c r="B11" s="2" t="s">
        <v>718</v>
      </c>
      <c r="C11" s="11" t="s">
        <v>704</v>
      </c>
      <c r="D11" s="11"/>
      <c r="E11" s="13"/>
      <c r="F11" s="13"/>
      <c r="G11" s="13"/>
      <c r="H11" s="13"/>
      <c r="I11" s="13"/>
      <c r="J11" s="13"/>
      <c r="K11" s="13"/>
      <c r="L11" s="13"/>
    </row>
    <row r="12" ht="50.1" customHeight="1" spans="2:12">
      <c r="B12" s="2"/>
      <c r="C12" s="11" t="s">
        <v>705</v>
      </c>
      <c r="D12" s="11"/>
      <c r="E12" s="13"/>
      <c r="F12" s="13"/>
      <c r="G12" s="13"/>
      <c r="H12" s="13"/>
      <c r="I12" s="13"/>
      <c r="J12" s="13"/>
      <c r="K12" s="13"/>
      <c r="L12" s="13"/>
    </row>
    <row r="13" ht="50.1" customHeight="1" spans="2:12">
      <c r="B13" s="2" t="s">
        <v>719</v>
      </c>
      <c r="C13" s="11" t="s">
        <v>704</v>
      </c>
      <c r="D13" s="11"/>
      <c r="E13" s="13"/>
      <c r="F13" s="13"/>
      <c r="G13" s="13"/>
      <c r="H13" s="13"/>
      <c r="I13" s="13"/>
      <c r="J13" s="13"/>
      <c r="K13" s="13"/>
      <c r="L13" s="13"/>
    </row>
    <row r="14" ht="50.1" customHeight="1" spans="2:12">
      <c r="B14" s="2"/>
      <c r="C14" s="11" t="s">
        <v>705</v>
      </c>
      <c r="D14" s="11"/>
      <c r="E14" s="13"/>
      <c r="F14" s="13"/>
      <c r="G14" s="13"/>
      <c r="H14" s="13"/>
      <c r="I14" s="13"/>
      <c r="J14" s="13"/>
      <c r="K14" s="13"/>
      <c r="L14" s="13"/>
    </row>
    <row r="15" ht="50.1" customHeight="1" spans="2:12">
      <c r="B15" s="2" t="s">
        <v>720</v>
      </c>
      <c r="C15" s="11" t="s">
        <v>704</v>
      </c>
      <c r="D15" s="11"/>
      <c r="E15" s="13"/>
      <c r="F15" s="13"/>
      <c r="G15" s="13"/>
      <c r="H15" s="13"/>
      <c r="I15" s="13"/>
      <c r="J15" s="13"/>
      <c r="K15" s="13"/>
      <c r="L15" s="13"/>
    </row>
    <row r="16" ht="50.1" customHeight="1" spans="2:12">
      <c r="B16" s="2"/>
      <c r="C16" s="11" t="s">
        <v>705</v>
      </c>
      <c r="D16" s="11"/>
      <c r="E16" s="13"/>
      <c r="F16" s="13"/>
      <c r="G16" s="13"/>
      <c r="H16" s="13"/>
      <c r="I16" s="13"/>
      <c r="J16" s="13"/>
      <c r="K16" s="13"/>
      <c r="L16" s="13"/>
    </row>
    <row r="17" ht="50.1" customHeight="1" spans="2:12">
      <c r="B17" s="2" t="s">
        <v>721</v>
      </c>
      <c r="C17" s="11" t="s">
        <v>704</v>
      </c>
      <c r="D17" s="11"/>
      <c r="E17" s="13"/>
      <c r="F17" s="13"/>
      <c r="G17" s="13"/>
      <c r="H17" s="13"/>
      <c r="I17" s="13"/>
      <c r="J17" s="13"/>
      <c r="K17" s="13"/>
      <c r="L17" s="13"/>
    </row>
    <row r="18" ht="50.1" customHeight="1" spans="2:12">
      <c r="B18" s="2"/>
      <c r="C18" s="11" t="s">
        <v>705</v>
      </c>
      <c r="D18" s="11"/>
      <c r="E18" s="13"/>
      <c r="F18" s="13"/>
      <c r="G18" s="13"/>
      <c r="H18" s="13"/>
      <c r="I18" s="13"/>
      <c r="J18" s="13"/>
      <c r="K18" s="13"/>
      <c r="L18" s="13"/>
    </row>
    <row r="19" ht="50.1" customHeight="1" spans="2:12">
      <c r="B19" s="2" t="s">
        <v>722</v>
      </c>
      <c r="C19" s="11" t="s">
        <v>704</v>
      </c>
      <c r="D19" s="11"/>
      <c r="E19" s="13"/>
      <c r="F19" s="13"/>
      <c r="G19" s="13"/>
      <c r="H19" s="13"/>
      <c r="I19" s="13"/>
      <c r="J19" s="13"/>
      <c r="K19" s="13"/>
      <c r="L19" s="13"/>
    </row>
    <row r="20" ht="50.1" customHeight="1" spans="2:12">
      <c r="B20" s="2"/>
      <c r="C20" s="11" t="s">
        <v>705</v>
      </c>
      <c r="D20" s="11"/>
      <c r="E20" s="13"/>
      <c r="F20" s="13"/>
      <c r="G20" s="13"/>
      <c r="H20" s="13"/>
      <c r="I20" s="13"/>
      <c r="J20" s="13"/>
      <c r="K20" s="13"/>
      <c r="L20" s="13"/>
    </row>
    <row r="21" ht="50.1" customHeight="1" spans="2:12">
      <c r="B21" s="2" t="s">
        <v>723</v>
      </c>
      <c r="C21" s="11" t="s">
        <v>704</v>
      </c>
      <c r="D21" s="11"/>
      <c r="E21" s="13"/>
      <c r="F21" s="13"/>
      <c r="G21" s="13"/>
      <c r="H21" s="13"/>
      <c r="I21" s="13"/>
      <c r="J21" s="13"/>
      <c r="K21" s="13"/>
      <c r="L21" s="13"/>
    </row>
    <row r="22" ht="50.1" customHeight="1" spans="2:12">
      <c r="B22" s="2"/>
      <c r="C22" s="11" t="s">
        <v>705</v>
      </c>
      <c r="D22" s="11"/>
      <c r="E22" s="13"/>
      <c r="F22" s="13"/>
      <c r="G22" s="13"/>
      <c r="H22" s="13"/>
      <c r="I22" s="13"/>
      <c r="J22" s="13"/>
      <c r="K22" s="13"/>
      <c r="L22" s="13"/>
    </row>
    <row r="23" ht="50.1" customHeight="1" spans="2:12">
      <c r="B23" s="2" t="s">
        <v>724</v>
      </c>
      <c r="C23" s="11" t="s">
        <v>704</v>
      </c>
      <c r="D23" s="11"/>
      <c r="E23" s="13"/>
      <c r="F23" s="13"/>
      <c r="G23" s="13"/>
      <c r="H23" s="13"/>
      <c r="I23" s="13"/>
      <c r="J23" s="13"/>
      <c r="K23" s="13"/>
      <c r="L23" s="13"/>
    </row>
    <row r="24" ht="50.1" customHeight="1" spans="2:12">
      <c r="B24" s="2"/>
      <c r="C24" s="11" t="s">
        <v>705</v>
      </c>
      <c r="D24" s="11"/>
      <c r="E24" s="13"/>
      <c r="F24" s="13"/>
      <c r="G24" s="13"/>
      <c r="H24" s="13"/>
      <c r="I24" s="13"/>
      <c r="J24" s="13"/>
      <c r="K24" s="13"/>
      <c r="L24" s="13"/>
    </row>
    <row r="25" ht="50.1" customHeight="1" spans="2:12">
      <c r="B25" s="2" t="s">
        <v>725</v>
      </c>
      <c r="C25" s="11" t="s">
        <v>704</v>
      </c>
      <c r="D25" s="11"/>
      <c r="E25" s="13"/>
      <c r="F25" s="13"/>
      <c r="G25" s="13"/>
      <c r="H25" s="13"/>
      <c r="I25" s="13"/>
      <c r="J25" s="13"/>
      <c r="K25" s="13"/>
      <c r="L25" s="13"/>
    </row>
    <row r="26" ht="50.1" customHeight="1" spans="2:12">
      <c r="B26" s="2"/>
      <c r="C26" s="11" t="s">
        <v>705</v>
      </c>
      <c r="D26" s="11"/>
      <c r="E26" s="13"/>
      <c r="F26" s="13"/>
      <c r="G26" s="13"/>
      <c r="H26" s="13"/>
      <c r="I26" s="13"/>
      <c r="J26" s="13"/>
      <c r="K26" s="13"/>
      <c r="L26" s="13"/>
    </row>
    <row r="27" ht="50.1" customHeight="1" spans="2:4">
      <c r="B27" s="2"/>
      <c r="C27" s="2"/>
      <c r="D27" s="2"/>
    </row>
    <row r="28" ht="50.1" customHeight="1" spans="2:4">
      <c r="B28" s="2"/>
      <c r="C28" s="2"/>
      <c r="D28" s="2"/>
    </row>
    <row r="29" ht="50.1" customHeight="1" spans="2:4">
      <c r="B29" s="2"/>
      <c r="C29" s="2"/>
      <c r="D29" s="2"/>
    </row>
    <row r="30" ht="50.1" customHeight="1" spans="2:4">
      <c r="B30" s="2"/>
      <c r="C30" s="2"/>
      <c r="D30" s="2"/>
    </row>
    <row r="31" ht="50.1" customHeight="1" spans="2:4">
      <c r="B31" s="2"/>
      <c r="C31" s="2"/>
      <c r="D31" s="2"/>
    </row>
    <row r="32" ht="50.1" customHeight="1" spans="2:4">
      <c r="B32" s="2"/>
      <c r="C32" s="2"/>
      <c r="D32" s="2"/>
    </row>
  </sheetData>
  <mergeCells count="12">
    <mergeCell ref="B2:L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</mergeCells>
  <pageMargins left="0" right="0" top="0" bottom="0" header="0" footer="0"/>
  <pageSetup paperSize="1" scale="54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Normal="100" workbookViewId="0">
      <selection activeCell="C6" sqref="C6"/>
    </sheetView>
  </sheetViews>
  <sheetFormatPr defaultColWidth="9.14285714285714" defaultRowHeight="15" outlineLevelCol="7"/>
  <cols>
    <col min="2" max="2" width="33.5714285714286" customWidth="1"/>
    <col min="3" max="3" width="25" customWidth="1"/>
    <col min="4" max="4" width="29.7142857142857" customWidth="1"/>
    <col min="5" max="5" width="24.5714285714286" customWidth="1"/>
  </cols>
  <sheetData>
    <row r="1" spans="2:5">
      <c r="B1" s="2" t="s">
        <v>580</v>
      </c>
      <c r="C1" s="2"/>
      <c r="D1" s="2"/>
      <c r="E1" s="2"/>
    </row>
    <row r="2" spans="2:5">
      <c r="B2" s="2" t="s">
        <v>726</v>
      </c>
      <c r="C2" s="2"/>
      <c r="D2" s="2"/>
      <c r="E2" s="2"/>
    </row>
    <row r="3" ht="21" customHeight="1" spans="1:8">
      <c r="A3" s="3"/>
      <c r="B3" s="4"/>
      <c r="C3" s="4"/>
      <c r="D3" s="4"/>
      <c r="E3" s="4"/>
      <c r="F3" s="3"/>
      <c r="G3" s="3"/>
      <c r="H3" s="3"/>
    </row>
    <row r="4" ht="50.1" customHeight="1" spans="2:5">
      <c r="B4" s="5" t="s">
        <v>727</v>
      </c>
      <c r="C4" s="5" t="s">
        <v>728</v>
      </c>
      <c r="D4" s="6" t="s">
        <v>729</v>
      </c>
      <c r="E4" s="6" t="s">
        <v>730</v>
      </c>
    </row>
    <row r="5" ht="50.1" customHeight="1" spans="2:5">
      <c r="B5" s="8"/>
      <c r="C5" s="8"/>
      <c r="D5" s="8"/>
      <c r="E5" s="8"/>
    </row>
    <row r="6" ht="50.1" customHeight="1" spans="2:5">
      <c r="B6" s="8"/>
      <c r="C6" s="8"/>
      <c r="D6" s="8"/>
      <c r="E6" s="8"/>
    </row>
    <row r="7" ht="50.1" customHeight="1" spans="2:5">
      <c r="B7" s="11"/>
      <c r="C7" s="11"/>
      <c r="D7" s="13"/>
      <c r="E7" s="13"/>
    </row>
    <row r="8" ht="50.1" customHeight="1" spans="2:5">
      <c r="B8" s="11"/>
      <c r="C8" s="11"/>
      <c r="D8" s="13"/>
      <c r="E8" s="13"/>
    </row>
    <row r="9" ht="50.1" customHeight="1" spans="2:5">
      <c r="B9" s="11"/>
      <c r="C9" s="11"/>
      <c r="D9" s="13"/>
      <c r="E9" s="13"/>
    </row>
    <row r="10" ht="50.1" customHeight="1" spans="2:5">
      <c r="B10" s="11"/>
      <c r="C10" s="11"/>
      <c r="D10" s="13"/>
      <c r="E10" s="13"/>
    </row>
    <row r="11" ht="50.1" customHeight="1" spans="2:5">
      <c r="B11" s="11"/>
      <c r="C11" s="11"/>
      <c r="D11" s="13"/>
      <c r="E11" s="13"/>
    </row>
    <row r="12" ht="50.1" customHeight="1" spans="2:5">
      <c r="B12" s="11"/>
      <c r="C12" s="11"/>
      <c r="D12" s="13"/>
      <c r="E12" s="13"/>
    </row>
    <row r="13" ht="50.1" customHeight="1" spans="2:5">
      <c r="B13" s="11"/>
      <c r="C13" s="11"/>
      <c r="D13" s="13"/>
      <c r="E13" s="13"/>
    </row>
    <row r="14" ht="50.1" customHeight="1" spans="2:5">
      <c r="B14" s="11"/>
      <c r="C14" s="11"/>
      <c r="D14" s="13"/>
      <c r="E14" s="13"/>
    </row>
    <row r="15" ht="50.1" customHeight="1" spans="2:5">
      <c r="B15" s="11"/>
      <c r="C15" s="11"/>
      <c r="D15" s="13"/>
      <c r="E15" s="13"/>
    </row>
    <row r="16" ht="50.1" customHeight="1" spans="2:5">
      <c r="B16" s="11"/>
      <c r="C16" s="11"/>
      <c r="D16" s="13"/>
      <c r="E16" s="13"/>
    </row>
    <row r="17" ht="50.1" customHeight="1" spans="2:5">
      <c r="B17" s="11"/>
      <c r="C17" s="11"/>
      <c r="D17" s="13"/>
      <c r="E17" s="13"/>
    </row>
    <row r="18" ht="50.1" customHeight="1" spans="2:5">
      <c r="B18" s="11"/>
      <c r="C18" s="11"/>
      <c r="D18" s="13"/>
      <c r="E18" s="13"/>
    </row>
    <row r="19" ht="50.1" customHeight="1" spans="2:5">
      <c r="B19" s="11"/>
      <c r="C19" s="11"/>
      <c r="D19" s="13"/>
      <c r="E19" s="13"/>
    </row>
    <row r="20" ht="50.1" customHeight="1" spans="2:5">
      <c r="B20" s="11"/>
      <c r="C20" s="11"/>
      <c r="D20" s="13"/>
      <c r="E20" s="13"/>
    </row>
    <row r="21" ht="50.1" customHeight="1" spans="2:5">
      <c r="B21" s="11"/>
      <c r="C21" s="11"/>
      <c r="D21" s="13"/>
      <c r="E21" s="13"/>
    </row>
    <row r="22" ht="50.1" customHeight="1" spans="2:5">
      <c r="B22" s="11"/>
      <c r="C22" s="11"/>
      <c r="D22" s="13"/>
      <c r="E22" s="13"/>
    </row>
    <row r="23" ht="50.1" customHeight="1" spans="2:5">
      <c r="B23" s="11"/>
      <c r="C23" s="11"/>
      <c r="D23" s="13"/>
      <c r="E23" s="13"/>
    </row>
    <row r="24" ht="50.1" customHeight="1" spans="2:5">
      <c r="B24" s="11"/>
      <c r="C24" s="11"/>
      <c r="D24" s="13"/>
      <c r="E24" s="13"/>
    </row>
    <row r="25" ht="50.1" customHeight="1" spans="2:5">
      <c r="B25" s="11"/>
      <c r="C25" s="11"/>
      <c r="D25" s="13"/>
      <c r="E25" s="13"/>
    </row>
    <row r="26" ht="50.1" customHeight="1" spans="2:5">
      <c r="B26" s="11"/>
      <c r="C26" s="11"/>
      <c r="D26" s="13"/>
      <c r="E26" s="13"/>
    </row>
    <row r="27" ht="50.1" customHeight="1" spans="2:3">
      <c r="B27" s="2"/>
      <c r="C27" s="2"/>
    </row>
    <row r="28" ht="50.1" customHeight="1" spans="2:3">
      <c r="B28" s="2"/>
      <c r="C28" s="2"/>
    </row>
    <row r="29" ht="50.1" customHeight="1" spans="2:3">
      <c r="B29" s="2"/>
      <c r="C29" s="2"/>
    </row>
    <row r="30" ht="50.1" customHeight="1" spans="2:3">
      <c r="B30" s="2"/>
      <c r="C30" s="2"/>
    </row>
    <row r="31" ht="50.1" customHeight="1" spans="2:3">
      <c r="B31" s="2"/>
      <c r="C31" s="2"/>
    </row>
    <row r="32" ht="50.1" customHeight="1" spans="2:3">
      <c r="B32" s="2"/>
      <c r="C32" s="2"/>
    </row>
  </sheetData>
  <mergeCells count="2">
    <mergeCell ref="B1:E1"/>
    <mergeCell ref="B2:E2"/>
  </mergeCells>
  <pageMargins left="0" right="0" top="0" bottom="0" header="0" footer="0"/>
  <pageSetup paperSize="1" scale="50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Normal="100" workbookViewId="0">
      <selection activeCell="C6" sqref="C6"/>
    </sheetView>
  </sheetViews>
  <sheetFormatPr defaultColWidth="9.14285714285714" defaultRowHeight="15" outlineLevelCol="7"/>
  <cols>
    <col min="2" max="2" width="14.7142857142857" customWidth="1"/>
    <col min="3" max="3" width="52.8571428571429" customWidth="1"/>
    <col min="4" max="4" width="47.7142857142857" customWidth="1"/>
    <col min="5" max="5" width="35.7142857142857" customWidth="1"/>
  </cols>
  <sheetData>
    <row r="1" spans="2:5">
      <c r="B1" s="2" t="s">
        <v>580</v>
      </c>
      <c r="C1" s="2"/>
      <c r="D1" s="2"/>
      <c r="E1" s="2"/>
    </row>
    <row r="2" spans="2:5">
      <c r="B2" s="2" t="s">
        <v>726</v>
      </c>
      <c r="C2" s="2"/>
      <c r="D2" s="2"/>
      <c r="E2" s="2"/>
    </row>
    <row r="3" ht="21" customHeight="1" spans="1:8">
      <c r="A3" s="3"/>
      <c r="B3" s="4"/>
      <c r="C3" s="4"/>
      <c r="D3" s="4"/>
      <c r="E3" s="4"/>
      <c r="F3" s="3"/>
      <c r="G3" s="3"/>
      <c r="H3" s="3"/>
    </row>
    <row r="4" ht="50.1" customHeight="1" spans="2:5">
      <c r="B4" s="5" t="s">
        <v>731</v>
      </c>
      <c r="C4" s="5" t="s">
        <v>732</v>
      </c>
      <c r="D4" s="14" t="s">
        <v>733</v>
      </c>
      <c r="E4" s="15" t="s">
        <v>734</v>
      </c>
    </row>
    <row r="5" ht="50.1" customHeight="1" spans="2:5">
      <c r="B5" s="8"/>
      <c r="C5" s="8"/>
      <c r="D5" s="8"/>
      <c r="E5" s="8"/>
    </row>
    <row r="6" ht="50.1" customHeight="1" spans="2:5">
      <c r="B6" s="8"/>
      <c r="C6" s="8"/>
      <c r="D6" s="8"/>
      <c r="E6" s="8"/>
    </row>
    <row r="7" ht="50.1" customHeight="1" spans="2:5">
      <c r="B7" s="11"/>
      <c r="C7" s="11"/>
      <c r="D7" s="13"/>
      <c r="E7" s="13"/>
    </row>
    <row r="8" ht="50.1" customHeight="1" spans="2:5">
      <c r="B8" s="11"/>
      <c r="C8" s="11"/>
      <c r="D8" s="13"/>
      <c r="E8" s="13"/>
    </row>
    <row r="9" ht="50.1" customHeight="1" spans="2:5">
      <c r="B9" s="11"/>
      <c r="C9" s="11"/>
      <c r="D9" s="13"/>
      <c r="E9" s="13"/>
    </row>
    <row r="10" ht="50.1" customHeight="1" spans="2:5">
      <c r="B10" s="11"/>
      <c r="C10" s="11"/>
      <c r="D10" s="13"/>
      <c r="E10" s="13"/>
    </row>
    <row r="11" ht="50.1" customHeight="1" spans="2:5">
      <c r="B11" s="11"/>
      <c r="C11" s="11"/>
      <c r="D11" s="13"/>
      <c r="E11" s="13"/>
    </row>
    <row r="12" ht="50.1" customHeight="1" spans="2:5">
      <c r="B12" s="11"/>
      <c r="C12" s="11"/>
      <c r="D12" s="13"/>
      <c r="E12" s="13"/>
    </row>
    <row r="13" ht="50.1" customHeight="1" spans="2:5">
      <c r="B13" s="11"/>
      <c r="C13" s="11"/>
      <c r="D13" s="13"/>
      <c r="E13" s="13"/>
    </row>
    <row r="14" ht="50.1" customHeight="1" spans="2:5">
      <c r="B14" s="11"/>
      <c r="C14" s="11"/>
      <c r="D14" s="13"/>
      <c r="E14" s="13"/>
    </row>
    <row r="15" ht="50.1" customHeight="1" spans="2:5">
      <c r="B15" s="11"/>
      <c r="C15" s="11"/>
      <c r="D15" s="13"/>
      <c r="E15" s="13"/>
    </row>
    <row r="16" ht="50.1" customHeight="1" spans="2:5">
      <c r="B16" s="11"/>
      <c r="C16" s="11"/>
      <c r="D16" s="13"/>
      <c r="E16" s="13"/>
    </row>
    <row r="17" ht="50.1" customHeight="1" spans="2:5">
      <c r="B17" s="11"/>
      <c r="C17" s="11"/>
      <c r="D17" s="13"/>
      <c r="E17" s="13"/>
    </row>
    <row r="18" ht="50.1" customHeight="1" spans="2:5">
      <c r="B18" s="11"/>
      <c r="C18" s="11"/>
      <c r="D18" s="13"/>
      <c r="E18" s="13"/>
    </row>
    <row r="19" ht="50.1" customHeight="1" spans="2:5">
      <c r="B19" s="11"/>
      <c r="C19" s="11"/>
      <c r="D19" s="13"/>
      <c r="E19" s="13"/>
    </row>
    <row r="20" ht="50.1" customHeight="1" spans="2:5">
      <c r="B20" s="11"/>
      <c r="C20" s="11"/>
      <c r="D20" s="13"/>
      <c r="E20" s="13"/>
    </row>
    <row r="21" ht="50.1" customHeight="1" spans="2:5">
      <c r="B21" s="11"/>
      <c r="C21" s="11"/>
      <c r="D21" s="13"/>
      <c r="E21" s="13"/>
    </row>
    <row r="22" ht="50.1" customHeight="1" spans="2:5">
      <c r="B22" s="11"/>
      <c r="C22" s="11"/>
      <c r="D22" s="13"/>
      <c r="E22" s="13"/>
    </row>
    <row r="23" ht="50.1" customHeight="1" spans="2:5">
      <c r="B23" s="11"/>
      <c r="C23" s="11"/>
      <c r="D23" s="13"/>
      <c r="E23" s="13"/>
    </row>
    <row r="24" ht="50.1" customHeight="1" spans="2:5">
      <c r="B24" s="11"/>
      <c r="C24" s="11"/>
      <c r="D24" s="13"/>
      <c r="E24" s="13"/>
    </row>
    <row r="25" ht="50.1" customHeight="1" spans="2:5">
      <c r="B25" s="11"/>
      <c r="C25" s="11"/>
      <c r="D25" s="13"/>
      <c r="E25" s="13"/>
    </row>
    <row r="26" ht="50.1" customHeight="1" spans="2:5">
      <c r="B26" s="11"/>
      <c r="C26" s="11"/>
      <c r="D26" s="13"/>
      <c r="E26" s="13"/>
    </row>
    <row r="27" ht="50.1" customHeight="1" spans="2:3">
      <c r="B27" s="2"/>
      <c r="C27" s="2"/>
    </row>
    <row r="28" ht="50.1" customHeight="1" spans="2:3">
      <c r="B28" s="2"/>
      <c r="C28" s="2"/>
    </row>
    <row r="29" ht="50.1" customHeight="1" spans="2:3">
      <c r="B29" s="2"/>
      <c r="C29" s="2"/>
    </row>
    <row r="30" ht="50.1" customHeight="1" spans="2:3">
      <c r="B30" s="2"/>
      <c r="C30" s="2"/>
    </row>
    <row r="31" ht="50.1" customHeight="1" spans="2:3">
      <c r="B31" s="2"/>
      <c r="C31" s="2"/>
    </row>
    <row r="32" ht="50.1" customHeight="1" spans="2:3">
      <c r="B32" s="2"/>
      <c r="C32" s="2"/>
    </row>
  </sheetData>
  <mergeCells count="2">
    <mergeCell ref="B1:E1"/>
    <mergeCell ref="B2:E2"/>
  </mergeCells>
  <pageMargins left="0" right="0" top="0" bottom="0" header="0" footer="0"/>
  <pageSetup paperSize="1" scale="50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Normal="100" workbookViewId="0">
      <selection activeCell="C11" sqref="C11"/>
    </sheetView>
  </sheetViews>
  <sheetFormatPr defaultColWidth="9.14285714285714" defaultRowHeight="15" outlineLevelCol="6"/>
  <cols>
    <col min="2" max="2" width="33.5714285714286" customWidth="1"/>
    <col min="3" max="3" width="28.5714285714286" customWidth="1"/>
    <col min="4" max="4" width="29.7142857142857" customWidth="1"/>
  </cols>
  <sheetData>
    <row r="1" spans="2:4">
      <c r="B1" s="2" t="s">
        <v>580</v>
      </c>
      <c r="C1" s="2"/>
      <c r="D1" s="2"/>
    </row>
    <row r="2" spans="2:4">
      <c r="B2" s="2" t="s">
        <v>735</v>
      </c>
      <c r="C2" s="2"/>
      <c r="D2" s="2"/>
    </row>
    <row r="3" ht="21" customHeight="1" spans="1:7">
      <c r="A3" s="3"/>
      <c r="B3" s="4"/>
      <c r="C3" s="4"/>
      <c r="D3" s="4"/>
      <c r="E3" s="3"/>
      <c r="F3" s="3"/>
      <c r="G3" s="3"/>
    </row>
    <row r="4" ht="50.1" customHeight="1" spans="2:4">
      <c r="B4" s="5" t="s">
        <v>736</v>
      </c>
      <c r="C4" s="5" t="s">
        <v>737</v>
      </c>
      <c r="D4" s="6" t="s">
        <v>738</v>
      </c>
    </row>
    <row r="5" ht="50.1" customHeight="1" spans="2:4">
      <c r="B5" s="7">
        <v>45296</v>
      </c>
      <c r="C5" s="8">
        <v>12</v>
      </c>
      <c r="D5" s="9" t="s">
        <v>739</v>
      </c>
    </row>
    <row r="6" ht="50.1" customHeight="1" spans="2:4">
      <c r="B6" s="7">
        <v>45301</v>
      </c>
      <c r="C6" s="8">
        <f>11+12+14+21+11+16+19+13+22</f>
        <v>139</v>
      </c>
      <c r="D6" s="9" t="s">
        <v>740</v>
      </c>
    </row>
    <row r="7" ht="50.1" customHeight="1" spans="2:4">
      <c r="B7" s="10">
        <v>45316</v>
      </c>
      <c r="C7" s="11">
        <v>10</v>
      </c>
      <c r="D7" s="12" t="s">
        <v>741</v>
      </c>
    </row>
    <row r="8" ht="50.1" customHeight="1" spans="2:4">
      <c r="B8" s="10"/>
      <c r="C8" s="11"/>
      <c r="D8" s="13"/>
    </row>
    <row r="9" ht="50.1" customHeight="1" spans="2:4">
      <c r="B9" s="11"/>
      <c r="C9" s="11"/>
      <c r="D9" s="13"/>
    </row>
    <row r="10" ht="50.1" customHeight="1" spans="2:4">
      <c r="B10" s="11"/>
      <c r="C10" s="11"/>
      <c r="D10" s="13"/>
    </row>
    <row r="11" ht="50.1" customHeight="1" spans="2:4">
      <c r="B11" s="11"/>
      <c r="C11" s="11"/>
      <c r="D11" s="13"/>
    </row>
    <row r="12" ht="50.1" customHeight="1" spans="2:4">
      <c r="B12" s="11"/>
      <c r="C12" s="11"/>
      <c r="D12" s="13"/>
    </row>
    <row r="13" ht="50.1" customHeight="1" spans="2:4">
      <c r="B13" s="11"/>
      <c r="C13" s="11"/>
      <c r="D13" s="13"/>
    </row>
    <row r="14" ht="50.1" customHeight="1" spans="2:4">
      <c r="B14" s="11"/>
      <c r="C14" s="11"/>
      <c r="D14" s="13"/>
    </row>
    <row r="15" ht="50.1" customHeight="1" spans="2:4">
      <c r="B15" s="11"/>
      <c r="C15" s="11"/>
      <c r="D15" s="13"/>
    </row>
    <row r="16" ht="50.1" customHeight="1" spans="2:4">
      <c r="B16" s="11"/>
      <c r="C16" s="11"/>
      <c r="D16" s="13"/>
    </row>
    <row r="17" ht="50.1" customHeight="1" spans="2:4">
      <c r="B17" s="11"/>
      <c r="C17" s="11"/>
      <c r="D17" s="13"/>
    </row>
    <row r="18" ht="50.1" customHeight="1" spans="2:4">
      <c r="B18" s="11"/>
      <c r="C18" s="11"/>
      <c r="D18" s="13"/>
    </row>
    <row r="19" ht="50.1" customHeight="1" spans="2:4">
      <c r="B19" s="11"/>
      <c r="C19" s="11"/>
      <c r="D19" s="13"/>
    </row>
    <row r="20" ht="50.1" customHeight="1" spans="2:4">
      <c r="B20" s="11"/>
      <c r="C20" s="11"/>
      <c r="D20" s="13"/>
    </row>
    <row r="21" ht="50.1" customHeight="1" spans="2:4">
      <c r="B21" s="11"/>
      <c r="C21" s="11"/>
      <c r="D21" s="13"/>
    </row>
    <row r="22" ht="50.1" customHeight="1" spans="2:4">
      <c r="B22" s="11"/>
      <c r="C22" s="11"/>
      <c r="D22" s="13"/>
    </row>
    <row r="23" ht="50.1" customHeight="1" spans="2:4">
      <c r="B23" s="11"/>
      <c r="C23" s="11"/>
      <c r="D23" s="13"/>
    </row>
    <row r="24" ht="50.1" customHeight="1" spans="2:4">
      <c r="B24" s="11"/>
      <c r="C24" s="11"/>
      <c r="D24" s="13"/>
    </row>
    <row r="25" ht="50.1" customHeight="1" spans="2:4">
      <c r="B25" s="11"/>
      <c r="C25" s="11"/>
      <c r="D25" s="13"/>
    </row>
    <row r="26" ht="50.1" customHeight="1" spans="2:4">
      <c r="B26" s="11"/>
      <c r="C26" s="11"/>
      <c r="D26" s="13"/>
    </row>
    <row r="27" ht="50.1" customHeight="1" spans="2:3">
      <c r="B27" s="2"/>
      <c r="C27" s="2"/>
    </row>
    <row r="28" ht="50.1" customHeight="1" spans="2:3">
      <c r="B28" s="2"/>
      <c r="C28" s="2"/>
    </row>
    <row r="29" ht="50.1" customHeight="1" spans="2:3">
      <c r="B29" s="2"/>
      <c r="C29" s="2"/>
    </row>
    <row r="30" ht="50.1" customHeight="1" spans="2:3">
      <c r="B30" s="2"/>
      <c r="C30" s="2"/>
    </row>
    <row r="31" ht="50.1" customHeight="1" spans="2:3">
      <c r="B31" s="2"/>
      <c r="C31" s="2"/>
    </row>
    <row r="32" ht="50.1" customHeight="1" spans="2:3">
      <c r="B32" s="2"/>
      <c r="C32" s="2"/>
    </row>
  </sheetData>
  <mergeCells count="2">
    <mergeCell ref="B1:D1"/>
    <mergeCell ref="B2:D2"/>
  </mergeCells>
  <pageMargins left="0" right="0" top="0" bottom="0" header="0" footer="0"/>
  <pageSetup paperSize="1" scale="50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E15"/>
  <sheetViews>
    <sheetView workbookViewId="0">
      <selection activeCell="I22" sqref="I22"/>
    </sheetView>
  </sheetViews>
  <sheetFormatPr defaultColWidth="9.14285714285714" defaultRowHeight="15" outlineLevelCol="4"/>
  <cols>
    <col min="4" max="4" width="19.5714285714286" customWidth="1"/>
    <col min="5" max="5" width="17.2857142857143" customWidth="1"/>
  </cols>
  <sheetData>
    <row r="4" spans="4:5">
      <c r="D4" s="1" t="s">
        <v>735</v>
      </c>
      <c r="E4" s="1" t="s">
        <v>742</v>
      </c>
    </row>
    <row r="5" spans="4:5">
      <c r="D5" s="1" t="s">
        <v>743</v>
      </c>
      <c r="E5" s="1" t="s">
        <v>744</v>
      </c>
    </row>
    <row r="6" spans="4:5">
      <c r="D6" s="1" t="s">
        <v>745</v>
      </c>
      <c r="E6" s="1" t="s">
        <v>744</v>
      </c>
    </row>
    <row r="7" spans="4:5">
      <c r="D7" s="1" t="s">
        <v>746</v>
      </c>
      <c r="E7" s="1" t="s">
        <v>747</v>
      </c>
    </row>
    <row r="8" spans="4:5">
      <c r="D8" s="1" t="s">
        <v>748</v>
      </c>
      <c r="E8" s="1" t="s">
        <v>742</v>
      </c>
    </row>
    <row r="9" spans="4:5">
      <c r="D9" s="1" t="s">
        <v>749</v>
      </c>
      <c r="E9" s="1" t="s">
        <v>742</v>
      </c>
    </row>
    <row r="10" spans="4:5">
      <c r="D10" s="1" t="s">
        <v>750</v>
      </c>
      <c r="E10" s="1" t="s">
        <v>742</v>
      </c>
    </row>
    <row r="11" spans="4:5">
      <c r="D11" s="1" t="s">
        <v>751</v>
      </c>
      <c r="E11" s="1" t="s">
        <v>742</v>
      </c>
    </row>
    <row r="12" ht="30" spans="4:5">
      <c r="D12" s="1" t="s">
        <v>752</v>
      </c>
      <c r="E12" s="1" t="s">
        <v>747</v>
      </c>
    </row>
    <row r="13" spans="4:5">
      <c r="D13" s="1" t="s">
        <v>753</v>
      </c>
      <c r="E13" s="1" t="s">
        <v>742</v>
      </c>
    </row>
    <row r="14" spans="4:5">
      <c r="D14" s="1" t="s">
        <v>754</v>
      </c>
      <c r="E14" s="1" t="s">
        <v>742</v>
      </c>
    </row>
    <row r="15" spans="4:5">
      <c r="D15" s="1" t="s">
        <v>755</v>
      </c>
      <c r="E15" s="1" t="s">
        <v>742</v>
      </c>
    </row>
  </sheetData>
  <pageMargins left="0.75" right="0.75" top="1" bottom="1" header="0.5" footer="0.5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result sheet ECE</vt:lpstr>
      <vt:lpstr>result sheet I</vt:lpstr>
      <vt:lpstr>result sheet II</vt:lpstr>
      <vt:lpstr>result sheet III</vt:lpstr>
      <vt:lpstr>result sheet IV</vt:lpstr>
      <vt:lpstr>result sheet V</vt:lpstr>
      <vt:lpstr>staff details</vt:lpstr>
      <vt:lpstr>leave record</vt:lpstr>
      <vt:lpstr>student strength record</vt:lpstr>
      <vt:lpstr>staff attendance %</vt:lpstr>
      <vt:lpstr>ACTIVITIES STATUS</vt:lpstr>
      <vt:lpstr>Current Enrollment</vt:lpstr>
      <vt:lpstr>Student Attendance %</vt:lpstr>
      <vt:lpstr>board result</vt:lpstr>
      <vt:lpstr>TNA</vt:lpstr>
      <vt:lpstr>TD</vt:lpstr>
      <vt:lpstr>PTM RECORD</vt:lpstr>
      <vt:lpstr>summary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ZEESHAN COMPUTERS</cp:lastModifiedBy>
  <dcterms:created xsi:type="dcterms:W3CDTF">2023-05-18T07:54:00Z</dcterms:created>
  <dcterms:modified xsi:type="dcterms:W3CDTF">2024-08-19T10:29:47Z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CBEEC85690104CDDA491469E5B987D50</vt:lpwstr>
  </property>
  <property fmtid="{D5CDD505-2E9C-101B-9397-08002B2CF9AE}" pid="3" name="KSOProductBuildVer">
    <vt:lpwstr>2057-12.2.0.17562</vt:lpwstr>
  </property>
</Properties>
</file>