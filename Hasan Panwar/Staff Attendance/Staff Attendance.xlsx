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Government-High-School\Hasan Panwar\Staff Attendance\"/>
    </mc:Choice>
  </mc:AlternateContent>
  <xr:revisionPtr revIDLastSave="0" documentId="13_ncr:1_{717E12A0-A5DA-4947-92AD-F34FD4D8F1CC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AUGUST-2024" sheetId="7" r:id="rId1"/>
    <sheet name="SEPTEMBER-2024" sheetId="9" r:id="rId2"/>
    <sheet name="OCTOBER-2024" sheetId="10" r:id="rId3"/>
    <sheet name="NOVEMBER-2024" sheetId="11" r:id="rId4"/>
    <sheet name="DECEMBER-2024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3" i="12" l="1"/>
  <c r="AL13" i="12"/>
  <c r="AK13" i="12"/>
  <c r="AJ13" i="12"/>
  <c r="AM12" i="12"/>
  <c r="AL12" i="12"/>
  <c r="AK12" i="12"/>
  <c r="AJ12" i="12"/>
  <c r="AM11" i="12"/>
  <c r="AL11" i="12"/>
  <c r="AK11" i="12"/>
  <c r="AJ11" i="12"/>
  <c r="AM10" i="12"/>
  <c r="AL10" i="12"/>
  <c r="AK10" i="12"/>
  <c r="AJ10" i="12"/>
  <c r="AM9" i="12"/>
  <c r="AL9" i="12"/>
  <c r="AK9" i="12"/>
  <c r="AJ9" i="12"/>
  <c r="AM8" i="12"/>
  <c r="AL8" i="12"/>
  <c r="AK8" i="12"/>
  <c r="AJ8" i="12"/>
  <c r="AM7" i="12"/>
  <c r="AL7" i="12"/>
  <c r="AK7" i="12"/>
  <c r="AJ7" i="12"/>
  <c r="AM6" i="12"/>
  <c r="AL6" i="12"/>
  <c r="AK6" i="12"/>
  <c r="AJ6" i="12"/>
  <c r="AL5" i="12"/>
  <c r="AK5" i="12"/>
  <c r="AJ5" i="12"/>
  <c r="AI3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AL13" i="11"/>
  <c r="AK13" i="11"/>
  <c r="AJ13" i="11"/>
  <c r="AI13" i="11"/>
  <c r="AL12" i="11"/>
  <c r="AK12" i="11"/>
  <c r="AJ12" i="11"/>
  <c r="AI12" i="11"/>
  <c r="AL11" i="11"/>
  <c r="AK11" i="11"/>
  <c r="AJ11" i="11"/>
  <c r="AI11" i="11"/>
  <c r="AL10" i="11"/>
  <c r="AK10" i="11"/>
  <c r="AJ10" i="11"/>
  <c r="AI10" i="11"/>
  <c r="AL9" i="11"/>
  <c r="AK9" i="11"/>
  <c r="AJ9" i="11"/>
  <c r="AI9" i="11"/>
  <c r="AL8" i="11"/>
  <c r="AK8" i="11"/>
  <c r="AJ8" i="11"/>
  <c r="AI8" i="11"/>
  <c r="AL7" i="11"/>
  <c r="AK7" i="11"/>
  <c r="AJ7" i="11"/>
  <c r="AI7" i="11"/>
  <c r="AL6" i="11"/>
  <c r="AK6" i="11"/>
  <c r="AJ6" i="11"/>
  <c r="AI6" i="11"/>
  <c r="AK5" i="11"/>
  <c r="AJ5" i="11"/>
  <c r="AI5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AM12" i="10"/>
  <c r="AL12" i="10"/>
  <c r="AK12" i="10"/>
  <c r="AJ12" i="10"/>
  <c r="AN12" i="10" s="1"/>
  <c r="AM13" i="10"/>
  <c r="AL13" i="10"/>
  <c r="AK13" i="10"/>
  <c r="AJ13" i="10"/>
  <c r="AM11" i="10"/>
  <c r="AL11" i="10"/>
  <c r="AK11" i="10"/>
  <c r="AJ11" i="10"/>
  <c r="AM10" i="10"/>
  <c r="AL10" i="10"/>
  <c r="AK10" i="10"/>
  <c r="AJ10" i="10"/>
  <c r="AM9" i="10"/>
  <c r="AL9" i="10"/>
  <c r="AK9" i="10"/>
  <c r="AJ9" i="10"/>
  <c r="AM8" i="10"/>
  <c r="AL8" i="10"/>
  <c r="AK8" i="10"/>
  <c r="AJ8" i="10"/>
  <c r="AM7" i="10"/>
  <c r="AL7" i="10"/>
  <c r="AK7" i="10"/>
  <c r="AJ7" i="10"/>
  <c r="AM6" i="10"/>
  <c r="AL6" i="10"/>
  <c r="AK6" i="10"/>
  <c r="AJ6" i="10"/>
  <c r="AL5" i="10"/>
  <c r="AK5" i="10"/>
  <c r="AJ5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AL18" i="9"/>
  <c r="AK18" i="9"/>
  <c r="AJ18" i="9"/>
  <c r="AI18" i="9"/>
  <c r="AK17" i="9"/>
  <c r="AJ17" i="9"/>
  <c r="AI17" i="9"/>
  <c r="A17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AL12" i="9"/>
  <c r="AK12" i="9"/>
  <c r="AJ12" i="9"/>
  <c r="AI12" i="9"/>
  <c r="AL11" i="9"/>
  <c r="AK11" i="9"/>
  <c r="AJ11" i="9"/>
  <c r="AI11" i="9"/>
  <c r="AL10" i="9"/>
  <c r="AK10" i="9"/>
  <c r="AJ10" i="9"/>
  <c r="AI10" i="9"/>
  <c r="AL9" i="9"/>
  <c r="AK9" i="9"/>
  <c r="AJ9" i="9"/>
  <c r="AI9" i="9"/>
  <c r="AL8" i="9"/>
  <c r="AK8" i="9"/>
  <c r="AJ8" i="9"/>
  <c r="AI8" i="9"/>
  <c r="AL7" i="9"/>
  <c r="AK7" i="9"/>
  <c r="AJ7" i="9"/>
  <c r="AI7" i="9"/>
  <c r="AL6" i="9"/>
  <c r="AK6" i="9"/>
  <c r="AJ6" i="9"/>
  <c r="AI6" i="9"/>
  <c r="AK5" i="9"/>
  <c r="AJ5" i="9"/>
  <c r="AI5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AM8" i="7"/>
  <c r="AL8" i="7"/>
  <c r="AK8" i="7"/>
  <c r="AJ8" i="7"/>
  <c r="AN8" i="7" s="1"/>
  <c r="AH15" i="7"/>
  <c r="AI15" i="7"/>
  <c r="AM12" i="7"/>
  <c r="AL12" i="7"/>
  <c r="AK12" i="7"/>
  <c r="AJ12" i="7"/>
  <c r="AG3" i="7"/>
  <c r="AH3" i="7"/>
  <c r="AI3" i="7"/>
  <c r="AM18" i="7"/>
  <c r="AL18" i="7"/>
  <c r="AK18" i="7"/>
  <c r="AJ18" i="7"/>
  <c r="AL17" i="7"/>
  <c r="AK17" i="7"/>
  <c r="AJ17" i="7"/>
  <c r="A17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AM11" i="7"/>
  <c r="AL11" i="7"/>
  <c r="AK11" i="7"/>
  <c r="AJ11" i="7"/>
  <c r="AM10" i="7"/>
  <c r="AL10" i="7"/>
  <c r="AK10" i="7"/>
  <c r="AJ10" i="7"/>
  <c r="AM9" i="7"/>
  <c r="AL9" i="7"/>
  <c r="AK9" i="7"/>
  <c r="AJ9" i="7"/>
  <c r="AM7" i="7"/>
  <c r="AL7" i="7"/>
  <c r="AK7" i="7"/>
  <c r="AJ7" i="7"/>
  <c r="AM6" i="7"/>
  <c r="AL6" i="7"/>
  <c r="AK6" i="7"/>
  <c r="AJ6" i="7"/>
  <c r="AL5" i="7"/>
  <c r="AK5" i="7"/>
  <c r="AJ5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AN6" i="12" l="1"/>
  <c r="AN7" i="12"/>
  <c r="AN8" i="12"/>
  <c r="AN10" i="12"/>
  <c r="AN11" i="12"/>
  <c r="AN12" i="12"/>
  <c r="AN5" i="12"/>
  <c r="AN13" i="12"/>
  <c r="AN9" i="12"/>
  <c r="AM7" i="11"/>
  <c r="AM8" i="11"/>
  <c r="AM9" i="11"/>
  <c r="AM10" i="11"/>
  <c r="AM12" i="11"/>
  <c r="AM13" i="11"/>
  <c r="AM11" i="11"/>
  <c r="AM6" i="11"/>
  <c r="AM5" i="11"/>
  <c r="AN6" i="10"/>
  <c r="AN8" i="10"/>
  <c r="AN10" i="10"/>
  <c r="AN13" i="10"/>
  <c r="AN5" i="10"/>
  <c r="AN7" i="10"/>
  <c r="AN9" i="10"/>
  <c r="AN11" i="10"/>
  <c r="AM18" i="9"/>
  <c r="AM17" i="9"/>
  <c r="AM7" i="9"/>
  <c r="AM8" i="9"/>
  <c r="AM10" i="9"/>
  <c r="AM12" i="9"/>
  <c r="AM5" i="9"/>
  <c r="AM6" i="9"/>
  <c r="AM9" i="9"/>
  <c r="AM11" i="9"/>
  <c r="AN12" i="7"/>
  <c r="AN17" i="7"/>
  <c r="AN18" i="7"/>
  <c r="AN6" i="7"/>
  <c r="AN7" i="7"/>
  <c r="AN9" i="7"/>
  <c r="AN10" i="7"/>
  <c r="AN11" i="7"/>
  <c r="AN5" i="7"/>
</calcChain>
</file>

<file path=xl/sharedStrings.xml><?xml version="1.0" encoding="utf-8"?>
<sst xmlns="http://schemas.openxmlformats.org/spreadsheetml/2006/main" count="1229" uniqueCount="40">
  <si>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</si>
  <si>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</si>
  <si>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</si>
  <si>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</si>
  <si>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</si>
  <si>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</si>
  <si>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</si>
  <si>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</si>
  <si>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L</t>
  </si>
  <si>
    <t>SUN</t>
  </si>
  <si>
    <t>SUNDAY</t>
  </si>
  <si>
    <t>CHEHLUM</t>
  </si>
  <si>
    <t>IQBAL DAY</t>
  </si>
  <si>
    <t>TEACHING STAFF</t>
  </si>
  <si>
    <t>NON-TEACHING STAFF</t>
  </si>
  <si>
    <t>Khalid Ahmed</t>
  </si>
  <si>
    <t>Father Name</t>
  </si>
  <si>
    <t>Muhammad Ismail</t>
  </si>
  <si>
    <t>Ansar Ali</t>
  </si>
  <si>
    <t>Ali Akbar</t>
  </si>
  <si>
    <t>Muhammad Aslam</t>
  </si>
  <si>
    <t>Muhammad Mahyar</t>
  </si>
  <si>
    <t>Zameer Shah</t>
  </si>
  <si>
    <t>Wazeer Shah</t>
  </si>
  <si>
    <t>Sumera</t>
  </si>
  <si>
    <t>Muhammad Bux</t>
  </si>
  <si>
    <t>Irum Shahzadi</t>
  </si>
  <si>
    <t>Nazeer Ahmed</t>
  </si>
  <si>
    <t>Nida Azam</t>
  </si>
  <si>
    <t>Muhammad Azam</t>
  </si>
  <si>
    <t>PST</t>
  </si>
  <si>
    <t>HM</t>
  </si>
  <si>
    <t>Saleem Ahmed</t>
  </si>
  <si>
    <t>Saeed Ahmed</t>
  </si>
  <si>
    <t>Muhammad Yahya</t>
  </si>
  <si>
    <t>Khuda Bakhsh</t>
  </si>
  <si>
    <t>N/Q</t>
  </si>
  <si>
    <t>URS</t>
  </si>
  <si>
    <t>RAINY DAY OFF</t>
  </si>
  <si>
    <t>12 RABI UL AWWAL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</si>
</sst>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6" xfId="0" applyFill="1" applyBorder="1"/>
    <xf numFmtId="0" fontId="0" fillId="3" borderId="9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textRotation="255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255"/>
    </xf>
    <xf numFmtId="0" fontId="2" fillId="3" borderId="8" xfId="0" applyFont="1" applyFill="1" applyBorder="1" applyAlignment="1">
      <alignment horizontal="center" vertical="center" textRotation="255"/>
    </xf>
    <xf numFmtId="0" fontId="2" fillId="3" borderId="1" xfId="0" applyFont="1" applyFill="1" applyBorder="1" applyAlignment="1">
      <alignment horizontal="center" vertical="center" textRotation="180"/>
    </xf>
    <xf numFmtId="0" fontId="2" fillId="3" borderId="8" xfId="0" applyFont="1" applyFill="1" applyBorder="1" applyAlignment="1">
      <alignment horizontal="center" vertical="center" textRotation="180"/>
    </xf>
  </cellXfs>
  <cellStyles count="1">
    <cellStyle name="Normal" xfId="0" builtinId="0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B517-2E03-4FCC-BF68-13C50D42FB6C}">
  <dimension ref="A1:AN18"/>
  <sheetViews>
    <sheetView topLeftCell="A2" workbookViewId="0">
      <selection activeCell="AH17" sqref="AH17"/>
    </sheetView>
  </sheetViews>
  <sheetFormatPr defaultRowHeight="15" x14ac:dyDescent="0.25"/>
  <cols>
    <col min="1" max="1" width="5" bestFit="1" customWidth="1"/>
    <col min="2" max="2" width="18.140625" bestFit="1" customWidth="1"/>
    <col min="3" max="3" width="18.85546875" bestFit="1" customWidth="1"/>
    <col min="4" max="4" width="12.5703125" bestFit="1" customWidth="1"/>
    <col min="5" max="5" width="3" bestFit="1" customWidth="1"/>
    <col min="6" max="33" width="3.7109375" bestFit="1" customWidth="1"/>
    <col min="34" max="34" width="3.7109375" customWidth="1"/>
    <col min="35" max="35" width="3.7109375" bestFit="1" customWidth="1"/>
    <col min="36" max="39" width="5.7109375" customWidth="1"/>
    <col min="40" max="40" width="7.42578125" bestFit="1" customWidth="1"/>
  </cols>
  <sheetData>
    <row r="1" spans="1:40" ht="15.75" thickBot="1" x14ac:dyDescent="0.3"/>
    <row r="2" spans="1:40" ht="32.25" thickBot="1" x14ac:dyDescent="0.55000000000000004">
      <c r="A2" s="20" t="s">
        <v>13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2"/>
    </row>
    <row r="3" spans="1:40" ht="27" x14ac:dyDescent="0.25">
      <c r="A3" s="18" t="s">
        <v>0</v>
      </c>
      <c r="B3" s="19"/>
      <c r="C3" s="19"/>
      <c r="D3" s="19"/>
      <c r="E3" s="14" t="str">
        <f>TEXT(E4,"ddd")</f>
        <v>Thu</v>
      </c>
      <c r="F3" s="14" t="str">
        <f t="shared" ref="F3:AI3" si="0">TEXT(F4,"ddd")</f>
        <v>Fri</v>
      </c>
      <c r="G3" s="14" t="str">
        <f t="shared" si="0"/>
        <v>Sat</v>
      </c>
      <c r="H3" s="14" t="str">
        <f t="shared" si="0"/>
        <v>Sun</v>
      </c>
      <c r="I3" s="14" t="str">
        <f t="shared" si="0"/>
        <v>Mon</v>
      </c>
      <c r="J3" s="14" t="str">
        <f t="shared" si="0"/>
        <v>Tue</v>
      </c>
      <c r="K3" s="14" t="str">
        <f t="shared" si="0"/>
        <v>Wed</v>
      </c>
      <c r="L3" s="14" t="str">
        <f t="shared" si="0"/>
        <v>Thu</v>
      </c>
      <c r="M3" s="14" t="str">
        <f t="shared" si="0"/>
        <v>Fri</v>
      </c>
      <c r="N3" s="14" t="str">
        <f t="shared" si="0"/>
        <v>Sat</v>
      </c>
      <c r="O3" s="14" t="str">
        <f t="shared" si="0"/>
        <v>Sun</v>
      </c>
      <c r="P3" s="14" t="str">
        <f t="shared" si="0"/>
        <v>Mon</v>
      </c>
      <c r="Q3" s="14" t="str">
        <f t="shared" si="0"/>
        <v>Tue</v>
      </c>
      <c r="R3" s="14" t="str">
        <f t="shared" si="0"/>
        <v>Wed</v>
      </c>
      <c r="S3" s="14" t="str">
        <f t="shared" si="0"/>
        <v>Thu</v>
      </c>
      <c r="T3" s="14" t="str">
        <f t="shared" si="0"/>
        <v>Fri</v>
      </c>
      <c r="U3" s="14" t="str">
        <f t="shared" si="0"/>
        <v>Sat</v>
      </c>
      <c r="V3" s="14" t="str">
        <f t="shared" si="0"/>
        <v>Sun</v>
      </c>
      <c r="W3" s="14" t="str">
        <f t="shared" si="0"/>
        <v>Mon</v>
      </c>
      <c r="X3" s="14" t="str">
        <f t="shared" si="0"/>
        <v>Tue</v>
      </c>
      <c r="Y3" s="14" t="str">
        <f t="shared" si="0"/>
        <v>Wed</v>
      </c>
      <c r="Z3" s="14" t="str">
        <f t="shared" si="0"/>
        <v>Thu</v>
      </c>
      <c r="AA3" s="14" t="str">
        <f t="shared" si="0"/>
        <v>Fri</v>
      </c>
      <c r="AB3" s="14" t="str">
        <f t="shared" si="0"/>
        <v>Sat</v>
      </c>
      <c r="AC3" s="14" t="str">
        <f t="shared" si="0"/>
        <v>Sun</v>
      </c>
      <c r="AD3" s="14" t="str">
        <f t="shared" si="0"/>
        <v>Mon</v>
      </c>
      <c r="AE3" s="14" t="str">
        <f t="shared" si="0"/>
        <v>Tue</v>
      </c>
      <c r="AF3" s="14" t="str">
        <f t="shared" si="0"/>
        <v>Wed</v>
      </c>
      <c r="AG3" s="14" t="str">
        <f t="shared" si="0"/>
        <v>Thu</v>
      </c>
      <c r="AH3" s="14" t="str">
        <f t="shared" si="0"/>
        <v>Fri</v>
      </c>
      <c r="AI3" s="14" t="str">
        <f t="shared" si="0"/>
        <v>Sat</v>
      </c>
      <c r="AJ3" s="23" t="s">
        <v>1</v>
      </c>
      <c r="AK3" s="23"/>
      <c r="AL3" s="23"/>
      <c r="AM3" s="23"/>
      <c r="AN3" s="24"/>
    </row>
    <row r="4" spans="1:40" x14ac:dyDescent="0.25">
      <c r="A4" s="1" t="s">
        <v>2</v>
      </c>
      <c r="B4" s="2" t="s">
        <v>3</v>
      </c>
      <c r="C4" s="2" t="s">
        <v>16</v>
      </c>
      <c r="D4" s="2" t="s">
        <v>4</v>
      </c>
      <c r="E4" s="7">
        <v>45505</v>
      </c>
      <c r="F4" s="7">
        <v>45506</v>
      </c>
      <c r="G4" s="7">
        <v>45507</v>
      </c>
      <c r="H4" s="7">
        <v>45508</v>
      </c>
      <c r="I4" s="7">
        <v>45509</v>
      </c>
      <c r="J4" s="7">
        <v>45510</v>
      </c>
      <c r="K4" s="7">
        <v>45511</v>
      </c>
      <c r="L4" s="7">
        <v>45512</v>
      </c>
      <c r="M4" s="7">
        <v>45513</v>
      </c>
      <c r="N4" s="7">
        <v>45514</v>
      </c>
      <c r="O4" s="7">
        <v>45515</v>
      </c>
      <c r="P4" s="7">
        <v>45516</v>
      </c>
      <c r="Q4" s="7">
        <v>45517</v>
      </c>
      <c r="R4" s="7">
        <v>45518</v>
      </c>
      <c r="S4" s="7">
        <v>45519</v>
      </c>
      <c r="T4" s="7">
        <v>45520</v>
      </c>
      <c r="U4" s="7">
        <v>45521</v>
      </c>
      <c r="V4" s="7">
        <v>45522</v>
      </c>
      <c r="W4" s="7">
        <v>45523</v>
      </c>
      <c r="X4" s="7">
        <v>45524</v>
      </c>
      <c r="Y4" s="7">
        <v>45525</v>
      </c>
      <c r="Z4" s="7">
        <v>45526</v>
      </c>
      <c r="AA4" s="7">
        <v>45527</v>
      </c>
      <c r="AB4" s="7">
        <v>45528</v>
      </c>
      <c r="AC4" s="7">
        <v>45529</v>
      </c>
      <c r="AD4" s="7">
        <v>45530</v>
      </c>
      <c r="AE4" s="7">
        <v>45531</v>
      </c>
      <c r="AF4" s="7">
        <v>45532</v>
      </c>
      <c r="AG4" s="7">
        <v>45533</v>
      </c>
      <c r="AH4" s="7">
        <v>45534</v>
      </c>
      <c r="AI4" s="7">
        <v>45535</v>
      </c>
      <c r="AJ4" s="12" t="s">
        <v>6</v>
      </c>
      <c r="AK4" s="12" t="s">
        <v>7</v>
      </c>
      <c r="AL4" s="12" t="s">
        <v>8</v>
      </c>
      <c r="AM4" s="12" t="s">
        <v>9</v>
      </c>
      <c r="AN4" s="13" t="s">
        <v>5</v>
      </c>
    </row>
    <row r="5" spans="1:40" ht="15" customHeight="1" x14ac:dyDescent="0.25">
      <c r="A5" s="3">
        <v>1</v>
      </c>
      <c r="B5" s="4" t="s">
        <v>15</v>
      </c>
      <c r="C5" s="4" t="s">
        <v>17</v>
      </c>
      <c r="D5" s="4" t="s">
        <v>31</v>
      </c>
      <c r="E5" s="4" t="s">
        <v>6</v>
      </c>
      <c r="F5" s="4" t="s">
        <v>6</v>
      </c>
      <c r="G5" s="4" t="s">
        <v>6</v>
      </c>
      <c r="H5" s="25" t="s">
        <v>10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25" t="s">
        <v>10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25" t="s">
        <v>10</v>
      </c>
      <c r="W5" s="4" t="s">
        <v>6</v>
      </c>
      <c r="X5" s="25" t="s">
        <v>37</v>
      </c>
      <c r="Y5" s="4" t="s">
        <v>6</v>
      </c>
      <c r="Z5" s="4" t="s">
        <v>6</v>
      </c>
      <c r="AA5" s="4" t="s">
        <v>6</v>
      </c>
      <c r="AB5" s="4" t="s">
        <v>6</v>
      </c>
      <c r="AC5" s="25" t="s">
        <v>10</v>
      </c>
      <c r="AD5" s="25" t="s">
        <v>11</v>
      </c>
      <c r="AE5" s="4" t="s">
        <v>6</v>
      </c>
      <c r="AF5" s="4" t="s">
        <v>6</v>
      </c>
      <c r="AG5" s="4" t="s">
        <v>6</v>
      </c>
      <c r="AH5" s="27" t="s">
        <v>38</v>
      </c>
      <c r="AI5" s="4" t="s">
        <v>6</v>
      </c>
      <c r="AJ5" s="4">
        <f t="shared" ref="AJ5:AJ12" si="1">COUNTIF(E5:AI5,"P")</f>
        <v>24</v>
      </c>
      <c r="AK5" s="4">
        <f t="shared" ref="AK5:AK12" si="2">COUNTIF(E5:AI5,"A")</f>
        <v>0</v>
      </c>
      <c r="AL5" s="4">
        <f t="shared" ref="AL5:AL12" si="3">COUNTIF(E5:AI5,"L")</f>
        <v>0</v>
      </c>
      <c r="AM5" s="4">
        <v>5</v>
      </c>
      <c r="AN5" s="15">
        <f>AJ5+AL5+AM5</f>
        <v>29</v>
      </c>
    </row>
    <row r="6" spans="1:40" x14ac:dyDescent="0.25">
      <c r="A6" s="3">
        <v>2</v>
      </c>
      <c r="B6" s="4" t="s">
        <v>18</v>
      </c>
      <c r="C6" s="4" t="s">
        <v>19</v>
      </c>
      <c r="D6" s="4" t="s">
        <v>30</v>
      </c>
      <c r="E6" s="4"/>
      <c r="F6" s="4"/>
      <c r="G6" s="4"/>
      <c r="H6" s="25"/>
      <c r="I6" s="4"/>
      <c r="J6" s="4"/>
      <c r="K6" s="4"/>
      <c r="L6" s="4"/>
      <c r="M6" s="4"/>
      <c r="N6" s="4"/>
      <c r="O6" s="25"/>
      <c r="P6" s="4"/>
      <c r="Q6" s="4"/>
      <c r="R6" s="4"/>
      <c r="S6" s="4" t="s">
        <v>6</v>
      </c>
      <c r="T6" s="4" t="s">
        <v>6</v>
      </c>
      <c r="U6" s="4" t="s">
        <v>6</v>
      </c>
      <c r="V6" s="25"/>
      <c r="W6" s="4" t="s">
        <v>6</v>
      </c>
      <c r="X6" s="25"/>
      <c r="Y6" s="4" t="s">
        <v>6</v>
      </c>
      <c r="Z6" s="4" t="s">
        <v>6</v>
      </c>
      <c r="AA6" s="4" t="s">
        <v>6</v>
      </c>
      <c r="AB6" s="4" t="s">
        <v>7</v>
      </c>
      <c r="AC6" s="25"/>
      <c r="AD6" s="25"/>
      <c r="AE6" s="4" t="s">
        <v>6</v>
      </c>
      <c r="AF6" s="4" t="s">
        <v>6</v>
      </c>
      <c r="AG6" s="4" t="s">
        <v>6</v>
      </c>
      <c r="AH6" s="27"/>
      <c r="AI6" s="4" t="s">
        <v>6</v>
      </c>
      <c r="AJ6" s="4">
        <f t="shared" si="1"/>
        <v>11</v>
      </c>
      <c r="AK6" s="4">
        <f t="shared" si="2"/>
        <v>1</v>
      </c>
      <c r="AL6" s="4">
        <f t="shared" si="3"/>
        <v>0</v>
      </c>
      <c r="AM6" s="4">
        <f t="shared" ref="AM6:AM12" si="4">COUNTBLANK(E6:AI6)</f>
        <v>19</v>
      </c>
      <c r="AN6" s="15">
        <f t="shared" ref="AN6:AN12" si="5">AJ6+AL6+AM6</f>
        <v>30</v>
      </c>
    </row>
    <row r="7" spans="1:40" x14ac:dyDescent="0.25">
      <c r="A7" s="3">
        <v>3</v>
      </c>
      <c r="B7" s="4" t="s">
        <v>20</v>
      </c>
      <c r="C7" s="4" t="s">
        <v>21</v>
      </c>
      <c r="D7" s="4" t="s">
        <v>30</v>
      </c>
      <c r="E7" s="4"/>
      <c r="F7" s="4"/>
      <c r="G7" s="4"/>
      <c r="H7" s="25"/>
      <c r="I7" s="4"/>
      <c r="J7" s="4"/>
      <c r="K7" s="4"/>
      <c r="L7" s="4"/>
      <c r="M7" s="4"/>
      <c r="N7" s="4"/>
      <c r="O7" s="25"/>
      <c r="P7" s="4"/>
      <c r="Q7" s="4"/>
      <c r="R7" s="4"/>
      <c r="S7" s="4" t="s">
        <v>6</v>
      </c>
      <c r="T7" s="4" t="s">
        <v>6</v>
      </c>
      <c r="U7" s="4" t="s">
        <v>6</v>
      </c>
      <c r="V7" s="25"/>
      <c r="W7" s="4" t="s">
        <v>6</v>
      </c>
      <c r="X7" s="25"/>
      <c r="Y7" s="4" t="s">
        <v>6</v>
      </c>
      <c r="Z7" s="4" t="s">
        <v>7</v>
      </c>
      <c r="AA7" s="4" t="s">
        <v>6</v>
      </c>
      <c r="AB7" s="4" t="s">
        <v>6</v>
      </c>
      <c r="AC7" s="25"/>
      <c r="AD7" s="25"/>
      <c r="AE7" s="4" t="s">
        <v>6</v>
      </c>
      <c r="AF7" s="4" t="s">
        <v>6</v>
      </c>
      <c r="AG7" s="4" t="s">
        <v>6</v>
      </c>
      <c r="AH7" s="27"/>
      <c r="AI7" s="4" t="s">
        <v>6</v>
      </c>
      <c r="AJ7" s="4">
        <f t="shared" si="1"/>
        <v>11</v>
      </c>
      <c r="AK7" s="4">
        <f t="shared" si="2"/>
        <v>1</v>
      </c>
      <c r="AL7" s="4">
        <f t="shared" si="3"/>
        <v>0</v>
      </c>
      <c r="AM7" s="4">
        <f t="shared" si="4"/>
        <v>19</v>
      </c>
      <c r="AN7" s="15">
        <f t="shared" si="5"/>
        <v>30</v>
      </c>
    </row>
    <row r="8" spans="1:40" x14ac:dyDescent="0.25">
      <c r="A8" s="3">
        <v>4</v>
      </c>
      <c r="B8" s="4" t="s">
        <v>34</v>
      </c>
      <c r="C8" s="4" t="s">
        <v>35</v>
      </c>
      <c r="D8" s="4" t="s">
        <v>30</v>
      </c>
      <c r="E8" s="4"/>
      <c r="F8" s="4"/>
      <c r="G8" s="4"/>
      <c r="H8" s="25"/>
      <c r="I8" s="4"/>
      <c r="J8" s="4"/>
      <c r="K8" s="4"/>
      <c r="L8" s="4"/>
      <c r="M8" s="4"/>
      <c r="N8" s="4"/>
      <c r="O8" s="25"/>
      <c r="P8" s="4"/>
      <c r="Q8" s="4"/>
      <c r="R8" s="4"/>
      <c r="S8" s="4" t="s">
        <v>6</v>
      </c>
      <c r="T8" s="4" t="s">
        <v>7</v>
      </c>
      <c r="U8" s="4" t="s">
        <v>7</v>
      </c>
      <c r="V8" s="25"/>
      <c r="W8" s="4" t="s">
        <v>6</v>
      </c>
      <c r="X8" s="25"/>
      <c r="Y8" s="4" t="s">
        <v>6</v>
      </c>
      <c r="Z8" s="4" t="s">
        <v>6</v>
      </c>
      <c r="AA8" s="4" t="s">
        <v>6</v>
      </c>
      <c r="AB8" s="4" t="s">
        <v>6</v>
      </c>
      <c r="AC8" s="25"/>
      <c r="AD8" s="25"/>
      <c r="AE8" s="4" t="s">
        <v>6</v>
      </c>
      <c r="AF8" s="4" t="s">
        <v>6</v>
      </c>
      <c r="AG8" s="4" t="s">
        <v>6</v>
      </c>
      <c r="AH8" s="27"/>
      <c r="AI8" s="4" t="s">
        <v>6</v>
      </c>
      <c r="AJ8" s="4">
        <f t="shared" si="1"/>
        <v>10</v>
      </c>
      <c r="AK8" s="4">
        <f t="shared" si="2"/>
        <v>2</v>
      </c>
      <c r="AL8" s="4">
        <f t="shared" si="3"/>
        <v>0</v>
      </c>
      <c r="AM8" s="4">
        <f t="shared" si="4"/>
        <v>19</v>
      </c>
      <c r="AN8" s="15">
        <f t="shared" si="5"/>
        <v>29</v>
      </c>
    </row>
    <row r="9" spans="1:40" x14ac:dyDescent="0.25">
      <c r="A9" s="3">
        <v>5</v>
      </c>
      <c r="B9" s="4" t="s">
        <v>22</v>
      </c>
      <c r="C9" s="4" t="s">
        <v>23</v>
      </c>
      <c r="D9" s="4" t="s">
        <v>30</v>
      </c>
      <c r="E9" s="4"/>
      <c r="F9" s="4"/>
      <c r="G9" s="4"/>
      <c r="H9" s="25"/>
      <c r="I9" s="4"/>
      <c r="J9" s="4"/>
      <c r="K9" s="4"/>
      <c r="L9" s="4"/>
      <c r="M9" s="4"/>
      <c r="N9" s="4"/>
      <c r="O9" s="25"/>
      <c r="P9" s="4"/>
      <c r="Q9" s="4"/>
      <c r="R9" s="4"/>
      <c r="S9" s="4" t="s">
        <v>6</v>
      </c>
      <c r="T9" s="4" t="s">
        <v>6</v>
      </c>
      <c r="U9" s="4" t="s">
        <v>6</v>
      </c>
      <c r="V9" s="25"/>
      <c r="W9" s="4" t="s">
        <v>6</v>
      </c>
      <c r="X9" s="25"/>
      <c r="Y9" s="4" t="s">
        <v>7</v>
      </c>
      <c r="Z9" s="4" t="s">
        <v>6</v>
      </c>
      <c r="AA9" s="4" t="s">
        <v>6</v>
      </c>
      <c r="AB9" s="4" t="s">
        <v>6</v>
      </c>
      <c r="AC9" s="25"/>
      <c r="AD9" s="25"/>
      <c r="AE9" s="4" t="s">
        <v>6</v>
      </c>
      <c r="AF9" s="4" t="s">
        <v>6</v>
      </c>
      <c r="AG9" s="4" t="s">
        <v>6</v>
      </c>
      <c r="AH9" s="27"/>
      <c r="AI9" s="4" t="s">
        <v>6</v>
      </c>
      <c r="AJ9" s="4">
        <f t="shared" si="1"/>
        <v>11</v>
      </c>
      <c r="AK9" s="4">
        <f t="shared" si="2"/>
        <v>1</v>
      </c>
      <c r="AL9" s="4">
        <f t="shared" si="3"/>
        <v>0</v>
      </c>
      <c r="AM9" s="4">
        <f t="shared" si="4"/>
        <v>19</v>
      </c>
      <c r="AN9" s="15">
        <f t="shared" si="5"/>
        <v>30</v>
      </c>
    </row>
    <row r="10" spans="1:40" x14ac:dyDescent="0.25">
      <c r="A10" s="3">
        <v>6</v>
      </c>
      <c r="B10" s="4" t="s">
        <v>24</v>
      </c>
      <c r="C10" s="4" t="s">
        <v>25</v>
      </c>
      <c r="D10" s="4" t="s">
        <v>30</v>
      </c>
      <c r="E10" s="4"/>
      <c r="F10" s="4"/>
      <c r="G10" s="4"/>
      <c r="H10" s="25"/>
      <c r="I10" s="4"/>
      <c r="J10" s="4"/>
      <c r="K10" s="4"/>
      <c r="L10" s="4"/>
      <c r="M10" s="4"/>
      <c r="N10" s="4"/>
      <c r="O10" s="25"/>
      <c r="P10" s="4"/>
      <c r="Q10" s="4"/>
      <c r="R10" s="4"/>
      <c r="S10" s="4" t="s">
        <v>6</v>
      </c>
      <c r="T10" s="4" t="s">
        <v>6</v>
      </c>
      <c r="U10" s="4" t="s">
        <v>6</v>
      </c>
      <c r="V10" s="25"/>
      <c r="W10" s="4" t="s">
        <v>6</v>
      </c>
      <c r="X10" s="25"/>
      <c r="Y10" s="4" t="s">
        <v>7</v>
      </c>
      <c r="Z10" s="4" t="s">
        <v>6</v>
      </c>
      <c r="AA10" s="4" t="s">
        <v>6</v>
      </c>
      <c r="AB10" s="4" t="s">
        <v>6</v>
      </c>
      <c r="AC10" s="25"/>
      <c r="AD10" s="25"/>
      <c r="AE10" s="4" t="s">
        <v>6</v>
      </c>
      <c r="AF10" s="4" t="s">
        <v>6</v>
      </c>
      <c r="AG10" s="4" t="s">
        <v>6</v>
      </c>
      <c r="AH10" s="27"/>
      <c r="AI10" s="4" t="s">
        <v>6</v>
      </c>
      <c r="AJ10" s="4">
        <f t="shared" si="1"/>
        <v>11</v>
      </c>
      <c r="AK10" s="4">
        <f t="shared" si="2"/>
        <v>1</v>
      </c>
      <c r="AL10" s="4">
        <f t="shared" si="3"/>
        <v>0</v>
      </c>
      <c r="AM10" s="4">
        <f t="shared" si="4"/>
        <v>19</v>
      </c>
      <c r="AN10" s="15">
        <f t="shared" si="5"/>
        <v>30</v>
      </c>
    </row>
    <row r="11" spans="1:40" x14ac:dyDescent="0.25">
      <c r="A11" s="3">
        <v>7</v>
      </c>
      <c r="B11" s="4" t="s">
        <v>26</v>
      </c>
      <c r="C11" s="4" t="s">
        <v>27</v>
      </c>
      <c r="D11" s="4" t="s">
        <v>30</v>
      </c>
      <c r="E11" s="4"/>
      <c r="F11" s="4"/>
      <c r="G11" s="4"/>
      <c r="H11" s="25"/>
      <c r="I11" s="4"/>
      <c r="J11" s="4"/>
      <c r="K11" s="4"/>
      <c r="L11" s="4"/>
      <c r="M11" s="4"/>
      <c r="N11" s="4"/>
      <c r="O11" s="25"/>
      <c r="P11" s="4"/>
      <c r="Q11" s="4"/>
      <c r="R11" s="4"/>
      <c r="S11" s="4" t="s">
        <v>6</v>
      </c>
      <c r="T11" s="4" t="s">
        <v>6</v>
      </c>
      <c r="U11" s="4" t="s">
        <v>6</v>
      </c>
      <c r="V11" s="25"/>
      <c r="W11" s="4" t="s">
        <v>6</v>
      </c>
      <c r="X11" s="25"/>
      <c r="Y11" s="4" t="s">
        <v>7</v>
      </c>
      <c r="Z11" s="4" t="s">
        <v>6</v>
      </c>
      <c r="AA11" s="4" t="s">
        <v>6</v>
      </c>
      <c r="AB11" s="4" t="s">
        <v>6</v>
      </c>
      <c r="AC11" s="25"/>
      <c r="AD11" s="25"/>
      <c r="AE11" s="4" t="s">
        <v>6</v>
      </c>
      <c r="AF11" s="4" t="s">
        <v>6</v>
      </c>
      <c r="AG11" s="4" t="s">
        <v>6</v>
      </c>
      <c r="AH11" s="27"/>
      <c r="AI11" s="4" t="s">
        <v>6</v>
      </c>
      <c r="AJ11" s="4">
        <f t="shared" si="1"/>
        <v>11</v>
      </c>
      <c r="AK11" s="4">
        <f t="shared" si="2"/>
        <v>1</v>
      </c>
      <c r="AL11" s="4">
        <f t="shared" si="3"/>
        <v>0</v>
      </c>
      <c r="AM11" s="4">
        <f t="shared" si="4"/>
        <v>19</v>
      </c>
      <c r="AN11" s="15">
        <f t="shared" si="5"/>
        <v>30</v>
      </c>
    </row>
    <row r="12" spans="1:40" ht="15.75" thickBot="1" x14ac:dyDescent="0.3">
      <c r="A12" s="5">
        <v>8</v>
      </c>
      <c r="B12" s="6" t="s">
        <v>28</v>
      </c>
      <c r="C12" s="6" t="s">
        <v>29</v>
      </c>
      <c r="D12" s="4" t="s">
        <v>30</v>
      </c>
      <c r="E12" s="6"/>
      <c r="F12" s="6"/>
      <c r="G12" s="6"/>
      <c r="H12" s="26"/>
      <c r="I12" s="6"/>
      <c r="J12" s="6"/>
      <c r="K12" s="6"/>
      <c r="L12" s="6"/>
      <c r="M12" s="6"/>
      <c r="N12" s="6"/>
      <c r="O12" s="26"/>
      <c r="P12" s="6"/>
      <c r="Q12" s="6"/>
      <c r="R12" s="6"/>
      <c r="S12" s="6" t="s">
        <v>6</v>
      </c>
      <c r="T12" s="6" t="s">
        <v>7</v>
      </c>
      <c r="U12" s="6" t="s">
        <v>6</v>
      </c>
      <c r="V12" s="26"/>
      <c r="W12" s="6" t="s">
        <v>6</v>
      </c>
      <c r="X12" s="26"/>
      <c r="Y12" s="6" t="s">
        <v>6</v>
      </c>
      <c r="Z12" s="6" t="s">
        <v>6</v>
      </c>
      <c r="AA12" s="6" t="s">
        <v>7</v>
      </c>
      <c r="AB12" s="6" t="s">
        <v>6</v>
      </c>
      <c r="AC12" s="26"/>
      <c r="AD12" s="26"/>
      <c r="AE12" s="6" t="s">
        <v>6</v>
      </c>
      <c r="AF12" s="6" t="s">
        <v>6</v>
      </c>
      <c r="AG12" s="6" t="s">
        <v>6</v>
      </c>
      <c r="AH12" s="28"/>
      <c r="AI12" s="6" t="s">
        <v>6</v>
      </c>
      <c r="AJ12" s="6">
        <f t="shared" si="1"/>
        <v>10</v>
      </c>
      <c r="AK12" s="6">
        <f t="shared" si="2"/>
        <v>2</v>
      </c>
      <c r="AL12" s="6">
        <f t="shared" si="3"/>
        <v>0</v>
      </c>
      <c r="AM12" s="6">
        <f t="shared" si="4"/>
        <v>19</v>
      </c>
      <c r="AN12" s="16">
        <f t="shared" si="5"/>
        <v>29</v>
      </c>
    </row>
    <row r="13" spans="1:40" ht="15.75" thickBot="1" x14ac:dyDescent="0.3"/>
    <row r="14" spans="1:40" ht="32.25" thickBot="1" x14ac:dyDescent="0.55000000000000004">
      <c r="A14" s="20" t="s">
        <v>14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2"/>
    </row>
    <row r="15" spans="1:40" ht="27" x14ac:dyDescent="0.25">
      <c r="A15" s="18" t="s">
        <v>0</v>
      </c>
      <c r="B15" s="19"/>
      <c r="C15" s="19"/>
      <c r="D15" s="19"/>
      <c r="E15" s="14" t="str">
        <f>TEXT(E16,"ddd")</f>
        <v>Thu</v>
      </c>
      <c r="F15" s="14" t="str">
        <f t="shared" ref="F15:AI15" si="6">TEXT(F16,"ddd")</f>
        <v>Fri</v>
      </c>
      <c r="G15" s="14" t="str">
        <f t="shared" si="6"/>
        <v>Sat</v>
      </c>
      <c r="H15" s="14" t="str">
        <f t="shared" si="6"/>
        <v>Sun</v>
      </c>
      <c r="I15" s="14" t="str">
        <f t="shared" si="6"/>
        <v>Mon</v>
      </c>
      <c r="J15" s="14" t="str">
        <f t="shared" si="6"/>
        <v>Tue</v>
      </c>
      <c r="K15" s="14" t="str">
        <f t="shared" si="6"/>
        <v>Wed</v>
      </c>
      <c r="L15" s="14" t="str">
        <f t="shared" si="6"/>
        <v>Thu</v>
      </c>
      <c r="M15" s="14" t="str">
        <f t="shared" si="6"/>
        <v>Fri</v>
      </c>
      <c r="N15" s="14" t="str">
        <f t="shared" si="6"/>
        <v>Sat</v>
      </c>
      <c r="O15" s="14" t="str">
        <f t="shared" si="6"/>
        <v>Sun</v>
      </c>
      <c r="P15" s="14" t="str">
        <f t="shared" si="6"/>
        <v>Mon</v>
      </c>
      <c r="Q15" s="14" t="str">
        <f t="shared" si="6"/>
        <v>Tue</v>
      </c>
      <c r="R15" s="14" t="str">
        <f t="shared" si="6"/>
        <v>Wed</v>
      </c>
      <c r="S15" s="14" t="str">
        <f t="shared" si="6"/>
        <v>Thu</v>
      </c>
      <c r="T15" s="14" t="str">
        <f t="shared" si="6"/>
        <v>Fri</v>
      </c>
      <c r="U15" s="14" t="str">
        <f t="shared" si="6"/>
        <v>Sat</v>
      </c>
      <c r="V15" s="14" t="str">
        <f t="shared" si="6"/>
        <v>Sun</v>
      </c>
      <c r="W15" s="14" t="str">
        <f t="shared" si="6"/>
        <v>Mon</v>
      </c>
      <c r="X15" s="14" t="str">
        <f t="shared" si="6"/>
        <v>Tue</v>
      </c>
      <c r="Y15" s="14" t="str">
        <f t="shared" si="6"/>
        <v>Wed</v>
      </c>
      <c r="Z15" s="14" t="str">
        <f t="shared" si="6"/>
        <v>Thu</v>
      </c>
      <c r="AA15" s="14" t="str">
        <f t="shared" si="6"/>
        <v>Fri</v>
      </c>
      <c r="AB15" s="14" t="str">
        <f t="shared" si="6"/>
        <v>Sat</v>
      </c>
      <c r="AC15" s="14" t="str">
        <f t="shared" si="6"/>
        <v>Sun</v>
      </c>
      <c r="AD15" s="14" t="str">
        <f t="shared" si="6"/>
        <v>Mon</v>
      </c>
      <c r="AE15" s="14" t="str">
        <f t="shared" si="6"/>
        <v>Tue</v>
      </c>
      <c r="AF15" s="14" t="str">
        <f t="shared" si="6"/>
        <v>Wed</v>
      </c>
      <c r="AG15" s="14" t="str">
        <f t="shared" si="6"/>
        <v>Thu</v>
      </c>
      <c r="AH15" s="14" t="str">
        <f t="shared" si="6"/>
        <v>Fri</v>
      </c>
      <c r="AI15" s="14" t="str">
        <f t="shared" si="6"/>
        <v>Sat</v>
      </c>
      <c r="AJ15" s="23" t="s">
        <v>1</v>
      </c>
      <c r="AK15" s="23"/>
      <c r="AL15" s="23"/>
      <c r="AM15" s="23"/>
      <c r="AN15" s="24"/>
    </row>
    <row r="16" spans="1:40" x14ac:dyDescent="0.25">
      <c r="A16" s="1" t="s">
        <v>2</v>
      </c>
      <c r="B16" s="2" t="s">
        <v>3</v>
      </c>
      <c r="C16" s="2" t="s">
        <v>16</v>
      </c>
      <c r="D16" s="2" t="s">
        <v>4</v>
      </c>
      <c r="E16" s="7">
        <v>45505</v>
      </c>
      <c r="F16" s="7">
        <v>45506</v>
      </c>
      <c r="G16" s="7">
        <v>45507</v>
      </c>
      <c r="H16" s="7">
        <v>45508</v>
      </c>
      <c r="I16" s="7">
        <v>45509</v>
      </c>
      <c r="J16" s="7">
        <v>45510</v>
      </c>
      <c r="K16" s="7">
        <v>45511</v>
      </c>
      <c r="L16" s="7">
        <v>45512</v>
      </c>
      <c r="M16" s="7">
        <v>45513</v>
      </c>
      <c r="N16" s="7">
        <v>45514</v>
      </c>
      <c r="O16" s="7">
        <v>45515</v>
      </c>
      <c r="P16" s="7">
        <v>45516</v>
      </c>
      <c r="Q16" s="7">
        <v>45517</v>
      </c>
      <c r="R16" s="7">
        <v>45518</v>
      </c>
      <c r="S16" s="7">
        <v>45519</v>
      </c>
      <c r="T16" s="7">
        <v>45520</v>
      </c>
      <c r="U16" s="7">
        <v>45521</v>
      </c>
      <c r="V16" s="7">
        <v>45522</v>
      </c>
      <c r="W16" s="7">
        <v>45523</v>
      </c>
      <c r="X16" s="7">
        <v>45524</v>
      </c>
      <c r="Y16" s="7">
        <v>45525</v>
      </c>
      <c r="Z16" s="7">
        <v>45526</v>
      </c>
      <c r="AA16" s="7">
        <v>45527</v>
      </c>
      <c r="AB16" s="7">
        <v>45528</v>
      </c>
      <c r="AC16" s="7">
        <v>45529</v>
      </c>
      <c r="AD16" s="7">
        <v>45530</v>
      </c>
      <c r="AE16" s="7">
        <v>45531</v>
      </c>
      <c r="AF16" s="7">
        <v>45532</v>
      </c>
      <c r="AG16" s="7">
        <v>45533</v>
      </c>
      <c r="AH16" s="7">
        <v>45534</v>
      </c>
      <c r="AI16" s="7">
        <v>45535</v>
      </c>
      <c r="AJ16" s="12" t="s">
        <v>6</v>
      </c>
      <c r="AK16" s="12" t="s">
        <v>7</v>
      </c>
      <c r="AL16" s="12" t="s">
        <v>8</v>
      </c>
      <c r="AM16" s="12" t="s">
        <v>9</v>
      </c>
      <c r="AN16" s="13" t="s">
        <v>5</v>
      </c>
    </row>
    <row r="17" spans="1:40" ht="15" customHeight="1" x14ac:dyDescent="0.25">
      <c r="A17" s="3">
        <f>IF(B17="","",1)</f>
        <v>1</v>
      </c>
      <c r="B17" s="4" t="s">
        <v>32</v>
      </c>
      <c r="C17" s="4" t="s">
        <v>33</v>
      </c>
      <c r="D17" s="4" t="s">
        <v>36</v>
      </c>
      <c r="E17" s="4" t="s">
        <v>6</v>
      </c>
      <c r="F17" s="4" t="s">
        <v>6</v>
      </c>
      <c r="G17" s="4" t="s">
        <v>6</v>
      </c>
      <c r="H17" s="4"/>
      <c r="I17" s="4" t="s">
        <v>6</v>
      </c>
      <c r="J17" s="4" t="s">
        <v>6</v>
      </c>
      <c r="K17" s="4" t="s">
        <v>6</v>
      </c>
      <c r="L17" s="4" t="s">
        <v>6</v>
      </c>
      <c r="M17" s="4" t="s">
        <v>6</v>
      </c>
      <c r="N17" s="4" t="s">
        <v>6</v>
      </c>
      <c r="O17" s="4"/>
      <c r="P17" s="4" t="s">
        <v>6</v>
      </c>
      <c r="Q17" s="4" t="s">
        <v>6</v>
      </c>
      <c r="R17" s="4" t="s">
        <v>6</v>
      </c>
      <c r="S17" s="4" t="s">
        <v>6</v>
      </c>
      <c r="T17" s="4" t="s">
        <v>6</v>
      </c>
      <c r="U17" s="4" t="s">
        <v>6</v>
      </c>
      <c r="V17" s="4"/>
      <c r="W17" s="4" t="s">
        <v>6</v>
      </c>
      <c r="X17" s="4"/>
      <c r="Y17" s="4" t="s">
        <v>6</v>
      </c>
      <c r="Z17" s="4" t="s">
        <v>7</v>
      </c>
      <c r="AA17" s="4" t="s">
        <v>6</v>
      </c>
      <c r="AB17" s="4" t="s">
        <v>6</v>
      </c>
      <c r="AC17" s="4"/>
      <c r="AD17" s="4"/>
      <c r="AE17" s="4" t="s">
        <v>6</v>
      </c>
      <c r="AF17" s="4" t="s">
        <v>6</v>
      </c>
      <c r="AG17" s="4" t="s">
        <v>6</v>
      </c>
      <c r="AH17" s="4"/>
      <c r="AI17" s="4" t="s">
        <v>6</v>
      </c>
      <c r="AJ17" s="8">
        <f t="shared" ref="AJ17:AJ18" si="7">COUNTIF(E17:AI17,"P")</f>
        <v>23</v>
      </c>
      <c r="AK17" s="8">
        <f t="shared" ref="AK17:AK18" si="8">COUNTIF(E17:AI17,"A")</f>
        <v>1</v>
      </c>
      <c r="AL17" s="8">
        <f t="shared" ref="AL17:AL18" si="9">COUNTIF(E17:AI17,"L")</f>
        <v>0</v>
      </c>
      <c r="AM17" s="8">
        <v>5</v>
      </c>
      <c r="AN17" s="10">
        <f>AJ17+AL17+AM17</f>
        <v>28</v>
      </c>
    </row>
    <row r="18" spans="1:40" ht="15.75" thickBo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9">
        <f t="shared" si="7"/>
        <v>0</v>
      </c>
      <c r="AK18" s="9">
        <f t="shared" si="8"/>
        <v>0</v>
      </c>
      <c r="AL18" s="9">
        <f t="shared" si="9"/>
        <v>0</v>
      </c>
      <c r="AM18" s="9">
        <f>COUNTBLANK(E18:AI18)</f>
        <v>31</v>
      </c>
      <c r="AN18" s="11">
        <f t="shared" ref="AN18" si="10">AJ18+AL18+AM18</f>
        <v>31</v>
      </c>
    </row>
  </sheetData>
  <mergeCells count="13">
    <mergeCell ref="V5:V12"/>
    <mergeCell ref="AC5:AC12"/>
    <mergeCell ref="X5:X12"/>
    <mergeCell ref="AD5:AD12"/>
    <mergeCell ref="AH5:AH12"/>
    <mergeCell ref="A2:AN2"/>
    <mergeCell ref="A14:AN14"/>
    <mergeCell ref="A15:D15"/>
    <mergeCell ref="AJ15:AN15"/>
    <mergeCell ref="A3:D3"/>
    <mergeCell ref="AJ3:AN3"/>
    <mergeCell ref="H5:H12"/>
    <mergeCell ref="O5:O12"/>
  </mergeCells>
  <conditionalFormatting sqref="E17:I18 K18:P18 R18:W18 Y18:AD18 AF18:AI18 J17:AI17">
    <cfRule type="expression" dxfId="44" priority="13">
      <formula>E$3="SUN"</formula>
    </cfRule>
    <cfRule type="cellIs" dxfId="43" priority="14" operator="equal">
      <formula>"A"</formula>
    </cfRule>
    <cfRule type="cellIs" dxfId="42" priority="15" operator="equal">
      <formula>"P"</formula>
    </cfRule>
  </conditionalFormatting>
  <conditionalFormatting sqref="E5:G12 E3:AI4 H5 O5 V5 I5:N12 P5:U12 W5:W12 AE5:AG12 E15:AI16 Y5:AB12 X5 AC5:AD5 AI5:AI12 AH5">
    <cfRule type="expression" dxfId="41" priority="97">
      <formula>E$3="SUN"</formula>
    </cfRule>
  </conditionalFormatting>
  <conditionalFormatting sqref="E5:G12 H5 O5 V5 I5:N12 P5:U12 W5:W12 AE5:AG12 Y5:AB12 X5 AC5:AD5 AI5:AI12 AH5">
    <cfRule type="cellIs" dxfId="40" priority="98" operator="equal">
      <formula>"A"</formula>
    </cfRule>
    <cfRule type="cellIs" dxfId="39" priority="99" operator="equal">
      <formula>"P"</formula>
    </cfRule>
  </conditionalFormatting>
  <conditionalFormatting sqref="J18">
    <cfRule type="expression" dxfId="38" priority="10">
      <formula>J$3="SUN"</formula>
    </cfRule>
    <cfRule type="cellIs" dxfId="37" priority="11" operator="equal">
      <formula>"A"</formula>
    </cfRule>
    <cfRule type="cellIs" dxfId="36" priority="12" operator="equal">
      <formula>"P"</formula>
    </cfRule>
  </conditionalFormatting>
  <conditionalFormatting sqref="Q18">
    <cfRule type="expression" dxfId="35" priority="7">
      <formula>Q$3="SUN"</formula>
    </cfRule>
    <cfRule type="cellIs" dxfId="34" priority="8" operator="equal">
      <formula>"A"</formula>
    </cfRule>
    <cfRule type="cellIs" dxfId="33" priority="9" operator="equal">
      <formula>"P"</formula>
    </cfRule>
  </conditionalFormatting>
  <conditionalFormatting sqref="X18">
    <cfRule type="expression" dxfId="32" priority="4">
      <formula>X$3="SUN"</formula>
    </cfRule>
    <cfRule type="cellIs" dxfId="31" priority="5" operator="equal">
      <formula>"A"</formula>
    </cfRule>
    <cfRule type="cellIs" dxfId="30" priority="6" operator="equal">
      <formula>"P"</formula>
    </cfRule>
  </conditionalFormatting>
  <conditionalFormatting sqref="AE18">
    <cfRule type="expression" dxfId="29" priority="1">
      <formula>AE$3="SUN"</formula>
    </cfRule>
    <cfRule type="cellIs" dxfId="28" priority="2" operator="equal">
      <formula>"A"</formula>
    </cfRule>
    <cfRule type="cellIs" dxfId="27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6802-B17A-4BB6-82FA-2C23CF5182C5}">
  <dimension ref="A1:AM18"/>
  <sheetViews>
    <sheetView topLeftCell="A2" workbookViewId="0">
      <selection activeCell="AI4" sqref="AI1:AI1048576"/>
    </sheetView>
  </sheetViews>
  <sheetFormatPr defaultRowHeight="15" x14ac:dyDescent="0.25"/>
  <cols>
    <col min="1" max="1" width="5" bestFit="1" customWidth="1"/>
    <col min="2" max="2" width="18.140625" bestFit="1" customWidth="1"/>
    <col min="3" max="3" width="18.85546875" bestFit="1" customWidth="1"/>
    <col min="4" max="4" width="12.5703125" bestFit="1" customWidth="1"/>
    <col min="5" max="5" width="3" bestFit="1" customWidth="1"/>
    <col min="6" max="33" width="3.7109375" bestFit="1" customWidth="1"/>
    <col min="34" max="34" width="3.7109375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20" t="s">
        <v>13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2"/>
    </row>
    <row r="3" spans="1:39" ht="27" x14ac:dyDescent="0.25">
      <c r="A3" s="18" t="s">
        <v>0</v>
      </c>
      <c r="B3" s="19"/>
      <c r="C3" s="19"/>
      <c r="D3" s="19"/>
      <c r="E3" s="14" t="str">
        <f>TEXT(E4,"ddd")</f>
        <v>Sun</v>
      </c>
      <c r="F3" s="14" t="str">
        <f t="shared" ref="F3:AH3" si="0">TEXT(F4,"ddd")</f>
        <v>Mon</v>
      </c>
      <c r="G3" s="14" t="str">
        <f t="shared" si="0"/>
        <v>Tue</v>
      </c>
      <c r="H3" s="14" t="str">
        <f t="shared" si="0"/>
        <v>Wed</v>
      </c>
      <c r="I3" s="14" t="str">
        <f t="shared" si="0"/>
        <v>Thu</v>
      </c>
      <c r="J3" s="14" t="str">
        <f t="shared" si="0"/>
        <v>Fri</v>
      </c>
      <c r="K3" s="14" t="str">
        <f t="shared" si="0"/>
        <v>Sat</v>
      </c>
      <c r="L3" s="14" t="str">
        <f t="shared" si="0"/>
        <v>Sun</v>
      </c>
      <c r="M3" s="14" t="str">
        <f t="shared" si="0"/>
        <v>Mon</v>
      </c>
      <c r="N3" s="14" t="str">
        <f t="shared" si="0"/>
        <v>Tue</v>
      </c>
      <c r="O3" s="14" t="str">
        <f t="shared" si="0"/>
        <v>Wed</v>
      </c>
      <c r="P3" s="14" t="str">
        <f t="shared" si="0"/>
        <v>Thu</v>
      </c>
      <c r="Q3" s="14" t="str">
        <f t="shared" si="0"/>
        <v>Fri</v>
      </c>
      <c r="R3" s="14" t="str">
        <f t="shared" si="0"/>
        <v>Sat</v>
      </c>
      <c r="S3" s="14" t="str">
        <f t="shared" si="0"/>
        <v>Sun</v>
      </c>
      <c r="T3" s="14" t="str">
        <f t="shared" si="0"/>
        <v>Mon</v>
      </c>
      <c r="U3" s="14" t="str">
        <f t="shared" si="0"/>
        <v>Tue</v>
      </c>
      <c r="V3" s="14" t="str">
        <f t="shared" si="0"/>
        <v>Wed</v>
      </c>
      <c r="W3" s="14" t="str">
        <f t="shared" si="0"/>
        <v>Thu</v>
      </c>
      <c r="X3" s="14" t="str">
        <f t="shared" si="0"/>
        <v>Fri</v>
      </c>
      <c r="Y3" s="14" t="str">
        <f t="shared" si="0"/>
        <v>Sat</v>
      </c>
      <c r="Z3" s="14" t="str">
        <f t="shared" si="0"/>
        <v>Sun</v>
      </c>
      <c r="AA3" s="14" t="str">
        <f t="shared" si="0"/>
        <v>Mon</v>
      </c>
      <c r="AB3" s="14" t="str">
        <f t="shared" si="0"/>
        <v>Tue</v>
      </c>
      <c r="AC3" s="14" t="str">
        <f t="shared" si="0"/>
        <v>Wed</v>
      </c>
      <c r="AD3" s="14" t="str">
        <f t="shared" si="0"/>
        <v>Thu</v>
      </c>
      <c r="AE3" s="14" t="str">
        <f t="shared" si="0"/>
        <v>Fri</v>
      </c>
      <c r="AF3" s="14" t="str">
        <f t="shared" si="0"/>
        <v>Sat</v>
      </c>
      <c r="AG3" s="14" t="str">
        <f t="shared" si="0"/>
        <v>Sun</v>
      </c>
      <c r="AH3" s="14" t="str">
        <f t="shared" si="0"/>
        <v>Mon</v>
      </c>
      <c r="AI3" s="23" t="s">
        <v>1</v>
      </c>
      <c r="AJ3" s="23"/>
      <c r="AK3" s="23"/>
      <c r="AL3" s="23"/>
      <c r="AM3" s="24"/>
    </row>
    <row r="4" spans="1:39" x14ac:dyDescent="0.25">
      <c r="A4" s="1" t="s">
        <v>2</v>
      </c>
      <c r="B4" s="2" t="s">
        <v>3</v>
      </c>
      <c r="C4" s="2" t="s">
        <v>16</v>
      </c>
      <c r="D4" s="2" t="s">
        <v>4</v>
      </c>
      <c r="E4" s="7">
        <v>45536</v>
      </c>
      <c r="F4" s="7">
        <v>45537</v>
      </c>
      <c r="G4" s="7">
        <v>45538</v>
      </c>
      <c r="H4" s="7">
        <v>45539</v>
      </c>
      <c r="I4" s="7">
        <v>45540</v>
      </c>
      <c r="J4" s="7">
        <v>45541</v>
      </c>
      <c r="K4" s="7">
        <v>45542</v>
      </c>
      <c r="L4" s="7">
        <v>45543</v>
      </c>
      <c r="M4" s="7">
        <v>45544</v>
      </c>
      <c r="N4" s="7">
        <v>45545</v>
      </c>
      <c r="O4" s="7">
        <v>45546</v>
      </c>
      <c r="P4" s="7">
        <v>45547</v>
      </c>
      <c r="Q4" s="7">
        <v>45548</v>
      </c>
      <c r="R4" s="7">
        <v>45549</v>
      </c>
      <c r="S4" s="7">
        <v>45550</v>
      </c>
      <c r="T4" s="7">
        <v>45551</v>
      </c>
      <c r="U4" s="7">
        <v>45552</v>
      </c>
      <c r="V4" s="7">
        <v>45553</v>
      </c>
      <c r="W4" s="7">
        <v>45554</v>
      </c>
      <c r="X4" s="7">
        <v>45555</v>
      </c>
      <c r="Y4" s="7">
        <v>45556</v>
      </c>
      <c r="Z4" s="7">
        <v>45557</v>
      </c>
      <c r="AA4" s="7">
        <v>45558</v>
      </c>
      <c r="AB4" s="7">
        <v>45559</v>
      </c>
      <c r="AC4" s="7">
        <v>45560</v>
      </c>
      <c r="AD4" s="7">
        <v>45561</v>
      </c>
      <c r="AE4" s="7">
        <v>45562</v>
      </c>
      <c r="AF4" s="7">
        <v>45563</v>
      </c>
      <c r="AG4" s="7">
        <v>45564</v>
      </c>
      <c r="AH4" s="7">
        <v>45565</v>
      </c>
      <c r="AI4" s="12" t="s">
        <v>6</v>
      </c>
      <c r="AJ4" s="12" t="s">
        <v>7</v>
      </c>
      <c r="AK4" s="12" t="s">
        <v>8</v>
      </c>
      <c r="AL4" s="12" t="s">
        <v>9</v>
      </c>
      <c r="AM4" s="13" t="s">
        <v>5</v>
      </c>
    </row>
    <row r="5" spans="1:39" ht="15" customHeight="1" x14ac:dyDescent="0.25">
      <c r="A5" s="3">
        <v>1</v>
      </c>
      <c r="B5" s="4" t="s">
        <v>15</v>
      </c>
      <c r="C5" s="4" t="s">
        <v>17</v>
      </c>
      <c r="D5" s="4" t="s">
        <v>31</v>
      </c>
      <c r="E5" s="25" t="s">
        <v>10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25" t="s">
        <v>10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6</v>
      </c>
      <c r="S5" s="25" t="s">
        <v>10</v>
      </c>
      <c r="T5" s="4" t="s">
        <v>6</v>
      </c>
      <c r="U5" s="27" t="s">
        <v>39</v>
      </c>
      <c r="V5" s="4" t="s">
        <v>6</v>
      </c>
      <c r="W5" s="4" t="s">
        <v>6</v>
      </c>
      <c r="X5" s="4" t="s">
        <v>6</v>
      </c>
      <c r="Y5" s="4" t="s">
        <v>7</v>
      </c>
      <c r="Z5" s="25" t="s">
        <v>10</v>
      </c>
      <c r="AA5" s="4" t="s">
        <v>6</v>
      </c>
      <c r="AB5" s="4" t="s">
        <v>6</v>
      </c>
      <c r="AC5" s="4" t="s">
        <v>6</v>
      </c>
      <c r="AD5" s="4" t="s">
        <v>6</v>
      </c>
      <c r="AE5" s="4" t="s">
        <v>6</v>
      </c>
      <c r="AF5" s="4" t="s">
        <v>7</v>
      </c>
      <c r="AG5" s="25" t="s">
        <v>10</v>
      </c>
      <c r="AH5" s="4" t="s">
        <v>6</v>
      </c>
      <c r="AI5" s="4">
        <f>COUNTIF(E5:AH5,"P")</f>
        <v>22</v>
      </c>
      <c r="AJ5" s="4">
        <f>COUNTIF(E5:AH5,"A")</f>
        <v>2</v>
      </c>
      <c r="AK5" s="4">
        <f>COUNTIF(E5:AH5,"L")</f>
        <v>0</v>
      </c>
      <c r="AL5" s="4">
        <v>5</v>
      </c>
      <c r="AM5" s="15">
        <f>AI5+AK5+AL5</f>
        <v>27</v>
      </c>
    </row>
    <row r="6" spans="1:39" x14ac:dyDescent="0.25">
      <c r="A6" s="3">
        <v>2</v>
      </c>
      <c r="B6" s="4" t="s">
        <v>18</v>
      </c>
      <c r="C6" s="4" t="s">
        <v>19</v>
      </c>
      <c r="D6" s="4" t="s">
        <v>30</v>
      </c>
      <c r="E6" s="25"/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25"/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" t="s">
        <v>7</v>
      </c>
      <c r="S6" s="25"/>
      <c r="T6" s="4" t="s">
        <v>6</v>
      </c>
      <c r="U6" s="27"/>
      <c r="V6" s="4" t="s">
        <v>6</v>
      </c>
      <c r="W6" s="4" t="s">
        <v>6</v>
      </c>
      <c r="X6" s="4" t="s">
        <v>6</v>
      </c>
      <c r="Y6" s="4" t="s">
        <v>6</v>
      </c>
      <c r="Z6" s="25"/>
      <c r="AA6" s="4" t="s">
        <v>6</v>
      </c>
      <c r="AB6" s="4" t="s">
        <v>6</v>
      </c>
      <c r="AC6" s="4" t="s">
        <v>6</v>
      </c>
      <c r="AD6" s="4" t="s">
        <v>6</v>
      </c>
      <c r="AE6" s="4" t="s">
        <v>6</v>
      </c>
      <c r="AF6" s="4" t="s">
        <v>6</v>
      </c>
      <c r="AG6" s="25"/>
      <c r="AH6" s="4" t="s">
        <v>6</v>
      </c>
      <c r="AI6" s="4">
        <f>COUNTIF(E6:AH6,"P")</f>
        <v>23</v>
      </c>
      <c r="AJ6" s="4">
        <f>COUNTIF(E6:AH6,"A")</f>
        <v>1</v>
      </c>
      <c r="AK6" s="4">
        <f>COUNTIF(E6:AH6,"L")</f>
        <v>0</v>
      </c>
      <c r="AL6" s="4">
        <f>COUNTBLANK(E6:AH6)</f>
        <v>6</v>
      </c>
      <c r="AM6" s="15">
        <f t="shared" ref="AM6:AM12" si="1">AI6+AK6+AL6</f>
        <v>29</v>
      </c>
    </row>
    <row r="7" spans="1:39" x14ac:dyDescent="0.25">
      <c r="A7" s="3">
        <v>3</v>
      </c>
      <c r="B7" s="4" t="s">
        <v>20</v>
      </c>
      <c r="C7" s="4" t="s">
        <v>21</v>
      </c>
      <c r="D7" s="4" t="s">
        <v>30</v>
      </c>
      <c r="E7" s="25"/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25"/>
      <c r="M7" s="4" t="s">
        <v>7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25"/>
      <c r="T7" s="4" t="s">
        <v>6</v>
      </c>
      <c r="U7" s="27"/>
      <c r="V7" s="4" t="s">
        <v>6</v>
      </c>
      <c r="W7" s="4" t="s">
        <v>6</v>
      </c>
      <c r="X7" s="4" t="s">
        <v>6</v>
      </c>
      <c r="Y7" s="4" t="s">
        <v>6</v>
      </c>
      <c r="Z7" s="25"/>
      <c r="AA7" s="4" t="s">
        <v>6</v>
      </c>
      <c r="AB7" s="4" t="s">
        <v>6</v>
      </c>
      <c r="AC7" s="4" t="s">
        <v>6</v>
      </c>
      <c r="AD7" s="4" t="s">
        <v>6</v>
      </c>
      <c r="AE7" s="4" t="s">
        <v>6</v>
      </c>
      <c r="AF7" s="4" t="s">
        <v>6</v>
      </c>
      <c r="AG7" s="25"/>
      <c r="AH7" s="4" t="s">
        <v>7</v>
      </c>
      <c r="AI7" s="4">
        <f>COUNTIF(E7:AH7,"P")</f>
        <v>22</v>
      </c>
      <c r="AJ7" s="4">
        <f>COUNTIF(E7:AH7,"A")</f>
        <v>2</v>
      </c>
      <c r="AK7" s="4">
        <f>COUNTIF(E7:AH7,"L")</f>
        <v>0</v>
      </c>
      <c r="AL7" s="4">
        <f>COUNTBLANK(E7:AH7)</f>
        <v>6</v>
      </c>
      <c r="AM7" s="15">
        <f t="shared" si="1"/>
        <v>28</v>
      </c>
    </row>
    <row r="8" spans="1:39" x14ac:dyDescent="0.25">
      <c r="A8" s="3">
        <v>4</v>
      </c>
      <c r="B8" s="4" t="s">
        <v>34</v>
      </c>
      <c r="C8" s="4" t="s">
        <v>35</v>
      </c>
      <c r="D8" s="4" t="s">
        <v>30</v>
      </c>
      <c r="E8" s="25"/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7</v>
      </c>
      <c r="L8" s="25"/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25"/>
      <c r="T8" s="4" t="s">
        <v>6</v>
      </c>
      <c r="U8" s="27"/>
      <c r="V8" s="4" t="s">
        <v>6</v>
      </c>
      <c r="W8" s="4" t="s">
        <v>6</v>
      </c>
      <c r="X8" s="4" t="s">
        <v>6</v>
      </c>
      <c r="Y8" s="4" t="s">
        <v>7</v>
      </c>
      <c r="Z8" s="25"/>
      <c r="AA8" s="4" t="s">
        <v>6</v>
      </c>
      <c r="AB8" s="4" t="s">
        <v>6</v>
      </c>
      <c r="AC8" s="4" t="s">
        <v>6</v>
      </c>
      <c r="AD8" s="4" t="s">
        <v>6</v>
      </c>
      <c r="AE8" s="4" t="s">
        <v>6</v>
      </c>
      <c r="AF8" s="4" t="s">
        <v>6</v>
      </c>
      <c r="AG8" s="25"/>
      <c r="AH8" s="4" t="s">
        <v>6</v>
      </c>
      <c r="AI8" s="4">
        <f>COUNTIF(E8:AH8,"P")</f>
        <v>22</v>
      </c>
      <c r="AJ8" s="4">
        <f>COUNTIF(E8:AH8,"A")</f>
        <v>2</v>
      </c>
      <c r="AK8" s="4">
        <f>COUNTIF(E8:AH8,"L")</f>
        <v>0</v>
      </c>
      <c r="AL8" s="4">
        <f>COUNTBLANK(E8:AH8)</f>
        <v>6</v>
      </c>
      <c r="AM8" s="15">
        <f t="shared" si="1"/>
        <v>28</v>
      </c>
    </row>
    <row r="9" spans="1:39" x14ac:dyDescent="0.25">
      <c r="A9" s="3">
        <v>5</v>
      </c>
      <c r="B9" s="4" t="s">
        <v>22</v>
      </c>
      <c r="C9" s="4" t="s">
        <v>23</v>
      </c>
      <c r="D9" s="4" t="s">
        <v>30</v>
      </c>
      <c r="E9" s="25"/>
      <c r="F9" s="4" t="s">
        <v>6</v>
      </c>
      <c r="G9" s="4" t="s">
        <v>6</v>
      </c>
      <c r="H9" s="4" t="s">
        <v>7</v>
      </c>
      <c r="I9" s="4" t="s">
        <v>6</v>
      </c>
      <c r="J9" s="4" t="s">
        <v>6</v>
      </c>
      <c r="K9" s="4" t="s">
        <v>6</v>
      </c>
      <c r="L9" s="25"/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4" t="s">
        <v>6</v>
      </c>
      <c r="S9" s="25"/>
      <c r="T9" s="4" t="s">
        <v>6</v>
      </c>
      <c r="U9" s="27"/>
      <c r="V9" s="4" t="s">
        <v>6</v>
      </c>
      <c r="W9" s="4" t="s">
        <v>6</v>
      </c>
      <c r="X9" s="4" t="s">
        <v>6</v>
      </c>
      <c r="Y9" s="4" t="s">
        <v>6</v>
      </c>
      <c r="Z9" s="25"/>
      <c r="AA9" s="4" t="s">
        <v>7</v>
      </c>
      <c r="AB9" s="4" t="s">
        <v>6</v>
      </c>
      <c r="AC9" s="4" t="s">
        <v>6</v>
      </c>
      <c r="AD9" s="4" t="s">
        <v>6</v>
      </c>
      <c r="AE9" s="4" t="s">
        <v>6</v>
      </c>
      <c r="AF9" s="4" t="s">
        <v>7</v>
      </c>
      <c r="AG9" s="25"/>
      <c r="AH9" s="4" t="s">
        <v>6</v>
      </c>
      <c r="AI9" s="4">
        <f>COUNTIF(E9:AH9,"P")</f>
        <v>21</v>
      </c>
      <c r="AJ9" s="4">
        <f>COUNTIF(E9:AH9,"A")</f>
        <v>3</v>
      </c>
      <c r="AK9" s="4">
        <f>COUNTIF(E9:AH9,"L")</f>
        <v>0</v>
      </c>
      <c r="AL9" s="4">
        <f>COUNTBLANK(E9:AH9)</f>
        <v>6</v>
      </c>
      <c r="AM9" s="15">
        <f t="shared" si="1"/>
        <v>27</v>
      </c>
    </row>
    <row r="10" spans="1:39" x14ac:dyDescent="0.25">
      <c r="A10" s="3">
        <v>6</v>
      </c>
      <c r="B10" s="4" t="s">
        <v>24</v>
      </c>
      <c r="C10" s="4" t="s">
        <v>25</v>
      </c>
      <c r="D10" s="4" t="s">
        <v>30</v>
      </c>
      <c r="E10" s="25"/>
      <c r="F10" s="4" t="s">
        <v>6</v>
      </c>
      <c r="G10" s="4" t="s">
        <v>6</v>
      </c>
      <c r="H10" s="4" t="s">
        <v>7</v>
      </c>
      <c r="I10" s="4" t="s">
        <v>6</v>
      </c>
      <c r="J10" s="4" t="s">
        <v>6</v>
      </c>
      <c r="K10" s="4" t="s">
        <v>6</v>
      </c>
      <c r="L10" s="25"/>
      <c r="M10" s="4" t="s">
        <v>6</v>
      </c>
      <c r="N10" s="4" t="s">
        <v>6</v>
      </c>
      <c r="O10" s="4" t="s">
        <v>6</v>
      </c>
      <c r="P10" s="4" t="s">
        <v>6</v>
      </c>
      <c r="Q10" s="4" t="s">
        <v>7</v>
      </c>
      <c r="R10" s="4" t="s">
        <v>6</v>
      </c>
      <c r="S10" s="25"/>
      <c r="T10" s="4" t="s">
        <v>6</v>
      </c>
      <c r="U10" s="27"/>
      <c r="V10" s="4" t="s">
        <v>6</v>
      </c>
      <c r="W10" s="4" t="s">
        <v>6</v>
      </c>
      <c r="X10" s="4" t="s">
        <v>6</v>
      </c>
      <c r="Y10" s="4" t="s">
        <v>6</v>
      </c>
      <c r="Z10" s="25"/>
      <c r="AA10" s="4" t="s">
        <v>6</v>
      </c>
      <c r="AB10" s="4" t="s">
        <v>6</v>
      </c>
      <c r="AC10" s="4" t="s">
        <v>6</v>
      </c>
      <c r="AD10" s="4" t="s">
        <v>6</v>
      </c>
      <c r="AE10" s="4" t="s">
        <v>6</v>
      </c>
      <c r="AF10" s="4" t="s">
        <v>6</v>
      </c>
      <c r="AG10" s="25"/>
      <c r="AH10" s="4" t="s">
        <v>6</v>
      </c>
      <c r="AI10" s="4">
        <f>COUNTIF(E10:AH10,"P")</f>
        <v>22</v>
      </c>
      <c r="AJ10" s="4">
        <f>COUNTIF(E10:AH10,"A")</f>
        <v>2</v>
      </c>
      <c r="AK10" s="4">
        <f>COUNTIF(E10:AH10,"L")</f>
        <v>0</v>
      </c>
      <c r="AL10" s="4">
        <f>COUNTBLANK(E10:AH10)</f>
        <v>6</v>
      </c>
      <c r="AM10" s="15">
        <f t="shared" si="1"/>
        <v>28</v>
      </c>
    </row>
    <row r="11" spans="1:39" x14ac:dyDescent="0.25">
      <c r="A11" s="3">
        <v>7</v>
      </c>
      <c r="B11" s="4" t="s">
        <v>26</v>
      </c>
      <c r="C11" s="4" t="s">
        <v>27</v>
      </c>
      <c r="D11" s="4" t="s">
        <v>30</v>
      </c>
      <c r="E11" s="25"/>
      <c r="F11" s="4" t="s">
        <v>6</v>
      </c>
      <c r="G11" s="4" t="s">
        <v>7</v>
      </c>
      <c r="H11" s="4" t="s">
        <v>6</v>
      </c>
      <c r="I11" s="4" t="s">
        <v>7</v>
      </c>
      <c r="J11" s="4" t="s">
        <v>7</v>
      </c>
      <c r="K11" s="4" t="s">
        <v>7</v>
      </c>
      <c r="L11" s="25"/>
      <c r="M11" s="4" t="s">
        <v>7</v>
      </c>
      <c r="N11" s="4" t="s">
        <v>7</v>
      </c>
      <c r="O11" s="4" t="s">
        <v>7</v>
      </c>
      <c r="P11" s="4" t="s">
        <v>7</v>
      </c>
      <c r="Q11" s="4" t="s">
        <v>7</v>
      </c>
      <c r="R11" s="4" t="s">
        <v>7</v>
      </c>
      <c r="S11" s="25"/>
      <c r="T11" s="4" t="s">
        <v>7</v>
      </c>
      <c r="U11" s="27"/>
      <c r="V11" s="4" t="s">
        <v>7</v>
      </c>
      <c r="W11" s="4" t="s">
        <v>7</v>
      </c>
      <c r="X11" s="4" t="s">
        <v>7</v>
      </c>
      <c r="Y11" s="4" t="s">
        <v>7</v>
      </c>
      <c r="Z11" s="25"/>
      <c r="AA11" s="4" t="s">
        <v>7</v>
      </c>
      <c r="AB11" s="4" t="s">
        <v>7</v>
      </c>
      <c r="AC11" s="4" t="s">
        <v>7</v>
      </c>
      <c r="AD11" s="4" t="s">
        <v>7</v>
      </c>
      <c r="AE11" s="4" t="s">
        <v>7</v>
      </c>
      <c r="AF11" s="4" t="s">
        <v>7</v>
      </c>
      <c r="AG11" s="25"/>
      <c r="AH11" s="4" t="s">
        <v>7</v>
      </c>
      <c r="AI11" s="4">
        <f>COUNTIF(E11:AH11,"P")</f>
        <v>2</v>
      </c>
      <c r="AJ11" s="4">
        <f>COUNTIF(E11:AH11,"A")</f>
        <v>22</v>
      </c>
      <c r="AK11" s="4">
        <f>COUNTIF(E11:AH11,"L")</f>
        <v>0</v>
      </c>
      <c r="AL11" s="4">
        <f>COUNTBLANK(E11:AH11)</f>
        <v>6</v>
      </c>
      <c r="AM11" s="15">
        <f t="shared" si="1"/>
        <v>8</v>
      </c>
    </row>
    <row r="12" spans="1:39" ht="15.75" thickBot="1" x14ac:dyDescent="0.3">
      <c r="A12" s="5">
        <v>8</v>
      </c>
      <c r="B12" s="6" t="s">
        <v>28</v>
      </c>
      <c r="C12" s="6" t="s">
        <v>29</v>
      </c>
      <c r="D12" s="4" t="s">
        <v>30</v>
      </c>
      <c r="E12" s="26"/>
      <c r="F12" s="6" t="s">
        <v>6</v>
      </c>
      <c r="G12" s="6" t="s">
        <v>6</v>
      </c>
      <c r="H12" s="6" t="s">
        <v>6</v>
      </c>
      <c r="I12" s="6" t="s">
        <v>6</v>
      </c>
      <c r="J12" s="6" t="s">
        <v>6</v>
      </c>
      <c r="K12" s="6" t="s">
        <v>6</v>
      </c>
      <c r="L12" s="26"/>
      <c r="M12" s="6" t="s">
        <v>7</v>
      </c>
      <c r="N12" s="6" t="s">
        <v>6</v>
      </c>
      <c r="O12" s="6" t="s">
        <v>6</v>
      </c>
      <c r="P12" s="6" t="s">
        <v>6</v>
      </c>
      <c r="Q12" s="6" t="s">
        <v>6</v>
      </c>
      <c r="R12" s="6" t="s">
        <v>6</v>
      </c>
      <c r="S12" s="26"/>
      <c r="T12" s="6" t="s">
        <v>6</v>
      </c>
      <c r="U12" s="28"/>
      <c r="V12" s="6" t="s">
        <v>6</v>
      </c>
      <c r="W12" s="6" t="s">
        <v>7</v>
      </c>
      <c r="X12" s="6" t="s">
        <v>6</v>
      </c>
      <c r="Y12" s="6" t="s">
        <v>6</v>
      </c>
      <c r="Z12" s="26"/>
      <c r="AA12" s="6" t="s">
        <v>6</v>
      </c>
      <c r="AB12" s="6" t="s">
        <v>6</v>
      </c>
      <c r="AC12" s="6" t="s">
        <v>6</v>
      </c>
      <c r="AD12" s="6" t="s">
        <v>6</v>
      </c>
      <c r="AE12" s="6" t="s">
        <v>6</v>
      </c>
      <c r="AF12" s="6" t="s">
        <v>6</v>
      </c>
      <c r="AG12" s="26"/>
      <c r="AH12" s="6" t="s">
        <v>6</v>
      </c>
      <c r="AI12" s="6">
        <f>COUNTIF(E12:AH12,"P")</f>
        <v>22</v>
      </c>
      <c r="AJ12" s="6">
        <f>COUNTIF(E12:AH12,"A")</f>
        <v>2</v>
      </c>
      <c r="AK12" s="6">
        <f>COUNTIF(E12:AH12,"L")</f>
        <v>0</v>
      </c>
      <c r="AL12" s="6">
        <f>COUNTBLANK(E12:AH12)</f>
        <v>6</v>
      </c>
      <c r="AM12" s="16">
        <f t="shared" si="1"/>
        <v>28</v>
      </c>
    </row>
    <row r="13" spans="1:39" ht="15.75" thickBot="1" x14ac:dyDescent="0.3"/>
    <row r="14" spans="1:39" ht="32.25" thickBot="1" x14ac:dyDescent="0.55000000000000004">
      <c r="A14" s="20" t="s">
        <v>14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2"/>
    </row>
    <row r="15" spans="1:39" ht="27" x14ac:dyDescent="0.25">
      <c r="A15" s="18" t="s">
        <v>0</v>
      </c>
      <c r="B15" s="19"/>
      <c r="C15" s="19"/>
      <c r="D15" s="19"/>
      <c r="E15" s="14" t="str">
        <f>TEXT(E16,"ddd")</f>
        <v>Thu</v>
      </c>
      <c r="F15" s="14" t="str">
        <f t="shared" ref="F15:AH15" si="2">TEXT(F16,"ddd")</f>
        <v>Fri</v>
      </c>
      <c r="G15" s="14" t="str">
        <f t="shared" si="2"/>
        <v>Sat</v>
      </c>
      <c r="H15" s="14" t="str">
        <f t="shared" si="2"/>
        <v>Sun</v>
      </c>
      <c r="I15" s="14" t="str">
        <f t="shared" si="2"/>
        <v>Mon</v>
      </c>
      <c r="J15" s="14" t="str">
        <f t="shared" si="2"/>
        <v>Tue</v>
      </c>
      <c r="K15" s="14" t="str">
        <f t="shared" si="2"/>
        <v>Wed</v>
      </c>
      <c r="L15" s="14" t="str">
        <f t="shared" si="2"/>
        <v>Thu</v>
      </c>
      <c r="M15" s="14" t="str">
        <f t="shared" si="2"/>
        <v>Fri</v>
      </c>
      <c r="N15" s="14" t="str">
        <f t="shared" si="2"/>
        <v>Sat</v>
      </c>
      <c r="O15" s="14" t="str">
        <f t="shared" si="2"/>
        <v>Sun</v>
      </c>
      <c r="P15" s="14" t="str">
        <f t="shared" si="2"/>
        <v>Mon</v>
      </c>
      <c r="Q15" s="14" t="str">
        <f t="shared" si="2"/>
        <v>Tue</v>
      </c>
      <c r="R15" s="14" t="str">
        <f t="shared" si="2"/>
        <v>Wed</v>
      </c>
      <c r="S15" s="14" t="str">
        <f t="shared" si="2"/>
        <v>Thu</v>
      </c>
      <c r="T15" s="14" t="str">
        <f t="shared" si="2"/>
        <v>Fri</v>
      </c>
      <c r="U15" s="14" t="str">
        <f t="shared" si="2"/>
        <v>Sat</v>
      </c>
      <c r="V15" s="14" t="str">
        <f t="shared" si="2"/>
        <v>Sun</v>
      </c>
      <c r="W15" s="14" t="str">
        <f t="shared" si="2"/>
        <v>Mon</v>
      </c>
      <c r="X15" s="14" t="str">
        <f t="shared" si="2"/>
        <v>Tue</v>
      </c>
      <c r="Y15" s="14" t="str">
        <f t="shared" si="2"/>
        <v>Wed</v>
      </c>
      <c r="Z15" s="14" t="str">
        <f t="shared" si="2"/>
        <v>Thu</v>
      </c>
      <c r="AA15" s="14" t="str">
        <f t="shared" si="2"/>
        <v>Fri</v>
      </c>
      <c r="AB15" s="14" t="str">
        <f t="shared" si="2"/>
        <v>Sat</v>
      </c>
      <c r="AC15" s="14" t="str">
        <f t="shared" si="2"/>
        <v>Sun</v>
      </c>
      <c r="AD15" s="14" t="str">
        <f t="shared" si="2"/>
        <v>Mon</v>
      </c>
      <c r="AE15" s="14" t="str">
        <f t="shared" si="2"/>
        <v>Tue</v>
      </c>
      <c r="AF15" s="14" t="str">
        <f t="shared" si="2"/>
        <v>Wed</v>
      </c>
      <c r="AG15" s="14" t="str">
        <f t="shared" si="2"/>
        <v>Thu</v>
      </c>
      <c r="AH15" s="14" t="str">
        <f t="shared" si="2"/>
        <v>Fri</v>
      </c>
      <c r="AI15" s="23" t="s">
        <v>1</v>
      </c>
      <c r="AJ15" s="23"/>
      <c r="AK15" s="23"/>
      <c r="AL15" s="23"/>
      <c r="AM15" s="24"/>
    </row>
    <row r="16" spans="1:39" x14ac:dyDescent="0.25">
      <c r="A16" s="1" t="s">
        <v>2</v>
      </c>
      <c r="B16" s="2" t="s">
        <v>3</v>
      </c>
      <c r="C16" s="2" t="s">
        <v>16</v>
      </c>
      <c r="D16" s="2" t="s">
        <v>4</v>
      </c>
      <c r="E16" s="7">
        <v>45505</v>
      </c>
      <c r="F16" s="7">
        <v>45506</v>
      </c>
      <c r="G16" s="7">
        <v>45507</v>
      </c>
      <c r="H16" s="7">
        <v>45508</v>
      </c>
      <c r="I16" s="7">
        <v>45509</v>
      </c>
      <c r="J16" s="7">
        <v>45510</v>
      </c>
      <c r="K16" s="7">
        <v>45511</v>
      </c>
      <c r="L16" s="7">
        <v>45512</v>
      </c>
      <c r="M16" s="7">
        <v>45513</v>
      </c>
      <c r="N16" s="7">
        <v>45514</v>
      </c>
      <c r="O16" s="7">
        <v>45515</v>
      </c>
      <c r="P16" s="7">
        <v>45516</v>
      </c>
      <c r="Q16" s="7">
        <v>45517</v>
      </c>
      <c r="R16" s="7">
        <v>45518</v>
      </c>
      <c r="S16" s="7">
        <v>45519</v>
      </c>
      <c r="T16" s="7">
        <v>45520</v>
      </c>
      <c r="U16" s="7">
        <v>45521</v>
      </c>
      <c r="V16" s="7">
        <v>45522</v>
      </c>
      <c r="W16" s="7">
        <v>45523</v>
      </c>
      <c r="X16" s="7">
        <v>45524</v>
      </c>
      <c r="Y16" s="7">
        <v>45525</v>
      </c>
      <c r="Z16" s="7">
        <v>45526</v>
      </c>
      <c r="AA16" s="7">
        <v>45527</v>
      </c>
      <c r="AB16" s="7">
        <v>45528</v>
      </c>
      <c r="AC16" s="7">
        <v>45529</v>
      </c>
      <c r="AD16" s="7">
        <v>45530</v>
      </c>
      <c r="AE16" s="7">
        <v>45531</v>
      </c>
      <c r="AF16" s="7">
        <v>45532</v>
      </c>
      <c r="AG16" s="7">
        <v>45533</v>
      </c>
      <c r="AH16" s="7">
        <v>45534</v>
      </c>
      <c r="AI16" s="12" t="s">
        <v>6</v>
      </c>
      <c r="AJ16" s="12" t="s">
        <v>7</v>
      </c>
      <c r="AK16" s="12" t="s">
        <v>8</v>
      </c>
      <c r="AL16" s="12" t="s">
        <v>9</v>
      </c>
      <c r="AM16" s="13" t="s">
        <v>5</v>
      </c>
    </row>
    <row r="17" spans="1:39" ht="15" customHeight="1" x14ac:dyDescent="0.25">
      <c r="A17" s="3">
        <f>IF(B17="","",1)</f>
        <v>1</v>
      </c>
      <c r="B17" s="4" t="s">
        <v>32</v>
      </c>
      <c r="C17" s="4" t="s">
        <v>33</v>
      </c>
      <c r="D17" s="4" t="s">
        <v>36</v>
      </c>
      <c r="E17" s="4"/>
      <c r="F17" s="4" t="s">
        <v>6</v>
      </c>
      <c r="G17" s="4" t="s">
        <v>6</v>
      </c>
      <c r="H17" s="4" t="s">
        <v>6</v>
      </c>
      <c r="I17" s="4" t="s">
        <v>6</v>
      </c>
      <c r="J17" s="4" t="s">
        <v>6</v>
      </c>
      <c r="K17" s="4" t="s">
        <v>6</v>
      </c>
      <c r="L17" s="4"/>
      <c r="M17" s="4" t="s">
        <v>6</v>
      </c>
      <c r="N17" s="4" t="s">
        <v>6</v>
      </c>
      <c r="O17" s="4" t="s">
        <v>6</v>
      </c>
      <c r="P17" s="4" t="s">
        <v>6</v>
      </c>
      <c r="Q17" s="4" t="s">
        <v>6</v>
      </c>
      <c r="R17" s="4" t="s">
        <v>7</v>
      </c>
      <c r="S17" s="4"/>
      <c r="T17" s="4" t="s">
        <v>6</v>
      </c>
      <c r="U17" s="4"/>
      <c r="V17" s="4" t="s">
        <v>6</v>
      </c>
      <c r="W17" s="4" t="s">
        <v>6</v>
      </c>
      <c r="X17" s="4" t="s">
        <v>6</v>
      </c>
      <c r="Y17" s="4" t="s">
        <v>6</v>
      </c>
      <c r="Z17" s="4"/>
      <c r="AA17" s="4" t="s">
        <v>6</v>
      </c>
      <c r="AB17" s="4" t="s">
        <v>6</v>
      </c>
      <c r="AC17" s="4" t="s">
        <v>6</v>
      </c>
      <c r="AD17" s="4" t="s">
        <v>6</v>
      </c>
      <c r="AE17" s="4" t="s">
        <v>6</v>
      </c>
      <c r="AF17" s="4" t="s">
        <v>6</v>
      </c>
      <c r="AG17" s="4"/>
      <c r="AH17" s="4" t="s">
        <v>7</v>
      </c>
      <c r="AI17" s="8">
        <f>COUNTIF(E17:AH17,"P")</f>
        <v>22</v>
      </c>
      <c r="AJ17" s="8">
        <f>COUNTIF(E17:AH17,"A")</f>
        <v>2</v>
      </c>
      <c r="AK17" s="8">
        <f>COUNTIF(E17:AH17,"L")</f>
        <v>0</v>
      </c>
      <c r="AL17" s="8">
        <v>5</v>
      </c>
      <c r="AM17" s="10">
        <f>AI17+AK17+AL17</f>
        <v>27</v>
      </c>
    </row>
    <row r="18" spans="1:39" ht="15.75" thickBo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9">
        <f>COUNTIF(E18:AH18,"P")</f>
        <v>0</v>
      </c>
      <c r="AJ18" s="9">
        <f>COUNTIF(E18:AH18,"A")</f>
        <v>0</v>
      </c>
      <c r="AK18" s="9">
        <f>COUNTIF(E18:AH18,"L")</f>
        <v>0</v>
      </c>
      <c r="AL18" s="9">
        <f>COUNTBLANK(E18:AH18)</f>
        <v>30</v>
      </c>
      <c r="AM18" s="11">
        <f t="shared" ref="AM18" si="3">AI18+AK18+AL18</f>
        <v>30</v>
      </c>
    </row>
  </sheetData>
  <mergeCells count="12">
    <mergeCell ref="A14:AM14"/>
    <mergeCell ref="A15:D15"/>
    <mergeCell ref="AI15:AM15"/>
    <mergeCell ref="E5:E12"/>
    <mergeCell ref="L5:L12"/>
    <mergeCell ref="S5:S12"/>
    <mergeCell ref="Z5:Z12"/>
    <mergeCell ref="AG5:AG12"/>
    <mergeCell ref="U5:U12"/>
    <mergeCell ref="A2:AM2"/>
    <mergeCell ref="A3:D3"/>
    <mergeCell ref="AI3:AM3"/>
  </mergeCells>
  <conditionalFormatting sqref="E18:I18 K18:P18 R18:W18 Y18:AD18 AF18:AH18 E17:AH17">
    <cfRule type="expression" dxfId="26" priority="13">
      <formula>E$3="SUN"</formula>
    </cfRule>
    <cfRule type="cellIs" dxfId="25" priority="14" operator="equal">
      <formula>"A"</formula>
    </cfRule>
    <cfRule type="cellIs" dxfId="24" priority="15" operator="equal">
      <formula>"P"</formula>
    </cfRule>
  </conditionalFormatting>
  <conditionalFormatting sqref="E5 L5 S5 Z5 AG5 F5:K12 M5:R12 T5:T12 AA5:AF12 V5:Y12 U5 E15:AH16 E3:AH4 AH5:AH12">
    <cfRule type="expression" dxfId="23" priority="16">
      <formula>E$3="SUN"</formula>
    </cfRule>
  </conditionalFormatting>
  <conditionalFormatting sqref="E5 L5 S5 Z5 AG5 F5:K12 M5:R12 T5:T12 AA5:AF12 AH5:AH12 V5:Y12 U5">
    <cfRule type="cellIs" dxfId="22" priority="17" operator="equal">
      <formula>"A"</formula>
    </cfRule>
    <cfRule type="cellIs" dxfId="21" priority="18" operator="equal">
      <formula>"P"</formula>
    </cfRule>
  </conditionalFormatting>
  <conditionalFormatting sqref="J18">
    <cfRule type="expression" dxfId="20" priority="10">
      <formula>J$3="SUN"</formula>
    </cfRule>
    <cfRule type="cellIs" dxfId="19" priority="11" operator="equal">
      <formula>"A"</formula>
    </cfRule>
    <cfRule type="cellIs" dxfId="18" priority="12" operator="equal">
      <formula>"P"</formula>
    </cfRule>
  </conditionalFormatting>
  <conditionalFormatting sqref="Q18">
    <cfRule type="expression" dxfId="17" priority="7">
      <formula>Q$3="SUN"</formula>
    </cfRule>
    <cfRule type="cellIs" dxfId="16" priority="8" operator="equal">
      <formula>"A"</formula>
    </cfRule>
    <cfRule type="cellIs" dxfId="15" priority="9" operator="equal">
      <formula>"P"</formula>
    </cfRule>
  </conditionalFormatting>
  <conditionalFormatting sqref="X18">
    <cfRule type="expression" dxfId="14" priority="4">
      <formula>X$3="SUN"</formula>
    </cfRule>
    <cfRule type="cellIs" dxfId="13" priority="5" operator="equal">
      <formula>"A"</formula>
    </cfRule>
    <cfRule type="cellIs" dxfId="12" priority="6" operator="equal">
      <formula>"P"</formula>
    </cfRule>
  </conditionalFormatting>
  <conditionalFormatting sqref="AE18">
    <cfRule type="expression" dxfId="11" priority="1">
      <formula>AE$3="SUN"</formula>
    </cfRule>
    <cfRule type="cellIs" dxfId="10" priority="2" operator="equal">
      <formula>"A"</formula>
    </cfRule>
    <cfRule type="cellIs" dxfId="9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4D9E-F8B8-41A1-BDF5-D5F8A2C01D7E}">
  <dimension ref="A1:AN13"/>
  <sheetViews>
    <sheetView workbookViewId="0">
      <selection activeCell="U13" sqref="U13"/>
    </sheetView>
  </sheetViews>
  <sheetFormatPr defaultRowHeight="15" x14ac:dyDescent="0.25"/>
  <cols>
    <col min="1" max="1" width="5" bestFit="1" customWidth="1"/>
    <col min="2" max="2" width="18.140625" bestFit="1" customWidth="1"/>
    <col min="3" max="3" width="18.85546875" bestFit="1" customWidth="1"/>
    <col min="4" max="4" width="12.5703125" bestFit="1" customWidth="1"/>
    <col min="5" max="5" width="3" bestFit="1" customWidth="1"/>
    <col min="6" max="33" width="3.7109375" bestFit="1" customWidth="1"/>
    <col min="34" max="34" width="3.7109375" customWidth="1"/>
    <col min="35" max="35" width="3.7109375" bestFit="1" customWidth="1"/>
    <col min="36" max="39" width="5.7109375" customWidth="1"/>
    <col min="40" max="40" width="7.42578125" bestFit="1" customWidth="1"/>
  </cols>
  <sheetData>
    <row r="1" spans="1:40" ht="15.75" thickBot="1" x14ac:dyDescent="0.3"/>
    <row r="2" spans="1:40" ht="32.25" thickBot="1" x14ac:dyDescent="0.55000000000000004">
      <c r="A2" s="20" t="s">
        <v>13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2"/>
    </row>
    <row r="3" spans="1:40" ht="27" x14ac:dyDescent="0.25">
      <c r="A3" s="18" t="s">
        <v>0</v>
      </c>
      <c r="B3" s="19"/>
      <c r="C3" s="19"/>
      <c r="D3" s="19"/>
      <c r="E3" s="14" t="str">
        <f>TEXT(E4,"ddd")</f>
        <v>Tue</v>
      </c>
      <c r="F3" s="14" t="str">
        <f t="shared" ref="F3:AI3" si="0">TEXT(F4,"ddd")</f>
        <v>Wed</v>
      </c>
      <c r="G3" s="14" t="str">
        <f t="shared" si="0"/>
        <v>Thu</v>
      </c>
      <c r="H3" s="14" t="str">
        <f t="shared" si="0"/>
        <v>Fri</v>
      </c>
      <c r="I3" s="14" t="str">
        <f t="shared" si="0"/>
        <v>Sat</v>
      </c>
      <c r="J3" s="14" t="str">
        <f t="shared" si="0"/>
        <v>Sun</v>
      </c>
      <c r="K3" s="14" t="str">
        <f t="shared" si="0"/>
        <v>Mon</v>
      </c>
      <c r="L3" s="14" t="str">
        <f t="shared" si="0"/>
        <v>Tue</v>
      </c>
      <c r="M3" s="14" t="str">
        <f t="shared" si="0"/>
        <v>Wed</v>
      </c>
      <c r="N3" s="14" t="str">
        <f t="shared" si="0"/>
        <v>Thu</v>
      </c>
      <c r="O3" s="14" t="str">
        <f t="shared" si="0"/>
        <v>Fri</v>
      </c>
      <c r="P3" s="14" t="str">
        <f t="shared" si="0"/>
        <v>Sat</v>
      </c>
      <c r="Q3" s="14" t="str">
        <f t="shared" si="0"/>
        <v>Sun</v>
      </c>
      <c r="R3" s="14" t="str">
        <f t="shared" si="0"/>
        <v>Mon</v>
      </c>
      <c r="S3" s="14" t="str">
        <f t="shared" si="0"/>
        <v>Tue</v>
      </c>
      <c r="T3" s="14" t="str">
        <f t="shared" si="0"/>
        <v>Wed</v>
      </c>
      <c r="U3" s="14" t="str">
        <f t="shared" si="0"/>
        <v>Thu</v>
      </c>
      <c r="V3" s="14" t="str">
        <f t="shared" si="0"/>
        <v>Fri</v>
      </c>
      <c r="W3" s="14" t="str">
        <f t="shared" si="0"/>
        <v>Sat</v>
      </c>
      <c r="X3" s="14" t="str">
        <f t="shared" si="0"/>
        <v>Sun</v>
      </c>
      <c r="Y3" s="14" t="str">
        <f t="shared" si="0"/>
        <v>Mon</v>
      </c>
      <c r="Z3" s="14" t="str">
        <f t="shared" si="0"/>
        <v>Tue</v>
      </c>
      <c r="AA3" s="14" t="str">
        <f t="shared" si="0"/>
        <v>Wed</v>
      </c>
      <c r="AB3" s="14" t="str">
        <f t="shared" si="0"/>
        <v>Thu</v>
      </c>
      <c r="AC3" s="14" t="str">
        <f t="shared" si="0"/>
        <v>Fri</v>
      </c>
      <c r="AD3" s="14" t="str">
        <f t="shared" si="0"/>
        <v>Sat</v>
      </c>
      <c r="AE3" s="14" t="str">
        <f t="shared" si="0"/>
        <v>Sun</v>
      </c>
      <c r="AF3" s="14" t="str">
        <f t="shared" si="0"/>
        <v>Mon</v>
      </c>
      <c r="AG3" s="14" t="str">
        <f t="shared" si="0"/>
        <v>Tue</v>
      </c>
      <c r="AH3" s="14" t="str">
        <f t="shared" si="0"/>
        <v>Wed</v>
      </c>
      <c r="AI3" s="14" t="str">
        <f t="shared" si="0"/>
        <v>Thu</v>
      </c>
      <c r="AJ3" s="23" t="s">
        <v>1</v>
      </c>
      <c r="AK3" s="23"/>
      <c r="AL3" s="23"/>
      <c r="AM3" s="23"/>
      <c r="AN3" s="24"/>
    </row>
    <row r="4" spans="1:40" x14ac:dyDescent="0.25">
      <c r="A4" s="1" t="s">
        <v>2</v>
      </c>
      <c r="B4" s="2" t="s">
        <v>3</v>
      </c>
      <c r="C4" s="2" t="s">
        <v>16</v>
      </c>
      <c r="D4" s="2" t="s">
        <v>4</v>
      </c>
      <c r="E4" s="7">
        <v>45566</v>
      </c>
      <c r="F4" s="7">
        <v>45567</v>
      </c>
      <c r="G4" s="7">
        <v>45568</v>
      </c>
      <c r="H4" s="7">
        <v>45569</v>
      </c>
      <c r="I4" s="7">
        <v>45570</v>
      </c>
      <c r="J4" s="7">
        <v>45571</v>
      </c>
      <c r="K4" s="7">
        <v>45572</v>
      </c>
      <c r="L4" s="7">
        <v>45573</v>
      </c>
      <c r="M4" s="7">
        <v>45574</v>
      </c>
      <c r="N4" s="7">
        <v>45575</v>
      </c>
      <c r="O4" s="7">
        <v>45576</v>
      </c>
      <c r="P4" s="7">
        <v>45577</v>
      </c>
      <c r="Q4" s="7">
        <v>45578</v>
      </c>
      <c r="R4" s="7">
        <v>45579</v>
      </c>
      <c r="S4" s="7">
        <v>45580</v>
      </c>
      <c r="T4" s="7">
        <v>45581</v>
      </c>
      <c r="U4" s="7">
        <v>45582</v>
      </c>
      <c r="V4" s="7">
        <v>45583</v>
      </c>
      <c r="W4" s="7">
        <v>45584</v>
      </c>
      <c r="X4" s="7">
        <v>45585</v>
      </c>
      <c r="Y4" s="7">
        <v>45586</v>
      </c>
      <c r="Z4" s="7">
        <v>45587</v>
      </c>
      <c r="AA4" s="7">
        <v>45588</v>
      </c>
      <c r="AB4" s="7">
        <v>45589</v>
      </c>
      <c r="AC4" s="7">
        <v>45590</v>
      </c>
      <c r="AD4" s="7">
        <v>45591</v>
      </c>
      <c r="AE4" s="7">
        <v>45592</v>
      </c>
      <c r="AF4" s="7">
        <v>45593</v>
      </c>
      <c r="AG4" s="7">
        <v>45594</v>
      </c>
      <c r="AH4" s="7">
        <v>45595</v>
      </c>
      <c r="AI4" s="7">
        <v>45596</v>
      </c>
      <c r="AJ4" s="12" t="s">
        <v>6</v>
      </c>
      <c r="AK4" s="12" t="s">
        <v>7</v>
      </c>
      <c r="AL4" s="12" t="s">
        <v>8</v>
      </c>
      <c r="AM4" s="12" t="s">
        <v>9</v>
      </c>
      <c r="AN4" s="13" t="s">
        <v>5</v>
      </c>
    </row>
    <row r="5" spans="1:40" ht="15" customHeight="1" x14ac:dyDescent="0.25">
      <c r="A5" s="3">
        <v>1</v>
      </c>
      <c r="B5" s="4" t="s">
        <v>15</v>
      </c>
      <c r="C5" s="4" t="s">
        <v>17</v>
      </c>
      <c r="D5" s="4" t="s">
        <v>31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25" t="s">
        <v>10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25" t="s">
        <v>10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  <c r="W5" s="4" t="s">
        <v>7</v>
      </c>
      <c r="X5" s="25" t="s">
        <v>10</v>
      </c>
      <c r="Y5" s="4" t="s">
        <v>6</v>
      </c>
      <c r="Z5" s="4" t="s">
        <v>6</v>
      </c>
      <c r="AA5" s="4" t="s">
        <v>6</v>
      </c>
      <c r="AB5" s="4" t="s">
        <v>6</v>
      </c>
      <c r="AC5" s="4" t="s">
        <v>6</v>
      </c>
      <c r="AD5" s="4" t="s">
        <v>6</v>
      </c>
      <c r="AE5" s="25" t="s">
        <v>10</v>
      </c>
      <c r="AF5" s="4" t="s">
        <v>6</v>
      </c>
      <c r="AG5" s="4" t="s">
        <v>6</v>
      </c>
      <c r="AH5" s="4" t="s">
        <v>6</v>
      </c>
      <c r="AI5" s="4" t="s">
        <v>6</v>
      </c>
      <c r="AJ5" s="4">
        <f t="shared" ref="AJ5:AJ13" si="1">COUNTIF(E5:AI5,"P")</f>
        <v>26</v>
      </c>
      <c r="AK5" s="4">
        <f t="shared" ref="AK5:AK13" si="2">COUNTIF(E5:AI5,"A")</f>
        <v>1</v>
      </c>
      <c r="AL5" s="4">
        <f t="shared" ref="AL5:AL13" si="3">COUNTIF(E5:AI5,"L")</f>
        <v>0</v>
      </c>
      <c r="AM5" s="4">
        <v>5</v>
      </c>
      <c r="AN5" s="15">
        <f>AJ5+AL5+AM5</f>
        <v>31</v>
      </c>
    </row>
    <row r="6" spans="1:40" x14ac:dyDescent="0.25">
      <c r="A6" s="3">
        <v>2</v>
      </c>
      <c r="B6" s="4" t="s">
        <v>18</v>
      </c>
      <c r="C6" s="4" t="s">
        <v>19</v>
      </c>
      <c r="D6" s="4" t="s">
        <v>30</v>
      </c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25"/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25"/>
      <c r="R6" s="4" t="s">
        <v>6</v>
      </c>
      <c r="S6" s="4" t="s">
        <v>6</v>
      </c>
      <c r="T6" s="4" t="s">
        <v>6</v>
      </c>
      <c r="U6" s="4" t="s">
        <v>6</v>
      </c>
      <c r="V6" s="4" t="s">
        <v>7</v>
      </c>
      <c r="W6" s="4" t="s">
        <v>6</v>
      </c>
      <c r="X6" s="25"/>
      <c r="Y6" s="4" t="s">
        <v>6</v>
      </c>
      <c r="Z6" s="4" t="s">
        <v>6</v>
      </c>
      <c r="AA6" s="4" t="s">
        <v>6</v>
      </c>
      <c r="AB6" s="4" t="s">
        <v>7</v>
      </c>
      <c r="AC6" s="4" t="s">
        <v>6</v>
      </c>
      <c r="AD6" s="4" t="s">
        <v>6</v>
      </c>
      <c r="AE6" s="25"/>
      <c r="AF6" s="4" t="s">
        <v>6</v>
      </c>
      <c r="AG6" s="4" t="s">
        <v>6</v>
      </c>
      <c r="AH6" s="4" t="s">
        <v>6</v>
      </c>
      <c r="AI6" s="4" t="s">
        <v>6</v>
      </c>
      <c r="AJ6" s="4">
        <f t="shared" si="1"/>
        <v>25</v>
      </c>
      <c r="AK6" s="4">
        <f t="shared" si="2"/>
        <v>2</v>
      </c>
      <c r="AL6" s="4">
        <f t="shared" si="3"/>
        <v>0</v>
      </c>
      <c r="AM6" s="4">
        <f t="shared" ref="AM6:AM13" si="4">COUNTBLANK(E6:AI6)</f>
        <v>4</v>
      </c>
      <c r="AN6" s="15">
        <f t="shared" ref="AN6:AN13" si="5">AJ6+AL6+AM6</f>
        <v>29</v>
      </c>
    </row>
    <row r="7" spans="1:40" x14ac:dyDescent="0.25">
      <c r="A7" s="3">
        <v>3</v>
      </c>
      <c r="B7" s="4" t="s">
        <v>20</v>
      </c>
      <c r="C7" s="4" t="s">
        <v>21</v>
      </c>
      <c r="D7" s="4" t="s">
        <v>30</v>
      </c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25"/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25"/>
      <c r="R7" s="4" t="s">
        <v>6</v>
      </c>
      <c r="S7" s="4" t="s">
        <v>6</v>
      </c>
      <c r="T7" s="4" t="s">
        <v>7</v>
      </c>
      <c r="U7" s="4" t="s">
        <v>6</v>
      </c>
      <c r="V7" s="4" t="s">
        <v>6</v>
      </c>
      <c r="W7" s="4" t="s">
        <v>6</v>
      </c>
      <c r="X7" s="25"/>
      <c r="Y7" s="4" t="s">
        <v>6</v>
      </c>
      <c r="Z7" s="4" t="s">
        <v>6</v>
      </c>
      <c r="AA7" s="4" t="s">
        <v>6</v>
      </c>
      <c r="AB7" s="4" t="s">
        <v>6</v>
      </c>
      <c r="AC7" s="4" t="s">
        <v>6</v>
      </c>
      <c r="AD7" s="4" t="s">
        <v>6</v>
      </c>
      <c r="AE7" s="25"/>
      <c r="AF7" s="4" t="s">
        <v>6</v>
      </c>
      <c r="AG7" s="4" t="s">
        <v>6</v>
      </c>
      <c r="AH7" s="4" t="s">
        <v>7</v>
      </c>
      <c r="AI7" s="4" t="s">
        <v>6</v>
      </c>
      <c r="AJ7" s="4">
        <f t="shared" si="1"/>
        <v>25</v>
      </c>
      <c r="AK7" s="4">
        <f t="shared" si="2"/>
        <v>2</v>
      </c>
      <c r="AL7" s="4">
        <f t="shared" si="3"/>
        <v>0</v>
      </c>
      <c r="AM7" s="4">
        <f t="shared" si="4"/>
        <v>4</v>
      </c>
      <c r="AN7" s="15">
        <f t="shared" si="5"/>
        <v>29</v>
      </c>
    </row>
    <row r="8" spans="1:40" x14ac:dyDescent="0.25">
      <c r="A8" s="3">
        <v>4</v>
      </c>
      <c r="B8" s="4" t="s">
        <v>34</v>
      </c>
      <c r="C8" s="4" t="s">
        <v>35</v>
      </c>
      <c r="D8" s="4" t="s">
        <v>30</v>
      </c>
      <c r="E8" s="4" t="s">
        <v>6</v>
      </c>
      <c r="F8" s="4" t="s">
        <v>7</v>
      </c>
      <c r="G8" s="4" t="s">
        <v>6</v>
      </c>
      <c r="H8" s="4" t="s">
        <v>6</v>
      </c>
      <c r="I8" s="4" t="s">
        <v>6</v>
      </c>
      <c r="J8" s="25"/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25"/>
      <c r="R8" s="4" t="s">
        <v>6</v>
      </c>
      <c r="S8" s="4" t="s">
        <v>6</v>
      </c>
      <c r="T8" s="4" t="s">
        <v>6</v>
      </c>
      <c r="U8" s="4" t="s">
        <v>6</v>
      </c>
      <c r="V8" s="4" t="s">
        <v>6</v>
      </c>
      <c r="W8" s="4" t="s">
        <v>6</v>
      </c>
      <c r="X8" s="25"/>
      <c r="Y8" s="4" t="s">
        <v>6</v>
      </c>
      <c r="Z8" s="4" t="s">
        <v>6</v>
      </c>
      <c r="AA8" s="4" t="s">
        <v>6</v>
      </c>
      <c r="AB8" s="4" t="s">
        <v>6</v>
      </c>
      <c r="AC8" s="4" t="s">
        <v>6</v>
      </c>
      <c r="AD8" s="4" t="s">
        <v>6</v>
      </c>
      <c r="AE8" s="25"/>
      <c r="AF8" s="4" t="s">
        <v>6</v>
      </c>
      <c r="AG8" s="4" t="s">
        <v>6</v>
      </c>
      <c r="AH8" s="4" t="s">
        <v>7</v>
      </c>
      <c r="AI8" s="4" t="s">
        <v>6</v>
      </c>
      <c r="AJ8" s="4">
        <f t="shared" si="1"/>
        <v>25</v>
      </c>
      <c r="AK8" s="4">
        <f t="shared" si="2"/>
        <v>2</v>
      </c>
      <c r="AL8" s="4">
        <f t="shared" si="3"/>
        <v>0</v>
      </c>
      <c r="AM8" s="4">
        <f t="shared" si="4"/>
        <v>4</v>
      </c>
      <c r="AN8" s="15">
        <f t="shared" si="5"/>
        <v>29</v>
      </c>
    </row>
    <row r="9" spans="1:40" x14ac:dyDescent="0.25">
      <c r="A9" s="3">
        <v>5</v>
      </c>
      <c r="B9" s="4" t="s">
        <v>22</v>
      </c>
      <c r="C9" s="4" t="s">
        <v>23</v>
      </c>
      <c r="D9" s="4" t="s">
        <v>30</v>
      </c>
      <c r="E9" s="4" t="s">
        <v>6</v>
      </c>
      <c r="F9" s="4" t="s">
        <v>6</v>
      </c>
      <c r="G9" s="4" t="s">
        <v>6</v>
      </c>
      <c r="H9" s="4" t="s">
        <v>7</v>
      </c>
      <c r="I9" s="4" t="s">
        <v>6</v>
      </c>
      <c r="J9" s="25"/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25"/>
      <c r="R9" s="4" t="s">
        <v>6</v>
      </c>
      <c r="S9" s="4" t="s">
        <v>6</v>
      </c>
      <c r="T9" s="4" t="s">
        <v>6</v>
      </c>
      <c r="U9" s="4" t="s">
        <v>6</v>
      </c>
      <c r="V9" s="4" t="s">
        <v>6</v>
      </c>
      <c r="W9" s="4" t="s">
        <v>6</v>
      </c>
      <c r="X9" s="25"/>
      <c r="Y9" s="4" t="s">
        <v>6</v>
      </c>
      <c r="Z9" s="4" t="s">
        <v>6</v>
      </c>
      <c r="AA9" s="4" t="s">
        <v>6</v>
      </c>
      <c r="AB9" s="4" t="s">
        <v>6</v>
      </c>
      <c r="AC9" s="4" t="s">
        <v>6</v>
      </c>
      <c r="AD9" s="4" t="s">
        <v>6</v>
      </c>
      <c r="AE9" s="25"/>
      <c r="AF9" s="4" t="s">
        <v>7</v>
      </c>
      <c r="AG9" s="4" t="s">
        <v>6</v>
      </c>
      <c r="AH9" s="4" t="s">
        <v>6</v>
      </c>
      <c r="AI9" s="4" t="s">
        <v>6</v>
      </c>
      <c r="AJ9" s="4">
        <f t="shared" si="1"/>
        <v>25</v>
      </c>
      <c r="AK9" s="4">
        <f t="shared" si="2"/>
        <v>2</v>
      </c>
      <c r="AL9" s="4">
        <f t="shared" si="3"/>
        <v>0</v>
      </c>
      <c r="AM9" s="4">
        <f t="shared" si="4"/>
        <v>4</v>
      </c>
      <c r="AN9" s="15">
        <f t="shared" si="5"/>
        <v>29</v>
      </c>
    </row>
    <row r="10" spans="1:40" x14ac:dyDescent="0.25">
      <c r="A10" s="3">
        <v>6</v>
      </c>
      <c r="B10" s="4" t="s">
        <v>24</v>
      </c>
      <c r="C10" s="4" t="s">
        <v>25</v>
      </c>
      <c r="D10" s="4" t="s">
        <v>30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  <c r="J10" s="25"/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25"/>
      <c r="R10" s="4" t="s">
        <v>6</v>
      </c>
      <c r="S10" s="4" t="s">
        <v>6</v>
      </c>
      <c r="T10" s="4" t="s">
        <v>6</v>
      </c>
      <c r="U10" s="4" t="s">
        <v>6</v>
      </c>
      <c r="V10" s="4" t="s">
        <v>6</v>
      </c>
      <c r="W10" s="4" t="s">
        <v>6</v>
      </c>
      <c r="X10" s="25"/>
      <c r="Y10" s="4" t="s">
        <v>6</v>
      </c>
      <c r="Z10" s="4" t="s">
        <v>7</v>
      </c>
      <c r="AA10" s="4" t="s">
        <v>6</v>
      </c>
      <c r="AB10" s="4" t="s">
        <v>6</v>
      </c>
      <c r="AC10" s="4" t="s">
        <v>6</v>
      </c>
      <c r="AD10" s="4" t="s">
        <v>6</v>
      </c>
      <c r="AE10" s="25"/>
      <c r="AF10" s="4" t="s">
        <v>6</v>
      </c>
      <c r="AG10" s="4" t="s">
        <v>6</v>
      </c>
      <c r="AH10" s="4" t="s">
        <v>6</v>
      </c>
      <c r="AI10" s="4" t="s">
        <v>6</v>
      </c>
      <c r="AJ10" s="4">
        <f t="shared" si="1"/>
        <v>26</v>
      </c>
      <c r="AK10" s="4">
        <f t="shared" si="2"/>
        <v>1</v>
      </c>
      <c r="AL10" s="4">
        <f t="shared" si="3"/>
        <v>0</v>
      </c>
      <c r="AM10" s="4">
        <f t="shared" si="4"/>
        <v>4</v>
      </c>
      <c r="AN10" s="15">
        <f t="shared" si="5"/>
        <v>30</v>
      </c>
    </row>
    <row r="11" spans="1:40" x14ac:dyDescent="0.25">
      <c r="A11" s="3">
        <v>7</v>
      </c>
      <c r="B11" s="4" t="s">
        <v>26</v>
      </c>
      <c r="C11" s="4" t="s">
        <v>27</v>
      </c>
      <c r="D11" s="4" t="s">
        <v>30</v>
      </c>
      <c r="E11" s="4" t="s">
        <v>7</v>
      </c>
      <c r="F11" s="4" t="s">
        <v>7</v>
      </c>
      <c r="G11" s="4" t="s">
        <v>7</v>
      </c>
      <c r="H11" s="4" t="s">
        <v>7</v>
      </c>
      <c r="I11" s="4" t="s">
        <v>7</v>
      </c>
      <c r="J11" s="25"/>
      <c r="K11" s="4" t="s">
        <v>7</v>
      </c>
      <c r="L11" s="4" t="s">
        <v>7</v>
      </c>
      <c r="M11" s="4" t="s">
        <v>7</v>
      </c>
      <c r="N11" s="4" t="s">
        <v>7</v>
      </c>
      <c r="O11" s="4" t="s">
        <v>7</v>
      </c>
      <c r="P11" s="4" t="s">
        <v>7</v>
      </c>
      <c r="Q11" s="25"/>
      <c r="R11" s="4" t="s">
        <v>7</v>
      </c>
      <c r="S11" s="4" t="s">
        <v>7</v>
      </c>
      <c r="T11" s="4" t="s">
        <v>7</v>
      </c>
      <c r="U11" s="4" t="s">
        <v>7</v>
      </c>
      <c r="V11" s="4" t="s">
        <v>7</v>
      </c>
      <c r="W11" s="4" t="s">
        <v>7</v>
      </c>
      <c r="X11" s="25"/>
      <c r="Y11" s="4" t="s">
        <v>7</v>
      </c>
      <c r="Z11" s="4" t="s">
        <v>7</v>
      </c>
      <c r="AA11" s="4" t="s">
        <v>7</v>
      </c>
      <c r="AB11" s="4" t="s">
        <v>7</v>
      </c>
      <c r="AC11" s="4" t="s">
        <v>7</v>
      </c>
      <c r="AD11" s="4" t="s">
        <v>7</v>
      </c>
      <c r="AE11" s="25"/>
      <c r="AF11" s="4" t="s">
        <v>7</v>
      </c>
      <c r="AG11" s="4" t="s">
        <v>7</v>
      </c>
      <c r="AH11" s="4" t="s">
        <v>7</v>
      </c>
      <c r="AI11" s="4" t="s">
        <v>7</v>
      </c>
      <c r="AJ11" s="4">
        <f t="shared" si="1"/>
        <v>0</v>
      </c>
      <c r="AK11" s="4">
        <f t="shared" si="2"/>
        <v>27</v>
      </c>
      <c r="AL11" s="4">
        <f t="shared" si="3"/>
        <v>0</v>
      </c>
      <c r="AM11" s="4">
        <f t="shared" si="4"/>
        <v>4</v>
      </c>
      <c r="AN11" s="15">
        <f t="shared" si="5"/>
        <v>4</v>
      </c>
    </row>
    <row r="12" spans="1:40" x14ac:dyDescent="0.25">
      <c r="A12" s="3">
        <v>8</v>
      </c>
      <c r="B12" s="4" t="s">
        <v>28</v>
      </c>
      <c r="C12" s="4" t="s">
        <v>29</v>
      </c>
      <c r="D12" s="4" t="s">
        <v>30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  <c r="J12" s="17"/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17"/>
      <c r="R12" s="4" t="s">
        <v>7</v>
      </c>
      <c r="S12" s="4" t="s">
        <v>6</v>
      </c>
      <c r="T12" s="4" t="s">
        <v>6</v>
      </c>
      <c r="U12" s="4" t="s">
        <v>6</v>
      </c>
      <c r="V12" s="4" t="s">
        <v>6</v>
      </c>
      <c r="W12" s="4" t="s">
        <v>6</v>
      </c>
      <c r="X12" s="17"/>
      <c r="Y12" s="4" t="s">
        <v>6</v>
      </c>
      <c r="Z12" s="4" t="s">
        <v>6</v>
      </c>
      <c r="AA12" s="4" t="s">
        <v>6</v>
      </c>
      <c r="AB12" s="4" t="s">
        <v>6</v>
      </c>
      <c r="AC12" s="4" t="s">
        <v>6</v>
      </c>
      <c r="AD12" s="4" t="s">
        <v>7</v>
      </c>
      <c r="AE12" s="17"/>
      <c r="AF12" s="4" t="s">
        <v>6</v>
      </c>
      <c r="AG12" s="4" t="s">
        <v>6</v>
      </c>
      <c r="AH12" s="4" t="s">
        <v>6</v>
      </c>
      <c r="AI12" s="4" t="s">
        <v>6</v>
      </c>
      <c r="AJ12" s="4">
        <f t="shared" si="1"/>
        <v>25</v>
      </c>
      <c r="AK12" s="4">
        <f t="shared" si="2"/>
        <v>2</v>
      </c>
      <c r="AL12" s="4">
        <f t="shared" si="3"/>
        <v>0</v>
      </c>
      <c r="AM12" s="4">
        <f t="shared" si="4"/>
        <v>4</v>
      </c>
      <c r="AN12" s="15">
        <f t="shared" si="5"/>
        <v>29</v>
      </c>
    </row>
    <row r="13" spans="1:40" ht="15.75" thickBot="1" x14ac:dyDescent="0.3">
      <c r="A13" s="5">
        <v>9</v>
      </c>
      <c r="B13" s="6" t="s">
        <v>32</v>
      </c>
      <c r="C13" s="6" t="s">
        <v>33</v>
      </c>
      <c r="D13" s="4" t="s">
        <v>36</v>
      </c>
      <c r="E13" s="6" t="s">
        <v>6</v>
      </c>
      <c r="F13" s="6" t="s">
        <v>6</v>
      </c>
      <c r="G13" s="6" t="s">
        <v>6</v>
      </c>
      <c r="H13" s="6" t="s">
        <v>6</v>
      </c>
      <c r="I13" s="6" t="s">
        <v>6</v>
      </c>
      <c r="J13" s="26"/>
      <c r="K13" s="6" t="s">
        <v>6</v>
      </c>
      <c r="L13" s="6" t="s">
        <v>6</v>
      </c>
      <c r="M13" s="6" t="s">
        <v>6</v>
      </c>
      <c r="N13" s="6" t="s">
        <v>6</v>
      </c>
      <c r="O13" s="6" t="s">
        <v>6</v>
      </c>
      <c r="P13" s="6" t="s">
        <v>6</v>
      </c>
      <c r="Q13" s="26"/>
      <c r="R13" s="6" t="s">
        <v>6</v>
      </c>
      <c r="S13" s="6" t="s">
        <v>6</v>
      </c>
      <c r="T13" s="6" t="s">
        <v>6</v>
      </c>
      <c r="U13" s="6" t="s">
        <v>6</v>
      </c>
      <c r="V13" s="6" t="s">
        <v>6</v>
      </c>
      <c r="W13" s="6" t="s">
        <v>6</v>
      </c>
      <c r="X13" s="26"/>
      <c r="Y13" s="6" t="s">
        <v>7</v>
      </c>
      <c r="Z13" s="6" t="s">
        <v>6</v>
      </c>
      <c r="AA13" s="6" t="s">
        <v>6</v>
      </c>
      <c r="AB13" s="6" t="s">
        <v>6</v>
      </c>
      <c r="AC13" s="6" t="s">
        <v>6</v>
      </c>
      <c r="AD13" s="6" t="s">
        <v>7</v>
      </c>
      <c r="AE13" s="26"/>
      <c r="AF13" s="6" t="s">
        <v>6</v>
      </c>
      <c r="AG13" s="6" t="s">
        <v>6</v>
      </c>
      <c r="AH13" s="6" t="s">
        <v>6</v>
      </c>
      <c r="AI13" s="6" t="s">
        <v>6</v>
      </c>
      <c r="AJ13" s="6">
        <f t="shared" si="1"/>
        <v>25</v>
      </c>
      <c r="AK13" s="6">
        <f t="shared" si="2"/>
        <v>2</v>
      </c>
      <c r="AL13" s="6">
        <f t="shared" si="3"/>
        <v>0</v>
      </c>
      <c r="AM13" s="6">
        <f t="shared" si="4"/>
        <v>4</v>
      </c>
      <c r="AN13" s="16">
        <f t="shared" si="5"/>
        <v>29</v>
      </c>
    </row>
  </sheetData>
  <mergeCells count="7">
    <mergeCell ref="J5:J13"/>
    <mergeCell ref="Q5:Q13"/>
    <mergeCell ref="X5:X13"/>
    <mergeCell ref="AE5:AE13"/>
    <mergeCell ref="A2:AN2"/>
    <mergeCell ref="A3:D3"/>
    <mergeCell ref="AJ3:AN3"/>
  </mergeCells>
  <conditionalFormatting sqref="E3:AI4 J5 Q5 X5 AE5 E5:I13 K5:P13 R5:W13 Y5:AD13 AF5:AI13">
    <cfRule type="expression" dxfId="8" priority="16">
      <formula>E$3="SUN"</formula>
    </cfRule>
  </conditionalFormatting>
  <conditionalFormatting sqref="J5 Q5 X5 AE5 E5:I13 K5:P13 R5:W13 Y5:AD13 AF5:AI13">
    <cfRule type="cellIs" dxfId="7" priority="17" operator="equal">
      <formula>"A"</formula>
    </cfRule>
    <cfRule type="cellIs" dxfId="6" priority="18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1218-2F2F-49E6-A103-A02334B1738C}">
  <dimension ref="A1:AM13"/>
  <sheetViews>
    <sheetView workbookViewId="0">
      <selection activeCell="M14" sqref="M14"/>
    </sheetView>
  </sheetViews>
  <sheetFormatPr defaultRowHeight="15" x14ac:dyDescent="0.25"/>
  <cols>
    <col min="1" max="1" width="5" bestFit="1" customWidth="1"/>
    <col min="2" max="2" width="18.140625" bestFit="1" customWidth="1"/>
    <col min="3" max="3" width="18.85546875" bestFit="1" customWidth="1"/>
    <col min="4" max="4" width="12.5703125" bestFit="1" customWidth="1"/>
    <col min="5" max="5" width="3" bestFit="1" customWidth="1"/>
    <col min="6" max="33" width="3.7109375" bestFit="1" customWidth="1"/>
    <col min="34" max="34" width="3.7109375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20" t="s">
        <v>13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2"/>
    </row>
    <row r="3" spans="1:39" ht="27" x14ac:dyDescent="0.25">
      <c r="A3" s="18" t="s">
        <v>0</v>
      </c>
      <c r="B3" s="19"/>
      <c r="C3" s="19"/>
      <c r="D3" s="19"/>
      <c r="E3" s="14" t="str">
        <f>TEXT(E4,"ddd")</f>
        <v>Fri</v>
      </c>
      <c r="F3" s="14" t="str">
        <f t="shared" ref="F3:AH3" si="0">TEXT(F4,"ddd")</f>
        <v>Sat</v>
      </c>
      <c r="G3" s="14" t="str">
        <f t="shared" si="0"/>
        <v>Sun</v>
      </c>
      <c r="H3" s="14" t="str">
        <f t="shared" si="0"/>
        <v>Mon</v>
      </c>
      <c r="I3" s="14" t="str">
        <f t="shared" si="0"/>
        <v>Tue</v>
      </c>
      <c r="J3" s="14" t="str">
        <f t="shared" si="0"/>
        <v>Wed</v>
      </c>
      <c r="K3" s="14" t="str">
        <f t="shared" si="0"/>
        <v>Thu</v>
      </c>
      <c r="L3" s="14" t="str">
        <f t="shared" si="0"/>
        <v>Fri</v>
      </c>
      <c r="M3" s="14" t="str">
        <f t="shared" si="0"/>
        <v>Sat</v>
      </c>
      <c r="N3" s="14" t="str">
        <f t="shared" si="0"/>
        <v>Sun</v>
      </c>
      <c r="O3" s="14" t="str">
        <f t="shared" si="0"/>
        <v>Mon</v>
      </c>
      <c r="P3" s="14" t="str">
        <f t="shared" si="0"/>
        <v>Tue</v>
      </c>
      <c r="Q3" s="14" t="str">
        <f t="shared" si="0"/>
        <v>Wed</v>
      </c>
      <c r="R3" s="14" t="str">
        <f t="shared" si="0"/>
        <v>Thu</v>
      </c>
      <c r="S3" s="14" t="str">
        <f t="shared" si="0"/>
        <v>Fri</v>
      </c>
      <c r="T3" s="14" t="str">
        <f t="shared" si="0"/>
        <v>Sat</v>
      </c>
      <c r="U3" s="14" t="str">
        <f t="shared" si="0"/>
        <v>Sun</v>
      </c>
      <c r="V3" s="14" t="str">
        <f t="shared" si="0"/>
        <v>Mon</v>
      </c>
      <c r="W3" s="14" t="str">
        <f t="shared" si="0"/>
        <v>Tue</v>
      </c>
      <c r="X3" s="14" t="str">
        <f t="shared" si="0"/>
        <v>Wed</v>
      </c>
      <c r="Y3" s="14" t="str">
        <f t="shared" si="0"/>
        <v>Thu</v>
      </c>
      <c r="Z3" s="14" t="str">
        <f t="shared" si="0"/>
        <v>Fri</v>
      </c>
      <c r="AA3" s="14" t="str">
        <f t="shared" si="0"/>
        <v>Sat</v>
      </c>
      <c r="AB3" s="14" t="str">
        <f t="shared" si="0"/>
        <v>Sun</v>
      </c>
      <c r="AC3" s="14" t="str">
        <f t="shared" si="0"/>
        <v>Mon</v>
      </c>
      <c r="AD3" s="14" t="str">
        <f t="shared" si="0"/>
        <v>Tue</v>
      </c>
      <c r="AE3" s="14" t="str">
        <f t="shared" si="0"/>
        <v>Wed</v>
      </c>
      <c r="AF3" s="14" t="str">
        <f t="shared" si="0"/>
        <v>Thu</v>
      </c>
      <c r="AG3" s="14" t="str">
        <f t="shared" si="0"/>
        <v>Fri</v>
      </c>
      <c r="AH3" s="14" t="str">
        <f t="shared" si="0"/>
        <v>Sat</v>
      </c>
      <c r="AI3" s="23" t="s">
        <v>1</v>
      </c>
      <c r="AJ3" s="23"/>
      <c r="AK3" s="23"/>
      <c r="AL3" s="23"/>
      <c r="AM3" s="24"/>
    </row>
    <row r="4" spans="1:39" x14ac:dyDescent="0.25">
      <c r="A4" s="1" t="s">
        <v>2</v>
      </c>
      <c r="B4" s="2" t="s">
        <v>3</v>
      </c>
      <c r="C4" s="2" t="s">
        <v>16</v>
      </c>
      <c r="D4" s="2" t="s">
        <v>4</v>
      </c>
      <c r="E4" s="7">
        <v>45597</v>
      </c>
      <c r="F4" s="7">
        <v>45598</v>
      </c>
      <c r="G4" s="7">
        <v>45599</v>
      </c>
      <c r="H4" s="7">
        <v>45600</v>
      </c>
      <c r="I4" s="7">
        <v>45601</v>
      </c>
      <c r="J4" s="7">
        <v>45602</v>
      </c>
      <c r="K4" s="7">
        <v>45603</v>
      </c>
      <c r="L4" s="7">
        <v>45604</v>
      </c>
      <c r="M4" s="7">
        <v>45605</v>
      </c>
      <c r="N4" s="7">
        <v>45606</v>
      </c>
      <c r="O4" s="7">
        <v>45607</v>
      </c>
      <c r="P4" s="7">
        <v>45608</v>
      </c>
      <c r="Q4" s="7">
        <v>45609</v>
      </c>
      <c r="R4" s="7">
        <v>45610</v>
      </c>
      <c r="S4" s="7">
        <v>45611</v>
      </c>
      <c r="T4" s="7">
        <v>45612</v>
      </c>
      <c r="U4" s="7">
        <v>45613</v>
      </c>
      <c r="V4" s="7">
        <v>45614</v>
      </c>
      <c r="W4" s="7">
        <v>45615</v>
      </c>
      <c r="X4" s="7">
        <v>45616</v>
      </c>
      <c r="Y4" s="7">
        <v>45617</v>
      </c>
      <c r="Z4" s="7">
        <v>45618</v>
      </c>
      <c r="AA4" s="7">
        <v>45619</v>
      </c>
      <c r="AB4" s="7">
        <v>45620</v>
      </c>
      <c r="AC4" s="7">
        <v>45621</v>
      </c>
      <c r="AD4" s="7">
        <v>45622</v>
      </c>
      <c r="AE4" s="7">
        <v>45623</v>
      </c>
      <c r="AF4" s="7">
        <v>45624</v>
      </c>
      <c r="AG4" s="7">
        <v>45625</v>
      </c>
      <c r="AH4" s="7">
        <v>45626</v>
      </c>
      <c r="AI4" s="12" t="s">
        <v>6</v>
      </c>
      <c r="AJ4" s="12" t="s">
        <v>7</v>
      </c>
      <c r="AK4" s="12" t="s">
        <v>8</v>
      </c>
      <c r="AL4" s="12" t="s">
        <v>9</v>
      </c>
      <c r="AM4" s="13" t="s">
        <v>5</v>
      </c>
    </row>
    <row r="5" spans="1:39" ht="15" customHeight="1" x14ac:dyDescent="0.25">
      <c r="A5" s="3">
        <v>1</v>
      </c>
      <c r="B5" s="4" t="s">
        <v>15</v>
      </c>
      <c r="C5" s="4" t="s">
        <v>17</v>
      </c>
      <c r="D5" s="4" t="s">
        <v>31</v>
      </c>
      <c r="E5" s="4" t="s">
        <v>6</v>
      </c>
      <c r="F5" s="4" t="s">
        <v>6</v>
      </c>
      <c r="G5" s="25" t="s">
        <v>10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25" t="s">
        <v>12</v>
      </c>
      <c r="N5" s="25" t="s">
        <v>10</v>
      </c>
      <c r="O5" s="4" t="s">
        <v>6</v>
      </c>
      <c r="P5" s="4" t="s">
        <v>6</v>
      </c>
      <c r="Q5" s="4" t="s">
        <v>6</v>
      </c>
      <c r="R5" s="4" t="s">
        <v>7</v>
      </c>
      <c r="S5" s="4" t="s">
        <v>6</v>
      </c>
      <c r="T5" s="4" t="s">
        <v>6</v>
      </c>
      <c r="U5" s="25" t="s">
        <v>10</v>
      </c>
      <c r="V5" s="4" t="s">
        <v>6</v>
      </c>
      <c r="W5" s="4" t="s">
        <v>6</v>
      </c>
      <c r="X5" s="4" t="s">
        <v>6</v>
      </c>
      <c r="Y5" s="4" t="s">
        <v>6</v>
      </c>
      <c r="Z5" s="4" t="s">
        <v>6</v>
      </c>
      <c r="AA5" s="4" t="s">
        <v>6</v>
      </c>
      <c r="AB5" s="25" t="s">
        <v>10</v>
      </c>
      <c r="AC5" s="4" t="s">
        <v>6</v>
      </c>
      <c r="AD5" s="4" t="s">
        <v>6</v>
      </c>
      <c r="AE5" s="4" t="s">
        <v>6</v>
      </c>
      <c r="AF5" s="4" t="s">
        <v>6</v>
      </c>
      <c r="AG5" s="4" t="s">
        <v>6</v>
      </c>
      <c r="AH5" s="4" t="s">
        <v>7</v>
      </c>
      <c r="AI5" s="4">
        <f>COUNTIF(E5:AH5,"P")</f>
        <v>23</v>
      </c>
      <c r="AJ5" s="4">
        <f>COUNTIF(E5:AH5,"A")</f>
        <v>2</v>
      </c>
      <c r="AK5" s="4">
        <f>COUNTIF(E5:AH5,"L")</f>
        <v>0</v>
      </c>
      <c r="AL5" s="4">
        <v>5</v>
      </c>
      <c r="AM5" s="15">
        <f>AI5+AK5+AL5</f>
        <v>28</v>
      </c>
    </row>
    <row r="6" spans="1:39" x14ac:dyDescent="0.25">
      <c r="A6" s="3">
        <v>2</v>
      </c>
      <c r="B6" s="4" t="s">
        <v>18</v>
      </c>
      <c r="C6" s="4" t="s">
        <v>19</v>
      </c>
      <c r="D6" s="4" t="s">
        <v>30</v>
      </c>
      <c r="E6" s="4" t="s">
        <v>6</v>
      </c>
      <c r="F6" s="4" t="s">
        <v>6</v>
      </c>
      <c r="G6" s="25"/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25"/>
      <c r="N6" s="25"/>
      <c r="O6" s="4" t="s">
        <v>6</v>
      </c>
      <c r="P6" s="4" t="s">
        <v>6</v>
      </c>
      <c r="Q6" s="4" t="s">
        <v>6</v>
      </c>
      <c r="R6" s="4" t="s">
        <v>6</v>
      </c>
      <c r="S6" s="4" t="s">
        <v>6</v>
      </c>
      <c r="T6" s="4" t="s">
        <v>6</v>
      </c>
      <c r="U6" s="25"/>
      <c r="V6" s="4" t="s">
        <v>6</v>
      </c>
      <c r="W6" s="4" t="s">
        <v>6</v>
      </c>
      <c r="X6" s="4" t="s">
        <v>6</v>
      </c>
      <c r="Y6" s="4" t="s">
        <v>7</v>
      </c>
      <c r="Z6" s="4" t="s">
        <v>6</v>
      </c>
      <c r="AA6" s="4" t="s">
        <v>6</v>
      </c>
      <c r="AB6" s="25"/>
      <c r="AC6" s="4" t="s">
        <v>6</v>
      </c>
      <c r="AD6" s="4" t="s">
        <v>6</v>
      </c>
      <c r="AE6" s="4" t="s">
        <v>6</v>
      </c>
      <c r="AF6" s="4" t="s">
        <v>7</v>
      </c>
      <c r="AG6" s="4" t="s">
        <v>6</v>
      </c>
      <c r="AH6" s="4" t="s">
        <v>6</v>
      </c>
      <c r="AI6" s="4">
        <f>COUNTIF(E6:AH6,"P")</f>
        <v>23</v>
      </c>
      <c r="AJ6" s="4">
        <f>COUNTIF(E6:AH6,"A")</f>
        <v>2</v>
      </c>
      <c r="AK6" s="4">
        <f>COUNTIF(E6:AH6,"L")</f>
        <v>0</v>
      </c>
      <c r="AL6" s="4">
        <f>COUNTBLANK(E6:AH6)</f>
        <v>5</v>
      </c>
      <c r="AM6" s="15">
        <f t="shared" ref="AM6:AM13" si="1">AI6+AK6+AL6</f>
        <v>28</v>
      </c>
    </row>
    <row r="7" spans="1:39" x14ac:dyDescent="0.25">
      <c r="A7" s="3">
        <v>3</v>
      </c>
      <c r="B7" s="4" t="s">
        <v>20</v>
      </c>
      <c r="C7" s="4" t="s">
        <v>21</v>
      </c>
      <c r="D7" s="4" t="s">
        <v>30</v>
      </c>
      <c r="E7" s="4" t="s">
        <v>6</v>
      </c>
      <c r="F7" s="4" t="s">
        <v>6</v>
      </c>
      <c r="G7" s="25"/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25"/>
      <c r="N7" s="25"/>
      <c r="O7" s="4" t="s">
        <v>6</v>
      </c>
      <c r="P7" s="4" t="s">
        <v>7</v>
      </c>
      <c r="Q7" s="4" t="s">
        <v>6</v>
      </c>
      <c r="R7" s="4" t="s">
        <v>6</v>
      </c>
      <c r="S7" s="4" t="s">
        <v>6</v>
      </c>
      <c r="T7" s="4" t="s">
        <v>6</v>
      </c>
      <c r="U7" s="25"/>
      <c r="V7" s="4" t="s">
        <v>6</v>
      </c>
      <c r="W7" s="4" t="s">
        <v>6</v>
      </c>
      <c r="X7" s="4" t="s">
        <v>6</v>
      </c>
      <c r="Y7" s="4" t="s">
        <v>6</v>
      </c>
      <c r="Z7" s="4" t="s">
        <v>6</v>
      </c>
      <c r="AA7" s="4" t="s">
        <v>6</v>
      </c>
      <c r="AB7" s="25"/>
      <c r="AC7" s="4" t="s">
        <v>6</v>
      </c>
      <c r="AD7" s="4" t="s">
        <v>6</v>
      </c>
      <c r="AE7" s="4" t="s">
        <v>6</v>
      </c>
      <c r="AF7" s="4" t="s">
        <v>6</v>
      </c>
      <c r="AG7" s="4" t="s">
        <v>6</v>
      </c>
      <c r="AH7" s="4" t="s">
        <v>6</v>
      </c>
      <c r="AI7" s="4">
        <f>COUNTIF(E7:AH7,"P")</f>
        <v>24</v>
      </c>
      <c r="AJ7" s="4">
        <f>COUNTIF(E7:AH7,"A")</f>
        <v>1</v>
      </c>
      <c r="AK7" s="4">
        <f>COUNTIF(E7:AH7,"L")</f>
        <v>0</v>
      </c>
      <c r="AL7" s="4">
        <f>COUNTBLANK(E7:AH7)</f>
        <v>5</v>
      </c>
      <c r="AM7" s="15">
        <f t="shared" si="1"/>
        <v>29</v>
      </c>
    </row>
    <row r="8" spans="1:39" x14ac:dyDescent="0.25">
      <c r="A8" s="3">
        <v>4</v>
      </c>
      <c r="B8" s="4" t="s">
        <v>34</v>
      </c>
      <c r="C8" s="4" t="s">
        <v>35</v>
      </c>
      <c r="D8" s="4" t="s">
        <v>30</v>
      </c>
      <c r="E8" s="4" t="s">
        <v>6</v>
      </c>
      <c r="F8" s="4" t="s">
        <v>6</v>
      </c>
      <c r="G8" s="25"/>
      <c r="H8" s="4" t="s">
        <v>6</v>
      </c>
      <c r="I8" s="4" t="s">
        <v>6</v>
      </c>
      <c r="J8" s="4" t="s">
        <v>7</v>
      </c>
      <c r="K8" s="4" t="s">
        <v>6</v>
      </c>
      <c r="L8" s="4" t="s">
        <v>6</v>
      </c>
      <c r="M8" s="25"/>
      <c r="N8" s="25"/>
      <c r="O8" s="4" t="s">
        <v>6</v>
      </c>
      <c r="P8" s="4" t="s">
        <v>6</v>
      </c>
      <c r="Q8" s="4" t="s">
        <v>6</v>
      </c>
      <c r="R8" s="4" t="s">
        <v>6</v>
      </c>
      <c r="S8" s="4" t="s">
        <v>6</v>
      </c>
      <c r="T8" s="4" t="s">
        <v>6</v>
      </c>
      <c r="U8" s="25"/>
      <c r="V8" s="4" t="s">
        <v>6</v>
      </c>
      <c r="W8" s="4" t="s">
        <v>6</v>
      </c>
      <c r="X8" s="4" t="s">
        <v>6</v>
      </c>
      <c r="Y8" s="4" t="s">
        <v>6</v>
      </c>
      <c r="Z8" s="4" t="s">
        <v>6</v>
      </c>
      <c r="AA8" s="4" t="s">
        <v>6</v>
      </c>
      <c r="AB8" s="25"/>
      <c r="AC8" s="4" t="s">
        <v>6</v>
      </c>
      <c r="AD8" s="4" t="s">
        <v>7</v>
      </c>
      <c r="AE8" s="4" t="s">
        <v>6</v>
      </c>
      <c r="AF8" s="4" t="s">
        <v>6</v>
      </c>
      <c r="AG8" s="4" t="s">
        <v>6</v>
      </c>
      <c r="AH8" s="4" t="s">
        <v>6</v>
      </c>
      <c r="AI8" s="4">
        <f>COUNTIF(E8:AH8,"P")</f>
        <v>23</v>
      </c>
      <c r="AJ8" s="4">
        <f>COUNTIF(E8:AH8,"A")</f>
        <v>2</v>
      </c>
      <c r="AK8" s="4">
        <f>COUNTIF(E8:AH8,"L")</f>
        <v>0</v>
      </c>
      <c r="AL8" s="4">
        <f>COUNTBLANK(E8:AH8)</f>
        <v>5</v>
      </c>
      <c r="AM8" s="15">
        <f t="shared" si="1"/>
        <v>28</v>
      </c>
    </row>
    <row r="9" spans="1:39" x14ac:dyDescent="0.25">
      <c r="A9" s="3">
        <v>5</v>
      </c>
      <c r="B9" s="4" t="s">
        <v>22</v>
      </c>
      <c r="C9" s="4" t="s">
        <v>23</v>
      </c>
      <c r="D9" s="4" t="s">
        <v>30</v>
      </c>
      <c r="E9" s="4" t="s">
        <v>6</v>
      </c>
      <c r="F9" s="4" t="s">
        <v>6</v>
      </c>
      <c r="G9" s="25"/>
      <c r="H9" s="4" t="s">
        <v>7</v>
      </c>
      <c r="I9" s="4" t="s">
        <v>6</v>
      </c>
      <c r="J9" s="4" t="s">
        <v>6</v>
      </c>
      <c r="K9" s="4" t="s">
        <v>6</v>
      </c>
      <c r="L9" s="4" t="s">
        <v>6</v>
      </c>
      <c r="M9" s="25"/>
      <c r="N9" s="25"/>
      <c r="O9" s="4" t="s">
        <v>6</v>
      </c>
      <c r="P9" s="4" t="s">
        <v>6</v>
      </c>
      <c r="Q9" s="4" t="s">
        <v>6</v>
      </c>
      <c r="R9" s="4" t="s">
        <v>6</v>
      </c>
      <c r="S9" s="4" t="s">
        <v>6</v>
      </c>
      <c r="T9" s="4" t="s">
        <v>6</v>
      </c>
      <c r="U9" s="25"/>
      <c r="V9" s="4" t="s">
        <v>6</v>
      </c>
      <c r="W9" s="4" t="s">
        <v>6</v>
      </c>
      <c r="X9" s="4" t="s">
        <v>6</v>
      </c>
      <c r="Y9" s="4" t="s">
        <v>6</v>
      </c>
      <c r="Z9" s="4" t="s">
        <v>6</v>
      </c>
      <c r="AA9" s="4" t="s">
        <v>7</v>
      </c>
      <c r="AB9" s="25"/>
      <c r="AC9" s="4" t="s">
        <v>6</v>
      </c>
      <c r="AD9" s="4" t="s">
        <v>6</v>
      </c>
      <c r="AE9" s="4" t="s">
        <v>6</v>
      </c>
      <c r="AF9" s="4" t="s">
        <v>6</v>
      </c>
      <c r="AG9" s="4" t="s">
        <v>6</v>
      </c>
      <c r="AH9" s="4" t="s">
        <v>6</v>
      </c>
      <c r="AI9" s="4">
        <f>COUNTIF(E9:AH9,"P")</f>
        <v>23</v>
      </c>
      <c r="AJ9" s="4">
        <f>COUNTIF(E9:AH9,"A")</f>
        <v>2</v>
      </c>
      <c r="AK9" s="4">
        <f>COUNTIF(E9:AH9,"L")</f>
        <v>0</v>
      </c>
      <c r="AL9" s="4">
        <f>COUNTBLANK(E9:AH9)</f>
        <v>5</v>
      </c>
      <c r="AM9" s="15">
        <f t="shared" si="1"/>
        <v>28</v>
      </c>
    </row>
    <row r="10" spans="1:39" x14ac:dyDescent="0.25">
      <c r="A10" s="3">
        <v>6</v>
      </c>
      <c r="B10" s="4" t="s">
        <v>24</v>
      </c>
      <c r="C10" s="4" t="s">
        <v>25</v>
      </c>
      <c r="D10" s="4" t="s">
        <v>30</v>
      </c>
      <c r="E10" s="4" t="s">
        <v>6</v>
      </c>
      <c r="F10" s="4" t="s">
        <v>7</v>
      </c>
      <c r="G10" s="25"/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25"/>
      <c r="N10" s="25"/>
      <c r="O10" s="4" t="s">
        <v>6</v>
      </c>
      <c r="P10" s="4" t="s">
        <v>6</v>
      </c>
      <c r="Q10" s="4" t="s">
        <v>6</v>
      </c>
      <c r="R10" s="4" t="s">
        <v>6</v>
      </c>
      <c r="S10" s="4" t="s">
        <v>6</v>
      </c>
      <c r="T10" s="4" t="s">
        <v>7</v>
      </c>
      <c r="U10" s="25"/>
      <c r="V10" s="4" t="s">
        <v>6</v>
      </c>
      <c r="W10" s="4" t="s">
        <v>6</v>
      </c>
      <c r="X10" s="4" t="s">
        <v>6</v>
      </c>
      <c r="Y10" s="4" t="s">
        <v>6</v>
      </c>
      <c r="Z10" s="4" t="s">
        <v>6</v>
      </c>
      <c r="AA10" s="4" t="s">
        <v>6</v>
      </c>
      <c r="AB10" s="25"/>
      <c r="AC10" s="4" t="s">
        <v>6</v>
      </c>
      <c r="AD10" s="4" t="s">
        <v>6</v>
      </c>
      <c r="AE10" s="4" t="s">
        <v>6</v>
      </c>
      <c r="AF10" s="4" t="s">
        <v>6</v>
      </c>
      <c r="AG10" s="4" t="s">
        <v>6</v>
      </c>
      <c r="AH10" s="4" t="s">
        <v>6</v>
      </c>
      <c r="AI10" s="4">
        <f>COUNTIF(E10:AH10,"P")</f>
        <v>23</v>
      </c>
      <c r="AJ10" s="4">
        <f>COUNTIF(E10:AH10,"A")</f>
        <v>2</v>
      </c>
      <c r="AK10" s="4">
        <f>COUNTIF(E10:AH10,"L")</f>
        <v>0</v>
      </c>
      <c r="AL10" s="4">
        <f>COUNTBLANK(E10:AH10)</f>
        <v>5</v>
      </c>
      <c r="AM10" s="15">
        <f t="shared" si="1"/>
        <v>28</v>
      </c>
    </row>
    <row r="11" spans="1:39" x14ac:dyDescent="0.25">
      <c r="A11" s="3">
        <v>7</v>
      </c>
      <c r="B11" s="4" t="s">
        <v>26</v>
      </c>
      <c r="C11" s="4" t="s">
        <v>27</v>
      </c>
      <c r="D11" s="4" t="s">
        <v>30</v>
      </c>
      <c r="E11" s="4" t="s">
        <v>7</v>
      </c>
      <c r="F11" s="4" t="s">
        <v>7</v>
      </c>
      <c r="G11" s="25"/>
      <c r="H11" s="4" t="s">
        <v>7</v>
      </c>
      <c r="I11" s="4" t="s">
        <v>7</v>
      </c>
      <c r="J11" s="4" t="s">
        <v>7</v>
      </c>
      <c r="K11" s="4" t="s">
        <v>7</v>
      </c>
      <c r="L11" s="4" t="s">
        <v>7</v>
      </c>
      <c r="M11" s="25"/>
      <c r="N11" s="25"/>
      <c r="O11" s="4" t="s">
        <v>7</v>
      </c>
      <c r="P11" s="4" t="s">
        <v>7</v>
      </c>
      <c r="Q11" s="4" t="s">
        <v>7</v>
      </c>
      <c r="R11" s="4" t="s">
        <v>7</v>
      </c>
      <c r="S11" s="4" t="s">
        <v>7</v>
      </c>
      <c r="T11" s="4" t="s">
        <v>7</v>
      </c>
      <c r="U11" s="25"/>
      <c r="V11" s="4" t="s">
        <v>7</v>
      </c>
      <c r="W11" s="4" t="s">
        <v>7</v>
      </c>
      <c r="X11" s="4" t="s">
        <v>7</v>
      </c>
      <c r="Y11" s="4" t="s">
        <v>7</v>
      </c>
      <c r="Z11" s="4" t="s">
        <v>7</v>
      </c>
      <c r="AA11" s="4" t="s">
        <v>7</v>
      </c>
      <c r="AB11" s="25"/>
      <c r="AC11" s="4" t="s">
        <v>7</v>
      </c>
      <c r="AD11" s="4" t="s">
        <v>7</v>
      </c>
      <c r="AE11" s="4" t="s">
        <v>7</v>
      </c>
      <c r="AF11" s="4" t="s">
        <v>7</v>
      </c>
      <c r="AG11" s="4" t="s">
        <v>7</v>
      </c>
      <c r="AH11" s="4" t="s">
        <v>7</v>
      </c>
      <c r="AI11" s="4">
        <f>COUNTIF(E11:AH11,"P")</f>
        <v>0</v>
      </c>
      <c r="AJ11" s="4">
        <f>COUNTIF(E11:AH11,"A")</f>
        <v>25</v>
      </c>
      <c r="AK11" s="4">
        <f>COUNTIF(E11:AH11,"L")</f>
        <v>0</v>
      </c>
      <c r="AL11" s="4">
        <f>COUNTBLANK(E11:AH11)</f>
        <v>5</v>
      </c>
      <c r="AM11" s="15">
        <f t="shared" si="1"/>
        <v>5</v>
      </c>
    </row>
    <row r="12" spans="1:39" x14ac:dyDescent="0.25">
      <c r="A12" s="3">
        <v>8</v>
      </c>
      <c r="B12" s="4" t="s">
        <v>28</v>
      </c>
      <c r="C12" s="4" t="s">
        <v>29</v>
      </c>
      <c r="D12" s="4" t="s">
        <v>30</v>
      </c>
      <c r="E12" s="4" t="s">
        <v>6</v>
      </c>
      <c r="F12" s="4" t="s">
        <v>6</v>
      </c>
      <c r="G12" s="17"/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17"/>
      <c r="N12" s="17"/>
      <c r="O12" s="4" t="s">
        <v>6</v>
      </c>
      <c r="P12" s="4" t="s">
        <v>6</v>
      </c>
      <c r="Q12" s="4" t="s">
        <v>6</v>
      </c>
      <c r="R12" s="4" t="s">
        <v>6</v>
      </c>
      <c r="S12" s="4" t="s">
        <v>6</v>
      </c>
      <c r="T12" s="4" t="s">
        <v>6</v>
      </c>
      <c r="U12" s="17"/>
      <c r="V12" s="4" t="s">
        <v>6</v>
      </c>
      <c r="W12" s="4" t="s">
        <v>6</v>
      </c>
      <c r="X12" s="4" t="s">
        <v>6</v>
      </c>
      <c r="Y12" s="4" t="s">
        <v>6</v>
      </c>
      <c r="Z12" s="4" t="s">
        <v>7</v>
      </c>
      <c r="AA12" s="4" t="s">
        <v>6</v>
      </c>
      <c r="AB12" s="17"/>
      <c r="AC12" s="4" t="s">
        <v>6</v>
      </c>
      <c r="AD12" s="4" t="s">
        <v>6</v>
      </c>
      <c r="AE12" s="4" t="s">
        <v>6</v>
      </c>
      <c r="AF12" s="4" t="s">
        <v>6</v>
      </c>
      <c r="AG12" s="4" t="s">
        <v>6</v>
      </c>
      <c r="AH12" s="4" t="s">
        <v>7</v>
      </c>
      <c r="AI12" s="4">
        <f>COUNTIF(E12:AH12,"P")</f>
        <v>23</v>
      </c>
      <c r="AJ12" s="4">
        <f>COUNTIF(E12:AH12,"A")</f>
        <v>2</v>
      </c>
      <c r="AK12" s="4">
        <f>COUNTIF(E12:AH12,"L")</f>
        <v>0</v>
      </c>
      <c r="AL12" s="4">
        <f>COUNTBLANK(E12:AH12)</f>
        <v>5</v>
      </c>
      <c r="AM12" s="15">
        <f t="shared" si="1"/>
        <v>28</v>
      </c>
    </row>
    <row r="13" spans="1:39" ht="15.75" thickBot="1" x14ac:dyDescent="0.3">
      <c r="A13" s="5">
        <v>9</v>
      </c>
      <c r="B13" s="6" t="s">
        <v>32</v>
      </c>
      <c r="C13" s="6" t="s">
        <v>33</v>
      </c>
      <c r="D13" s="4" t="s">
        <v>36</v>
      </c>
      <c r="E13" s="6" t="s">
        <v>6</v>
      </c>
      <c r="F13" s="6" t="s">
        <v>6</v>
      </c>
      <c r="G13" s="26"/>
      <c r="H13" s="6" t="s">
        <v>6</v>
      </c>
      <c r="I13" s="6" t="s">
        <v>7</v>
      </c>
      <c r="J13" s="6" t="s">
        <v>6</v>
      </c>
      <c r="K13" s="6" t="s">
        <v>6</v>
      </c>
      <c r="L13" s="6" t="s">
        <v>6</v>
      </c>
      <c r="M13" s="26"/>
      <c r="N13" s="26"/>
      <c r="O13" s="6" t="s">
        <v>6</v>
      </c>
      <c r="P13" s="6" t="s">
        <v>6</v>
      </c>
      <c r="Q13" s="6" t="s">
        <v>6</v>
      </c>
      <c r="R13" s="6" t="s">
        <v>6</v>
      </c>
      <c r="S13" s="6" t="s">
        <v>6</v>
      </c>
      <c r="T13" s="6" t="s">
        <v>6</v>
      </c>
      <c r="U13" s="26"/>
      <c r="V13" s="6" t="s">
        <v>6</v>
      </c>
      <c r="W13" s="6" t="s">
        <v>6</v>
      </c>
      <c r="X13" s="6" t="s">
        <v>6</v>
      </c>
      <c r="Y13" s="6" t="s">
        <v>6</v>
      </c>
      <c r="Z13" s="6" t="s">
        <v>6</v>
      </c>
      <c r="AA13" s="6" t="s">
        <v>6</v>
      </c>
      <c r="AB13" s="26"/>
      <c r="AC13" s="6" t="s">
        <v>6</v>
      </c>
      <c r="AD13" s="6" t="s">
        <v>6</v>
      </c>
      <c r="AE13" s="6" t="s">
        <v>6</v>
      </c>
      <c r="AF13" s="6" t="s">
        <v>6</v>
      </c>
      <c r="AG13" s="6" t="s">
        <v>6</v>
      </c>
      <c r="AH13" s="6" t="s">
        <v>7</v>
      </c>
      <c r="AI13" s="6">
        <f>COUNTIF(E13:AH13,"P")</f>
        <v>23</v>
      </c>
      <c r="AJ13" s="6">
        <f>COUNTIF(E13:AH13,"A")</f>
        <v>2</v>
      </c>
      <c r="AK13" s="6">
        <f>COUNTIF(E13:AH13,"L")</f>
        <v>0</v>
      </c>
      <c r="AL13" s="6">
        <f>COUNTBLANK(E13:AH13)</f>
        <v>5</v>
      </c>
      <c r="AM13" s="16">
        <f t="shared" si="1"/>
        <v>28</v>
      </c>
    </row>
  </sheetData>
  <mergeCells count="8">
    <mergeCell ref="AB5:AB13"/>
    <mergeCell ref="M5:M13"/>
    <mergeCell ref="A2:AM2"/>
    <mergeCell ref="A3:D3"/>
    <mergeCell ref="AI3:AM3"/>
    <mergeCell ref="G5:G13"/>
    <mergeCell ref="N5:N13"/>
    <mergeCell ref="U5:U13"/>
  </mergeCells>
  <conditionalFormatting sqref="G5 U5 AB5 E5:F13 H5:L13 O5:T13 V5:AA13 AC5:AH13 E3:AH4 M5:N5">
    <cfRule type="expression" dxfId="5" priority="1">
      <formula>E$3="SUN"</formula>
    </cfRule>
  </conditionalFormatting>
  <conditionalFormatting sqref="G5 U5 AB5 E5:F13 H5:L13 O5:T13 V5:AA13 AC5:AH13 M5:N5">
    <cfRule type="cellIs" dxfId="4" priority="2" operator="equal">
      <formula>"A"</formula>
    </cfRule>
    <cfRule type="cellIs" dxfId="3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97E1-5BB9-4729-A9A0-015D260C6B3D}">
  <dimension ref="A1:AN13"/>
  <sheetViews>
    <sheetView tabSelected="1" workbookViewId="0">
      <selection activeCell="AE13" sqref="AE13"/>
    </sheetView>
  </sheetViews>
  <sheetFormatPr defaultRowHeight="15" x14ac:dyDescent="0.25"/>
  <cols>
    <col min="1" max="1" width="5" bestFit="1" customWidth="1"/>
    <col min="2" max="2" width="18.140625" bestFit="1" customWidth="1"/>
    <col min="3" max="3" width="18.85546875" bestFit="1" customWidth="1"/>
    <col min="4" max="4" width="12.5703125" bestFit="1" customWidth="1"/>
    <col min="5" max="5" width="3" bestFit="1" customWidth="1"/>
    <col min="6" max="33" width="3.7109375" bestFit="1" customWidth="1"/>
    <col min="34" max="34" width="3.7109375" customWidth="1"/>
    <col min="35" max="35" width="3.7109375" bestFit="1" customWidth="1"/>
    <col min="36" max="39" width="5.7109375" customWidth="1"/>
    <col min="40" max="40" width="7.42578125" bestFit="1" customWidth="1"/>
  </cols>
  <sheetData>
    <row r="1" spans="1:40" ht="15.75" thickBot="1" x14ac:dyDescent="0.3"/>
    <row r="2" spans="1:40" ht="32.25" thickBot="1" x14ac:dyDescent="0.55000000000000004">
      <c r="A2" s="20" t="s">
        <v>13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2"/>
    </row>
    <row r="3" spans="1:40" ht="27" x14ac:dyDescent="0.25">
      <c r="A3" s="18" t="s">
        <v>0</v>
      </c>
      <c r="B3" s="19"/>
      <c r="C3" s="19"/>
      <c r="D3" s="19"/>
      <c r="E3" s="14" t="str">
        <f>TEXT(E4,"ddd")</f>
        <v>Sun</v>
      </c>
      <c r="F3" s="14" t="str">
        <f t="shared" ref="F3:AI3" si="0">TEXT(F4,"ddd")</f>
        <v>Mon</v>
      </c>
      <c r="G3" s="14" t="str">
        <f t="shared" si="0"/>
        <v>Tue</v>
      </c>
      <c r="H3" s="14" t="str">
        <f t="shared" si="0"/>
        <v>Wed</v>
      </c>
      <c r="I3" s="14" t="str">
        <f t="shared" si="0"/>
        <v>Thu</v>
      </c>
      <c r="J3" s="14" t="str">
        <f t="shared" si="0"/>
        <v>Fri</v>
      </c>
      <c r="K3" s="14" t="str">
        <f t="shared" si="0"/>
        <v>Sat</v>
      </c>
      <c r="L3" s="14" t="str">
        <f t="shared" si="0"/>
        <v>Sun</v>
      </c>
      <c r="M3" s="14" t="str">
        <f t="shared" si="0"/>
        <v>Mon</v>
      </c>
      <c r="N3" s="14" t="str">
        <f t="shared" si="0"/>
        <v>Tue</v>
      </c>
      <c r="O3" s="14" t="str">
        <f t="shared" si="0"/>
        <v>Wed</v>
      </c>
      <c r="P3" s="14" t="str">
        <f t="shared" si="0"/>
        <v>Thu</v>
      </c>
      <c r="Q3" s="14" t="str">
        <f t="shared" si="0"/>
        <v>Fri</v>
      </c>
      <c r="R3" s="14" t="str">
        <f t="shared" si="0"/>
        <v>Sat</v>
      </c>
      <c r="S3" s="14" t="str">
        <f t="shared" si="0"/>
        <v>Sun</v>
      </c>
      <c r="T3" s="14" t="str">
        <f t="shared" si="0"/>
        <v>Mon</v>
      </c>
      <c r="U3" s="14" t="str">
        <f t="shared" si="0"/>
        <v>Tue</v>
      </c>
      <c r="V3" s="14" t="str">
        <f t="shared" si="0"/>
        <v>Wed</v>
      </c>
      <c r="W3" s="14" t="str">
        <f t="shared" si="0"/>
        <v>Thu</v>
      </c>
      <c r="X3" s="14" t="str">
        <f t="shared" si="0"/>
        <v>Fri</v>
      </c>
      <c r="Y3" s="14" t="str">
        <f t="shared" si="0"/>
        <v>Sat</v>
      </c>
      <c r="Z3" s="14" t="str">
        <f t="shared" si="0"/>
        <v>Sun</v>
      </c>
      <c r="AA3" s="14" t="str">
        <f t="shared" si="0"/>
        <v>Mon</v>
      </c>
      <c r="AB3" s="14" t="str">
        <f t="shared" si="0"/>
        <v>Tue</v>
      </c>
      <c r="AC3" s="14" t="str">
        <f t="shared" si="0"/>
        <v>Wed</v>
      </c>
      <c r="AD3" s="14" t="str">
        <f t="shared" si="0"/>
        <v>Thu</v>
      </c>
      <c r="AE3" s="14" t="str">
        <f t="shared" si="0"/>
        <v>Fri</v>
      </c>
      <c r="AF3" s="14" t="str">
        <f t="shared" si="0"/>
        <v>Sat</v>
      </c>
      <c r="AG3" s="14" t="str">
        <f t="shared" si="0"/>
        <v>Sun</v>
      </c>
      <c r="AH3" s="14" t="str">
        <f t="shared" si="0"/>
        <v>Mon</v>
      </c>
      <c r="AI3" s="14" t="str">
        <f t="shared" si="0"/>
        <v>Tue</v>
      </c>
      <c r="AJ3" s="23" t="s">
        <v>1</v>
      </c>
      <c r="AK3" s="23"/>
      <c r="AL3" s="23"/>
      <c r="AM3" s="23"/>
      <c r="AN3" s="24"/>
    </row>
    <row r="4" spans="1:40" x14ac:dyDescent="0.25">
      <c r="A4" s="1" t="s">
        <v>2</v>
      </c>
      <c r="B4" s="2" t="s">
        <v>3</v>
      </c>
      <c r="C4" s="2" t="s">
        <v>16</v>
      </c>
      <c r="D4" s="2" t="s">
        <v>4</v>
      </c>
      <c r="E4" s="7">
        <v>45627</v>
      </c>
      <c r="F4" s="7">
        <v>45628</v>
      </c>
      <c r="G4" s="7">
        <v>45629</v>
      </c>
      <c r="H4" s="7">
        <v>45630</v>
      </c>
      <c r="I4" s="7">
        <v>45631</v>
      </c>
      <c r="J4" s="7">
        <v>45632</v>
      </c>
      <c r="K4" s="7">
        <v>45633</v>
      </c>
      <c r="L4" s="7">
        <v>45634</v>
      </c>
      <c r="M4" s="7">
        <v>45635</v>
      </c>
      <c r="N4" s="7">
        <v>45636</v>
      </c>
      <c r="O4" s="7">
        <v>45637</v>
      </c>
      <c r="P4" s="7">
        <v>45638</v>
      </c>
      <c r="Q4" s="7">
        <v>45639</v>
      </c>
      <c r="R4" s="7">
        <v>45640</v>
      </c>
      <c r="S4" s="7">
        <v>45641</v>
      </c>
      <c r="T4" s="7">
        <v>45642</v>
      </c>
      <c r="U4" s="7">
        <v>45643</v>
      </c>
      <c r="V4" s="7">
        <v>45644</v>
      </c>
      <c r="W4" s="7">
        <v>45645</v>
      </c>
      <c r="X4" s="7">
        <v>45646</v>
      </c>
      <c r="Y4" s="7">
        <v>45647</v>
      </c>
      <c r="Z4" s="7">
        <v>45648</v>
      </c>
      <c r="AA4" s="7">
        <v>45649</v>
      </c>
      <c r="AB4" s="7">
        <v>45650</v>
      </c>
      <c r="AC4" s="7">
        <v>45651</v>
      </c>
      <c r="AD4" s="7">
        <v>45652</v>
      </c>
      <c r="AE4" s="7">
        <v>45653</v>
      </c>
      <c r="AF4" s="7">
        <v>45654</v>
      </c>
      <c r="AG4" s="7">
        <v>45655</v>
      </c>
      <c r="AH4" s="7">
        <v>45656</v>
      </c>
      <c r="AI4" s="7">
        <v>45657</v>
      </c>
      <c r="AJ4" s="12" t="s">
        <v>6</v>
      </c>
      <c r="AK4" s="12" t="s">
        <v>7</v>
      </c>
      <c r="AL4" s="12" t="s">
        <v>8</v>
      </c>
      <c r="AM4" s="12" t="s">
        <v>9</v>
      </c>
      <c r="AN4" s="13" t="s">
        <v>5</v>
      </c>
    </row>
    <row r="5" spans="1:40" ht="15" customHeight="1" x14ac:dyDescent="0.25">
      <c r="A5" s="3">
        <v>1</v>
      </c>
      <c r="B5" s="4" t="s">
        <v>15</v>
      </c>
      <c r="C5" s="4" t="s">
        <v>17</v>
      </c>
      <c r="D5" s="4" t="s">
        <v>31</v>
      </c>
      <c r="E5" s="25" t="s">
        <v>10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25" t="s">
        <v>10</v>
      </c>
      <c r="M5" s="4" t="s">
        <v>6</v>
      </c>
      <c r="N5" s="4" t="s">
        <v>6</v>
      </c>
      <c r="O5" s="4" t="s">
        <v>7</v>
      </c>
      <c r="P5" s="4" t="s">
        <v>6</v>
      </c>
      <c r="Q5" s="4" t="s">
        <v>6</v>
      </c>
      <c r="R5" s="4" t="s">
        <v>6</v>
      </c>
      <c r="S5" s="25" t="s">
        <v>10</v>
      </c>
      <c r="T5" s="4" t="s">
        <v>7</v>
      </c>
      <c r="U5" s="4" t="s">
        <v>6</v>
      </c>
      <c r="V5" s="4" t="s">
        <v>6</v>
      </c>
      <c r="W5" s="4" t="s">
        <v>6</v>
      </c>
      <c r="X5" s="4" t="s">
        <v>6</v>
      </c>
      <c r="Y5" s="4" t="s">
        <v>6</v>
      </c>
      <c r="Z5" s="25" t="s">
        <v>10</v>
      </c>
      <c r="AA5" s="4" t="s">
        <v>6</v>
      </c>
      <c r="AB5" s="4" t="s">
        <v>6</v>
      </c>
      <c r="AC5" s="4"/>
      <c r="AD5" s="4" t="s">
        <v>6</v>
      </c>
      <c r="AE5" s="4"/>
      <c r="AF5" s="4" t="s">
        <v>6</v>
      </c>
      <c r="AG5" s="25" t="s">
        <v>10</v>
      </c>
      <c r="AH5" s="4" t="s">
        <v>6</v>
      </c>
      <c r="AI5" s="4" t="s">
        <v>6</v>
      </c>
      <c r="AJ5" s="4">
        <f t="shared" ref="AJ5:AJ13" si="1">COUNTIF(E5:AI5,"P")</f>
        <v>22</v>
      </c>
      <c r="AK5" s="4">
        <f t="shared" ref="AK5:AK13" si="2">COUNTIF(E5:AI5,"A")</f>
        <v>2</v>
      </c>
      <c r="AL5" s="4">
        <f t="shared" ref="AL5:AL13" si="3">COUNTIF(E5:AI5,"L")</f>
        <v>0</v>
      </c>
      <c r="AM5" s="4">
        <v>5</v>
      </c>
      <c r="AN5" s="15">
        <f>AJ5+AL5+AM5</f>
        <v>27</v>
      </c>
    </row>
    <row r="6" spans="1:40" x14ac:dyDescent="0.25">
      <c r="A6" s="3">
        <v>2</v>
      </c>
      <c r="B6" s="4" t="s">
        <v>18</v>
      </c>
      <c r="C6" s="4" t="s">
        <v>19</v>
      </c>
      <c r="D6" s="4" t="s">
        <v>30</v>
      </c>
      <c r="E6" s="25"/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25"/>
      <c r="M6" s="4" t="s">
        <v>6</v>
      </c>
      <c r="N6" s="4" t="s">
        <v>7</v>
      </c>
      <c r="O6" s="4" t="s">
        <v>6</v>
      </c>
      <c r="P6" s="4" t="s">
        <v>6</v>
      </c>
      <c r="Q6" s="4" t="s">
        <v>6</v>
      </c>
      <c r="R6" s="4" t="s">
        <v>6</v>
      </c>
      <c r="S6" s="25"/>
      <c r="T6" s="4" t="s">
        <v>6</v>
      </c>
      <c r="U6" s="4" t="s">
        <v>6</v>
      </c>
      <c r="V6" s="4" t="s">
        <v>6</v>
      </c>
      <c r="W6" s="4" t="s">
        <v>6</v>
      </c>
      <c r="X6" s="4" t="s">
        <v>6</v>
      </c>
      <c r="Y6" s="4"/>
      <c r="Z6" s="25"/>
      <c r="AA6" s="4"/>
      <c r="AB6" s="4"/>
      <c r="AC6" s="4"/>
      <c r="AD6" s="4"/>
      <c r="AE6" s="4"/>
      <c r="AF6" s="4"/>
      <c r="AG6" s="25"/>
      <c r="AH6" s="4"/>
      <c r="AI6" s="4"/>
      <c r="AJ6" s="4">
        <f t="shared" si="1"/>
        <v>16</v>
      </c>
      <c r="AK6" s="4">
        <f t="shared" si="2"/>
        <v>1</v>
      </c>
      <c r="AL6" s="4">
        <f t="shared" si="3"/>
        <v>0</v>
      </c>
      <c r="AM6" s="4">
        <f t="shared" ref="AM6:AM13" si="4">COUNTBLANK(E6:AI6)</f>
        <v>14</v>
      </c>
      <c r="AN6" s="15">
        <f t="shared" ref="AN6:AN13" si="5">AJ6+AL6+AM6</f>
        <v>30</v>
      </c>
    </row>
    <row r="7" spans="1:40" x14ac:dyDescent="0.25">
      <c r="A7" s="3">
        <v>3</v>
      </c>
      <c r="B7" s="4" t="s">
        <v>20</v>
      </c>
      <c r="C7" s="4" t="s">
        <v>21</v>
      </c>
      <c r="D7" s="4" t="s">
        <v>30</v>
      </c>
      <c r="E7" s="25"/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25"/>
      <c r="M7" s="4" t="s">
        <v>6</v>
      </c>
      <c r="N7" s="4" t="s">
        <v>6</v>
      </c>
      <c r="O7" s="4" t="s">
        <v>6</v>
      </c>
      <c r="P7" s="4" t="s">
        <v>7</v>
      </c>
      <c r="Q7" s="4" t="s">
        <v>6</v>
      </c>
      <c r="R7" s="4" t="s">
        <v>6</v>
      </c>
      <c r="S7" s="25"/>
      <c r="T7" s="4" t="s">
        <v>6</v>
      </c>
      <c r="U7" s="4" t="s">
        <v>6</v>
      </c>
      <c r="V7" s="4" t="s">
        <v>6</v>
      </c>
      <c r="W7" s="4" t="s">
        <v>7</v>
      </c>
      <c r="X7" s="4" t="s">
        <v>6</v>
      </c>
      <c r="Y7" s="4"/>
      <c r="Z7" s="25"/>
      <c r="AA7" s="4"/>
      <c r="AB7" s="4"/>
      <c r="AC7" s="4"/>
      <c r="AD7" s="4"/>
      <c r="AE7" s="4"/>
      <c r="AF7" s="4"/>
      <c r="AG7" s="25"/>
      <c r="AH7" s="4"/>
      <c r="AI7" s="4"/>
      <c r="AJ7" s="4">
        <f t="shared" si="1"/>
        <v>15</v>
      </c>
      <c r="AK7" s="4">
        <f t="shared" si="2"/>
        <v>2</v>
      </c>
      <c r="AL7" s="4">
        <f t="shared" si="3"/>
        <v>0</v>
      </c>
      <c r="AM7" s="4">
        <f t="shared" si="4"/>
        <v>14</v>
      </c>
      <c r="AN7" s="15">
        <f t="shared" si="5"/>
        <v>29</v>
      </c>
    </row>
    <row r="8" spans="1:40" x14ac:dyDescent="0.25">
      <c r="A8" s="3">
        <v>4</v>
      </c>
      <c r="B8" s="4" t="s">
        <v>34</v>
      </c>
      <c r="C8" s="4" t="s">
        <v>35</v>
      </c>
      <c r="D8" s="4" t="s">
        <v>30</v>
      </c>
      <c r="E8" s="25"/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7</v>
      </c>
      <c r="L8" s="25"/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25"/>
      <c r="T8" s="4" t="s">
        <v>6</v>
      </c>
      <c r="U8" s="4" t="s">
        <v>7</v>
      </c>
      <c r="V8" s="4" t="s">
        <v>6</v>
      </c>
      <c r="W8" s="4" t="s">
        <v>6</v>
      </c>
      <c r="X8" s="4" t="s">
        <v>6</v>
      </c>
      <c r="Y8" s="4"/>
      <c r="Z8" s="25"/>
      <c r="AA8" s="4"/>
      <c r="AB8" s="4"/>
      <c r="AC8" s="4"/>
      <c r="AD8" s="4"/>
      <c r="AE8" s="4"/>
      <c r="AF8" s="4"/>
      <c r="AG8" s="25"/>
      <c r="AH8" s="4"/>
      <c r="AI8" s="4"/>
      <c r="AJ8" s="4">
        <f t="shared" si="1"/>
        <v>15</v>
      </c>
      <c r="AK8" s="4">
        <f t="shared" si="2"/>
        <v>2</v>
      </c>
      <c r="AL8" s="4">
        <f t="shared" si="3"/>
        <v>0</v>
      </c>
      <c r="AM8" s="4">
        <f t="shared" si="4"/>
        <v>14</v>
      </c>
      <c r="AN8" s="15">
        <f t="shared" si="5"/>
        <v>29</v>
      </c>
    </row>
    <row r="9" spans="1:40" x14ac:dyDescent="0.25">
      <c r="A9" s="3">
        <v>5</v>
      </c>
      <c r="B9" s="4" t="s">
        <v>22</v>
      </c>
      <c r="C9" s="4" t="s">
        <v>23</v>
      </c>
      <c r="D9" s="4" t="s">
        <v>30</v>
      </c>
      <c r="E9" s="25"/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25"/>
      <c r="M9" s="4" t="s">
        <v>6</v>
      </c>
      <c r="N9" s="4" t="s">
        <v>6</v>
      </c>
      <c r="O9" s="4" t="s">
        <v>7</v>
      </c>
      <c r="P9" s="4" t="s">
        <v>6</v>
      </c>
      <c r="Q9" s="4" t="s">
        <v>6</v>
      </c>
      <c r="R9" s="4" t="s">
        <v>6</v>
      </c>
      <c r="S9" s="25"/>
      <c r="T9" s="4" t="s">
        <v>7</v>
      </c>
      <c r="U9" s="4" t="s">
        <v>6</v>
      </c>
      <c r="V9" s="4" t="s">
        <v>6</v>
      </c>
      <c r="W9" s="4" t="s">
        <v>6</v>
      </c>
      <c r="X9" s="4" t="s">
        <v>6</v>
      </c>
      <c r="Y9" s="4"/>
      <c r="Z9" s="25"/>
      <c r="AA9" s="4"/>
      <c r="AB9" s="4"/>
      <c r="AC9" s="4"/>
      <c r="AD9" s="4"/>
      <c r="AE9" s="4"/>
      <c r="AF9" s="4"/>
      <c r="AG9" s="25"/>
      <c r="AH9" s="4"/>
      <c r="AI9" s="4"/>
      <c r="AJ9" s="4">
        <f t="shared" si="1"/>
        <v>15</v>
      </c>
      <c r="AK9" s="4">
        <f t="shared" si="2"/>
        <v>2</v>
      </c>
      <c r="AL9" s="4">
        <f t="shared" si="3"/>
        <v>0</v>
      </c>
      <c r="AM9" s="4">
        <f t="shared" si="4"/>
        <v>14</v>
      </c>
      <c r="AN9" s="15">
        <f t="shared" si="5"/>
        <v>29</v>
      </c>
    </row>
    <row r="10" spans="1:40" x14ac:dyDescent="0.25">
      <c r="A10" s="3">
        <v>6</v>
      </c>
      <c r="B10" s="4" t="s">
        <v>24</v>
      </c>
      <c r="C10" s="4" t="s">
        <v>25</v>
      </c>
      <c r="D10" s="4" t="s">
        <v>30</v>
      </c>
      <c r="E10" s="25"/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25"/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4" t="s">
        <v>7</v>
      </c>
      <c r="S10" s="25"/>
      <c r="T10" s="4" t="s">
        <v>6</v>
      </c>
      <c r="U10" s="4" t="s">
        <v>6</v>
      </c>
      <c r="V10" s="4" t="s">
        <v>6</v>
      </c>
      <c r="W10" s="4" t="s">
        <v>6</v>
      </c>
      <c r="X10" s="4" t="s">
        <v>6</v>
      </c>
      <c r="Y10" s="4"/>
      <c r="Z10" s="25"/>
      <c r="AA10" s="4"/>
      <c r="AB10" s="4"/>
      <c r="AC10" s="4"/>
      <c r="AD10" s="4"/>
      <c r="AE10" s="4"/>
      <c r="AF10" s="4"/>
      <c r="AG10" s="25"/>
      <c r="AH10" s="4"/>
      <c r="AI10" s="4"/>
      <c r="AJ10" s="4">
        <f t="shared" si="1"/>
        <v>16</v>
      </c>
      <c r="AK10" s="4">
        <f t="shared" si="2"/>
        <v>1</v>
      </c>
      <c r="AL10" s="4">
        <f t="shared" si="3"/>
        <v>0</v>
      </c>
      <c r="AM10" s="4">
        <f t="shared" si="4"/>
        <v>14</v>
      </c>
      <c r="AN10" s="15">
        <f t="shared" si="5"/>
        <v>30</v>
      </c>
    </row>
    <row r="11" spans="1:40" x14ac:dyDescent="0.25">
      <c r="A11" s="3">
        <v>7</v>
      </c>
      <c r="B11" s="4" t="s">
        <v>26</v>
      </c>
      <c r="C11" s="4" t="s">
        <v>27</v>
      </c>
      <c r="D11" s="4" t="s">
        <v>30</v>
      </c>
      <c r="E11" s="25"/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25"/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4" t="s">
        <v>7</v>
      </c>
      <c r="S11" s="25"/>
      <c r="T11" s="4" t="s">
        <v>6</v>
      </c>
      <c r="U11" s="4" t="s">
        <v>6</v>
      </c>
      <c r="V11" s="4" t="s">
        <v>6</v>
      </c>
      <c r="W11" s="4" t="s">
        <v>7</v>
      </c>
      <c r="X11" s="4" t="s">
        <v>6</v>
      </c>
      <c r="Y11" s="4"/>
      <c r="Z11" s="25"/>
      <c r="AA11" s="4"/>
      <c r="AB11" s="4"/>
      <c r="AC11" s="4"/>
      <c r="AD11" s="4"/>
      <c r="AE11" s="4"/>
      <c r="AF11" s="4"/>
      <c r="AG11" s="25"/>
      <c r="AH11" s="4"/>
      <c r="AI11" s="4"/>
      <c r="AJ11" s="4">
        <f t="shared" si="1"/>
        <v>15</v>
      </c>
      <c r="AK11" s="4">
        <f t="shared" si="2"/>
        <v>2</v>
      </c>
      <c r="AL11" s="4">
        <f t="shared" si="3"/>
        <v>0</v>
      </c>
      <c r="AM11" s="4">
        <f t="shared" si="4"/>
        <v>14</v>
      </c>
      <c r="AN11" s="15">
        <f t="shared" si="5"/>
        <v>29</v>
      </c>
    </row>
    <row r="12" spans="1:40" x14ac:dyDescent="0.25">
      <c r="A12" s="3">
        <v>8</v>
      </c>
      <c r="B12" s="4" t="s">
        <v>28</v>
      </c>
      <c r="C12" s="4" t="s">
        <v>29</v>
      </c>
      <c r="D12" s="4" t="s">
        <v>30</v>
      </c>
      <c r="E12" s="17"/>
      <c r="F12" s="4" t="s">
        <v>6</v>
      </c>
      <c r="G12" s="4" t="s">
        <v>6</v>
      </c>
      <c r="H12" s="4" t="s">
        <v>7</v>
      </c>
      <c r="I12" s="4" t="s">
        <v>6</v>
      </c>
      <c r="J12" s="4" t="s">
        <v>6</v>
      </c>
      <c r="K12" s="4" t="s">
        <v>6</v>
      </c>
      <c r="L12" s="17"/>
      <c r="M12" s="4" t="s">
        <v>7</v>
      </c>
      <c r="N12" s="4" t="s">
        <v>6</v>
      </c>
      <c r="O12" s="4" t="s">
        <v>6</v>
      </c>
      <c r="P12" s="4" t="s">
        <v>6</v>
      </c>
      <c r="Q12" s="4" t="s">
        <v>6</v>
      </c>
      <c r="R12" s="4" t="s">
        <v>6</v>
      </c>
      <c r="S12" s="17"/>
      <c r="T12" s="4" t="s">
        <v>6</v>
      </c>
      <c r="U12" s="4" t="s">
        <v>6</v>
      </c>
      <c r="V12" s="4" t="s">
        <v>6</v>
      </c>
      <c r="W12" s="4" t="s">
        <v>6</v>
      </c>
      <c r="X12" s="4" t="s">
        <v>6</v>
      </c>
      <c r="Y12" s="4"/>
      <c r="Z12" s="17"/>
      <c r="AA12" s="4"/>
      <c r="AB12" s="4"/>
      <c r="AC12" s="4"/>
      <c r="AD12" s="4"/>
      <c r="AE12" s="4"/>
      <c r="AF12" s="4"/>
      <c r="AG12" s="17"/>
      <c r="AH12" s="4"/>
      <c r="AI12" s="4"/>
      <c r="AJ12" s="4">
        <f t="shared" si="1"/>
        <v>15</v>
      </c>
      <c r="AK12" s="4">
        <f t="shared" si="2"/>
        <v>2</v>
      </c>
      <c r="AL12" s="4">
        <f t="shared" si="3"/>
        <v>0</v>
      </c>
      <c r="AM12" s="4">
        <f t="shared" si="4"/>
        <v>14</v>
      </c>
      <c r="AN12" s="15">
        <f t="shared" si="5"/>
        <v>29</v>
      </c>
    </row>
    <row r="13" spans="1:40" ht="15.75" thickBot="1" x14ac:dyDescent="0.3">
      <c r="A13" s="5">
        <v>9</v>
      </c>
      <c r="B13" s="6" t="s">
        <v>32</v>
      </c>
      <c r="C13" s="6" t="s">
        <v>33</v>
      </c>
      <c r="D13" s="4" t="s">
        <v>36</v>
      </c>
      <c r="E13" s="26"/>
      <c r="F13" s="6" t="s">
        <v>6</v>
      </c>
      <c r="G13" s="6" t="s">
        <v>6</v>
      </c>
      <c r="H13" s="6" t="s">
        <v>6</v>
      </c>
      <c r="I13" s="6" t="s">
        <v>6</v>
      </c>
      <c r="J13" s="6" t="s">
        <v>6</v>
      </c>
      <c r="K13" s="6" t="s">
        <v>7</v>
      </c>
      <c r="L13" s="26"/>
      <c r="M13" s="6" t="s">
        <v>6</v>
      </c>
      <c r="N13" s="6" t="s">
        <v>6</v>
      </c>
      <c r="O13" s="6" t="s">
        <v>6</v>
      </c>
      <c r="P13" s="6" t="s">
        <v>6</v>
      </c>
      <c r="Q13" s="6" t="s">
        <v>6</v>
      </c>
      <c r="R13" s="6" t="s">
        <v>6</v>
      </c>
      <c r="S13" s="26"/>
      <c r="T13" s="6" t="s">
        <v>6</v>
      </c>
      <c r="U13" s="6" t="s">
        <v>6</v>
      </c>
      <c r="V13" s="6" t="s">
        <v>6</v>
      </c>
      <c r="W13" s="6" t="s">
        <v>7</v>
      </c>
      <c r="X13" s="6" t="s">
        <v>6</v>
      </c>
      <c r="Y13" s="6" t="s">
        <v>6</v>
      </c>
      <c r="Z13" s="26"/>
      <c r="AA13" s="6" t="s">
        <v>6</v>
      </c>
      <c r="AB13" s="6" t="s">
        <v>6</v>
      </c>
      <c r="AC13" s="6"/>
      <c r="AD13" s="6" t="s">
        <v>6</v>
      </c>
      <c r="AE13" s="6"/>
      <c r="AF13" s="6" t="s">
        <v>6</v>
      </c>
      <c r="AG13" s="26"/>
      <c r="AH13" s="6" t="s">
        <v>6</v>
      </c>
      <c r="AI13" s="6" t="s">
        <v>6</v>
      </c>
      <c r="AJ13" s="6">
        <f t="shared" si="1"/>
        <v>22</v>
      </c>
      <c r="AK13" s="6">
        <f t="shared" si="2"/>
        <v>2</v>
      </c>
      <c r="AL13" s="6">
        <f t="shared" si="3"/>
        <v>0</v>
      </c>
      <c r="AM13" s="6">
        <f t="shared" si="4"/>
        <v>7</v>
      </c>
      <c r="AN13" s="16">
        <f t="shared" si="5"/>
        <v>29</v>
      </c>
    </row>
  </sheetData>
  <mergeCells count="8">
    <mergeCell ref="S5:S13"/>
    <mergeCell ref="Z5:Z13"/>
    <mergeCell ref="AG5:AG13"/>
    <mergeCell ref="A2:AN2"/>
    <mergeCell ref="A3:D3"/>
    <mergeCell ref="AJ3:AN3"/>
    <mergeCell ref="E5:E13"/>
    <mergeCell ref="L5:L13"/>
  </mergeCells>
  <conditionalFormatting sqref="E3:AI4 E5 L5 S5 Z5 AG5 F5:K13 M5:R13 AA5:AF13 AH5:AI13 T5:Y13">
    <cfRule type="expression" dxfId="2" priority="1">
      <formula>E$3="SUN"</formula>
    </cfRule>
  </conditionalFormatting>
  <conditionalFormatting sqref="E5 L5 S5 Z5 AG5 F5:K13 M5:R13 AA5:AF13 AH5:AI13 T5:Y13">
    <cfRule type="cellIs" dxfId="1" priority="2" operator="equal">
      <formula>"A"</formula>
    </cfRule>
    <cfRule type="cellIs" dxfId="0" priority="3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AUGUST-2024</vt:lpstr>
      <vt:lpstr>SEPTEMBER-2024</vt:lpstr>
      <vt:lpstr>OCTOBER-2024</vt:lpstr>
      <vt:lpstr>NOVEMBER-2024</vt:lpstr>
      <vt:lpstr>DECEMBER-2024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2025-01-09T05:33:46Z</dcterms:modified>
</cp:coreProperties>
</file>